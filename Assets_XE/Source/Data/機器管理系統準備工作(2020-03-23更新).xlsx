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35" windowHeight="11970"/>
  </bookViews>
  <sheets>
    <sheet name="準備工作" sheetId="6" r:id="rId1"/>
    <sheet name="機器編碼原則" sheetId="3" r:id="rId2"/>
    <sheet name="機器編碼對照總表" sheetId="5" r:id="rId3"/>
    <sheet name="現有機器細項總表(共用)" sheetId="7" r:id="rId4"/>
    <sheet name="機器攤提表(財務用)" sheetId="12" r:id="rId5"/>
    <sheet name="廠商基本資料" sheetId="8" r:id="rId6"/>
    <sheet name="機器基本資料" sheetId="9" r:id="rId7"/>
    <sheet name="入庫表(廠內用)" sheetId="11" r:id="rId8"/>
    <sheet name="入庫單(財務提供-稅局格式)" sheetId="10" r:id="rId9"/>
  </sheets>
  <definedNames>
    <definedName name="_xlnm._FilterDatabase" localSheetId="1" hidden="1">機器編碼原則!$A$22:$Q$22</definedName>
  </definedNames>
  <calcPr calcId="145621"/>
</workbook>
</file>

<file path=xl/calcChain.xml><?xml version="1.0" encoding="utf-8"?>
<calcChain xmlns="http://schemas.openxmlformats.org/spreadsheetml/2006/main">
  <c r="AZ3" i="12" l="1"/>
  <c r="AV3" i="12"/>
  <c r="AS3" i="12"/>
  <c r="AT3" i="12" s="1"/>
  <c r="AR3" i="12"/>
  <c r="AQ3" i="12"/>
  <c r="AP3" i="12"/>
  <c r="AO3" i="12"/>
  <c r="AN3" i="12"/>
  <c r="AM3" i="12"/>
  <c r="AL3" i="12"/>
  <c r="AY3" i="12"/>
  <c r="AX3" i="12"/>
  <c r="AU3" i="12"/>
  <c r="AJ3" i="12"/>
  <c r="AK3" i="12"/>
  <c r="AI3" i="12"/>
  <c r="AF3" i="12"/>
  <c r="AD3" i="12"/>
  <c r="AC4" i="11"/>
  <c r="AB4" i="11"/>
  <c r="H20" i="10" l="1"/>
  <c r="I20" i="10" s="1"/>
  <c r="G20" i="10"/>
  <c r="I19" i="10"/>
  <c r="H19" i="10"/>
  <c r="G19" i="10"/>
  <c r="H18" i="10"/>
  <c r="H32" i="10" s="1"/>
  <c r="G18" i="10"/>
  <c r="I18" i="10" l="1"/>
  <c r="I32" i="10" s="1"/>
  <c r="C12" i="9"/>
  <c r="Y4" i="7"/>
  <c r="X4" i="7"/>
  <c r="V4" i="7"/>
  <c r="C35" i="10" l="1"/>
  <c r="I8" i="10"/>
  <c r="I9" i="10"/>
</calcChain>
</file>

<file path=xl/sharedStrings.xml><?xml version="1.0" encoding="utf-8"?>
<sst xmlns="http://schemas.openxmlformats.org/spreadsheetml/2006/main" count="795" uniqueCount="685">
  <si>
    <t>A</t>
    <phoneticPr fontId="7" type="noConversion"/>
  </si>
  <si>
    <t>B</t>
    <phoneticPr fontId="7" type="noConversion"/>
  </si>
  <si>
    <t>C</t>
    <phoneticPr fontId="7" type="noConversion"/>
  </si>
  <si>
    <t>D</t>
    <phoneticPr fontId="7" type="noConversion"/>
  </si>
  <si>
    <t>碼數</t>
    <phoneticPr fontId="7" type="noConversion"/>
  </si>
  <si>
    <t>一. 第1碼:大分類 (1碼)</t>
    <phoneticPr fontId="7" type="noConversion"/>
  </si>
  <si>
    <t>說明:</t>
    <phoneticPr fontId="7" type="noConversion"/>
  </si>
  <si>
    <t>E</t>
    <phoneticPr fontId="7" type="noConversion"/>
  </si>
  <si>
    <t>F</t>
    <phoneticPr fontId="7" type="noConversion"/>
  </si>
  <si>
    <t>G</t>
    <phoneticPr fontId="7" type="noConversion"/>
  </si>
  <si>
    <t>料號</t>
    <phoneticPr fontId="7" type="noConversion"/>
  </si>
  <si>
    <t>規格</t>
    <phoneticPr fontId="7" type="noConversion"/>
  </si>
  <si>
    <t>機器型號</t>
    <phoneticPr fontId="7" type="noConversion"/>
  </si>
  <si>
    <t>用途分類</t>
    <phoneticPr fontId="7" type="noConversion"/>
  </si>
  <si>
    <t>攤提月份數</t>
    <phoneticPr fontId="7" type="noConversion"/>
  </si>
  <si>
    <t>報關名稱</t>
    <phoneticPr fontId="7" type="noConversion"/>
  </si>
  <si>
    <t>0001</t>
    <phoneticPr fontId="7" type="noConversion"/>
  </si>
  <si>
    <t>0002</t>
    <phoneticPr fontId="7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</si>
  <si>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</si>
  <si>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</si>
  <si>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</si>
  <si>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</si>
  <si>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</si>
  <si>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</si>
  <si>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</si>
  <si>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</si>
  <si>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  <phoneticPr fontId="7" type="noConversion"/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</si>
  <si>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</si>
  <si>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</si>
  <si>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</si>
  <si>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</si>
  <si>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</si>
  <si>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</si>
  <si>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</si>
  <si>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</si>
  <si>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</si>
  <si>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  <phoneticPr fontId="7" type="noConversion"/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</si>
  <si>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</si>
  <si>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</si>
  <si>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</si>
  <si>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</si>
  <si>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</si>
  <si>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</si>
  <si>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</si>
  <si>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</si>
  <si>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</si>
  <si>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  <phoneticPr fontId="7" type="noConversion"/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</si>
  <si>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</si>
  <si>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</si>
  <si>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</si>
  <si>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</si>
  <si>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</si>
  <si>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</si>
  <si>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</si>
  <si>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</si>
  <si>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</si>
  <si>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0045</t>
  </si>
  <si>
    <t>0046</t>
  </si>
  <si>
    <t>0047</t>
  </si>
  <si>
    <t>0048</t>
  </si>
  <si>
    <t>0049</t>
  </si>
  <si>
    <t>0050</t>
  </si>
  <si>
    <t>0041</t>
    <phoneticPr fontId="7" type="noConversion"/>
  </si>
  <si>
    <t>0042</t>
  </si>
  <si>
    <t>0043</t>
  </si>
  <si>
    <t>0044</t>
  </si>
  <si>
    <t xml:space="preserve">    *手工編碼,需安排專人維護</t>
    <phoneticPr fontId="7" type="noConversion"/>
  </si>
  <si>
    <t>參考單價(USD)</t>
    <phoneticPr fontId="7" type="noConversion"/>
  </si>
  <si>
    <t>廠商</t>
    <phoneticPr fontId="7" type="noConversion"/>
  </si>
  <si>
    <t>機器中文名稱</t>
    <phoneticPr fontId="7" type="noConversion"/>
  </si>
  <si>
    <t>越文名稱</t>
    <phoneticPr fontId="7" type="noConversion"/>
  </si>
  <si>
    <t>備註</t>
    <phoneticPr fontId="7" type="noConversion"/>
  </si>
  <si>
    <t xml:space="preserve"> </t>
    <phoneticPr fontId="7" type="noConversion"/>
  </si>
  <si>
    <t>電腦</t>
    <phoneticPr fontId="7" type="noConversion"/>
  </si>
  <si>
    <t>列表機</t>
    <phoneticPr fontId="7" type="noConversion"/>
  </si>
  <si>
    <t>電話</t>
    <phoneticPr fontId="7" type="noConversion"/>
  </si>
  <si>
    <t>電箱,電櫃</t>
    <phoneticPr fontId="7" type="noConversion"/>
  </si>
  <si>
    <t>冷氣機</t>
    <phoneticPr fontId="7" type="noConversion"/>
  </si>
  <si>
    <t>交通車</t>
    <phoneticPr fontId="7" type="noConversion"/>
  </si>
  <si>
    <t>垃圾車</t>
    <phoneticPr fontId="7" type="noConversion"/>
  </si>
  <si>
    <t>搬運車</t>
    <phoneticPr fontId="7" type="noConversion"/>
  </si>
  <si>
    <t>STT
序號</t>
    <phoneticPr fontId="7" type="noConversion"/>
  </si>
  <si>
    <t>型號,品名統一</t>
    <phoneticPr fontId="7" type="noConversion"/>
  </si>
  <si>
    <t>編碼對應型號</t>
    <phoneticPr fontId="7" type="noConversion"/>
  </si>
  <si>
    <t>表單設計</t>
    <phoneticPr fontId="7" type="noConversion"/>
  </si>
  <si>
    <t>安全認證
(Y/N)</t>
    <phoneticPr fontId="7" type="noConversion"/>
  </si>
  <si>
    <t>指定廠商
(Y/N)</t>
    <phoneticPr fontId="7" type="noConversion"/>
  </si>
  <si>
    <t>財產編號</t>
    <phoneticPr fontId="7" type="noConversion"/>
  </si>
  <si>
    <t>INVOICE NO.</t>
    <phoneticPr fontId="7" type="noConversion"/>
  </si>
  <si>
    <t>入庫日</t>
    <phoneticPr fontId="7" type="noConversion"/>
  </si>
  <si>
    <t>入庫單價(USD)</t>
    <phoneticPr fontId="7" type="noConversion"/>
  </si>
  <si>
    <t>入庫單價(VND)</t>
    <phoneticPr fontId="7" type="noConversion"/>
  </si>
  <si>
    <t>每月攤提
金額(USD)</t>
    <phoneticPr fontId="7" type="noConversion"/>
  </si>
  <si>
    <t>每月攤提
金額(VND)</t>
    <phoneticPr fontId="7" type="noConversion"/>
  </si>
  <si>
    <t>開始攤提
(年/月)</t>
    <phoneticPr fontId="7" type="noConversion"/>
  </si>
  <si>
    <t>攤提月份數(月)</t>
    <phoneticPr fontId="7" type="noConversion"/>
  </si>
  <si>
    <t>申購單位</t>
    <phoneticPr fontId="7" type="noConversion"/>
  </si>
  <si>
    <t>領料日期</t>
    <phoneticPr fontId="7" type="noConversion"/>
  </si>
  <si>
    <t>存放位置(廠別)</t>
    <phoneticPr fontId="7" type="noConversion"/>
  </si>
  <si>
    <t>存放位置(棟別)</t>
    <phoneticPr fontId="7" type="noConversion"/>
  </si>
  <si>
    <t>存放位置(線別)</t>
    <phoneticPr fontId="7" type="noConversion"/>
  </si>
  <si>
    <t>現有機器細項總表</t>
    <phoneticPr fontId="7" type="noConversion"/>
  </si>
  <si>
    <t>機器管理系統上前準備工作:</t>
    <phoneticPr fontId="7" type="noConversion"/>
  </si>
  <si>
    <t>項次</t>
    <phoneticPr fontId="7" type="noConversion"/>
  </si>
  <si>
    <t>項目</t>
    <phoneticPr fontId="7" type="noConversion"/>
  </si>
  <si>
    <t>對口</t>
    <phoneticPr fontId="7" type="noConversion"/>
  </si>
  <si>
    <t>預計完成日</t>
    <phoneticPr fontId="7" type="noConversion"/>
  </si>
  <si>
    <t>備註</t>
    <phoneticPr fontId="7" type="noConversion"/>
  </si>
  <si>
    <t>機器基本檔</t>
    <phoneticPr fontId="7" type="noConversion"/>
  </si>
  <si>
    <t>廠商基本檔</t>
    <phoneticPr fontId="7" type="noConversion"/>
  </si>
  <si>
    <t>ISO文件更新流程</t>
    <phoneticPr fontId="7" type="noConversion"/>
  </si>
  <si>
    <t>存放位置(工務倉)</t>
    <phoneticPr fontId="7" type="noConversion"/>
  </si>
  <si>
    <t>*設各查詢/篩選功能(1.存放位置 2.財編 3.料號 4.型號 5.機器名稱 6.廠商)</t>
    <phoneticPr fontId="7" type="noConversion"/>
  </si>
  <si>
    <t>廠商代碼</t>
    <phoneticPr fontId="7" type="noConversion"/>
  </si>
  <si>
    <t>地址</t>
    <phoneticPr fontId="7" type="noConversion"/>
  </si>
  <si>
    <t>聯絡人</t>
    <phoneticPr fontId="7" type="noConversion"/>
  </si>
  <si>
    <t>E-MAIL</t>
    <phoneticPr fontId="7" type="noConversion"/>
  </si>
  <si>
    <t>產品項目</t>
    <phoneticPr fontId="7" type="noConversion"/>
  </si>
  <si>
    <t>公司指定廠商</t>
    <phoneticPr fontId="7" type="noConversion"/>
  </si>
  <si>
    <t>客人指定廠商</t>
    <phoneticPr fontId="7" type="noConversion"/>
  </si>
  <si>
    <t>機器基本資料管理</t>
    <phoneticPr fontId="7" type="noConversion"/>
  </si>
  <si>
    <t>規格</t>
    <phoneticPr fontId="7" type="noConversion"/>
  </si>
  <si>
    <t>廠商</t>
    <phoneticPr fontId="7" type="noConversion"/>
  </si>
  <si>
    <t>參考單價(VND)</t>
    <phoneticPr fontId="7" type="noConversion"/>
  </si>
  <si>
    <t>廠商基本資料管理</t>
    <phoneticPr fontId="7" type="noConversion"/>
  </si>
  <si>
    <t>目前殘餘
價值(USD)</t>
    <phoneticPr fontId="7" type="noConversion"/>
  </si>
  <si>
    <t>目前殘餘
價值(VND)</t>
    <phoneticPr fontId="7" type="noConversion"/>
  </si>
  <si>
    <t>企劃,會計</t>
    <phoneticPr fontId="7" type="noConversion"/>
  </si>
  <si>
    <t>會計</t>
    <phoneticPr fontId="7" type="noConversion"/>
  </si>
  <si>
    <t>進出口/會計</t>
    <phoneticPr fontId="7" type="noConversion"/>
  </si>
  <si>
    <t>閒置機器明細平台分享</t>
    <phoneticPr fontId="7" type="noConversion"/>
  </si>
  <si>
    <t>入庫單</t>
    <phoneticPr fontId="7" type="noConversion"/>
  </si>
  <si>
    <t>領料單</t>
    <phoneticPr fontId="7" type="noConversion"/>
  </si>
  <si>
    <t>申購單</t>
    <phoneticPr fontId="7" type="noConversion"/>
  </si>
  <si>
    <t>電腦手工打單</t>
    <phoneticPr fontId="7" type="noConversion"/>
  </si>
  <si>
    <t>裁斷機</t>
    <phoneticPr fontId="7" type="noConversion"/>
  </si>
  <si>
    <t>穎輝</t>
    <phoneticPr fontId="7" type="noConversion"/>
  </si>
  <si>
    <t>參考單價(USD)</t>
    <phoneticPr fontId="7" type="noConversion"/>
  </si>
  <si>
    <t>參考單價(VND)</t>
    <phoneticPr fontId="7" type="noConversion"/>
  </si>
  <si>
    <t>CE安全認證(Y/N)</t>
    <phoneticPr fontId="7" type="noConversion"/>
  </si>
  <si>
    <t>客人指定機型(Y/N)</t>
    <phoneticPr fontId="7" type="noConversion"/>
  </si>
  <si>
    <t>公司指定機型(Y/N)</t>
    <phoneticPr fontId="7" type="noConversion"/>
  </si>
  <si>
    <t>採區
(TW/VN)</t>
    <phoneticPr fontId="7" type="noConversion"/>
  </si>
  <si>
    <t>採區(TW/VN)</t>
    <phoneticPr fontId="7" type="noConversion"/>
  </si>
  <si>
    <t>TW</t>
    <phoneticPr fontId="7" type="noConversion"/>
  </si>
  <si>
    <t>公司名稱(中/英/越)</t>
    <phoneticPr fontId="7" type="noConversion"/>
  </si>
  <si>
    <t>聯絡人電話</t>
    <phoneticPr fontId="7" type="noConversion"/>
  </si>
  <si>
    <t>品牌安全認證</t>
    <phoneticPr fontId="7" type="noConversion"/>
  </si>
  <si>
    <t>NIKE</t>
    <phoneticPr fontId="7" type="noConversion"/>
  </si>
  <si>
    <t>ADIDAS</t>
    <phoneticPr fontId="7" type="noConversion"/>
  </si>
  <si>
    <t>VANS</t>
    <phoneticPr fontId="7" type="noConversion"/>
  </si>
  <si>
    <t>SGS</t>
    <phoneticPr fontId="7" type="noConversion"/>
  </si>
  <si>
    <t>N</t>
    <phoneticPr fontId="7" type="noConversion"/>
  </si>
  <si>
    <t>Y</t>
    <phoneticPr fontId="7" type="noConversion"/>
  </si>
  <si>
    <t>廠商代碼編碼原則</t>
    <phoneticPr fontId="7" type="noConversion"/>
  </si>
  <si>
    <t>4碼</t>
    <phoneticPr fontId="7" type="noConversion"/>
  </si>
  <si>
    <t>同現有ERP系統裡的工務/零件廠商代碼</t>
    <phoneticPr fontId="7" type="noConversion"/>
  </si>
  <si>
    <t>??</t>
    <phoneticPr fontId="7" type="noConversion"/>
  </si>
  <si>
    <t>打領料單時可以查詢: 入庫日 / INVOICE NO. / 型號 / 財編</t>
    <phoneticPr fontId="7" type="noConversion"/>
  </si>
  <si>
    <t>CÔNG TY TRÁCH NHIỆM HỮU HẠN TỶ XUÂN</t>
  </si>
  <si>
    <t>億春責任有限公司</t>
  </si>
  <si>
    <t>固 定 財 產 入 庫 單</t>
  </si>
  <si>
    <t xml:space="preserve">                    PHIẾU NHẬP TÀI SẢN CỐ ĐỊNH</t>
  </si>
  <si>
    <t>Ngày    09  tháng   06   năm 2018</t>
  </si>
  <si>
    <r>
      <t>日</t>
    </r>
    <r>
      <rPr>
        <sz val="12"/>
        <rFont val="Times New Roman"/>
        <family val="1"/>
      </rPr>
      <t xml:space="preserve">     </t>
    </r>
    <r>
      <rPr>
        <sz val="10"/>
        <rFont val="Times New Roman"/>
        <family val="1"/>
      </rPr>
      <t>月</t>
    </r>
    <r>
      <rPr>
        <sz val="12"/>
        <rFont val="Times New Roman"/>
        <family val="1"/>
      </rPr>
      <t xml:space="preserve">     </t>
    </r>
    <r>
      <rPr>
        <sz val="10"/>
        <rFont val="Times New Roman"/>
        <family val="1"/>
      </rPr>
      <t>年</t>
    </r>
  </si>
  <si>
    <r>
      <t xml:space="preserve">  </t>
    </r>
    <r>
      <rPr>
        <sz val="12"/>
        <rFont val="細明體"/>
        <family val="3"/>
        <charset val="136"/>
      </rPr>
      <t/>
    </r>
    <phoneticPr fontId="25" type="noConversion"/>
  </si>
  <si>
    <t>NĐ</t>
  </si>
  <si>
    <t xml:space="preserve">  Chứng từ số 紙張: </t>
  </si>
  <si>
    <t xml:space="preserve">       Ngày   07   tháng  09   năm    2012</t>
  </si>
  <si>
    <t xml:space="preserve">  Của :  </t>
  </si>
  <si>
    <r>
      <t xml:space="preserve">  Nhập tại kho :  </t>
    </r>
    <r>
      <rPr>
        <b/>
        <sz val="10"/>
        <rFont val="細明體"/>
        <family val="3"/>
        <charset val="136"/>
      </rPr>
      <t xml:space="preserve"> Công ty Tỷ Xuân 億春責任有限公司</t>
    </r>
    <phoneticPr fontId="25" type="noConversion"/>
  </si>
  <si>
    <r>
      <t>Tỷ giá</t>
    </r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 xml:space="preserve"> :</t>
    </r>
    <phoneticPr fontId="25" type="noConversion"/>
  </si>
  <si>
    <t>VP03</t>
  </si>
  <si>
    <r>
      <t xml:space="preserve">Số TT
</t>
    </r>
    <r>
      <rPr>
        <sz val="10"/>
        <rFont val="Times New Roman"/>
        <family val="1"/>
      </rPr>
      <t>次序</t>
    </r>
  </si>
  <si>
    <r>
      <t xml:space="preserve">  TÊN TÀI SẢN
NHÃN HIỆU QUY CÁCH
 </t>
    </r>
    <r>
      <rPr>
        <sz val="12"/>
        <rFont val="細明體"/>
        <family val="3"/>
        <charset val="136"/>
      </rPr>
      <t>資產名稱</t>
    </r>
    <r>
      <rPr>
        <sz val="12"/>
        <rFont val="Times New Roman"/>
        <family val="1"/>
      </rPr>
      <t xml:space="preserve"> - </t>
    </r>
    <r>
      <rPr>
        <sz val="12"/>
        <rFont val="細明體"/>
        <family val="3"/>
        <charset val="136"/>
      </rPr>
      <t>規格</t>
    </r>
    <phoneticPr fontId="25" type="noConversion"/>
  </si>
  <si>
    <t>Đơn vị</t>
  </si>
  <si>
    <t>Số lượng 數量</t>
  </si>
  <si>
    <t>Đơn giá單價</t>
  </si>
  <si>
    <r>
      <t>Thành ti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 xml:space="preserve">n </t>
    </r>
    <r>
      <rPr>
        <sz val="12"/>
        <rFont val="細明體"/>
        <family val="3"/>
        <charset val="136"/>
      </rPr>
      <t>總金額</t>
    </r>
    <phoneticPr fontId="25" type="noConversion"/>
  </si>
  <si>
    <t>Ghi chú
備註</t>
  </si>
  <si>
    <t>Tính</t>
  </si>
  <si>
    <t xml:space="preserve">Theo </t>
  </si>
  <si>
    <t>Thực 實</t>
  </si>
  <si>
    <t>USD</t>
  </si>
  <si>
    <t>VND</t>
  </si>
  <si>
    <t>單位</t>
  </si>
  <si>
    <t>CTừ 據票</t>
  </si>
  <si>
    <t>Nhập際</t>
  </si>
  <si>
    <t>美金</t>
  </si>
  <si>
    <t>越幣</t>
  </si>
  <si>
    <t>KHUÔN AD-40343 2.3G BOOST (SIZE 9)</t>
  </si>
  <si>
    <t>BỘ</t>
  </si>
  <si>
    <t>KHUÔN AD-40343 2.3G BOOST (SIZE 10 :13PRS ; SIZE 11 : 6PRS ; SIZE 12 : 1PRS))</t>
  </si>
  <si>
    <t>KHUÔN AD-40343 2.3G BOOST (SIZE 8 : 4PRS ; SIZE 3,4,6,7 : 5PRS))</t>
  </si>
  <si>
    <t>BSQĐ</t>
  </si>
  <si>
    <t>Cộng</t>
  </si>
  <si>
    <t>Tổng số tiền:  (viết bằng chữ )</t>
  </si>
  <si>
    <t>Tám tỷ, hai trăm chín mươi ba triệu,hai trăm bảy mươi lăm ngàn đồng chẵn.</t>
  </si>
  <si>
    <t>金額</t>
  </si>
  <si>
    <t>元整</t>
  </si>
  <si>
    <t>Ban Giám Đốc</t>
  </si>
  <si>
    <t>K.Toán Trưởng</t>
  </si>
  <si>
    <t>Chủ Quản Thu Mua</t>
  </si>
  <si>
    <t xml:space="preserve">     NV Thu mua</t>
  </si>
  <si>
    <t>Chủ Quản Kho</t>
  </si>
  <si>
    <t>NV Kho</t>
  </si>
  <si>
    <t>Lập Biểu</t>
  </si>
  <si>
    <t xml:space="preserve">   主管部</t>
  </si>
  <si>
    <t xml:space="preserve">       會計部</t>
  </si>
  <si>
    <t xml:space="preserve">    採購主管</t>
  </si>
  <si>
    <t>採購人員</t>
  </si>
  <si>
    <t>倉庫主管</t>
  </si>
  <si>
    <t>倉庫人員</t>
  </si>
  <si>
    <r>
      <t>製</t>
    </r>
    <r>
      <rPr>
        <sz val="12"/>
        <rFont val="Times New Roman"/>
        <family val="1"/>
      </rPr>
      <t xml:space="preserve"> </t>
    </r>
    <r>
      <rPr>
        <sz val="10"/>
        <rFont val="Times New Roman"/>
        <family val="1"/>
      </rPr>
      <t>表人</t>
    </r>
  </si>
  <si>
    <t>KT kiểm tra:</t>
  </si>
  <si>
    <r>
      <t xml:space="preserve">  Họ và tên người giao </t>
    </r>
    <r>
      <rPr>
        <sz val="10"/>
        <rFont val="細明體"/>
        <family val="3"/>
        <charset val="136"/>
      </rPr>
      <t>廠商名稱</t>
    </r>
    <r>
      <rPr>
        <sz val="10"/>
        <rFont val="Times New Roman"/>
        <family val="1"/>
      </rPr>
      <t xml:space="preserve"> : </t>
    </r>
    <r>
      <rPr>
        <b/>
        <sz val="10"/>
        <rFont val="Times New Roman"/>
        <family val="1"/>
      </rPr>
      <t>CÔNG TY TNHH POUYUEN VIỆT NAM</t>
    </r>
    <phoneticPr fontId="25" type="noConversion"/>
  </si>
  <si>
    <r>
      <t xml:space="preserve">  Chứng từ số </t>
    </r>
    <r>
      <rPr>
        <sz val="10"/>
        <rFont val="細明體"/>
        <family val="3"/>
        <charset val="136"/>
      </rPr>
      <t>發票號碼</t>
    </r>
    <r>
      <rPr>
        <sz val="10"/>
        <rFont val="Times New Roman"/>
        <family val="1"/>
      </rPr>
      <t>: GT/17P : 0003788</t>
    </r>
    <phoneticPr fontId="7" type="noConversion"/>
  </si>
  <si>
    <r>
      <t xml:space="preserve">  Chứng từ số </t>
    </r>
    <r>
      <rPr>
        <sz val="10"/>
        <rFont val="細明體"/>
        <family val="3"/>
        <charset val="136"/>
      </rPr>
      <t>合同編號</t>
    </r>
    <r>
      <rPr>
        <sz val="10"/>
        <rFont val="Times New Roman"/>
        <family val="1"/>
      </rPr>
      <t>: HĐMB 07122017 (PLHĐMB 07122017)</t>
    </r>
    <phoneticPr fontId="7" type="noConversion"/>
  </si>
  <si>
    <r>
      <rPr>
        <sz val="10"/>
        <rFont val="細明體"/>
        <family val="3"/>
        <charset val="136"/>
      </rPr>
      <t>發票日期</t>
    </r>
    <r>
      <rPr>
        <sz val="10"/>
        <rFont val="Times New Roman"/>
        <family val="1"/>
      </rPr>
      <t>:  Ngày  06  tháng  06   năm    2018</t>
    </r>
    <phoneticPr fontId="7" type="noConversion"/>
  </si>
  <si>
    <r>
      <rPr>
        <sz val="10"/>
        <rFont val="細明體"/>
        <family val="3"/>
        <charset val="136"/>
      </rPr>
      <t>合同日期</t>
    </r>
    <r>
      <rPr>
        <sz val="10"/>
        <rFont val="Times New Roman"/>
        <family val="1"/>
      </rPr>
      <t>:  Ngày  07  tháng  12   năm    2017</t>
    </r>
    <phoneticPr fontId="7" type="noConversion"/>
  </si>
  <si>
    <r>
      <rPr>
        <sz val="10"/>
        <rFont val="細明體"/>
        <family val="3"/>
        <charset val="136"/>
      </rPr>
      <t>會計科目</t>
    </r>
    <r>
      <rPr>
        <sz val="10"/>
        <rFont val="Times New Roman"/>
        <family val="1"/>
      </rPr>
      <t>Nợ TK : 211</t>
    </r>
    <phoneticPr fontId="7" type="noConversion"/>
  </si>
  <si>
    <r>
      <rPr>
        <sz val="10"/>
        <rFont val="細明體"/>
        <family val="3"/>
        <charset val="136"/>
      </rPr>
      <t>會計科目</t>
    </r>
    <r>
      <rPr>
        <sz val="10"/>
        <rFont val="Times New Roman"/>
        <family val="1"/>
      </rPr>
      <t>Có TK : 331</t>
    </r>
    <phoneticPr fontId="7" type="noConversion"/>
  </si>
  <si>
    <r>
      <t xml:space="preserve">Số: </t>
    </r>
    <r>
      <rPr>
        <sz val="12"/>
        <rFont val="細明體"/>
        <family val="3"/>
        <charset val="136"/>
      </rPr>
      <t>入庫單號</t>
    </r>
    <phoneticPr fontId="7" type="noConversion"/>
  </si>
  <si>
    <t>固定資產入庫表</t>
    <phoneticPr fontId="7" type="noConversion"/>
  </si>
  <si>
    <t xml:space="preserve"> </t>
    <phoneticPr fontId="7" type="noConversion"/>
  </si>
  <si>
    <t>英文名稱</t>
    <phoneticPr fontId="7" type="noConversion"/>
  </si>
  <si>
    <t>品名(中文名稱)</t>
    <phoneticPr fontId="7" type="noConversion"/>
  </si>
  <si>
    <t>品名(英文名稱)</t>
    <phoneticPr fontId="7" type="noConversion"/>
  </si>
  <si>
    <t>品名(越文名稱)</t>
    <phoneticPr fontId="7" type="noConversion"/>
  </si>
  <si>
    <t>品名(報關名稱)</t>
    <phoneticPr fontId="7" type="noConversion"/>
  </si>
  <si>
    <t>數量</t>
    <phoneticPr fontId="7" type="noConversion"/>
  </si>
  <si>
    <t>入庫總價(USD)</t>
    <phoneticPr fontId="7" type="noConversion"/>
  </si>
  <si>
    <t>入庫總價(VND)</t>
    <phoneticPr fontId="7" type="noConversion"/>
  </si>
  <si>
    <t>入庫日期</t>
    <phoneticPr fontId="7" type="noConversion"/>
  </si>
  <si>
    <t>發票號碼</t>
    <phoneticPr fontId="7" type="noConversion"/>
  </si>
  <si>
    <t>發票日期</t>
    <phoneticPr fontId="7" type="noConversion"/>
  </si>
  <si>
    <t>合同編號</t>
    <phoneticPr fontId="7" type="noConversion"/>
  </si>
  <si>
    <t>合同日期</t>
    <phoneticPr fontId="7" type="noConversion"/>
  </si>
  <si>
    <t>會計科目
NO TK</t>
    <phoneticPr fontId="7" type="noConversion"/>
  </si>
  <si>
    <t>會計科目
CO TK</t>
    <phoneticPr fontId="7" type="noConversion"/>
  </si>
  <si>
    <t>入庫單號</t>
    <phoneticPr fontId="7" type="noConversion"/>
  </si>
  <si>
    <t>單位</t>
    <phoneticPr fontId="7" type="noConversion"/>
  </si>
  <si>
    <t>進口稅率</t>
    <phoneticPr fontId="7" type="noConversion"/>
  </si>
  <si>
    <t>稅額</t>
    <phoneticPr fontId="7" type="noConversion"/>
  </si>
  <si>
    <t>入庫匯率</t>
    <phoneticPr fontId="7" type="noConversion"/>
  </si>
  <si>
    <t>繳稅匯率</t>
    <phoneticPr fontId="7" type="noConversion"/>
  </si>
  <si>
    <t>含稅總價</t>
    <phoneticPr fontId="7" type="noConversion"/>
  </si>
  <si>
    <t>*每月產生一張入庫總表(用日期點選區間)</t>
    <phoneticPr fontId="7" type="noConversion"/>
  </si>
  <si>
    <t>*設各查詢/篩選功能(1.存放位置 2.財編 3.料號 4.型號 5.機器名稱 6.廠商 7.攤提月份數) 另在頁尾自動查詢條件的加總數量/金額??</t>
    <phoneticPr fontId="7" type="noConversion"/>
  </si>
  <si>
    <t>預計結束攤提
(年/月)</t>
    <phoneticPr fontId="7" type="noConversion"/>
  </si>
  <si>
    <t xml:space="preserve"> </t>
    <phoneticPr fontId="7" type="noConversion"/>
  </si>
  <si>
    <t xml:space="preserve"> </t>
    <phoneticPr fontId="7" type="noConversion"/>
  </si>
  <si>
    <t>稅金
(USD)</t>
    <phoneticPr fontId="7" type="noConversion"/>
  </si>
  <si>
    <t>稅金
(VND)</t>
    <phoneticPr fontId="7" type="noConversion"/>
  </si>
  <si>
    <t>含稅總價(USD)</t>
    <phoneticPr fontId="7" type="noConversion"/>
  </si>
  <si>
    <t>含稅總價(VND)</t>
    <phoneticPr fontId="7" type="noConversion"/>
  </si>
  <si>
    <t>由入庫單導</t>
    <phoneticPr fontId="7" type="noConversion"/>
  </si>
  <si>
    <t>2018/10</t>
    <phoneticPr fontId="7" type="noConversion"/>
  </si>
  <si>
    <t>2018/10月份攤提金額(VND)</t>
    <phoneticPr fontId="7" type="noConversion"/>
  </si>
  <si>
    <t>2018/11月份攤提金額(VND)</t>
  </si>
  <si>
    <t>TOTAL</t>
    <phoneticPr fontId="7" type="noConversion"/>
  </si>
  <si>
    <t>已攤提總金額(VND)</t>
    <phoneticPr fontId="7" type="noConversion"/>
  </si>
  <si>
    <t>2018年攤提
總金額(VND)</t>
    <phoneticPr fontId="7" type="noConversion"/>
  </si>
  <si>
    <t>2019年攤提
總金額(VND)</t>
    <phoneticPr fontId="7" type="noConversion"/>
  </si>
  <si>
    <t>2018/12月份攤提金額(VND)</t>
  </si>
  <si>
    <t>加總</t>
    <phoneticPr fontId="7" type="noConversion"/>
  </si>
  <si>
    <t>目前殘餘
價值(VND)</t>
    <phoneticPr fontId="7" type="noConversion"/>
  </si>
  <si>
    <t>2018年期初
金額(VND)</t>
    <phoneticPr fontId="7" type="noConversion"/>
  </si>
  <si>
    <t>2018年期末
金額(VND)</t>
    <phoneticPr fontId="7" type="noConversion"/>
  </si>
  <si>
    <t>2019年期初
總金額(VND)</t>
    <phoneticPr fontId="7" type="noConversion"/>
  </si>
  <si>
    <t>2019年期末
總金額(VND)</t>
    <phoneticPr fontId="7" type="noConversion"/>
  </si>
  <si>
    <t>統一越幣攤提.攤提金額當月自動計算,再加可手動更改功能</t>
    <phoneticPr fontId="7" type="noConversion"/>
  </si>
  <si>
    <t>年報表</t>
    <phoneticPr fontId="7" type="noConversion"/>
  </si>
  <si>
    <t>2019/01月份攤提金額(VND)</t>
    <phoneticPr fontId="7" type="noConversion"/>
  </si>
  <si>
    <t>2019/02月份攤提金額(VND)</t>
  </si>
  <si>
    <t>2019/03月份攤提金額(VND)</t>
  </si>
  <si>
    <t>2019/04月份攤提金額(VND)</t>
  </si>
  <si>
    <t>2019/05月份攤提金額(VND)</t>
  </si>
  <si>
    <t>2019/06月份攤提金額(VND)</t>
  </si>
  <si>
    <t>2019/07月份攤提金額(VND)</t>
  </si>
  <si>
    <t>機器攤提表(財務用)</t>
    <phoneticPr fontId="7" type="noConversion"/>
  </si>
  <si>
    <t>清理單</t>
    <phoneticPr fontId="7" type="noConversion"/>
  </si>
  <si>
    <t>台</t>
    <phoneticPr fontId="7" type="noConversion"/>
  </si>
  <si>
    <t>清理日期</t>
    <phoneticPr fontId="7" type="noConversion"/>
  </si>
  <si>
    <t>殘餘價值/賣出價格(=開紅發票金額)</t>
    <phoneticPr fontId="7" type="noConversion"/>
  </si>
  <si>
    <t>清理機器
歷史明細</t>
    <phoneticPr fontId="7" type="noConversion"/>
  </si>
  <si>
    <t>專人做編碼維護.</t>
    <phoneticPr fontId="7" type="noConversion"/>
  </si>
  <si>
    <t>稅局制式表格,入庫單做好後導EXCEL套表</t>
    <phoneticPr fontId="7" type="noConversion"/>
  </si>
  <si>
    <t>型號</t>
    <phoneticPr fontId="7" type="noConversion"/>
  </si>
  <si>
    <t>中文名稱</t>
    <phoneticPr fontId="7" type="noConversion"/>
  </si>
  <si>
    <t>產生月報表/年報表</t>
    <phoneticPr fontId="7" type="noConversion"/>
  </si>
  <si>
    <t>另導Excel套稅局制式入庫表</t>
    <phoneticPr fontId="7" type="noConversion"/>
  </si>
  <si>
    <t>5.2 採購單</t>
    <phoneticPr fontId="7" type="noConversion"/>
  </si>
  <si>
    <t>5.3 入庫單</t>
    <phoneticPr fontId="7" type="noConversion"/>
  </si>
  <si>
    <t>5.4 領料單</t>
    <phoneticPr fontId="7" type="noConversion"/>
  </si>
  <si>
    <t>5.5 調渡單</t>
    <phoneticPr fontId="7" type="noConversion"/>
  </si>
  <si>
    <t>5.6 借調單</t>
    <phoneticPr fontId="7" type="noConversion"/>
  </si>
  <si>
    <t>5.7 財產轉移單</t>
    <phoneticPr fontId="7" type="noConversion"/>
  </si>
  <si>
    <t>5.8 退庫單</t>
    <phoneticPr fontId="7" type="noConversion"/>
  </si>
  <si>
    <t>5.9清理單</t>
    <phoneticPr fontId="7" type="noConversion"/>
  </si>
  <si>
    <t>5.10 攤提表(財務用)</t>
    <phoneticPr fontId="7" type="noConversion"/>
  </si>
  <si>
    <t>5.11 盤點表</t>
    <phoneticPr fontId="7" type="noConversion"/>
  </si>
  <si>
    <t>5.12 總明細表</t>
    <phoneticPr fontId="7" type="noConversion"/>
  </si>
  <si>
    <t>採購單</t>
    <phoneticPr fontId="7" type="noConversion"/>
  </si>
  <si>
    <t>依申購單號導或手工打單</t>
    <phoneticPr fontId="7" type="noConversion"/>
  </si>
  <si>
    <t>系統(由採購單導或手工)</t>
    <phoneticPr fontId="7" type="noConversion"/>
  </si>
  <si>
    <t>權限</t>
    <phoneticPr fontId="7" type="noConversion"/>
  </si>
  <si>
    <t>退庫單</t>
    <phoneticPr fontId="7" type="noConversion"/>
  </si>
  <si>
    <t>退庫日</t>
    <phoneticPr fontId="7" type="noConversion"/>
  </si>
  <si>
    <t>申請退庫單位</t>
    <phoneticPr fontId="7" type="noConversion"/>
  </si>
  <si>
    <t>退庫單成立後存位置改到工務倉</t>
    <phoneticPr fontId="7" type="noConversion"/>
  </si>
  <si>
    <t>系統(由入庫單導或手工)</t>
    <phoneticPr fontId="7" type="noConversion"/>
  </si>
  <si>
    <t>系統(由領料單導或手工)</t>
    <phoneticPr fontId="7" type="noConversion"/>
  </si>
  <si>
    <t>系統(由退庫單導或手工)</t>
    <phoneticPr fontId="7" type="noConversion"/>
  </si>
  <si>
    <t>機器狀態
(使用中)</t>
    <phoneticPr fontId="7" type="noConversion"/>
  </si>
  <si>
    <t>機器狀態
(維修中)</t>
    <phoneticPr fontId="7" type="noConversion"/>
  </si>
  <si>
    <t>機器狀態
(閒置)</t>
    <phoneticPr fontId="7" type="noConversion"/>
  </si>
  <si>
    <t>機器狀態
(待報廢)</t>
    <phoneticPr fontId="7" type="noConversion"/>
  </si>
  <si>
    <t>機器狀態
(已報廢)</t>
    <phoneticPr fontId="7" type="noConversion"/>
  </si>
  <si>
    <t>影印機</t>
    <phoneticPr fontId="7" type="noConversion"/>
  </si>
  <si>
    <t>機器設備編碼原則 (10碼)</t>
    <phoneticPr fontId="7" type="noConversion"/>
  </si>
  <si>
    <t>現場製鞋機器全部都歸在此類</t>
    <phoneticPr fontId="7" type="noConversion"/>
  </si>
  <si>
    <t>直接生產設備</t>
    <phoneticPr fontId="7" type="noConversion"/>
  </si>
  <si>
    <t>間接生產設備</t>
    <phoneticPr fontId="7" type="noConversion"/>
  </si>
  <si>
    <t>現週邊設備,例如實驗室儀器,電箱,電櫃,堆高機…等</t>
    <phoneticPr fontId="7" type="noConversion"/>
  </si>
  <si>
    <t>如電腦,列表機,影印機…等.</t>
    <phoneticPr fontId="7" type="noConversion"/>
  </si>
  <si>
    <t>辦公室事務用設備</t>
    <phoneticPr fontId="7" type="noConversion"/>
  </si>
  <si>
    <t>如車輛,垃圾車,搬運車…等</t>
    <phoneticPr fontId="7" type="noConversion"/>
  </si>
  <si>
    <t>交通設備</t>
    <phoneticPr fontId="7" type="noConversion"/>
  </si>
  <si>
    <t>品名分類</t>
    <phoneticPr fontId="7" type="noConversion"/>
  </si>
  <si>
    <t>裁斷機</t>
    <phoneticPr fontId="7" type="noConversion"/>
  </si>
  <si>
    <t>高頭單針</t>
    <phoneticPr fontId="7" type="noConversion"/>
  </si>
  <si>
    <t>高頭雙針</t>
    <phoneticPr fontId="7" type="noConversion"/>
  </si>
  <si>
    <t>平車單針</t>
    <phoneticPr fontId="7" type="noConversion"/>
  </si>
  <si>
    <t>拷克車</t>
    <phoneticPr fontId="7" type="noConversion"/>
  </si>
  <si>
    <t>分線機</t>
    <phoneticPr fontId="7" type="noConversion"/>
  </si>
  <si>
    <t>滾邊機</t>
    <phoneticPr fontId="7" type="noConversion"/>
  </si>
  <si>
    <t>削皮機</t>
    <phoneticPr fontId="7" type="noConversion"/>
  </si>
  <si>
    <t>0051</t>
    <phoneticPr fontId="7" type="noConversion"/>
  </si>
  <si>
    <t>0101</t>
    <phoneticPr fontId="7" type="noConversion"/>
  </si>
  <si>
    <t>0151</t>
    <phoneticPr fontId="7" type="noConversion"/>
  </si>
  <si>
    <t>0052</t>
    <phoneticPr fontId="7" type="noConversion"/>
  </si>
  <si>
    <t>0102</t>
    <phoneticPr fontId="7" type="noConversion"/>
  </si>
  <si>
    <t>0152</t>
    <phoneticPr fontId="7" type="noConversion"/>
  </si>
  <si>
    <t>0003</t>
    <phoneticPr fontId="7" type="noConversion"/>
  </si>
  <si>
    <t>0053</t>
    <phoneticPr fontId="7" type="noConversion"/>
  </si>
  <si>
    <t>0103</t>
    <phoneticPr fontId="7" type="noConversion"/>
  </si>
  <si>
    <t>0153</t>
    <phoneticPr fontId="7" type="noConversion"/>
  </si>
  <si>
    <t>0004</t>
    <phoneticPr fontId="7" type="noConversion"/>
  </si>
  <si>
    <t>0054</t>
    <phoneticPr fontId="7" type="noConversion"/>
  </si>
  <si>
    <t>0104</t>
    <phoneticPr fontId="7" type="noConversion"/>
  </si>
  <si>
    <t>0154</t>
    <phoneticPr fontId="7" type="noConversion"/>
  </si>
  <si>
    <t>0005</t>
    <phoneticPr fontId="7" type="noConversion"/>
  </si>
  <si>
    <t>平車雙針</t>
    <phoneticPr fontId="7" type="noConversion"/>
  </si>
  <si>
    <t>0055</t>
    <phoneticPr fontId="7" type="noConversion"/>
  </si>
  <si>
    <t>0105</t>
    <phoneticPr fontId="7" type="noConversion"/>
  </si>
  <si>
    <t>0155</t>
    <phoneticPr fontId="7" type="noConversion"/>
  </si>
  <si>
    <t>0006</t>
    <phoneticPr fontId="7" type="noConversion"/>
  </si>
  <si>
    <t>萬能車</t>
    <phoneticPr fontId="7" type="noConversion"/>
  </si>
  <si>
    <t>0056</t>
    <phoneticPr fontId="7" type="noConversion"/>
  </si>
  <si>
    <t>0106</t>
    <phoneticPr fontId="7" type="noConversion"/>
  </si>
  <si>
    <t>0156</t>
    <phoneticPr fontId="7" type="noConversion"/>
  </si>
  <si>
    <t>0007</t>
    <phoneticPr fontId="7" type="noConversion"/>
  </si>
  <si>
    <t>0057</t>
    <phoneticPr fontId="7" type="noConversion"/>
  </si>
  <si>
    <t>0107</t>
    <phoneticPr fontId="7" type="noConversion"/>
  </si>
  <si>
    <t>0157</t>
    <phoneticPr fontId="7" type="noConversion"/>
  </si>
  <si>
    <t>0008</t>
    <phoneticPr fontId="7" type="noConversion"/>
  </si>
  <si>
    <t>0058</t>
    <phoneticPr fontId="7" type="noConversion"/>
  </si>
  <si>
    <t>0108</t>
    <phoneticPr fontId="7" type="noConversion"/>
  </si>
  <si>
    <t>0158</t>
    <phoneticPr fontId="7" type="noConversion"/>
  </si>
  <si>
    <t>0009</t>
    <phoneticPr fontId="7" type="noConversion"/>
  </si>
  <si>
    <t>0059</t>
    <phoneticPr fontId="7" type="noConversion"/>
  </si>
  <si>
    <t>0109</t>
    <phoneticPr fontId="7" type="noConversion"/>
  </si>
  <si>
    <t>0159</t>
    <phoneticPr fontId="7" type="noConversion"/>
  </si>
  <si>
    <t>0010</t>
    <phoneticPr fontId="7" type="noConversion"/>
  </si>
  <si>
    <t>捶平機</t>
    <phoneticPr fontId="7" type="noConversion"/>
  </si>
  <si>
    <t>0060</t>
    <phoneticPr fontId="7" type="noConversion"/>
  </si>
  <si>
    <t>0110</t>
    <phoneticPr fontId="7" type="noConversion"/>
  </si>
  <si>
    <t>0160</t>
    <phoneticPr fontId="7" type="noConversion"/>
  </si>
  <si>
    <t>0061</t>
    <phoneticPr fontId="7" type="noConversion"/>
  </si>
  <si>
    <t>0111</t>
    <phoneticPr fontId="7" type="noConversion"/>
  </si>
  <si>
    <t>0161</t>
    <phoneticPr fontId="7" type="noConversion"/>
  </si>
  <si>
    <t>0211</t>
    <phoneticPr fontId="7" type="noConversion"/>
  </si>
  <si>
    <t>0012</t>
    <phoneticPr fontId="7" type="noConversion"/>
  </si>
  <si>
    <t>0062</t>
    <phoneticPr fontId="7" type="noConversion"/>
  </si>
  <si>
    <t>0112</t>
    <phoneticPr fontId="7" type="noConversion"/>
  </si>
  <si>
    <t>0162</t>
    <phoneticPr fontId="7" type="noConversion"/>
  </si>
  <si>
    <t>0212</t>
    <phoneticPr fontId="7" type="noConversion"/>
  </si>
  <si>
    <t>0013</t>
    <phoneticPr fontId="7" type="noConversion"/>
  </si>
  <si>
    <t>0063</t>
    <phoneticPr fontId="7" type="noConversion"/>
  </si>
  <si>
    <t>0113</t>
    <phoneticPr fontId="7" type="noConversion"/>
  </si>
  <si>
    <t>0163</t>
    <phoneticPr fontId="7" type="noConversion"/>
  </si>
  <si>
    <t>0213</t>
    <phoneticPr fontId="7" type="noConversion"/>
  </si>
  <si>
    <t>0014</t>
    <phoneticPr fontId="7" type="noConversion"/>
  </si>
  <si>
    <t>0064</t>
    <phoneticPr fontId="7" type="noConversion"/>
  </si>
  <si>
    <t>0114</t>
    <phoneticPr fontId="7" type="noConversion"/>
  </si>
  <si>
    <t>0164</t>
    <phoneticPr fontId="7" type="noConversion"/>
  </si>
  <si>
    <t>0214</t>
    <phoneticPr fontId="7" type="noConversion"/>
  </si>
  <si>
    <t>0015</t>
    <phoneticPr fontId="7" type="noConversion"/>
  </si>
  <si>
    <t>0065</t>
    <phoneticPr fontId="7" type="noConversion"/>
  </si>
  <si>
    <t>0115</t>
    <phoneticPr fontId="7" type="noConversion"/>
  </si>
  <si>
    <t>0165</t>
    <phoneticPr fontId="7" type="noConversion"/>
  </si>
  <si>
    <t>0215</t>
    <phoneticPr fontId="7" type="noConversion"/>
  </si>
  <si>
    <t>0016</t>
    <phoneticPr fontId="7" type="noConversion"/>
  </si>
  <si>
    <t>0066</t>
    <phoneticPr fontId="7" type="noConversion"/>
  </si>
  <si>
    <t>0116</t>
    <phoneticPr fontId="7" type="noConversion"/>
  </si>
  <si>
    <t>0166</t>
    <phoneticPr fontId="7" type="noConversion"/>
  </si>
  <si>
    <t>0216</t>
    <phoneticPr fontId="7" type="noConversion"/>
  </si>
  <si>
    <t>0017</t>
    <phoneticPr fontId="7" type="noConversion"/>
  </si>
  <si>
    <t>0067</t>
    <phoneticPr fontId="7" type="noConversion"/>
  </si>
  <si>
    <t>0117</t>
    <phoneticPr fontId="7" type="noConversion"/>
  </si>
  <si>
    <t>0167</t>
    <phoneticPr fontId="7" type="noConversion"/>
  </si>
  <si>
    <t>0217</t>
    <phoneticPr fontId="7" type="noConversion"/>
  </si>
  <si>
    <t>0018</t>
    <phoneticPr fontId="7" type="noConversion"/>
  </si>
  <si>
    <t>0068</t>
    <phoneticPr fontId="7" type="noConversion"/>
  </si>
  <si>
    <t>0118</t>
    <phoneticPr fontId="7" type="noConversion"/>
  </si>
  <si>
    <t>0168</t>
    <phoneticPr fontId="7" type="noConversion"/>
  </si>
  <si>
    <t>0218</t>
    <phoneticPr fontId="7" type="noConversion"/>
  </si>
  <si>
    <t>0019</t>
    <phoneticPr fontId="7" type="noConversion"/>
  </si>
  <si>
    <t>0069</t>
    <phoneticPr fontId="7" type="noConversion"/>
  </si>
  <si>
    <t>0119</t>
    <phoneticPr fontId="7" type="noConversion"/>
  </si>
  <si>
    <t>0169</t>
    <phoneticPr fontId="7" type="noConversion"/>
  </si>
  <si>
    <t>0219</t>
    <phoneticPr fontId="7" type="noConversion"/>
  </si>
  <si>
    <t>0020</t>
    <phoneticPr fontId="7" type="noConversion"/>
  </si>
  <si>
    <t>0070</t>
    <phoneticPr fontId="7" type="noConversion"/>
  </si>
  <si>
    <t>0120</t>
    <phoneticPr fontId="7" type="noConversion"/>
  </si>
  <si>
    <t>0170</t>
    <phoneticPr fontId="7" type="noConversion"/>
  </si>
  <si>
    <t>0220</t>
    <phoneticPr fontId="7" type="noConversion"/>
  </si>
  <si>
    <t>0071</t>
    <phoneticPr fontId="7" type="noConversion"/>
  </si>
  <si>
    <t>0121</t>
    <phoneticPr fontId="7" type="noConversion"/>
  </si>
  <si>
    <t>0171</t>
    <phoneticPr fontId="7" type="noConversion"/>
  </si>
  <si>
    <t>0221</t>
    <phoneticPr fontId="7" type="noConversion"/>
  </si>
  <si>
    <t>0022</t>
    <phoneticPr fontId="7" type="noConversion"/>
  </si>
  <si>
    <t>0072</t>
    <phoneticPr fontId="7" type="noConversion"/>
  </si>
  <si>
    <t>0122</t>
    <phoneticPr fontId="7" type="noConversion"/>
  </si>
  <si>
    <t>0172</t>
    <phoneticPr fontId="7" type="noConversion"/>
  </si>
  <si>
    <t>0222</t>
    <phoneticPr fontId="7" type="noConversion"/>
  </si>
  <si>
    <t>0023</t>
    <phoneticPr fontId="7" type="noConversion"/>
  </si>
  <si>
    <t>0073</t>
    <phoneticPr fontId="7" type="noConversion"/>
  </si>
  <si>
    <t>0123</t>
    <phoneticPr fontId="7" type="noConversion"/>
  </si>
  <si>
    <t>0173</t>
    <phoneticPr fontId="7" type="noConversion"/>
  </si>
  <si>
    <t>0223</t>
    <phoneticPr fontId="7" type="noConversion"/>
  </si>
  <si>
    <t>0024</t>
    <phoneticPr fontId="7" type="noConversion"/>
  </si>
  <si>
    <t>0074</t>
    <phoneticPr fontId="7" type="noConversion"/>
  </si>
  <si>
    <t>0124</t>
    <phoneticPr fontId="7" type="noConversion"/>
  </si>
  <si>
    <t>0174</t>
    <phoneticPr fontId="7" type="noConversion"/>
  </si>
  <si>
    <t>0224</t>
    <phoneticPr fontId="7" type="noConversion"/>
  </si>
  <si>
    <t>0025</t>
    <phoneticPr fontId="7" type="noConversion"/>
  </si>
  <si>
    <t>0075</t>
    <phoneticPr fontId="7" type="noConversion"/>
  </si>
  <si>
    <t>0125</t>
    <phoneticPr fontId="7" type="noConversion"/>
  </si>
  <si>
    <t>0175</t>
    <phoneticPr fontId="7" type="noConversion"/>
  </si>
  <si>
    <t>0225</t>
    <phoneticPr fontId="7" type="noConversion"/>
  </si>
  <si>
    <t>0026</t>
    <phoneticPr fontId="7" type="noConversion"/>
  </si>
  <si>
    <t>0076</t>
    <phoneticPr fontId="7" type="noConversion"/>
  </si>
  <si>
    <t>0126</t>
    <phoneticPr fontId="7" type="noConversion"/>
  </si>
  <si>
    <t>0176</t>
    <phoneticPr fontId="7" type="noConversion"/>
  </si>
  <si>
    <t>0226</t>
    <phoneticPr fontId="7" type="noConversion"/>
  </si>
  <si>
    <t>0027</t>
    <phoneticPr fontId="7" type="noConversion"/>
  </si>
  <si>
    <t>0077</t>
    <phoneticPr fontId="7" type="noConversion"/>
  </si>
  <si>
    <t>0127</t>
    <phoneticPr fontId="7" type="noConversion"/>
  </si>
  <si>
    <t>0177</t>
    <phoneticPr fontId="7" type="noConversion"/>
  </si>
  <si>
    <t>0227</t>
    <phoneticPr fontId="7" type="noConversion"/>
  </si>
  <si>
    <t>0028</t>
    <phoneticPr fontId="7" type="noConversion"/>
  </si>
  <si>
    <t>0078</t>
    <phoneticPr fontId="7" type="noConversion"/>
  </si>
  <si>
    <t>0128</t>
    <phoneticPr fontId="7" type="noConversion"/>
  </si>
  <si>
    <t>0178</t>
    <phoneticPr fontId="7" type="noConversion"/>
  </si>
  <si>
    <t>0228</t>
    <phoneticPr fontId="7" type="noConversion"/>
  </si>
  <si>
    <t>0029</t>
    <phoneticPr fontId="7" type="noConversion"/>
  </si>
  <si>
    <t>0079</t>
    <phoneticPr fontId="7" type="noConversion"/>
  </si>
  <si>
    <t>0129</t>
    <phoneticPr fontId="7" type="noConversion"/>
  </si>
  <si>
    <t>0179</t>
    <phoneticPr fontId="7" type="noConversion"/>
  </si>
  <si>
    <t>0229</t>
    <phoneticPr fontId="7" type="noConversion"/>
  </si>
  <si>
    <t>0030</t>
    <phoneticPr fontId="7" type="noConversion"/>
  </si>
  <si>
    <t>0080</t>
    <phoneticPr fontId="7" type="noConversion"/>
  </si>
  <si>
    <t>0130</t>
    <phoneticPr fontId="7" type="noConversion"/>
  </si>
  <si>
    <t>0180</t>
    <phoneticPr fontId="7" type="noConversion"/>
  </si>
  <si>
    <t>0230</t>
    <phoneticPr fontId="7" type="noConversion"/>
  </si>
  <si>
    <t>0081</t>
    <phoneticPr fontId="7" type="noConversion"/>
  </si>
  <si>
    <t>0131</t>
    <phoneticPr fontId="7" type="noConversion"/>
  </si>
  <si>
    <t>0181</t>
    <phoneticPr fontId="7" type="noConversion"/>
  </si>
  <si>
    <t>0231</t>
    <phoneticPr fontId="7" type="noConversion"/>
  </si>
  <si>
    <t>0032</t>
    <phoneticPr fontId="7" type="noConversion"/>
  </si>
  <si>
    <t>0082</t>
    <phoneticPr fontId="7" type="noConversion"/>
  </si>
  <si>
    <t>0132</t>
    <phoneticPr fontId="7" type="noConversion"/>
  </si>
  <si>
    <t>0182</t>
    <phoneticPr fontId="7" type="noConversion"/>
  </si>
  <si>
    <t>0232</t>
    <phoneticPr fontId="7" type="noConversion"/>
  </si>
  <si>
    <t>0033</t>
    <phoneticPr fontId="7" type="noConversion"/>
  </si>
  <si>
    <t>0083</t>
    <phoneticPr fontId="7" type="noConversion"/>
  </si>
  <si>
    <t>0133</t>
    <phoneticPr fontId="7" type="noConversion"/>
  </si>
  <si>
    <t>0183</t>
    <phoneticPr fontId="7" type="noConversion"/>
  </si>
  <si>
    <t>0233</t>
    <phoneticPr fontId="7" type="noConversion"/>
  </si>
  <si>
    <t>0034</t>
    <phoneticPr fontId="7" type="noConversion"/>
  </si>
  <si>
    <t>0084</t>
    <phoneticPr fontId="7" type="noConversion"/>
  </si>
  <si>
    <t>0134</t>
    <phoneticPr fontId="7" type="noConversion"/>
  </si>
  <si>
    <t>0184</t>
    <phoneticPr fontId="7" type="noConversion"/>
  </si>
  <si>
    <t>0234</t>
    <phoneticPr fontId="7" type="noConversion"/>
  </si>
  <si>
    <t>0035</t>
    <phoneticPr fontId="7" type="noConversion"/>
  </si>
  <si>
    <t>0085</t>
    <phoneticPr fontId="7" type="noConversion"/>
  </si>
  <si>
    <t>0135</t>
    <phoneticPr fontId="7" type="noConversion"/>
  </si>
  <si>
    <t>0185</t>
    <phoneticPr fontId="7" type="noConversion"/>
  </si>
  <si>
    <t>0235</t>
    <phoneticPr fontId="7" type="noConversion"/>
  </si>
  <si>
    <t>0036</t>
    <phoneticPr fontId="7" type="noConversion"/>
  </si>
  <si>
    <t>0086</t>
    <phoneticPr fontId="7" type="noConversion"/>
  </si>
  <si>
    <t>0136</t>
    <phoneticPr fontId="7" type="noConversion"/>
  </si>
  <si>
    <t>0186</t>
    <phoneticPr fontId="7" type="noConversion"/>
  </si>
  <si>
    <t>0236</t>
    <phoneticPr fontId="7" type="noConversion"/>
  </si>
  <si>
    <t>0037</t>
    <phoneticPr fontId="7" type="noConversion"/>
  </si>
  <si>
    <t>0087</t>
    <phoneticPr fontId="7" type="noConversion"/>
  </si>
  <si>
    <t>0137</t>
    <phoneticPr fontId="7" type="noConversion"/>
  </si>
  <si>
    <t>0187</t>
    <phoneticPr fontId="7" type="noConversion"/>
  </si>
  <si>
    <t>0237</t>
    <phoneticPr fontId="7" type="noConversion"/>
  </si>
  <si>
    <t>0038</t>
    <phoneticPr fontId="7" type="noConversion"/>
  </si>
  <si>
    <t>0088</t>
    <phoneticPr fontId="7" type="noConversion"/>
  </si>
  <si>
    <t>0138</t>
    <phoneticPr fontId="7" type="noConversion"/>
  </si>
  <si>
    <t>0188</t>
    <phoneticPr fontId="7" type="noConversion"/>
  </si>
  <si>
    <t>0238</t>
    <phoneticPr fontId="7" type="noConversion"/>
  </si>
  <si>
    <t>0039</t>
    <phoneticPr fontId="7" type="noConversion"/>
  </si>
  <si>
    <t>0089</t>
    <phoneticPr fontId="7" type="noConversion"/>
  </si>
  <si>
    <t>0139</t>
    <phoneticPr fontId="7" type="noConversion"/>
  </si>
  <si>
    <t>0189</t>
    <phoneticPr fontId="7" type="noConversion"/>
  </si>
  <si>
    <t>0239</t>
    <phoneticPr fontId="7" type="noConversion"/>
  </si>
  <si>
    <t>0040</t>
    <phoneticPr fontId="7" type="noConversion"/>
  </si>
  <si>
    <t>0090</t>
    <phoneticPr fontId="7" type="noConversion"/>
  </si>
  <si>
    <t>0140</t>
    <phoneticPr fontId="7" type="noConversion"/>
  </si>
  <si>
    <t>0190</t>
    <phoneticPr fontId="7" type="noConversion"/>
  </si>
  <si>
    <t>0240</t>
    <phoneticPr fontId="7" type="noConversion"/>
  </si>
  <si>
    <t>0091</t>
    <phoneticPr fontId="7" type="noConversion"/>
  </si>
  <si>
    <t>0141</t>
    <phoneticPr fontId="7" type="noConversion"/>
  </si>
  <si>
    <t>0191</t>
    <phoneticPr fontId="7" type="noConversion"/>
  </si>
  <si>
    <t>0241</t>
    <phoneticPr fontId="7" type="noConversion"/>
  </si>
  <si>
    <t>0042</t>
    <phoneticPr fontId="7" type="noConversion"/>
  </si>
  <si>
    <t>0092</t>
    <phoneticPr fontId="7" type="noConversion"/>
  </si>
  <si>
    <t>0142</t>
    <phoneticPr fontId="7" type="noConversion"/>
  </si>
  <si>
    <t>0192</t>
    <phoneticPr fontId="7" type="noConversion"/>
  </si>
  <si>
    <t>0242</t>
    <phoneticPr fontId="7" type="noConversion"/>
  </si>
  <si>
    <t>0043</t>
    <phoneticPr fontId="7" type="noConversion"/>
  </si>
  <si>
    <t>0093</t>
    <phoneticPr fontId="7" type="noConversion"/>
  </si>
  <si>
    <t>0143</t>
    <phoneticPr fontId="7" type="noConversion"/>
  </si>
  <si>
    <t>0193</t>
    <phoneticPr fontId="7" type="noConversion"/>
  </si>
  <si>
    <t>0243</t>
    <phoneticPr fontId="7" type="noConversion"/>
  </si>
  <si>
    <t>0044</t>
    <phoneticPr fontId="7" type="noConversion"/>
  </si>
  <si>
    <t>0094</t>
    <phoneticPr fontId="7" type="noConversion"/>
  </si>
  <si>
    <t>0144</t>
    <phoneticPr fontId="7" type="noConversion"/>
  </si>
  <si>
    <t>0194</t>
    <phoneticPr fontId="7" type="noConversion"/>
  </si>
  <si>
    <t>0244</t>
    <phoneticPr fontId="7" type="noConversion"/>
  </si>
  <si>
    <t>0045</t>
    <phoneticPr fontId="7" type="noConversion"/>
  </si>
  <si>
    <t>0095</t>
    <phoneticPr fontId="7" type="noConversion"/>
  </si>
  <si>
    <t>0145</t>
    <phoneticPr fontId="7" type="noConversion"/>
  </si>
  <si>
    <t>0195</t>
    <phoneticPr fontId="7" type="noConversion"/>
  </si>
  <si>
    <t>0245</t>
    <phoneticPr fontId="7" type="noConversion"/>
  </si>
  <si>
    <t>0046</t>
    <phoneticPr fontId="7" type="noConversion"/>
  </si>
  <si>
    <t>0096</t>
    <phoneticPr fontId="7" type="noConversion"/>
  </si>
  <si>
    <t>0146</t>
    <phoneticPr fontId="7" type="noConversion"/>
  </si>
  <si>
    <t>0196</t>
    <phoneticPr fontId="7" type="noConversion"/>
  </si>
  <si>
    <t>0246</t>
    <phoneticPr fontId="7" type="noConversion"/>
  </si>
  <si>
    <t>0047</t>
    <phoneticPr fontId="7" type="noConversion"/>
  </si>
  <si>
    <t>0097</t>
    <phoneticPr fontId="7" type="noConversion"/>
  </si>
  <si>
    <t>0147</t>
    <phoneticPr fontId="7" type="noConversion"/>
  </si>
  <si>
    <t>0197</t>
    <phoneticPr fontId="7" type="noConversion"/>
  </si>
  <si>
    <t>0247</t>
    <phoneticPr fontId="7" type="noConversion"/>
  </si>
  <si>
    <t>0048</t>
    <phoneticPr fontId="7" type="noConversion"/>
  </si>
  <si>
    <t>0098</t>
    <phoneticPr fontId="7" type="noConversion"/>
  </si>
  <si>
    <t>0148</t>
    <phoneticPr fontId="7" type="noConversion"/>
  </si>
  <si>
    <t>0198</t>
    <phoneticPr fontId="7" type="noConversion"/>
  </si>
  <si>
    <t>0248</t>
    <phoneticPr fontId="7" type="noConversion"/>
  </si>
  <si>
    <t>0049</t>
    <phoneticPr fontId="7" type="noConversion"/>
  </si>
  <si>
    <t>0099</t>
    <phoneticPr fontId="7" type="noConversion"/>
  </si>
  <si>
    <t>0149</t>
    <phoneticPr fontId="7" type="noConversion"/>
  </si>
  <si>
    <t>0199</t>
    <phoneticPr fontId="7" type="noConversion"/>
  </si>
  <si>
    <t>0249</t>
    <phoneticPr fontId="7" type="noConversion"/>
  </si>
  <si>
    <t>0050</t>
    <phoneticPr fontId="7" type="noConversion"/>
  </si>
  <si>
    <t>0100</t>
    <phoneticPr fontId="7" type="noConversion"/>
  </si>
  <si>
    <t>0150</t>
    <phoneticPr fontId="7" type="noConversion"/>
  </si>
  <si>
    <t>0200</t>
    <phoneticPr fontId="7" type="noConversion"/>
  </si>
  <si>
    <t>0250</t>
    <phoneticPr fontId="7" type="noConversion"/>
  </si>
  <si>
    <t>電腦車</t>
    <phoneticPr fontId="7" type="noConversion"/>
  </si>
  <si>
    <t>沖孔機</t>
    <phoneticPr fontId="7" type="noConversion"/>
  </si>
  <si>
    <t>打眼扣機</t>
    <phoneticPr fontId="7" type="noConversion"/>
  </si>
  <si>
    <t>驗針機</t>
    <phoneticPr fontId="7" type="noConversion"/>
  </si>
  <si>
    <t>堆高機</t>
    <phoneticPr fontId="7" type="noConversion"/>
  </si>
  <si>
    <t>劃線機</t>
    <phoneticPr fontId="7" type="noConversion"/>
  </si>
  <si>
    <t>過膠機</t>
    <phoneticPr fontId="7" type="noConversion"/>
  </si>
  <si>
    <t>壓底機</t>
    <phoneticPr fontId="7" type="noConversion"/>
  </si>
  <si>
    <t>加硫罐</t>
    <phoneticPr fontId="7" type="noConversion"/>
  </si>
  <si>
    <t>吸塵器</t>
    <phoneticPr fontId="7" type="noConversion"/>
  </si>
  <si>
    <t>防霉箱</t>
    <phoneticPr fontId="7" type="noConversion"/>
  </si>
  <si>
    <t>烘箱</t>
    <phoneticPr fontId="7" type="noConversion"/>
  </si>
  <si>
    <t>流水線</t>
    <phoneticPr fontId="7" type="noConversion"/>
  </si>
  <si>
    <t>輸送帶</t>
    <phoneticPr fontId="7" type="noConversion"/>
  </si>
  <si>
    <t>前幫機</t>
    <phoneticPr fontId="7" type="noConversion"/>
  </si>
  <si>
    <t>中幫機</t>
    <phoneticPr fontId="7" type="noConversion"/>
  </si>
  <si>
    <t>後幫機</t>
    <phoneticPr fontId="7" type="noConversion"/>
  </si>
  <si>
    <t>十字壓邊機</t>
    <phoneticPr fontId="7" type="noConversion"/>
  </si>
  <si>
    <t>後腫定型機</t>
    <phoneticPr fontId="7" type="noConversion"/>
  </si>
  <si>
    <t>高週波機</t>
    <phoneticPr fontId="7" type="noConversion"/>
  </si>
  <si>
    <t>除濕機</t>
    <phoneticPr fontId="7" type="noConversion"/>
  </si>
  <si>
    <t>集塵機</t>
    <phoneticPr fontId="7" type="noConversion"/>
  </si>
  <si>
    <t>打磨機</t>
    <phoneticPr fontId="7" type="noConversion"/>
  </si>
  <si>
    <t>打粗機</t>
    <phoneticPr fontId="7" type="noConversion"/>
  </si>
  <si>
    <t>壓標機</t>
    <phoneticPr fontId="7" type="noConversion"/>
  </si>
  <si>
    <t>粉碎機</t>
    <phoneticPr fontId="7" type="noConversion"/>
  </si>
  <si>
    <t>拉力測試機</t>
    <phoneticPr fontId="7" type="noConversion"/>
  </si>
  <si>
    <t>空壓機</t>
    <phoneticPr fontId="7" type="noConversion"/>
  </si>
  <si>
    <t>加州中底車(拉幫機)</t>
    <phoneticPr fontId="7" type="noConversion"/>
  </si>
  <si>
    <t>壓鞋墊機</t>
    <phoneticPr fontId="7" type="noConversion"/>
  </si>
  <si>
    <t xml:space="preserve">橡膠料混合機 </t>
    <phoneticPr fontId="7" type="noConversion"/>
  </si>
  <si>
    <t>過粉槽</t>
    <phoneticPr fontId="7" type="noConversion"/>
  </si>
  <si>
    <t>利拿機</t>
    <phoneticPr fontId="7" type="noConversion"/>
  </si>
  <si>
    <t>切橡膠機</t>
    <phoneticPr fontId="7" type="noConversion"/>
  </si>
  <si>
    <t>硫變儀</t>
    <phoneticPr fontId="7" type="noConversion"/>
  </si>
  <si>
    <t>炮管機</t>
    <phoneticPr fontId="7" type="noConversion"/>
  </si>
  <si>
    <t>萬馬力</t>
    <phoneticPr fontId="7" type="noConversion"/>
  </si>
  <si>
    <t>花輪機</t>
    <phoneticPr fontId="7" type="noConversion"/>
  </si>
  <si>
    <t>冷卻粉桶機</t>
    <phoneticPr fontId="7" type="noConversion"/>
  </si>
  <si>
    <t>貼合機</t>
    <phoneticPr fontId="7" type="noConversion"/>
  </si>
  <si>
    <t>油壓機</t>
    <phoneticPr fontId="7" type="noConversion"/>
  </si>
  <si>
    <t>射出機</t>
    <phoneticPr fontId="7" type="noConversion"/>
  </si>
  <si>
    <t>折邊機</t>
    <phoneticPr fontId="7" type="noConversion"/>
  </si>
  <si>
    <t>橡膠出片機</t>
    <phoneticPr fontId="7" type="noConversion"/>
  </si>
  <si>
    <t>裁條機</t>
    <phoneticPr fontId="7" type="noConversion"/>
  </si>
  <si>
    <t>修邊機</t>
    <phoneticPr fontId="7" type="noConversion"/>
  </si>
  <si>
    <t>耐黃變機</t>
    <phoneticPr fontId="7" type="noConversion"/>
  </si>
  <si>
    <t>除皺機</t>
    <phoneticPr fontId="7" type="noConversion"/>
  </si>
  <si>
    <t xml:space="preserve">照射機 </t>
    <phoneticPr fontId="7" type="noConversion"/>
  </si>
  <si>
    <t>強度檢測儀</t>
    <phoneticPr fontId="7" type="noConversion"/>
  </si>
  <si>
    <t>電腦雕刻機</t>
    <phoneticPr fontId="7" type="noConversion"/>
  </si>
  <si>
    <t>自動印刷機</t>
    <phoneticPr fontId="7" type="noConversion"/>
  </si>
  <si>
    <t>小分類</t>
    <phoneticPr fontId="7" type="noConversion"/>
  </si>
  <si>
    <t>二. 第2,3,4,5碼:中分類,依機器品名分類  (4碼)</t>
    <phoneticPr fontId="7" type="noConversion"/>
  </si>
  <si>
    <t>三. 第6,7,8碼:小分類,依機器型號分類  (3碼)</t>
    <phoneticPr fontId="7" type="noConversion"/>
  </si>
  <si>
    <t>四. 第9碼:價值分類, (1碼)</t>
    <phoneticPr fontId="7" type="noConversion"/>
  </si>
  <si>
    <t>價值</t>
    <phoneticPr fontId="7" type="noConversion"/>
  </si>
  <si>
    <t>列入固定資產</t>
    <phoneticPr fontId="7" type="noConversion"/>
  </si>
  <si>
    <t>越幣3千萬以上</t>
    <phoneticPr fontId="7" type="noConversion"/>
  </si>
  <si>
    <t>越幣3千萬以下</t>
    <phoneticPr fontId="7" type="noConversion"/>
  </si>
  <si>
    <t>列入財產 (列管)</t>
    <phoneticPr fontId="7" type="noConversion"/>
  </si>
  <si>
    <t>機器編碼</t>
    <phoneticPr fontId="7" type="noConversion"/>
  </si>
  <si>
    <t>機器編碼對照總表(對應機器型號)</t>
    <phoneticPr fontId="7" type="noConversion"/>
  </si>
  <si>
    <t>2</t>
    <phoneticPr fontId="7" type="noConversion"/>
  </si>
  <si>
    <t>1</t>
    <phoneticPr fontId="7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</si>
  <si>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</si>
  <si>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</si>
  <si>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</si>
  <si>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</si>
  <si>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</si>
  <si>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</si>
  <si>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</si>
  <si>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</si>
  <si>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</si>
  <si>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</si>
  <si>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</si>
  <si>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</si>
  <si>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</si>
  <si>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</si>
  <si>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</si>
  <si>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</si>
  <si>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</si>
  <si>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</si>
  <si>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</si>
  <si>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A0001001</t>
    <phoneticPr fontId="7" type="noConversion"/>
  </si>
  <si>
    <t>YG-501</t>
    <phoneticPr fontId="7" type="noConversion"/>
  </si>
  <si>
    <t>穎暉</t>
    <phoneticPr fontId="7" type="noConversion"/>
  </si>
  <si>
    <t>平面式油壓裁斷機</t>
    <phoneticPr fontId="7" type="noConversion"/>
  </si>
  <si>
    <t>捶平機</t>
    <phoneticPr fontId="7" type="noConversion"/>
  </si>
  <si>
    <t>說明</t>
    <phoneticPr fontId="7" type="noConversion"/>
  </si>
  <si>
    <t xml:space="preserve">       大 分 類    </t>
    <phoneticPr fontId="7" type="noConversion"/>
  </si>
  <si>
    <t xml:space="preserve">     機器設備系統編碼可編10碼的空間,分四階分類:</t>
    <phoneticPr fontId="7" type="noConversion"/>
  </si>
  <si>
    <t>五. 第10碼: 預留未編</t>
    <phoneticPr fontId="7" type="noConversion"/>
  </si>
  <si>
    <t>5尺</t>
    <phoneticPr fontId="7" type="noConversion"/>
  </si>
  <si>
    <t>YG-501</t>
    <phoneticPr fontId="7" type="noConversion"/>
  </si>
  <si>
    <t>A00010011</t>
    <phoneticPr fontId="7" type="noConversion"/>
  </si>
  <si>
    <t>系統維護單位手工操作</t>
    <phoneticPr fontId="7" type="noConversion"/>
  </si>
  <si>
    <t>GY501</t>
    <phoneticPr fontId="7" type="noConversion"/>
  </si>
  <si>
    <t>9001</t>
    <phoneticPr fontId="7" type="noConversion"/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</si>
  <si>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</si>
  <si>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</si>
  <si>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</si>
  <si>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</si>
  <si>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</si>
  <si>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</si>
  <si>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</si>
  <si>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</si>
  <si>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</si>
  <si>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 xml:space="preserve"> </t>
    <phoneticPr fontId="7" type="noConversion"/>
  </si>
  <si>
    <t>5.1 請購單*申購單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</si>
</sst>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76" formatCode="_(* #,##0.00_);_(* \(#,##0.00\);_(* &quot;-&quot;??_);_(@_)"/>
    <numFmt numFmtId="177" formatCode="_(* #,##0_);_(* \(#,##0\);_(* &quot;-&quot;??_);_(@_)"/>
    <numFmt numFmtId="178" formatCode="_-* #,##0_-;\-* #,##0_-;_-* &quot;-&quot;??_-;_-@_-"/>
    <numFmt numFmtId="179" formatCode="[DBNum2][$-404]General"/>
    <numFmt numFmtId="180" formatCode="#,##0.000"/>
    <numFmt numFmtId="181" formatCode="#,##0.00_ "/>
    <numFmt numFmtId="182" formatCode="#,##0_ "/>
  </numFmts>
  <fonts count="40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2"/>
      <name val="新細明體"/>
      <family val="1"/>
    </font>
    <font>
      <sz val="10"/>
      <name val="Arial"/>
      <family val="2"/>
    </font>
    <font>
      <sz val="11"/>
      <name val="新細明體"/>
      <family val="2"/>
      <scheme val="minor"/>
    </font>
    <font>
      <sz val="12"/>
      <name val="新細明體"/>
      <family val="1"/>
      <charset val="136"/>
    </font>
    <font>
      <sz val="11"/>
      <color indexed="8"/>
      <name val="Calibri"/>
      <family val="2"/>
    </font>
    <font>
      <sz val="9"/>
      <name val="新細明體"/>
      <family val="3"/>
      <charset val="136"/>
      <scheme val="minor"/>
    </font>
    <font>
      <b/>
      <sz val="16"/>
      <color rgb="FF0070C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rgb="FF000099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rgb="FF000099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3"/>
      <name val="新細明體"/>
      <family val="1"/>
      <charset val="136"/>
      <scheme val="minor"/>
    </font>
    <font>
      <sz val="12"/>
      <color rgb="FF7030A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name val="VNI-Times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2"/>
      <name val="細明體"/>
      <family val="3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b/>
      <sz val="10"/>
      <name val="細明體"/>
      <family val="3"/>
      <charset val="136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i/>
      <sz val="10"/>
      <name val="Times New Roman"/>
      <family val="1"/>
    </font>
    <font>
      <b/>
      <sz val="10"/>
      <color rgb="FFFF0000"/>
      <name val="細明體"/>
      <family val="3"/>
      <charset val="136"/>
    </font>
    <font>
      <b/>
      <sz val="14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sz val="12"/>
      <color rgb="FFFF0066"/>
      <name val="新細明體"/>
      <family val="1"/>
      <charset val="136"/>
      <scheme val="minor"/>
    </font>
    <font>
      <b/>
      <sz val="12"/>
      <color rgb="FFFF0066"/>
      <name val="新細明體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">
    <xf numFmtId="0" fontId="0" fillId="0" borderId="0"/>
    <xf numFmtId="0" fontId="2" fillId="0" borderId="0"/>
    <xf numFmtId="0" fontId="3" fillId="0" borderId="0"/>
    <xf numFmtId="0" fontId="3" fillId="0" borderId="0"/>
    <xf numFmtId="0" fontId="2" fillId="0" borderId="0" applyProtection="0"/>
    <xf numFmtId="0" fontId="1" fillId="0" borderId="0"/>
    <xf numFmtId="0" fontId="3" fillId="0" borderId="0"/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 applyProtection="0"/>
    <xf numFmtId="43" fontId="1" fillId="0" borderId="0" applyFont="0" applyFill="0" applyBorder="0" applyAlignment="0" applyProtection="0">
      <alignment vertical="center"/>
    </xf>
    <xf numFmtId="0" fontId="17" fillId="0" borderId="0" applyProtection="0"/>
    <xf numFmtId="43" fontId="17" fillId="0" borderId="0" applyFont="0" applyFill="0" applyBorder="0" applyAlignment="0" applyProtection="0"/>
    <xf numFmtId="0" fontId="5" fillId="0" borderId="0">
      <alignment vertical="center"/>
    </xf>
    <xf numFmtId="0" fontId="3" fillId="0" borderId="0"/>
  </cellStyleXfs>
  <cellXfs count="201">
    <xf numFmtId="0" fontId="0" fillId="0" borderId="0" xfId="0"/>
    <xf numFmtId="0" fontId="4" fillId="0" borderId="0" xfId="0" applyFont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4" fillId="0" borderId="5" xfId="0" applyFont="1" applyBorder="1"/>
    <xf numFmtId="0" fontId="4" fillId="0" borderId="2" xfId="0" applyFont="1" applyBorder="1"/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49" fontId="9" fillId="0" borderId="1" xfId="1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12" fillId="0" borderId="0" xfId="0" applyFont="1"/>
    <xf numFmtId="0" fontId="9" fillId="0" borderId="1" xfId="1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0" fillId="0" borderId="0" xfId="0" applyFill="1"/>
    <xf numFmtId="0" fontId="11" fillId="0" borderId="0" xfId="0" applyFont="1"/>
    <xf numFmtId="0" fontId="13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49" fontId="9" fillId="3" borderId="1" xfId="1" applyNumberFormat="1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vertical="center" wrapText="1"/>
    </xf>
    <xf numFmtId="0" fontId="9" fillId="3" borderId="1" xfId="1" applyFont="1" applyFill="1" applyBorder="1" applyAlignment="1">
      <alignment horizontal="center" vertical="center" wrapText="1"/>
    </xf>
    <xf numFmtId="1" fontId="9" fillId="3" borderId="1" xfId="3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14" fontId="0" fillId="0" borderId="0" xfId="0" applyNumberFormat="1"/>
    <xf numFmtId="0" fontId="9" fillId="4" borderId="1" xfId="2" applyFont="1" applyFill="1" applyBorder="1" applyAlignment="1">
      <alignment horizontal="center" vertical="center" wrapText="1"/>
    </xf>
    <xf numFmtId="49" fontId="9" fillId="4" borderId="1" xfId="1" applyNumberFormat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wrapText="1"/>
    </xf>
    <xf numFmtId="49" fontId="9" fillId="5" borderId="1" xfId="1" applyNumberFormat="1" applyFont="1" applyFill="1" applyBorder="1" applyAlignment="1">
      <alignment horizontal="center" vertical="center" wrapText="1"/>
    </xf>
    <xf numFmtId="49" fontId="9" fillId="6" borderId="1" xfId="1" applyNumberFormat="1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49" fontId="16" fillId="0" borderId="1" xfId="1" applyNumberFormat="1" applyFont="1" applyFill="1" applyBorder="1" applyAlignment="1">
      <alignment horizontal="center" vertical="center" wrapText="1"/>
    </xf>
    <xf numFmtId="49" fontId="16" fillId="5" borderId="1" xfId="1" applyNumberFormat="1" applyFont="1" applyFill="1" applyBorder="1" applyAlignment="1">
      <alignment horizontal="center" vertical="center" wrapText="1"/>
    </xf>
    <xf numFmtId="0" fontId="9" fillId="5" borderId="1" xfId="2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49" fontId="16" fillId="4" borderId="1" xfId="1" applyNumberFormat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14" fontId="16" fillId="7" borderId="1" xfId="2" applyNumberFormat="1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8" fillId="0" borderId="0" xfId="25" applyFont="1"/>
    <xf numFmtId="43" fontId="19" fillId="0" borderId="0" xfId="26" applyFont="1"/>
    <xf numFmtId="3" fontId="19" fillId="0" borderId="0" xfId="25" applyNumberFormat="1" applyFont="1"/>
    <xf numFmtId="4" fontId="19" fillId="0" borderId="0" xfId="25" applyNumberFormat="1" applyFont="1"/>
    <xf numFmtId="177" fontId="19" fillId="0" borderId="0" xfId="26" applyNumberFormat="1" applyFont="1"/>
    <xf numFmtId="0" fontId="19" fillId="0" borderId="0" xfId="25" applyFont="1"/>
    <xf numFmtId="0" fontId="20" fillId="0" borderId="0" xfId="25" applyFont="1" applyFill="1"/>
    <xf numFmtId="49" fontId="21" fillId="0" borderId="0" xfId="25" applyNumberFormat="1" applyFont="1" applyAlignment="1">
      <alignment horizontal="center"/>
    </xf>
    <xf numFmtId="0" fontId="20" fillId="0" borderId="0" xfId="25" applyFont="1"/>
    <xf numFmtId="0" fontId="19" fillId="0" borderId="0" xfId="25" applyFont="1" applyAlignment="1">
      <alignment horizontal="center"/>
    </xf>
    <xf numFmtId="0" fontId="20" fillId="0" borderId="0" xfId="25" applyFont="1" applyBorder="1" applyAlignment="1">
      <alignment horizontal="center"/>
    </xf>
    <xf numFmtId="177" fontId="19" fillId="0" borderId="0" xfId="26" applyNumberFormat="1" applyFont="1" applyAlignment="1"/>
    <xf numFmtId="177" fontId="19" fillId="0" borderId="0" xfId="26" applyNumberFormat="1" applyFont="1" applyAlignment="1">
      <alignment horizontal="right"/>
    </xf>
    <xf numFmtId="0" fontId="19" fillId="0" borderId="0" xfId="25" applyFont="1" applyAlignment="1">
      <alignment horizontal="left"/>
    </xf>
    <xf numFmtId="3" fontId="19" fillId="0" borderId="0" xfId="25" applyNumberFormat="1" applyFont="1" applyAlignment="1"/>
    <xf numFmtId="0" fontId="20" fillId="0" borderId="1" xfId="25" applyFont="1" applyBorder="1" applyAlignment="1">
      <alignment horizontal="center"/>
    </xf>
    <xf numFmtId="43" fontId="19" fillId="0" borderId="1" xfId="26" applyFont="1" applyBorder="1" applyAlignment="1">
      <alignment horizontal="center"/>
    </xf>
    <xf numFmtId="177" fontId="20" fillId="0" borderId="1" xfId="26" applyNumberFormat="1" applyFont="1" applyBorder="1" applyAlignment="1">
      <alignment horizontal="center"/>
    </xf>
    <xf numFmtId="4" fontId="20" fillId="0" borderId="1" xfId="25" applyNumberFormat="1" applyFont="1" applyBorder="1" applyAlignment="1">
      <alignment horizontal="center"/>
    </xf>
    <xf numFmtId="3" fontId="20" fillId="0" borderId="1" xfId="25" applyNumberFormat="1" applyFont="1" applyBorder="1" applyAlignment="1">
      <alignment horizontal="center"/>
    </xf>
    <xf numFmtId="177" fontId="19" fillId="0" borderId="1" xfId="26" applyNumberFormat="1" applyFont="1" applyBorder="1" applyAlignment="1">
      <alignment horizontal="center"/>
    </xf>
    <xf numFmtId="3" fontId="19" fillId="0" borderId="1" xfId="25" applyNumberFormat="1" applyFont="1" applyBorder="1" applyAlignment="1">
      <alignment horizontal="center"/>
    </xf>
    <xf numFmtId="0" fontId="18" fillId="0" borderId="1" xfId="25" applyFont="1" applyBorder="1" applyAlignment="1">
      <alignment horizontal="center" vertical="center"/>
    </xf>
    <xf numFmtId="0" fontId="28" fillId="0" borderId="1" xfId="25" applyFont="1" applyBorder="1" applyAlignment="1">
      <alignment horizontal="center" vertical="center" wrapText="1"/>
    </xf>
    <xf numFmtId="0" fontId="20" fillId="0" borderId="1" xfId="25" applyFont="1" applyBorder="1" applyAlignment="1">
      <alignment horizontal="center" vertical="center"/>
    </xf>
    <xf numFmtId="0" fontId="20" fillId="0" borderId="1" xfId="25" quotePrefix="1" applyFont="1" applyBorder="1" applyAlignment="1">
      <alignment horizontal="center" vertical="center"/>
    </xf>
    <xf numFmtId="4" fontId="20" fillId="0" borderId="1" xfId="25" applyNumberFormat="1" applyFont="1" applyBorder="1" applyAlignment="1">
      <alignment horizontal="center" vertical="center"/>
    </xf>
    <xf numFmtId="178" fontId="20" fillId="0" borderId="1" xfId="26" applyNumberFormat="1" applyFont="1" applyBorder="1" applyAlignment="1">
      <alignment horizontal="center" vertical="center"/>
    </xf>
    <xf numFmtId="0" fontId="29" fillId="0" borderId="1" xfId="25" applyFont="1" applyBorder="1" applyAlignment="1">
      <alignment horizontal="center" vertical="center" wrapText="1"/>
    </xf>
    <xf numFmtId="0" fontId="20" fillId="0" borderId="0" xfId="25" applyFont="1" applyAlignment="1">
      <alignment horizontal="center" vertical="center"/>
    </xf>
    <xf numFmtId="0" fontId="19" fillId="0" borderId="1" xfId="25" applyFont="1" applyFill="1" applyBorder="1" applyAlignment="1">
      <alignment horizontal="center" vertical="center" wrapText="1"/>
    </xf>
    <xf numFmtId="43" fontId="20" fillId="0" borderId="1" xfId="26" applyFont="1" applyBorder="1" applyAlignment="1">
      <alignment horizontal="center" vertical="center"/>
    </xf>
    <xf numFmtId="177" fontId="20" fillId="0" borderId="1" xfId="26" applyNumberFormat="1" applyFont="1" applyBorder="1" applyAlignment="1">
      <alignment horizontal="center" vertical="center"/>
    </xf>
    <xf numFmtId="0" fontId="19" fillId="0" borderId="1" xfId="25" applyFont="1" applyBorder="1" applyAlignment="1">
      <alignment horizontal="center" vertical="center" wrapText="1"/>
    </xf>
    <xf numFmtId="0" fontId="21" fillId="0" borderId="1" xfId="25" applyFont="1" applyBorder="1"/>
    <xf numFmtId="0" fontId="21" fillId="0" borderId="1" xfId="25" applyFont="1" applyBorder="1" applyAlignment="1">
      <alignment horizontal="center"/>
    </xf>
    <xf numFmtId="3" fontId="21" fillId="0" borderId="1" xfId="25" quotePrefix="1" applyNumberFormat="1" applyFont="1" applyBorder="1" applyAlignment="1">
      <alignment horizontal="center"/>
    </xf>
    <xf numFmtId="4" fontId="21" fillId="0" borderId="1" xfId="25" applyNumberFormat="1" applyFont="1" applyBorder="1" applyAlignment="1">
      <alignment horizontal="center"/>
    </xf>
    <xf numFmtId="177" fontId="21" fillId="0" borderId="1" xfId="25" applyNumberFormat="1" applyFont="1" applyBorder="1"/>
    <xf numFmtId="43" fontId="18" fillId="0" borderId="1" xfId="26" applyFont="1" applyBorder="1"/>
    <xf numFmtId="177" fontId="18" fillId="0" borderId="1" xfId="25" applyNumberFormat="1" applyFont="1" applyBorder="1"/>
    <xf numFmtId="0" fontId="21" fillId="0" borderId="0" xfId="25" applyFont="1"/>
    <xf numFmtId="177" fontId="19" fillId="0" borderId="0" xfId="25" applyNumberFormat="1" applyFont="1"/>
    <xf numFmtId="43" fontId="21" fillId="0" borderId="0" xfId="26" applyFont="1"/>
    <xf numFmtId="0" fontId="30" fillId="0" borderId="0" xfId="25" applyFont="1" applyBorder="1"/>
    <xf numFmtId="0" fontId="19" fillId="0" borderId="0" xfId="27" applyFont="1" applyFill="1">
      <alignment vertical="center"/>
    </xf>
    <xf numFmtId="0" fontId="19" fillId="0" borderId="0" xfId="27" applyFont="1" applyFill="1" applyAlignment="1">
      <alignment horizontal="left" vertical="center"/>
    </xf>
    <xf numFmtId="0" fontId="19" fillId="0" borderId="0" xfId="27" applyFont="1" applyFill="1" applyAlignment="1">
      <alignment horizontal="center" vertical="center"/>
    </xf>
    <xf numFmtId="178" fontId="19" fillId="0" borderId="0" xfId="26" applyNumberFormat="1" applyFont="1" applyFill="1" applyAlignment="1">
      <alignment horizontal="center" vertical="center"/>
    </xf>
    <xf numFmtId="0" fontId="20" fillId="0" borderId="0" xfId="25" applyFont="1" applyAlignment="1">
      <alignment horizontal="left"/>
    </xf>
    <xf numFmtId="0" fontId="31" fillId="0" borderId="0" xfId="28" applyFont="1" applyAlignment="1">
      <alignment horizontal="center" vertical="center"/>
    </xf>
    <xf numFmtId="0" fontId="31" fillId="0" borderId="0" xfId="28" applyFont="1" applyAlignment="1">
      <alignment horizontal="center"/>
    </xf>
    <xf numFmtId="0" fontId="31" fillId="0" borderId="0" xfId="28" applyFont="1" applyBorder="1" applyAlignment="1">
      <alignment horizontal="center"/>
    </xf>
    <xf numFmtId="0" fontId="19" fillId="0" borderId="0" xfId="25" applyFont="1" applyBorder="1" applyAlignment="1">
      <alignment horizontal="center"/>
    </xf>
    <xf numFmtId="180" fontId="19" fillId="0" borderId="0" xfId="25" applyNumberFormat="1" applyFont="1"/>
    <xf numFmtId="0" fontId="32" fillId="0" borderId="0" xfId="28" applyFont="1"/>
    <xf numFmtId="0" fontId="32" fillId="0" borderId="0" xfId="28" applyFont="1" applyAlignment="1">
      <alignment horizontal="center"/>
    </xf>
    <xf numFmtId="43" fontId="19" fillId="0" borderId="0" xfId="26" applyNumberFormat="1" applyFont="1"/>
    <xf numFmtId="177" fontId="19" fillId="0" borderId="0" xfId="27" applyNumberFormat="1" applyFont="1" applyFill="1">
      <alignment vertical="center"/>
    </xf>
    <xf numFmtId="43" fontId="33" fillId="0" borderId="0" xfId="26" applyFont="1" applyAlignment="1">
      <alignment vertical="center"/>
    </xf>
    <xf numFmtId="179" fontId="9" fillId="0" borderId="1" xfId="1" applyNumberFormat="1" applyFont="1" applyFill="1" applyBorder="1" applyAlignment="1">
      <alignment horizontal="center" vertical="center" wrapText="1"/>
    </xf>
    <xf numFmtId="3" fontId="19" fillId="4" borderId="0" xfId="25" applyNumberFormat="1" applyFont="1" applyFill="1"/>
    <xf numFmtId="4" fontId="19" fillId="4" borderId="0" xfId="25" applyNumberFormat="1" applyFont="1" applyFill="1"/>
    <xf numFmtId="0" fontId="18" fillId="0" borderId="0" xfId="25" applyFont="1" applyFill="1"/>
    <xf numFmtId="43" fontId="34" fillId="4" borderId="0" xfId="26" applyFont="1" applyFill="1"/>
    <xf numFmtId="178" fontId="9" fillId="0" borderId="1" xfId="24" applyNumberFormat="1" applyFont="1" applyFill="1" applyBorder="1" applyAlignment="1">
      <alignment horizontal="center" vertical="center" wrapText="1"/>
    </xf>
    <xf numFmtId="9" fontId="9" fillId="0" borderId="1" xfId="2" applyNumberFormat="1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49" fontId="16" fillId="2" borderId="1" xfId="1" applyNumberFormat="1" applyFont="1" applyFill="1" applyBorder="1" applyAlignment="1">
      <alignment horizontal="center" vertical="center" wrapText="1"/>
    </xf>
    <xf numFmtId="49" fontId="11" fillId="2" borderId="1" xfId="1" applyNumberFormat="1" applyFont="1" applyFill="1" applyBorder="1" applyAlignment="1">
      <alignment horizontal="center" vertical="center" wrapText="1"/>
    </xf>
    <xf numFmtId="9" fontId="16" fillId="0" borderId="1" xfId="2" applyNumberFormat="1" applyFont="1" applyFill="1" applyBorder="1" applyAlignment="1">
      <alignment horizontal="center" vertical="center" wrapText="1"/>
    </xf>
    <xf numFmtId="178" fontId="16" fillId="0" borderId="1" xfId="2" applyNumberFormat="1" applyFont="1" applyFill="1" applyBorder="1" applyAlignment="1">
      <alignment horizontal="center" vertical="center" wrapText="1"/>
    </xf>
    <xf numFmtId="0" fontId="35" fillId="0" borderId="0" xfId="0" applyFont="1"/>
    <xf numFmtId="0" fontId="15" fillId="2" borderId="1" xfId="2" applyFont="1" applyFill="1" applyBorder="1" applyAlignment="1">
      <alignment horizontal="center" vertical="center" wrapText="1"/>
    </xf>
    <xf numFmtId="49" fontId="16" fillId="6" borderId="1" xfId="1" applyNumberFormat="1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49" fontId="9" fillId="0" borderId="1" xfId="2" applyNumberFormat="1" applyFont="1" applyFill="1" applyBorder="1" applyAlignment="1">
      <alignment horizontal="center" vertical="center" wrapText="1"/>
    </xf>
    <xf numFmtId="49" fontId="16" fillId="3" borderId="1" xfId="1" applyNumberFormat="1" applyFont="1" applyFill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vertical="center" wrapText="1"/>
    </xf>
    <xf numFmtId="0" fontId="15" fillId="8" borderId="1" xfId="2" applyFont="1" applyFill="1" applyBorder="1" applyAlignment="1">
      <alignment horizontal="center" vertical="center" wrapText="1"/>
    </xf>
    <xf numFmtId="0" fontId="16" fillId="8" borderId="1" xfId="2" applyFont="1" applyFill="1" applyBorder="1" applyAlignment="1">
      <alignment horizontal="center" vertical="center" wrapText="1"/>
    </xf>
    <xf numFmtId="181" fontId="9" fillId="0" borderId="1" xfId="2" applyNumberFormat="1" applyFont="1" applyFill="1" applyBorder="1" applyAlignment="1">
      <alignment horizontal="center" vertical="center" wrapText="1"/>
    </xf>
    <xf numFmtId="182" fontId="9" fillId="0" borderId="1" xfId="2" applyNumberFormat="1" applyFont="1" applyFill="1" applyBorder="1" applyAlignment="1">
      <alignment horizontal="center" vertical="center" wrapText="1"/>
    </xf>
    <xf numFmtId="14" fontId="36" fillId="3" borderId="0" xfId="0" applyNumberFormat="1" applyFont="1" applyFill="1"/>
    <xf numFmtId="0" fontId="16" fillId="2" borderId="0" xfId="0" applyFont="1" applyFill="1" applyAlignment="1">
      <alignment horizontal="center" wrapText="1"/>
    </xf>
    <xf numFmtId="177" fontId="19" fillId="4" borderId="0" xfId="26" applyNumberFormat="1" applyFont="1" applyFill="1"/>
    <xf numFmtId="0" fontId="11" fillId="0" borderId="1" xfId="0" applyFont="1" applyFill="1" applyBorder="1"/>
    <xf numFmtId="49" fontId="9" fillId="8" borderId="1" xfId="1" applyNumberFormat="1" applyFont="1" applyFill="1" applyBorder="1" applyAlignment="1">
      <alignment horizontal="center" vertical="center" wrapText="1"/>
    </xf>
    <xf numFmtId="14" fontId="16" fillId="0" borderId="1" xfId="2" applyNumberFormat="1" applyFont="1" applyFill="1" applyBorder="1" applyAlignment="1">
      <alignment horizontal="center" vertical="center" wrapText="1"/>
    </xf>
    <xf numFmtId="0" fontId="9" fillId="8" borderId="1" xfId="2" applyFont="1" applyFill="1" applyBorder="1" applyAlignment="1">
      <alignment horizontal="center" vertical="center" wrapText="1"/>
    </xf>
    <xf numFmtId="0" fontId="9" fillId="8" borderId="1" xfId="1" applyFont="1" applyFill="1" applyBorder="1" applyAlignment="1">
      <alignment horizontal="center" vertical="center" wrapText="1"/>
    </xf>
    <xf numFmtId="49" fontId="39" fillId="0" borderId="1" xfId="1" applyNumberFormat="1" applyFont="1" applyFill="1" applyBorder="1" applyAlignment="1">
      <alignment horizontal="center" vertical="center" wrapText="1"/>
    </xf>
    <xf numFmtId="0" fontId="39" fillId="0" borderId="1" xfId="2" applyFont="1" applyFill="1" applyBorder="1" applyAlignment="1">
      <alignment horizontal="center" vertical="center" wrapText="1"/>
    </xf>
    <xf numFmtId="0" fontId="39" fillId="0" borderId="1" xfId="1" applyFont="1" applyFill="1" applyBorder="1" applyAlignment="1">
      <alignment horizontal="center" vertical="center" wrapText="1"/>
    </xf>
    <xf numFmtId="0" fontId="39" fillId="3" borderId="1" xfId="2" applyFont="1" applyFill="1" applyBorder="1" applyAlignment="1">
      <alignment horizontal="center" vertical="center" wrapText="1"/>
    </xf>
    <xf numFmtId="0" fontId="39" fillId="0" borderId="0" xfId="0" applyFont="1" applyFill="1" applyAlignment="1">
      <alignment horizontal="center" wrapText="1"/>
    </xf>
    <xf numFmtId="49" fontId="9" fillId="9" borderId="1" xfId="1" applyNumberFormat="1" applyFont="1" applyFill="1" applyBorder="1" applyAlignment="1">
      <alignment horizontal="center" vertical="center" wrapText="1"/>
    </xf>
    <xf numFmtId="49" fontId="16" fillId="9" borderId="1" xfId="1" applyNumberFormat="1" applyFont="1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49" fontId="38" fillId="9" borderId="1" xfId="1" applyNumberFormat="1" applyFont="1" applyFill="1" applyBorder="1" applyAlignment="1">
      <alignment horizontal="center" vertical="center" wrapText="1"/>
    </xf>
    <xf numFmtId="0" fontId="16" fillId="4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" xfId="0" applyFont="1" applyBorder="1"/>
    <xf numFmtId="0" fontId="4" fillId="0" borderId="5" xfId="0" applyFont="1" applyBorder="1" applyAlignment="1">
      <alignment horizontal="right"/>
    </xf>
    <xf numFmtId="0" fontId="36" fillId="0" borderId="0" xfId="0" applyFont="1"/>
    <xf numFmtId="49" fontId="9" fillId="0" borderId="6" xfId="1" applyNumberFormat="1" applyFont="1" applyFill="1" applyBorder="1" applyAlignment="1">
      <alignment horizontal="center" vertical="center" wrapText="1"/>
    </xf>
    <xf numFmtId="49" fontId="9" fillId="0" borderId="7" xfId="1" applyNumberFormat="1" applyFont="1" applyFill="1" applyBorder="1" applyAlignment="1">
      <alignment horizontal="center" vertical="center" wrapText="1"/>
    </xf>
    <xf numFmtId="49" fontId="9" fillId="0" borderId="8" xfId="1" applyNumberFormat="1" applyFont="1" applyFill="1" applyBorder="1" applyAlignment="1">
      <alignment horizontal="center" vertical="center" wrapText="1"/>
    </xf>
    <xf numFmtId="49" fontId="9" fillId="0" borderId="9" xfId="1" applyNumberFormat="1" applyFont="1" applyFill="1" applyBorder="1" applyAlignment="1">
      <alignment horizontal="center" vertical="center" wrapText="1"/>
    </xf>
    <xf numFmtId="49" fontId="9" fillId="0" borderId="10" xfId="1" applyNumberFormat="1" applyFont="1" applyFill="1" applyBorder="1" applyAlignment="1">
      <alignment horizontal="center" vertical="center" wrapText="1"/>
    </xf>
    <xf numFmtId="49" fontId="9" fillId="0" borderId="11" xfId="1" applyNumberFormat="1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/>
    </xf>
    <xf numFmtId="0" fontId="37" fillId="3" borderId="12" xfId="0" applyFont="1" applyFill="1" applyBorder="1" applyAlignment="1">
      <alignment horizontal="center"/>
    </xf>
    <xf numFmtId="179" fontId="30" fillId="0" borderId="0" xfId="25" applyNumberFormat="1" applyFont="1" applyBorder="1" applyAlignment="1">
      <alignment horizontal="right"/>
    </xf>
    <xf numFmtId="0" fontId="22" fillId="0" borderId="0" xfId="25" applyFont="1" applyAlignment="1">
      <alignment horizontal="center"/>
    </xf>
    <xf numFmtId="0" fontId="23" fillId="0" borderId="0" xfId="25" applyFont="1" applyAlignment="1">
      <alignment horizontal="center"/>
    </xf>
    <xf numFmtId="0" fontId="19" fillId="0" borderId="0" xfId="25" applyFont="1" applyAlignment="1">
      <alignment horizontal="center"/>
    </xf>
    <xf numFmtId="0" fontId="19" fillId="0" borderId="0" xfId="25" applyFont="1" applyBorder="1" applyAlignment="1">
      <alignment horizontal="center"/>
    </xf>
    <xf numFmtId="0" fontId="20" fillId="0" borderId="1" xfId="25" applyFont="1" applyBorder="1" applyAlignment="1">
      <alignment horizontal="center" vertical="center" wrapText="1"/>
    </xf>
    <xf numFmtId="0" fontId="20" fillId="0" borderId="1" xfId="25" applyFont="1" applyBorder="1" applyAlignment="1">
      <alignment horizontal="center" vertical="center"/>
    </xf>
    <xf numFmtId="0" fontId="20" fillId="0" borderId="1" xfId="25" applyFont="1" applyBorder="1" applyAlignment="1">
      <alignment horizontal="center"/>
    </xf>
    <xf numFmtId="3" fontId="0" fillId="4" borderId="0" xfId="0" applyNumberFormat="1" applyFill="1"/>
    <xf numFmtId="0" fontId="11" fillId="4" borderId="1" xfId="2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1" fillId="4" borderId="1" xfId="0" applyFont="1" applyFill="1" applyBorder="1"/>
  </cellXfs>
  <cellStyles count="29">
    <cellStyle name="Comma 2" xfId="7"/>
    <cellStyle name="Normal 10" xfId="8"/>
    <cellStyle name="Normal 11" xfId="9"/>
    <cellStyle name="Normal 12" xfId="10"/>
    <cellStyle name="Normal 13" xfId="11"/>
    <cellStyle name="Normal 14" xfId="12"/>
    <cellStyle name="Normal 15" xfId="13"/>
    <cellStyle name="Normal 16" xfId="4"/>
    <cellStyle name="Normal 17" xfId="5"/>
    <cellStyle name="Normal 2" xfId="14"/>
    <cellStyle name="Normal 3" xfId="15"/>
    <cellStyle name="Normal 4" xfId="16"/>
    <cellStyle name="Normal 5" xfId="17"/>
    <cellStyle name="Normal 6" xfId="18"/>
    <cellStyle name="Normal 7" xfId="19"/>
    <cellStyle name="Normal 8" xfId="20"/>
    <cellStyle name="Normal 9" xfId="21"/>
    <cellStyle name="Normal_B C TIET kk 07" xfId="6"/>
    <cellStyle name="Normal_CHI TIET BANG KE CHINH" xfId="3"/>
    <cellStyle name="Normal_TSCD hang ngay" xfId="2"/>
    <cellStyle name="Percent 2" xfId="22"/>
    <cellStyle name="Style 1" xfId="23"/>
    <cellStyle name="一般" xfId="0" builtinId="0"/>
    <cellStyle name="一般 2" xfId="25"/>
    <cellStyle name="一般_LYP2274-01 8mm扁棉帶+印刷束頭(1003)" xfId="28"/>
    <cellStyle name="一般_PNK  12.2007" xfId="27"/>
    <cellStyle name="一般_複本 盤點 (3)" xfId="1"/>
    <cellStyle name="千分位" xfId="24" builtinId="3"/>
    <cellStyle name="千分位 2" xfId="26"/>
  </cellStyles>
  <dxfs count="0"/>
  <tableStyles count="0" defaultTableStyle="TableStyleMedium2" defaultPivotStyle="PivotStyleLight16"/>
  <colors>
    <mruColors>
      <color rgb="FF00FF00"/>
      <color rgb="FFFF0066"/>
      <color rgb="FF000099"/>
      <color rgb="FFFFCCFF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B8" sqref="B8"/>
    </sheetView>
  </sheetViews>
  <sheetFormatPr defaultRowHeight="15.75"/>
  <cols>
    <col min="1" max="1" width="6.5703125" customWidth="1"/>
    <col min="2" max="2" width="29.7109375" customWidth="1"/>
    <col min="3" max="3" width="9.140625" style="5"/>
    <col min="4" max="4" width="16.85546875" style="5" customWidth="1"/>
    <col min="5" max="5" width="34.42578125" style="5" customWidth="1"/>
  </cols>
  <sheetData>
    <row r="1" spans="1:5" s="25" customFormat="1" ht="21.75" customHeight="1">
      <c r="A1" s="15" t="s">
        <v>102</v>
      </c>
      <c r="C1" s="16"/>
      <c r="D1" s="16"/>
      <c r="E1" s="16"/>
    </row>
    <row r="2" spans="1:5" s="25" customFormat="1" ht="21.75" customHeight="1">
      <c r="A2" s="26" t="s">
        <v>103</v>
      </c>
      <c r="B2" s="27" t="s">
        <v>104</v>
      </c>
      <c r="C2" s="28" t="s">
        <v>105</v>
      </c>
      <c r="D2" s="28" t="s">
        <v>106</v>
      </c>
      <c r="E2" s="28" t="s">
        <v>107</v>
      </c>
    </row>
    <row r="3" spans="1:5" s="25" customFormat="1" ht="21.75" customHeight="1">
      <c r="A3" s="28">
        <v>1</v>
      </c>
      <c r="B3" s="27" t="s">
        <v>82</v>
      </c>
      <c r="C3" s="28"/>
      <c r="D3" s="28"/>
      <c r="E3" s="28"/>
    </row>
    <row r="4" spans="1:5" s="25" customFormat="1" ht="21.75" customHeight="1">
      <c r="A4" s="28">
        <v>2</v>
      </c>
      <c r="B4" s="27" t="s">
        <v>83</v>
      </c>
      <c r="C4" s="28"/>
      <c r="D4" s="28"/>
      <c r="E4" s="29" t="s">
        <v>286</v>
      </c>
    </row>
    <row r="5" spans="1:5" s="25" customFormat="1" ht="21.75" customHeight="1">
      <c r="A5" s="28">
        <v>3</v>
      </c>
      <c r="B5" s="27" t="s">
        <v>109</v>
      </c>
      <c r="C5" s="28"/>
      <c r="D5" s="28"/>
      <c r="E5" s="29"/>
    </row>
    <row r="6" spans="1:5" s="25" customFormat="1" ht="21.75" customHeight="1">
      <c r="A6" s="28">
        <v>4</v>
      </c>
      <c r="B6" s="27" t="s">
        <v>108</v>
      </c>
      <c r="C6" s="28"/>
      <c r="D6" s="28"/>
      <c r="E6" s="29"/>
    </row>
    <row r="7" spans="1:5" s="25" customFormat="1" ht="21.75" customHeight="1">
      <c r="A7" s="28">
        <v>5</v>
      </c>
      <c r="B7" s="27" t="s">
        <v>84</v>
      </c>
      <c r="C7" s="28"/>
      <c r="D7" s="28"/>
      <c r="E7" s="29"/>
    </row>
    <row r="8" spans="1:5" s="25" customFormat="1" ht="21.75" customHeight="1">
      <c r="A8" s="27"/>
      <c r="B8" s="200" t="s">
        <v>684</v>
      </c>
      <c r="C8" s="28"/>
      <c r="D8" s="28"/>
      <c r="E8" s="29" t="s">
        <v>290</v>
      </c>
    </row>
    <row r="9" spans="1:5" s="25" customFormat="1" ht="21.75" customHeight="1">
      <c r="A9" s="27"/>
      <c r="B9" s="27" t="s">
        <v>292</v>
      </c>
      <c r="C9" s="28"/>
      <c r="D9" s="28"/>
      <c r="E9" s="29" t="s">
        <v>290</v>
      </c>
    </row>
    <row r="10" spans="1:5" s="25" customFormat="1" ht="21.75" customHeight="1">
      <c r="A10" s="27"/>
      <c r="B10" s="27" t="s">
        <v>293</v>
      </c>
      <c r="C10" s="28"/>
      <c r="D10" s="28"/>
      <c r="E10" s="29" t="s">
        <v>291</v>
      </c>
    </row>
    <row r="11" spans="1:5" s="25" customFormat="1" ht="21.75" customHeight="1">
      <c r="A11" s="27"/>
      <c r="B11" s="27" t="s">
        <v>294</v>
      </c>
      <c r="C11" s="28"/>
      <c r="D11" s="28"/>
      <c r="E11" s="29" t="s">
        <v>290</v>
      </c>
    </row>
    <row r="12" spans="1:5" s="25" customFormat="1" ht="21.75" customHeight="1">
      <c r="A12" s="27"/>
      <c r="B12" s="27" t="s">
        <v>295</v>
      </c>
      <c r="C12" s="28"/>
      <c r="D12" s="28"/>
      <c r="E12" s="29" t="s">
        <v>290</v>
      </c>
    </row>
    <row r="13" spans="1:5" s="25" customFormat="1" ht="21.75" customHeight="1">
      <c r="A13" s="27"/>
      <c r="B13" s="27" t="s">
        <v>296</v>
      </c>
      <c r="C13" s="28"/>
      <c r="D13" s="28"/>
      <c r="E13" s="29" t="s">
        <v>290</v>
      </c>
    </row>
    <row r="14" spans="1:5" s="25" customFormat="1" ht="21.75" customHeight="1">
      <c r="A14" s="27"/>
      <c r="B14" s="27" t="s">
        <v>297</v>
      </c>
      <c r="C14" s="28"/>
      <c r="D14" s="28"/>
      <c r="E14" s="29" t="s">
        <v>290</v>
      </c>
    </row>
    <row r="15" spans="1:5" s="25" customFormat="1" ht="21.75" customHeight="1">
      <c r="A15" s="27"/>
      <c r="B15" s="27" t="s">
        <v>298</v>
      </c>
      <c r="C15" s="28"/>
      <c r="D15" s="28"/>
      <c r="E15" s="29" t="s">
        <v>290</v>
      </c>
    </row>
    <row r="16" spans="1:5" s="25" customFormat="1" ht="21.75" customHeight="1">
      <c r="A16" s="27"/>
      <c r="B16" s="27" t="s">
        <v>299</v>
      </c>
      <c r="C16" s="28"/>
      <c r="D16" s="28"/>
      <c r="E16" s="29" t="s">
        <v>290</v>
      </c>
    </row>
    <row r="17" spans="1:5" s="25" customFormat="1" ht="21.75" customHeight="1">
      <c r="A17" s="28" t="s">
        <v>72</v>
      </c>
      <c r="B17" s="145" t="s">
        <v>300</v>
      </c>
      <c r="C17" s="28"/>
      <c r="D17" s="28"/>
      <c r="E17" s="29" t="s">
        <v>290</v>
      </c>
    </row>
    <row r="18" spans="1:5" s="25" customFormat="1" ht="21.75" customHeight="1">
      <c r="A18" s="28"/>
      <c r="B18" s="145" t="s">
        <v>301</v>
      </c>
      <c r="C18" s="28"/>
      <c r="D18" s="28"/>
      <c r="E18" s="29"/>
    </row>
    <row r="19" spans="1:5" s="25" customFormat="1" ht="21.75" customHeight="1">
      <c r="A19" s="28"/>
      <c r="B19" s="27" t="s">
        <v>302</v>
      </c>
      <c r="C19" s="28"/>
      <c r="D19" s="28"/>
      <c r="E19" s="29" t="s">
        <v>290</v>
      </c>
    </row>
    <row r="20" spans="1:5" s="25" customFormat="1" ht="21.75" customHeight="1">
      <c r="A20" s="28">
        <v>6</v>
      </c>
      <c r="B20" s="27" t="s">
        <v>110</v>
      </c>
      <c r="C20" s="28"/>
      <c r="D20" s="28"/>
      <c r="E20" s="29"/>
    </row>
    <row r="21" spans="1:5" s="25" customFormat="1" ht="21.75" customHeight="1">
      <c r="A21" s="28">
        <v>7</v>
      </c>
      <c r="B21" s="27" t="s">
        <v>130</v>
      </c>
      <c r="C21" s="28"/>
      <c r="D21" s="28"/>
      <c r="E21" s="29"/>
    </row>
    <row r="22" spans="1:5" s="25" customFormat="1" ht="21.75" customHeight="1">
      <c r="A22" s="16"/>
      <c r="C22" s="16"/>
      <c r="D22" s="16"/>
      <c r="E22" s="16"/>
    </row>
    <row r="23" spans="1:5" ht="22.5" customHeight="1">
      <c r="A23" s="5"/>
    </row>
    <row r="24" spans="1:5" ht="22.5" customHeight="1">
      <c r="A24" s="5"/>
    </row>
    <row r="25" spans="1:5" ht="22.5" customHeight="1">
      <c r="A25" s="5"/>
    </row>
    <row r="26" spans="1:5">
      <c r="A26" s="5"/>
    </row>
    <row r="27" spans="1:5">
      <c r="A27" s="5"/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topLeftCell="A7" zoomScaleNormal="100" workbookViewId="0">
      <selection activeCell="L24" sqref="L23:L24"/>
    </sheetView>
  </sheetViews>
  <sheetFormatPr defaultRowHeight="15.75"/>
  <cols>
    <col min="2" max="2" width="20.7109375" customWidth="1"/>
    <col min="4" max="4" width="17.42578125" customWidth="1"/>
    <col min="6" max="6" width="17.42578125" customWidth="1"/>
    <col min="7" max="7" width="9.140625" customWidth="1"/>
    <col min="8" max="8" width="17.42578125" customWidth="1"/>
    <col min="10" max="10" width="17.42578125" customWidth="1"/>
    <col min="12" max="12" width="17.42578125" customWidth="1"/>
  </cols>
  <sheetData>
    <row r="1" spans="1:17" s="1" customFormat="1" ht="27" customHeight="1">
      <c r="A1" s="6" t="s">
        <v>320</v>
      </c>
      <c r="C1" s="6"/>
      <c r="E1" s="6"/>
      <c r="F1" s="177" t="s">
        <v>66</v>
      </c>
      <c r="G1" s="6"/>
      <c r="I1" s="6"/>
      <c r="K1" s="6"/>
      <c r="O1"/>
      <c r="P1"/>
      <c r="Q1"/>
    </row>
    <row r="2" spans="1:17" s="1" customFormat="1" ht="22.5" customHeight="1">
      <c r="A2" s="15" t="s">
        <v>666</v>
      </c>
      <c r="C2" s="6"/>
      <c r="E2" s="6"/>
      <c r="G2" s="6"/>
      <c r="I2" s="6"/>
      <c r="K2" s="6"/>
      <c r="O2"/>
      <c r="P2"/>
      <c r="Q2"/>
    </row>
    <row r="3" spans="1:17" s="1" customFormat="1" ht="22.5" customHeight="1">
      <c r="A3" s="15" t="s">
        <v>5</v>
      </c>
      <c r="C3" s="6"/>
      <c r="E3" s="6"/>
      <c r="G3" s="6"/>
      <c r="I3" s="6"/>
      <c r="K3" s="6"/>
      <c r="O3"/>
      <c r="P3"/>
      <c r="Q3"/>
    </row>
    <row r="4" spans="1:17" s="1" customFormat="1" ht="22.5" customHeight="1">
      <c r="A4" s="15" t="s">
        <v>628</v>
      </c>
      <c r="E4" s="6"/>
      <c r="G4" s="6"/>
      <c r="I4" s="6"/>
      <c r="K4" s="6"/>
      <c r="O4"/>
      <c r="P4"/>
      <c r="Q4"/>
    </row>
    <row r="5" spans="1:17" s="1" customFormat="1" ht="22.5" customHeight="1">
      <c r="A5" s="15" t="s">
        <v>629</v>
      </c>
      <c r="E5" s="6"/>
      <c r="G5" s="6"/>
      <c r="I5" s="6"/>
      <c r="K5" s="6"/>
      <c r="O5"/>
      <c r="P5"/>
      <c r="Q5"/>
    </row>
    <row r="6" spans="1:17" s="1" customFormat="1" ht="22.5" customHeight="1">
      <c r="A6" s="15" t="s">
        <v>630</v>
      </c>
      <c r="C6" s="4"/>
      <c r="E6" s="6"/>
      <c r="G6" s="6"/>
      <c r="I6" s="6"/>
      <c r="K6" s="6"/>
      <c r="O6"/>
      <c r="P6"/>
      <c r="Q6"/>
    </row>
    <row r="7" spans="1:17" s="1" customFormat="1" ht="22.5" customHeight="1">
      <c r="A7" s="15" t="s">
        <v>667</v>
      </c>
      <c r="C7" s="6"/>
      <c r="E7" s="6"/>
      <c r="G7" s="6"/>
      <c r="I7" s="6"/>
      <c r="K7" s="6"/>
      <c r="O7"/>
      <c r="P7"/>
      <c r="Q7"/>
    </row>
    <row r="8" spans="1:17" s="1" customFormat="1" ht="16.5" customHeight="1">
      <c r="A8" s="7"/>
      <c r="C8" s="4"/>
      <c r="E8" s="6"/>
      <c r="G8" s="6"/>
      <c r="I8" s="6"/>
      <c r="K8" s="6"/>
      <c r="O8"/>
      <c r="P8"/>
      <c r="Q8"/>
    </row>
    <row r="9" spans="1:17" s="1" customFormat="1" ht="27" customHeight="1">
      <c r="A9" s="6" t="s">
        <v>6</v>
      </c>
      <c r="C9" s="6"/>
      <c r="E9" s="6"/>
      <c r="G9" s="6"/>
      <c r="I9" s="6"/>
      <c r="K9" s="6"/>
      <c r="O9"/>
      <c r="P9"/>
      <c r="Q9"/>
    </row>
    <row r="10" spans="1:17" s="1" customFormat="1" ht="17.25" customHeight="1">
      <c r="A10" s="15" t="s">
        <v>5</v>
      </c>
      <c r="O10"/>
      <c r="P10"/>
      <c r="Q10"/>
    </row>
    <row r="11" spans="1:17" s="164" customFormat="1" ht="17.25" customHeight="1">
      <c r="A11" s="161" t="s">
        <v>4</v>
      </c>
      <c r="B11" s="161" t="s">
        <v>665</v>
      </c>
      <c r="C11" s="176" t="s">
        <v>664</v>
      </c>
      <c r="D11" s="166"/>
      <c r="E11" s="166"/>
      <c r="F11" s="166"/>
      <c r="G11" s="163"/>
      <c r="H11" s="166"/>
      <c r="I11" s="163"/>
      <c r="J11" s="167"/>
      <c r="O11" s="165"/>
      <c r="P11" s="165"/>
      <c r="Q11" s="165"/>
    </row>
    <row r="12" spans="1:17" s="164" customFormat="1" ht="17.25" customHeight="1">
      <c r="A12" s="161" t="s">
        <v>0</v>
      </c>
      <c r="B12" s="169" t="s">
        <v>322</v>
      </c>
      <c r="C12" s="162" t="s">
        <v>321</v>
      </c>
      <c r="D12" s="166"/>
      <c r="E12" s="166"/>
      <c r="F12" s="166"/>
      <c r="G12" s="163"/>
      <c r="H12" s="166"/>
      <c r="I12" s="163"/>
      <c r="J12" s="167"/>
      <c r="K12" s="168"/>
      <c r="O12" s="165"/>
      <c r="P12" s="165"/>
      <c r="Q12" s="165"/>
    </row>
    <row r="13" spans="1:17" s="164" customFormat="1" ht="17.25" customHeight="1">
      <c r="A13" s="161" t="s">
        <v>1</v>
      </c>
      <c r="B13" s="170" t="s">
        <v>323</v>
      </c>
      <c r="C13" s="162" t="s">
        <v>324</v>
      </c>
      <c r="D13" s="166"/>
      <c r="E13" s="166"/>
      <c r="F13" s="166"/>
      <c r="G13" s="163"/>
      <c r="H13" s="166"/>
      <c r="I13" s="163"/>
      <c r="J13" s="167"/>
      <c r="K13" s="168"/>
      <c r="M13" s="164" t="s">
        <v>683</v>
      </c>
      <c r="O13" s="165"/>
      <c r="P13" s="165"/>
      <c r="Q13" s="165"/>
    </row>
    <row r="14" spans="1:17" s="164" customFormat="1" ht="17.25" customHeight="1">
      <c r="A14" s="161" t="s">
        <v>2</v>
      </c>
      <c r="B14" s="169" t="s">
        <v>326</v>
      </c>
      <c r="C14" s="162" t="s">
        <v>325</v>
      </c>
      <c r="D14" s="166"/>
      <c r="E14" s="166"/>
      <c r="F14" s="166"/>
      <c r="G14" s="163"/>
      <c r="H14" s="166"/>
      <c r="I14" s="163"/>
      <c r="J14" s="167"/>
      <c r="K14" s="168"/>
      <c r="O14" s="165"/>
      <c r="P14" s="165"/>
      <c r="Q14" s="165"/>
    </row>
    <row r="15" spans="1:17" s="164" customFormat="1" ht="17.25" customHeight="1">
      <c r="A15" s="161" t="s">
        <v>3</v>
      </c>
      <c r="B15" s="169" t="s">
        <v>328</v>
      </c>
      <c r="C15" s="162" t="s">
        <v>327</v>
      </c>
      <c r="D15" s="166"/>
      <c r="E15" s="166"/>
      <c r="F15" s="166"/>
      <c r="G15" s="163"/>
      <c r="H15" s="166"/>
      <c r="I15" s="163"/>
      <c r="J15" s="167"/>
      <c r="K15" s="168"/>
      <c r="O15" s="165"/>
      <c r="P15" s="165"/>
      <c r="Q15" s="165"/>
    </row>
    <row r="16" spans="1:17" s="164" customFormat="1" ht="17.25" customHeight="1">
      <c r="A16" s="161" t="s">
        <v>7</v>
      </c>
      <c r="B16" s="169"/>
      <c r="C16" s="162"/>
      <c r="D16" s="166"/>
      <c r="E16" s="166"/>
      <c r="F16" s="166"/>
      <c r="G16" s="163"/>
      <c r="H16" s="166"/>
      <c r="I16" s="163"/>
      <c r="J16" s="167"/>
      <c r="K16" s="168"/>
      <c r="O16" s="165"/>
      <c r="P16" s="165"/>
      <c r="Q16" s="165"/>
    </row>
    <row r="17" spans="1:17" s="164" customFormat="1" ht="17.25" customHeight="1">
      <c r="A17" s="161" t="s">
        <v>8</v>
      </c>
      <c r="B17" s="169"/>
      <c r="C17" s="162"/>
      <c r="D17" s="166"/>
      <c r="E17" s="166"/>
      <c r="F17" s="166"/>
      <c r="G17" s="163"/>
      <c r="H17" s="166"/>
      <c r="I17" s="163"/>
      <c r="J17" s="167"/>
      <c r="K17" s="168"/>
      <c r="O17" s="165"/>
      <c r="P17" s="165"/>
      <c r="Q17" s="165"/>
    </row>
    <row r="18" spans="1:17" s="164" customFormat="1" ht="17.25" customHeight="1">
      <c r="A18" s="161" t="s">
        <v>9</v>
      </c>
      <c r="B18" s="169"/>
      <c r="C18" s="162"/>
      <c r="D18" s="166"/>
      <c r="E18" s="166"/>
      <c r="F18" s="166"/>
      <c r="G18" s="163"/>
      <c r="H18" s="166"/>
      <c r="I18" s="163"/>
      <c r="J18" s="167"/>
      <c r="K18" s="168"/>
      <c r="O18" s="165"/>
      <c r="P18" s="165"/>
      <c r="Q18" s="165"/>
    </row>
    <row r="21" spans="1:17" s="1" customFormat="1" ht="16.5" customHeight="1">
      <c r="A21" s="15" t="s">
        <v>628</v>
      </c>
      <c r="O21"/>
      <c r="P21"/>
      <c r="Q21"/>
    </row>
    <row r="22" spans="1:17" ht="16.5" customHeight="1">
      <c r="A22" s="3" t="s">
        <v>4</v>
      </c>
      <c r="B22" s="13" t="s">
        <v>329</v>
      </c>
      <c r="C22" s="3" t="s">
        <v>4</v>
      </c>
      <c r="D22" s="13" t="s">
        <v>329</v>
      </c>
      <c r="E22" s="3" t="s">
        <v>4</v>
      </c>
      <c r="F22" s="13" t="s">
        <v>13</v>
      </c>
      <c r="G22" s="197" t="s">
        <v>4</v>
      </c>
      <c r="H22" s="198" t="s">
        <v>13</v>
      </c>
      <c r="I22" s="197" t="s">
        <v>4</v>
      </c>
      <c r="J22" s="198" t="s">
        <v>13</v>
      </c>
      <c r="K22" s="7"/>
    </row>
    <row r="23" spans="1:17" ht="16.5" customHeight="1">
      <c r="A23" s="14" t="s">
        <v>16</v>
      </c>
      <c r="B23" s="13" t="s">
        <v>330</v>
      </c>
      <c r="C23" s="14" t="s">
        <v>338</v>
      </c>
      <c r="D23" s="173" t="s">
        <v>587</v>
      </c>
      <c r="E23" s="14" t="s">
        <v>339</v>
      </c>
      <c r="F23" s="13" t="s">
        <v>605</v>
      </c>
      <c r="G23" s="196" t="s">
        <v>340</v>
      </c>
      <c r="H23" s="198" t="s">
        <v>601</v>
      </c>
      <c r="I23" s="196" t="s">
        <v>673</v>
      </c>
      <c r="J23" s="198" t="s">
        <v>73</v>
      </c>
      <c r="K23" s="8"/>
    </row>
    <row r="24" spans="1:17" ht="16.5" customHeight="1">
      <c r="A24" s="14" t="s">
        <v>17</v>
      </c>
      <c r="B24" s="13" t="s">
        <v>331</v>
      </c>
      <c r="C24" s="14" t="s">
        <v>341</v>
      </c>
      <c r="D24" s="13" t="s">
        <v>588</v>
      </c>
      <c r="E24" s="14" t="s">
        <v>342</v>
      </c>
      <c r="F24" s="13" t="s">
        <v>611</v>
      </c>
      <c r="G24" s="196" t="s">
        <v>343</v>
      </c>
      <c r="H24" s="198" t="s">
        <v>609</v>
      </c>
      <c r="I24" s="196" t="s">
        <v>674</v>
      </c>
      <c r="J24" s="198" t="s">
        <v>319</v>
      </c>
      <c r="K24" s="8"/>
    </row>
    <row r="25" spans="1:17" ht="16.5" customHeight="1">
      <c r="A25" s="14" t="s">
        <v>344</v>
      </c>
      <c r="B25" s="13" t="s">
        <v>332</v>
      </c>
      <c r="C25" s="14" t="s">
        <v>345</v>
      </c>
      <c r="D25" s="13" t="s">
        <v>586</v>
      </c>
      <c r="E25" s="14" t="s">
        <v>346</v>
      </c>
      <c r="F25" s="13" t="s">
        <v>607</v>
      </c>
      <c r="G25" s="196" t="s">
        <v>347</v>
      </c>
      <c r="H25" s="198" t="s">
        <v>621</v>
      </c>
      <c r="I25" s="196" t="s">
        <v>675</v>
      </c>
      <c r="J25" s="198" t="s">
        <v>74</v>
      </c>
      <c r="K25" s="8"/>
    </row>
    <row r="26" spans="1:17" ht="16.5" customHeight="1">
      <c r="A26" s="14" t="s">
        <v>348</v>
      </c>
      <c r="B26" s="13" t="s">
        <v>333</v>
      </c>
      <c r="C26" s="14" t="s">
        <v>349</v>
      </c>
      <c r="D26" s="13" t="s">
        <v>580</v>
      </c>
      <c r="E26" s="14" t="s">
        <v>350</v>
      </c>
      <c r="F26" s="13" t="s">
        <v>618</v>
      </c>
      <c r="G26" s="196" t="s">
        <v>351</v>
      </c>
      <c r="H26" s="198" t="s">
        <v>624</v>
      </c>
      <c r="I26" s="196" t="s">
        <v>676</v>
      </c>
      <c r="J26" s="198" t="s">
        <v>75</v>
      </c>
      <c r="K26" s="8"/>
    </row>
    <row r="27" spans="1:17" ht="16.5" customHeight="1">
      <c r="A27" s="14" t="s">
        <v>352</v>
      </c>
      <c r="B27" s="13" t="s">
        <v>353</v>
      </c>
      <c r="C27" s="14" t="s">
        <v>354</v>
      </c>
      <c r="D27" s="13" t="s">
        <v>581</v>
      </c>
      <c r="E27" s="14" t="s">
        <v>355</v>
      </c>
      <c r="F27" s="13" t="s">
        <v>608</v>
      </c>
      <c r="G27" s="196" t="s">
        <v>356</v>
      </c>
      <c r="H27" s="198"/>
      <c r="I27" s="196" t="s">
        <v>677</v>
      </c>
      <c r="J27" s="198" t="s">
        <v>76</v>
      </c>
      <c r="K27" s="8"/>
    </row>
    <row r="28" spans="1:17" ht="16.5" customHeight="1">
      <c r="A28" s="14" t="s">
        <v>357</v>
      </c>
      <c r="B28" s="13" t="s">
        <v>358</v>
      </c>
      <c r="C28" s="14" t="s">
        <v>359</v>
      </c>
      <c r="D28" s="13" t="s">
        <v>663</v>
      </c>
      <c r="E28" s="14" t="s">
        <v>360</v>
      </c>
      <c r="F28" s="13" t="s">
        <v>606</v>
      </c>
      <c r="G28" s="196" t="s">
        <v>361</v>
      </c>
      <c r="H28" s="198"/>
      <c r="I28" s="196" t="s">
        <v>678</v>
      </c>
      <c r="J28" s="198" t="s">
        <v>77</v>
      </c>
      <c r="K28" s="8"/>
    </row>
    <row r="29" spans="1:17" ht="16.5" customHeight="1">
      <c r="A29" s="14" t="s">
        <v>362</v>
      </c>
      <c r="B29" s="13" t="s">
        <v>334</v>
      </c>
      <c r="C29" s="14" t="s">
        <v>363</v>
      </c>
      <c r="D29" s="13" t="s">
        <v>589</v>
      </c>
      <c r="E29" s="14" t="s">
        <v>364</v>
      </c>
      <c r="F29" s="13" t="s">
        <v>610</v>
      </c>
      <c r="G29" s="196" t="s">
        <v>365</v>
      </c>
      <c r="H29" s="198"/>
      <c r="I29" s="196" t="s">
        <v>679</v>
      </c>
      <c r="J29" s="198" t="s">
        <v>78</v>
      </c>
      <c r="K29" s="8"/>
    </row>
    <row r="30" spans="1:17" ht="16.5" customHeight="1">
      <c r="A30" s="14" t="s">
        <v>366</v>
      </c>
      <c r="B30" s="13" t="s">
        <v>336</v>
      </c>
      <c r="C30" s="14" t="s">
        <v>367</v>
      </c>
      <c r="D30" s="13" t="s">
        <v>590</v>
      </c>
      <c r="E30" s="14" t="s">
        <v>368</v>
      </c>
      <c r="F30" s="13" t="s">
        <v>612</v>
      </c>
      <c r="G30" s="196" t="s">
        <v>369</v>
      </c>
      <c r="H30" s="198"/>
      <c r="I30" s="196" t="s">
        <v>680</v>
      </c>
      <c r="J30" s="198" t="s">
        <v>79</v>
      </c>
      <c r="K30" s="8"/>
    </row>
    <row r="31" spans="1:17" ht="16.5" customHeight="1">
      <c r="A31" s="14" t="s">
        <v>370</v>
      </c>
      <c r="B31" s="13" t="s">
        <v>337</v>
      </c>
      <c r="C31" s="14" t="s">
        <v>371</v>
      </c>
      <c r="D31" s="13" t="s">
        <v>591</v>
      </c>
      <c r="E31" s="14" t="s">
        <v>372</v>
      </c>
      <c r="F31" s="13" t="s">
        <v>613</v>
      </c>
      <c r="G31" s="196" t="s">
        <v>373</v>
      </c>
      <c r="H31" s="198"/>
      <c r="I31" s="196" t="s">
        <v>681</v>
      </c>
      <c r="J31" s="199" t="s">
        <v>80</v>
      </c>
      <c r="K31" s="8"/>
    </row>
    <row r="32" spans="1:17" ht="16.5" customHeight="1">
      <c r="A32" s="14" t="s">
        <v>374</v>
      </c>
      <c r="B32" s="13" t="s">
        <v>375</v>
      </c>
      <c r="C32" s="14" t="s">
        <v>376</v>
      </c>
      <c r="D32" s="13" t="s">
        <v>592</v>
      </c>
      <c r="E32" s="14" t="s">
        <v>377</v>
      </c>
      <c r="F32" s="13" t="s">
        <v>600</v>
      </c>
      <c r="G32" s="196" t="s">
        <v>378</v>
      </c>
      <c r="H32" s="198"/>
      <c r="I32" s="196" t="s">
        <v>682</v>
      </c>
      <c r="J32" s="198" t="s">
        <v>579</v>
      </c>
      <c r="K32" s="8"/>
    </row>
    <row r="33" spans="1:11" ht="16.5" customHeight="1">
      <c r="A33" s="14" t="s">
        <v>26</v>
      </c>
      <c r="B33" s="13" t="s">
        <v>575</v>
      </c>
      <c r="C33" s="14" t="s">
        <v>379</v>
      </c>
      <c r="D33" s="13" t="s">
        <v>582</v>
      </c>
      <c r="E33" s="14" t="s">
        <v>380</v>
      </c>
      <c r="F33" s="13" t="s">
        <v>615</v>
      </c>
      <c r="G33" s="14" t="s">
        <v>381</v>
      </c>
      <c r="H33" s="13"/>
      <c r="I33" s="14" t="s">
        <v>382</v>
      </c>
      <c r="J33" s="13"/>
      <c r="K33" s="8"/>
    </row>
    <row r="34" spans="1:11" ht="16.5" customHeight="1">
      <c r="A34" s="14" t="s">
        <v>383</v>
      </c>
      <c r="B34" s="19" t="s">
        <v>335</v>
      </c>
      <c r="C34" s="14" t="s">
        <v>384</v>
      </c>
      <c r="D34" s="13" t="s">
        <v>604</v>
      </c>
      <c r="E34" s="14" t="s">
        <v>385</v>
      </c>
      <c r="F34" s="13" t="s">
        <v>616</v>
      </c>
      <c r="G34" s="14" t="s">
        <v>386</v>
      </c>
      <c r="H34" s="13"/>
      <c r="I34" s="14" t="s">
        <v>387</v>
      </c>
      <c r="J34" s="13"/>
      <c r="K34" s="8"/>
    </row>
    <row r="35" spans="1:11" ht="16.5" customHeight="1">
      <c r="A35" s="14" t="s">
        <v>388</v>
      </c>
      <c r="B35" s="13" t="s">
        <v>576</v>
      </c>
      <c r="C35" s="14" t="s">
        <v>389</v>
      </c>
      <c r="D35" s="13" t="s">
        <v>593</v>
      </c>
      <c r="E35" s="14" t="s">
        <v>390</v>
      </c>
      <c r="F35" s="13" t="s">
        <v>620</v>
      </c>
      <c r="G35" s="14" t="s">
        <v>391</v>
      </c>
      <c r="H35" s="13"/>
      <c r="I35" s="14" t="s">
        <v>392</v>
      </c>
      <c r="J35" s="13"/>
      <c r="K35" s="8"/>
    </row>
    <row r="36" spans="1:11" ht="16.5" customHeight="1">
      <c r="A36" s="14" t="s">
        <v>393</v>
      </c>
      <c r="B36" s="13" t="s">
        <v>577</v>
      </c>
      <c r="C36" s="14" t="s">
        <v>394</v>
      </c>
      <c r="D36" s="13" t="s">
        <v>583</v>
      </c>
      <c r="E36" s="14" t="s">
        <v>395</v>
      </c>
      <c r="G36" s="14" t="s">
        <v>396</v>
      </c>
      <c r="H36" s="13"/>
      <c r="I36" s="14" t="s">
        <v>397</v>
      </c>
      <c r="J36" s="13"/>
      <c r="K36" s="8"/>
    </row>
    <row r="37" spans="1:11" ht="16.5" customHeight="1">
      <c r="A37" s="14" t="s">
        <v>398</v>
      </c>
      <c r="B37" s="13" t="s">
        <v>578</v>
      </c>
      <c r="C37" s="14" t="s">
        <v>399</v>
      </c>
      <c r="D37" s="13" t="s">
        <v>598</v>
      </c>
      <c r="E37" s="14" t="s">
        <v>400</v>
      </c>
      <c r="F37" s="13"/>
      <c r="G37" s="14" t="s">
        <v>401</v>
      </c>
      <c r="H37" s="13"/>
      <c r="I37" s="14" t="s">
        <v>402</v>
      </c>
      <c r="J37" s="13"/>
      <c r="K37" s="8"/>
    </row>
    <row r="38" spans="1:11" ht="16.5" customHeight="1">
      <c r="A38" s="14" t="s">
        <v>403</v>
      </c>
      <c r="B38" s="13" t="s">
        <v>603</v>
      </c>
      <c r="C38" s="14" t="s">
        <v>404</v>
      </c>
      <c r="D38" s="19" t="s">
        <v>597</v>
      </c>
      <c r="E38" s="14" t="s">
        <v>405</v>
      </c>
      <c r="F38" s="13"/>
      <c r="G38" s="14" t="s">
        <v>406</v>
      </c>
      <c r="H38" s="13"/>
      <c r="I38" s="14" t="s">
        <v>407</v>
      </c>
      <c r="J38" s="13"/>
      <c r="K38" s="8"/>
    </row>
    <row r="39" spans="1:11" ht="16.5" customHeight="1">
      <c r="A39" s="14" t="s">
        <v>408</v>
      </c>
      <c r="B39" s="13" t="s">
        <v>594</v>
      </c>
      <c r="C39" s="14" t="s">
        <v>409</v>
      </c>
      <c r="D39" s="13" t="s">
        <v>584</v>
      </c>
      <c r="E39" s="14" t="s">
        <v>410</v>
      </c>
      <c r="F39" s="13"/>
      <c r="G39" s="14" t="s">
        <v>411</v>
      </c>
      <c r="H39" s="13"/>
      <c r="I39" s="14" t="s">
        <v>412</v>
      </c>
      <c r="J39" s="13"/>
      <c r="K39" s="8"/>
    </row>
    <row r="40" spans="1:11" ht="16.5" customHeight="1">
      <c r="A40" s="14" t="s">
        <v>413</v>
      </c>
      <c r="B40" s="13" t="s">
        <v>599</v>
      </c>
      <c r="C40" s="14" t="s">
        <v>414</v>
      </c>
      <c r="D40" s="19" t="s">
        <v>596</v>
      </c>
      <c r="E40" s="14" t="s">
        <v>415</v>
      </c>
      <c r="F40" s="13"/>
      <c r="G40" s="14" t="s">
        <v>416</v>
      </c>
      <c r="H40" s="13"/>
      <c r="I40" s="14" t="s">
        <v>417</v>
      </c>
      <c r="J40" s="13"/>
      <c r="K40" s="8"/>
    </row>
    <row r="41" spans="1:11" ht="16.5" customHeight="1">
      <c r="A41" s="14" t="s">
        <v>418</v>
      </c>
      <c r="B41" s="13" t="s">
        <v>617</v>
      </c>
      <c r="C41" s="14" t="s">
        <v>419</v>
      </c>
      <c r="D41" s="13" t="s">
        <v>585</v>
      </c>
      <c r="E41" s="14" t="s">
        <v>420</v>
      </c>
      <c r="F41" s="13"/>
      <c r="G41" s="14" t="s">
        <v>421</v>
      </c>
      <c r="H41" s="13"/>
      <c r="I41" s="14" t="s">
        <v>422</v>
      </c>
      <c r="J41" s="13"/>
      <c r="K41" s="8"/>
    </row>
    <row r="42" spans="1:11" ht="16.5" customHeight="1">
      <c r="A42" s="14" t="s">
        <v>423</v>
      </c>
      <c r="B42" s="13" t="s">
        <v>619</v>
      </c>
      <c r="C42" s="14" t="s">
        <v>424</v>
      </c>
      <c r="D42" s="13" t="s">
        <v>595</v>
      </c>
      <c r="E42" s="14" t="s">
        <v>425</v>
      </c>
      <c r="F42" s="13"/>
      <c r="G42" s="14" t="s">
        <v>426</v>
      </c>
      <c r="H42" s="13"/>
      <c r="I42" s="14" t="s">
        <v>427</v>
      </c>
      <c r="J42" s="13"/>
      <c r="K42" s="8"/>
    </row>
    <row r="43" spans="1:11" ht="16.5" customHeight="1">
      <c r="A43" s="14" t="s">
        <v>36</v>
      </c>
      <c r="B43" s="13" t="s">
        <v>625</v>
      </c>
      <c r="C43" s="14" t="s">
        <v>428</v>
      </c>
      <c r="D43" s="13" t="s">
        <v>602</v>
      </c>
      <c r="E43" s="14" t="s">
        <v>429</v>
      </c>
      <c r="F43" s="13"/>
      <c r="G43" s="14" t="s">
        <v>430</v>
      </c>
      <c r="H43" s="13"/>
      <c r="I43" s="14" t="s">
        <v>431</v>
      </c>
      <c r="J43" s="13"/>
      <c r="K43" s="8"/>
    </row>
    <row r="44" spans="1:11" ht="16.5" customHeight="1">
      <c r="A44" s="14" t="s">
        <v>432</v>
      </c>
      <c r="B44" s="13" t="s">
        <v>626</v>
      </c>
      <c r="C44" s="14" t="s">
        <v>433</v>
      </c>
      <c r="D44" s="19" t="s">
        <v>622</v>
      </c>
      <c r="E44" s="14" t="s">
        <v>434</v>
      </c>
      <c r="F44" s="13"/>
      <c r="G44" s="14" t="s">
        <v>435</v>
      </c>
      <c r="H44" s="13"/>
      <c r="I44" s="14" t="s">
        <v>436</v>
      </c>
      <c r="J44" s="13"/>
      <c r="K44" s="8"/>
    </row>
    <row r="45" spans="1:11" ht="16.5" customHeight="1">
      <c r="A45" s="14" t="s">
        <v>437</v>
      </c>
      <c r="B45" s="13" t="s">
        <v>614</v>
      </c>
      <c r="C45" s="14" t="s">
        <v>438</v>
      </c>
      <c r="D45" s="13" t="s">
        <v>623</v>
      </c>
      <c r="E45" s="14" t="s">
        <v>439</v>
      </c>
      <c r="F45" s="13"/>
      <c r="G45" s="14" t="s">
        <v>440</v>
      </c>
      <c r="H45" s="13"/>
      <c r="I45" s="14" t="s">
        <v>441</v>
      </c>
      <c r="J45" s="13"/>
      <c r="K45" s="8"/>
    </row>
    <row r="46" spans="1:11" ht="16.5" customHeight="1">
      <c r="A46" s="14" t="s">
        <v>442</v>
      </c>
      <c r="B46" s="13"/>
      <c r="C46" s="14" t="s">
        <v>443</v>
      </c>
      <c r="E46" s="14" t="s">
        <v>444</v>
      </c>
      <c r="F46" s="13"/>
      <c r="G46" s="14" t="s">
        <v>445</v>
      </c>
      <c r="H46" s="13"/>
      <c r="I46" s="14" t="s">
        <v>446</v>
      </c>
      <c r="J46" s="13"/>
      <c r="K46" s="8"/>
    </row>
    <row r="47" spans="1:11" ht="16.5" customHeight="1">
      <c r="A47" s="14" t="s">
        <v>447</v>
      </c>
      <c r="B47" s="13"/>
      <c r="C47" s="14" t="s">
        <v>448</v>
      </c>
      <c r="D47" s="13"/>
      <c r="E47" s="14" t="s">
        <v>449</v>
      </c>
      <c r="F47" s="13"/>
      <c r="G47" s="14" t="s">
        <v>450</v>
      </c>
      <c r="H47" s="13"/>
      <c r="I47" s="14" t="s">
        <v>451</v>
      </c>
      <c r="J47" s="13"/>
      <c r="K47" s="8"/>
    </row>
    <row r="48" spans="1:11" ht="16.5" customHeight="1">
      <c r="A48" s="14" t="s">
        <v>452</v>
      </c>
      <c r="B48" s="13"/>
      <c r="C48" s="14" t="s">
        <v>453</v>
      </c>
      <c r="D48" s="13"/>
      <c r="E48" s="14" t="s">
        <v>454</v>
      </c>
      <c r="F48" s="13"/>
      <c r="G48" s="14" t="s">
        <v>455</v>
      </c>
      <c r="H48" s="13"/>
      <c r="I48" s="14" t="s">
        <v>456</v>
      </c>
      <c r="J48" s="13"/>
      <c r="K48" s="8"/>
    </row>
    <row r="49" spans="1:11" ht="16.5" customHeight="1">
      <c r="A49" s="14" t="s">
        <v>457</v>
      </c>
      <c r="B49" s="13"/>
      <c r="C49" s="14" t="s">
        <v>458</v>
      </c>
      <c r="D49" s="13"/>
      <c r="E49" s="14" t="s">
        <v>459</v>
      </c>
      <c r="F49" s="13"/>
      <c r="G49" s="14" t="s">
        <v>460</v>
      </c>
      <c r="H49" s="13"/>
      <c r="I49" s="14" t="s">
        <v>461</v>
      </c>
      <c r="J49" s="13"/>
      <c r="K49" s="8"/>
    </row>
    <row r="50" spans="1:11" ht="16.5" customHeight="1">
      <c r="A50" s="14" t="s">
        <v>462</v>
      </c>
      <c r="B50" s="13"/>
      <c r="C50" s="14" t="s">
        <v>463</v>
      </c>
      <c r="D50" s="13"/>
      <c r="E50" s="14" t="s">
        <v>464</v>
      </c>
      <c r="F50" s="13"/>
      <c r="G50" s="14" t="s">
        <v>465</v>
      </c>
      <c r="H50" s="13"/>
      <c r="I50" s="14" t="s">
        <v>466</v>
      </c>
      <c r="J50" s="13"/>
      <c r="K50" s="8"/>
    </row>
    <row r="51" spans="1:11" ht="16.5" customHeight="1">
      <c r="A51" s="14" t="s">
        <v>467</v>
      </c>
      <c r="B51" s="13"/>
      <c r="C51" s="14" t="s">
        <v>468</v>
      </c>
      <c r="D51" s="13"/>
      <c r="E51" s="14" t="s">
        <v>469</v>
      </c>
      <c r="F51" s="13"/>
      <c r="G51" s="14" t="s">
        <v>470</v>
      </c>
      <c r="H51" s="13"/>
      <c r="I51" s="14" t="s">
        <v>471</v>
      </c>
      <c r="J51" s="13"/>
      <c r="K51" s="8"/>
    </row>
    <row r="52" spans="1:11" ht="16.5" customHeight="1">
      <c r="A52" s="14" t="s">
        <v>472</v>
      </c>
      <c r="B52" s="13"/>
      <c r="C52" s="14" t="s">
        <v>473</v>
      </c>
      <c r="D52" s="13"/>
      <c r="E52" s="14" t="s">
        <v>474</v>
      </c>
      <c r="F52" s="13"/>
      <c r="G52" s="14" t="s">
        <v>475</v>
      </c>
      <c r="H52" s="13"/>
      <c r="I52" s="14" t="s">
        <v>476</v>
      </c>
      <c r="J52" s="13"/>
      <c r="K52" s="8"/>
    </row>
    <row r="53" spans="1:11" ht="16.5" customHeight="1">
      <c r="A53" s="14" t="s">
        <v>46</v>
      </c>
      <c r="B53" s="13"/>
      <c r="C53" s="14" t="s">
        <v>477</v>
      </c>
      <c r="D53" s="13"/>
      <c r="E53" s="14" t="s">
        <v>478</v>
      </c>
      <c r="F53" s="13"/>
      <c r="G53" s="14" t="s">
        <v>479</v>
      </c>
      <c r="H53" s="13"/>
      <c r="I53" s="14" t="s">
        <v>480</v>
      </c>
      <c r="J53" s="13"/>
      <c r="K53" s="8"/>
    </row>
    <row r="54" spans="1:11" ht="16.5" customHeight="1">
      <c r="A54" s="14" t="s">
        <v>481</v>
      </c>
      <c r="B54" s="13"/>
      <c r="C54" s="14" t="s">
        <v>482</v>
      </c>
      <c r="D54" s="13"/>
      <c r="E54" s="14" t="s">
        <v>483</v>
      </c>
      <c r="F54" s="13"/>
      <c r="G54" s="14" t="s">
        <v>484</v>
      </c>
      <c r="H54" s="13"/>
      <c r="I54" s="14" t="s">
        <v>485</v>
      </c>
      <c r="J54" s="13"/>
      <c r="K54" s="8"/>
    </row>
    <row r="55" spans="1:11" ht="16.5" customHeight="1">
      <c r="A55" s="14" t="s">
        <v>486</v>
      </c>
      <c r="B55" s="13"/>
      <c r="C55" s="14" t="s">
        <v>487</v>
      </c>
      <c r="D55" s="13"/>
      <c r="E55" s="14" t="s">
        <v>488</v>
      </c>
      <c r="F55" s="13"/>
      <c r="G55" s="14" t="s">
        <v>489</v>
      </c>
      <c r="H55" s="13"/>
      <c r="I55" s="14" t="s">
        <v>490</v>
      </c>
      <c r="J55" s="13"/>
      <c r="K55" s="8"/>
    </row>
    <row r="56" spans="1:11" ht="16.5" customHeight="1">
      <c r="A56" s="14" t="s">
        <v>491</v>
      </c>
      <c r="B56" s="13"/>
      <c r="C56" s="14" t="s">
        <v>492</v>
      </c>
      <c r="D56" s="13"/>
      <c r="E56" s="14" t="s">
        <v>493</v>
      </c>
      <c r="F56" s="13"/>
      <c r="G56" s="14" t="s">
        <v>494</v>
      </c>
      <c r="H56" s="13"/>
      <c r="I56" s="14" t="s">
        <v>495</v>
      </c>
      <c r="J56" s="13"/>
      <c r="K56" s="8"/>
    </row>
    <row r="57" spans="1:11" ht="16.5" customHeight="1">
      <c r="A57" s="14" t="s">
        <v>496</v>
      </c>
      <c r="B57" s="13"/>
      <c r="C57" s="14" t="s">
        <v>497</v>
      </c>
      <c r="D57" s="13"/>
      <c r="E57" s="14" t="s">
        <v>498</v>
      </c>
      <c r="F57" s="13"/>
      <c r="G57" s="14" t="s">
        <v>499</v>
      </c>
      <c r="H57" s="13"/>
      <c r="I57" s="14" t="s">
        <v>500</v>
      </c>
      <c r="J57" s="13"/>
      <c r="K57" s="8"/>
    </row>
    <row r="58" spans="1:11" ht="16.5" customHeight="1">
      <c r="A58" s="14" t="s">
        <v>501</v>
      </c>
      <c r="B58" s="13"/>
      <c r="C58" s="14" t="s">
        <v>502</v>
      </c>
      <c r="D58" s="13"/>
      <c r="E58" s="14" t="s">
        <v>503</v>
      </c>
      <c r="F58" s="13"/>
      <c r="G58" s="14" t="s">
        <v>504</v>
      </c>
      <c r="H58" s="13"/>
      <c r="I58" s="14" t="s">
        <v>505</v>
      </c>
      <c r="J58" s="13"/>
      <c r="K58" s="8"/>
    </row>
    <row r="59" spans="1:11" ht="16.5" customHeight="1">
      <c r="A59" s="14" t="s">
        <v>506</v>
      </c>
      <c r="B59" s="13"/>
      <c r="C59" s="14" t="s">
        <v>507</v>
      </c>
      <c r="D59" s="13"/>
      <c r="E59" s="14" t="s">
        <v>508</v>
      </c>
      <c r="F59" s="13"/>
      <c r="G59" s="14" t="s">
        <v>509</v>
      </c>
      <c r="H59" s="13"/>
      <c r="I59" s="14" t="s">
        <v>510</v>
      </c>
      <c r="J59" s="13"/>
      <c r="K59" s="8"/>
    </row>
    <row r="60" spans="1:11" ht="16.5" customHeight="1">
      <c r="A60" s="14" t="s">
        <v>511</v>
      </c>
      <c r="B60" s="13"/>
      <c r="C60" s="14" t="s">
        <v>512</v>
      </c>
      <c r="D60" s="13"/>
      <c r="E60" s="14" t="s">
        <v>513</v>
      </c>
      <c r="F60" s="13"/>
      <c r="G60" s="14" t="s">
        <v>514</v>
      </c>
      <c r="H60" s="13"/>
      <c r="I60" s="14" t="s">
        <v>515</v>
      </c>
      <c r="J60" s="13"/>
      <c r="K60" s="8"/>
    </row>
    <row r="61" spans="1:11" ht="16.5" customHeight="1">
      <c r="A61" s="14" t="s">
        <v>516</v>
      </c>
      <c r="B61" s="13"/>
      <c r="C61" s="14" t="s">
        <v>517</v>
      </c>
      <c r="D61" s="13"/>
      <c r="E61" s="14" t="s">
        <v>518</v>
      </c>
      <c r="F61" s="13"/>
      <c r="G61" s="14" t="s">
        <v>519</v>
      </c>
      <c r="H61" s="13"/>
      <c r="I61" s="14" t="s">
        <v>520</v>
      </c>
      <c r="J61" s="13"/>
      <c r="K61" s="8"/>
    </row>
    <row r="62" spans="1:11" ht="16.5" customHeight="1">
      <c r="A62" s="14" t="s">
        <v>521</v>
      </c>
      <c r="B62" s="13"/>
      <c r="C62" s="14" t="s">
        <v>522</v>
      </c>
      <c r="D62" s="13"/>
      <c r="E62" s="14" t="s">
        <v>523</v>
      </c>
      <c r="F62" s="13"/>
      <c r="G62" s="14" t="s">
        <v>524</v>
      </c>
      <c r="H62" s="13"/>
      <c r="I62" s="14" t="s">
        <v>525</v>
      </c>
      <c r="J62" s="13"/>
      <c r="K62" s="8"/>
    </row>
    <row r="63" spans="1:11" ht="16.5" customHeight="1">
      <c r="A63" s="14" t="s">
        <v>62</v>
      </c>
      <c r="B63" s="13"/>
      <c r="C63" s="14" t="s">
        <v>526</v>
      </c>
      <c r="D63" s="13"/>
      <c r="E63" s="14" t="s">
        <v>527</v>
      </c>
      <c r="F63" s="13"/>
      <c r="G63" s="14" t="s">
        <v>528</v>
      </c>
      <c r="H63" s="13"/>
      <c r="I63" s="14" t="s">
        <v>529</v>
      </c>
      <c r="J63" s="13"/>
      <c r="K63" s="8"/>
    </row>
    <row r="64" spans="1:11" ht="16.5" customHeight="1">
      <c r="A64" s="14" t="s">
        <v>530</v>
      </c>
      <c r="B64" s="13"/>
      <c r="C64" s="14" t="s">
        <v>531</v>
      </c>
      <c r="D64" s="13"/>
      <c r="E64" s="14" t="s">
        <v>532</v>
      </c>
      <c r="F64" s="13"/>
      <c r="G64" s="14" t="s">
        <v>533</v>
      </c>
      <c r="H64" s="13"/>
      <c r="I64" s="14" t="s">
        <v>534</v>
      </c>
      <c r="J64" s="13"/>
      <c r="K64" s="8"/>
    </row>
    <row r="65" spans="1:17" ht="16.5" customHeight="1">
      <c r="A65" s="14" t="s">
        <v>535</v>
      </c>
      <c r="B65" s="13"/>
      <c r="C65" s="14" t="s">
        <v>536</v>
      </c>
      <c r="D65" s="13"/>
      <c r="E65" s="14" t="s">
        <v>537</v>
      </c>
      <c r="F65" s="13"/>
      <c r="G65" s="14" t="s">
        <v>538</v>
      </c>
      <c r="H65" s="13"/>
      <c r="I65" s="14" t="s">
        <v>539</v>
      </c>
      <c r="J65" s="13"/>
      <c r="K65" s="8"/>
    </row>
    <row r="66" spans="1:17" ht="16.5" customHeight="1">
      <c r="A66" s="14" t="s">
        <v>540</v>
      </c>
      <c r="B66" s="13"/>
      <c r="C66" s="14" t="s">
        <v>541</v>
      </c>
      <c r="D66" s="13"/>
      <c r="E66" s="14" t="s">
        <v>542</v>
      </c>
      <c r="F66" s="13"/>
      <c r="G66" s="14" t="s">
        <v>543</v>
      </c>
      <c r="H66" s="13"/>
      <c r="I66" s="14" t="s">
        <v>544</v>
      </c>
      <c r="J66" s="13"/>
      <c r="K66" s="8"/>
    </row>
    <row r="67" spans="1:17" ht="16.5" customHeight="1">
      <c r="A67" s="14" t="s">
        <v>545</v>
      </c>
      <c r="B67" s="13"/>
      <c r="C67" s="14" t="s">
        <v>546</v>
      </c>
      <c r="D67" s="13"/>
      <c r="E67" s="14" t="s">
        <v>547</v>
      </c>
      <c r="F67" s="13"/>
      <c r="G67" s="14" t="s">
        <v>548</v>
      </c>
      <c r="H67" s="13"/>
      <c r="I67" s="14" t="s">
        <v>549</v>
      </c>
      <c r="J67" s="13"/>
      <c r="K67" s="8"/>
    </row>
    <row r="68" spans="1:17" ht="16.5" customHeight="1">
      <c r="A68" s="14" t="s">
        <v>550</v>
      </c>
      <c r="B68" s="13"/>
      <c r="C68" s="14" t="s">
        <v>551</v>
      </c>
      <c r="D68" s="13"/>
      <c r="E68" s="14" t="s">
        <v>552</v>
      </c>
      <c r="F68" s="13"/>
      <c r="G68" s="14" t="s">
        <v>553</v>
      </c>
      <c r="H68" s="13"/>
      <c r="I68" s="14" t="s">
        <v>554</v>
      </c>
      <c r="J68" s="13"/>
      <c r="K68" s="8"/>
    </row>
    <row r="69" spans="1:17" ht="16.5" customHeight="1">
      <c r="A69" s="14" t="s">
        <v>555</v>
      </c>
      <c r="B69" s="13"/>
      <c r="C69" s="14" t="s">
        <v>556</v>
      </c>
      <c r="D69" s="13"/>
      <c r="E69" s="14" t="s">
        <v>557</v>
      </c>
      <c r="F69" s="13"/>
      <c r="G69" s="14" t="s">
        <v>558</v>
      </c>
      <c r="H69" s="13"/>
      <c r="I69" s="14" t="s">
        <v>559</v>
      </c>
      <c r="J69" s="13"/>
      <c r="K69" s="8"/>
    </row>
    <row r="70" spans="1:17" ht="16.5" customHeight="1">
      <c r="A70" s="14" t="s">
        <v>560</v>
      </c>
      <c r="B70" s="13"/>
      <c r="C70" s="14" t="s">
        <v>561</v>
      </c>
      <c r="D70" s="13"/>
      <c r="E70" s="14" t="s">
        <v>562</v>
      </c>
      <c r="F70" s="13"/>
      <c r="G70" s="14" t="s">
        <v>563</v>
      </c>
      <c r="H70" s="13"/>
      <c r="I70" s="14" t="s">
        <v>564</v>
      </c>
      <c r="J70" s="13"/>
      <c r="K70" s="8"/>
    </row>
    <row r="71" spans="1:17" ht="16.5" customHeight="1">
      <c r="A71" s="14" t="s">
        <v>565</v>
      </c>
      <c r="B71" s="13"/>
      <c r="C71" s="14" t="s">
        <v>566</v>
      </c>
      <c r="D71" s="13"/>
      <c r="E71" s="14" t="s">
        <v>567</v>
      </c>
      <c r="F71" s="13"/>
      <c r="G71" s="14" t="s">
        <v>568</v>
      </c>
      <c r="H71" s="13"/>
      <c r="I71" s="14" t="s">
        <v>569</v>
      </c>
      <c r="J71" s="13"/>
      <c r="K71" s="8"/>
    </row>
    <row r="72" spans="1:17" ht="16.5" customHeight="1">
      <c r="A72" s="14" t="s">
        <v>570</v>
      </c>
      <c r="B72" s="13"/>
      <c r="C72" s="14" t="s">
        <v>571</v>
      </c>
      <c r="D72" s="13"/>
      <c r="E72" s="14" t="s">
        <v>572</v>
      </c>
      <c r="F72" s="13"/>
      <c r="G72" s="14" t="s">
        <v>573</v>
      </c>
      <c r="H72" s="13"/>
      <c r="I72" s="14" t="s">
        <v>574</v>
      </c>
      <c r="J72" s="13"/>
      <c r="K72" s="8"/>
    </row>
    <row r="73" spans="1:17" ht="16.5" customHeight="1">
      <c r="A73" s="171"/>
      <c r="B73" s="172"/>
      <c r="C73" s="171"/>
      <c r="D73" s="172"/>
      <c r="E73" s="171"/>
      <c r="F73" s="172"/>
      <c r="G73" s="171"/>
      <c r="H73" s="172"/>
      <c r="I73" s="171"/>
      <c r="J73" s="172"/>
      <c r="K73" s="8"/>
    </row>
    <row r="75" spans="1:17" s="1" customFormat="1" ht="16.5" customHeight="1">
      <c r="A75" s="15" t="s">
        <v>629</v>
      </c>
      <c r="O75"/>
      <c r="P75"/>
      <c r="Q75"/>
    </row>
    <row r="76" spans="1:17">
      <c r="A76" s="3" t="s">
        <v>4</v>
      </c>
      <c r="B76" s="13" t="s">
        <v>627</v>
      </c>
      <c r="C76" s="3" t="s">
        <v>4</v>
      </c>
      <c r="D76" s="13" t="s">
        <v>627</v>
      </c>
      <c r="E76" s="3" t="s">
        <v>4</v>
      </c>
      <c r="F76" s="13" t="s">
        <v>627</v>
      </c>
      <c r="G76" s="3" t="s">
        <v>4</v>
      </c>
      <c r="H76" s="13" t="s">
        <v>627</v>
      </c>
      <c r="I76" s="3" t="s">
        <v>4</v>
      </c>
      <c r="J76" s="13" t="s">
        <v>627</v>
      </c>
      <c r="K76" s="7"/>
    </row>
    <row r="77" spans="1:17">
      <c r="A77" s="14" t="s">
        <v>16</v>
      </c>
      <c r="B77" s="13" t="s">
        <v>669</v>
      </c>
      <c r="C77" s="14" t="s">
        <v>26</v>
      </c>
      <c r="D77" s="13"/>
      <c r="E77" s="14" t="s">
        <v>36</v>
      </c>
      <c r="F77" s="13"/>
      <c r="G77" s="14" t="s">
        <v>46</v>
      </c>
      <c r="H77" s="13"/>
      <c r="I77" s="14" t="s">
        <v>62</v>
      </c>
      <c r="J77" s="13"/>
      <c r="K77" s="8"/>
    </row>
    <row r="78" spans="1:17">
      <c r="A78" s="14" t="s">
        <v>17</v>
      </c>
      <c r="B78" s="13"/>
      <c r="C78" s="14" t="s">
        <v>27</v>
      </c>
      <c r="D78" s="13"/>
      <c r="E78" s="14" t="s">
        <v>37</v>
      </c>
      <c r="F78" s="13"/>
      <c r="G78" s="14" t="s">
        <v>47</v>
      </c>
      <c r="H78" s="13"/>
      <c r="I78" s="14" t="s">
        <v>63</v>
      </c>
      <c r="J78" s="13"/>
      <c r="K78" s="8"/>
    </row>
    <row r="79" spans="1:17">
      <c r="A79" s="14" t="s">
        <v>18</v>
      </c>
      <c r="B79" s="13"/>
      <c r="C79" s="14" t="s">
        <v>28</v>
      </c>
      <c r="D79" s="13"/>
      <c r="E79" s="14" t="s">
        <v>38</v>
      </c>
      <c r="F79" s="13"/>
      <c r="G79" s="14" t="s">
        <v>48</v>
      </c>
      <c r="H79" s="13"/>
      <c r="I79" s="14" t="s">
        <v>64</v>
      </c>
      <c r="J79" s="13"/>
      <c r="K79" s="8"/>
    </row>
    <row r="80" spans="1:17">
      <c r="A80" s="14" t="s">
        <v>19</v>
      </c>
      <c r="B80" s="13"/>
      <c r="C80" s="14" t="s">
        <v>29</v>
      </c>
      <c r="D80" s="13"/>
      <c r="E80" s="14" t="s">
        <v>39</v>
      </c>
      <c r="F80" s="13"/>
      <c r="G80" s="14" t="s">
        <v>49</v>
      </c>
      <c r="H80" s="13"/>
      <c r="I80" s="14" t="s">
        <v>65</v>
      </c>
      <c r="J80" s="13"/>
      <c r="K80" s="8"/>
    </row>
    <row r="81" spans="1:17">
      <c r="A81" s="14" t="s">
        <v>20</v>
      </c>
      <c r="B81" s="13"/>
      <c r="C81" s="14" t="s">
        <v>30</v>
      </c>
      <c r="D81" s="13"/>
      <c r="E81" s="14" t="s">
        <v>40</v>
      </c>
      <c r="F81" s="13"/>
      <c r="G81" s="14" t="s">
        <v>50</v>
      </c>
      <c r="H81" s="13"/>
      <c r="I81" s="14" t="s">
        <v>56</v>
      </c>
      <c r="J81" s="13"/>
      <c r="K81" s="8"/>
    </row>
    <row r="82" spans="1:17">
      <c r="A82" s="14" t="s">
        <v>21</v>
      </c>
      <c r="B82" s="13"/>
      <c r="C82" s="14" t="s">
        <v>31</v>
      </c>
      <c r="D82" s="13"/>
      <c r="E82" s="14" t="s">
        <v>41</v>
      </c>
      <c r="F82" s="13"/>
      <c r="G82" s="14" t="s">
        <v>51</v>
      </c>
      <c r="H82" s="13"/>
      <c r="I82" s="14" t="s">
        <v>57</v>
      </c>
      <c r="J82" s="13"/>
      <c r="K82" s="8"/>
    </row>
    <row r="83" spans="1:17">
      <c r="A83" s="14" t="s">
        <v>22</v>
      </c>
      <c r="B83" s="13"/>
      <c r="C83" s="14" t="s">
        <v>32</v>
      </c>
      <c r="D83" s="13"/>
      <c r="E83" s="14" t="s">
        <v>42</v>
      </c>
      <c r="F83" s="13"/>
      <c r="G83" s="14" t="s">
        <v>52</v>
      </c>
      <c r="H83" s="13"/>
      <c r="I83" s="14" t="s">
        <v>58</v>
      </c>
      <c r="J83" s="13"/>
      <c r="K83" s="8"/>
    </row>
    <row r="84" spans="1:17">
      <c r="A84" s="14" t="s">
        <v>23</v>
      </c>
      <c r="B84" s="13"/>
      <c r="C84" s="14" t="s">
        <v>33</v>
      </c>
      <c r="D84" s="13"/>
      <c r="E84" s="14" t="s">
        <v>43</v>
      </c>
      <c r="F84" s="13"/>
      <c r="G84" s="14" t="s">
        <v>53</v>
      </c>
      <c r="H84" s="13"/>
      <c r="I84" s="14" t="s">
        <v>59</v>
      </c>
      <c r="J84" s="13"/>
      <c r="K84" s="8"/>
    </row>
    <row r="85" spans="1:17">
      <c r="A85" s="14" t="s">
        <v>24</v>
      </c>
      <c r="B85" s="13"/>
      <c r="C85" s="14" t="s">
        <v>34</v>
      </c>
      <c r="D85" s="13"/>
      <c r="E85" s="14" t="s">
        <v>44</v>
      </c>
      <c r="F85" s="13"/>
      <c r="G85" s="14" t="s">
        <v>54</v>
      </c>
      <c r="H85" s="13"/>
      <c r="I85" s="14" t="s">
        <v>60</v>
      </c>
      <c r="J85" s="13"/>
      <c r="K85" s="8"/>
    </row>
    <row r="86" spans="1:17">
      <c r="A86" s="14" t="s">
        <v>25</v>
      </c>
      <c r="B86" s="2"/>
      <c r="C86" s="14" t="s">
        <v>35</v>
      </c>
      <c r="D86" s="13"/>
      <c r="E86" s="14" t="s">
        <v>45</v>
      </c>
      <c r="F86" s="13"/>
      <c r="G86" s="14" t="s">
        <v>55</v>
      </c>
      <c r="H86" s="13"/>
      <c r="I86" s="14" t="s">
        <v>61</v>
      </c>
      <c r="J86" s="13"/>
      <c r="K86" s="8"/>
    </row>
    <row r="89" spans="1:17" s="1" customFormat="1" ht="16.5" customHeight="1">
      <c r="A89" s="15" t="s">
        <v>630</v>
      </c>
      <c r="O89"/>
      <c r="P89"/>
      <c r="Q89"/>
    </row>
    <row r="90" spans="1:17" s="1" customFormat="1" ht="16.5" customHeight="1">
      <c r="A90" s="3" t="s">
        <v>4</v>
      </c>
      <c r="B90" s="3" t="s">
        <v>631</v>
      </c>
      <c r="C90" s="176" t="s">
        <v>664</v>
      </c>
      <c r="D90" s="9"/>
      <c r="E90" s="9"/>
      <c r="F90" s="11"/>
      <c r="G90" s="174"/>
      <c r="H90" s="9"/>
      <c r="I90" s="9"/>
      <c r="J90" s="10"/>
      <c r="O90"/>
      <c r="P90"/>
      <c r="Q90"/>
    </row>
    <row r="91" spans="1:17" s="1" customFormat="1" ht="16.5" customHeight="1">
      <c r="A91" s="3">
        <v>1</v>
      </c>
      <c r="B91" s="175" t="s">
        <v>633</v>
      </c>
      <c r="C91" s="174" t="s">
        <v>632</v>
      </c>
      <c r="D91" s="9"/>
      <c r="E91" s="11"/>
      <c r="F91" s="11"/>
      <c r="G91" s="9"/>
      <c r="H91" s="11"/>
      <c r="I91" s="9"/>
      <c r="J91" s="12"/>
      <c r="K91" s="4"/>
      <c r="O91"/>
      <c r="P91"/>
      <c r="Q91"/>
    </row>
    <row r="92" spans="1:17" s="1" customFormat="1" ht="16.5" customHeight="1">
      <c r="A92" s="3">
        <v>2</v>
      </c>
      <c r="B92" s="175" t="s">
        <v>634</v>
      </c>
      <c r="C92" s="174" t="s">
        <v>635</v>
      </c>
      <c r="D92" s="9"/>
      <c r="E92" s="11"/>
      <c r="F92" s="11"/>
      <c r="G92" s="9"/>
      <c r="H92" s="11"/>
      <c r="I92" s="9"/>
      <c r="J92" s="12"/>
      <c r="K92" s="4"/>
      <c r="O92"/>
      <c r="P92"/>
      <c r="Q92"/>
    </row>
  </sheetData>
  <autoFilter ref="A22:Q22"/>
  <phoneticPr fontId="7" type="noConversion"/>
  <pageMargins left="0.31496062992125984" right="0.31496062992125984" top="0.35433070866141736" bottom="0.35433070866141736" header="0.11811023622047245" footer="0.11811023622047245"/>
  <pageSetup paperSize="9" orientation="landscape" r:id="rId1"/>
  <headerFooter>
    <oddFooter>第 &amp;P 頁，共 &amp;N 頁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C3" sqref="C3"/>
    </sheetView>
  </sheetViews>
  <sheetFormatPr defaultRowHeight="15.75"/>
  <cols>
    <col min="1" max="1" width="7.42578125" customWidth="1"/>
    <col min="2" max="2" width="13.42578125" customWidth="1"/>
    <col min="3" max="3" width="12.5703125" customWidth="1"/>
    <col min="4" max="7" width="28.28515625" customWidth="1"/>
    <col min="8" max="16" width="11.85546875" customWidth="1"/>
  </cols>
  <sheetData>
    <row r="1" spans="1:16" ht="24.75" customHeight="1">
      <c r="A1" s="20" t="s">
        <v>637</v>
      </c>
      <c r="E1" s="38" t="s">
        <v>112</v>
      </c>
    </row>
    <row r="2" spans="1:16" s="22" customFormat="1" ht="36" customHeight="1">
      <c r="A2" s="33" t="s">
        <v>81</v>
      </c>
      <c r="B2" s="33" t="s">
        <v>636</v>
      </c>
      <c r="C2" s="34" t="s">
        <v>12</v>
      </c>
      <c r="D2" s="35" t="s">
        <v>69</v>
      </c>
      <c r="E2" s="36" t="s">
        <v>225</v>
      </c>
      <c r="F2" s="36" t="s">
        <v>70</v>
      </c>
      <c r="G2" s="36" t="s">
        <v>15</v>
      </c>
      <c r="H2" s="34" t="s">
        <v>11</v>
      </c>
      <c r="I2" s="34" t="s">
        <v>68</v>
      </c>
      <c r="J2" s="34" t="s">
        <v>142</v>
      </c>
      <c r="K2" s="34" t="s">
        <v>85</v>
      </c>
      <c r="L2" s="34" t="s">
        <v>86</v>
      </c>
      <c r="M2" s="34" t="s">
        <v>67</v>
      </c>
      <c r="N2" s="34" t="s">
        <v>123</v>
      </c>
      <c r="O2" s="34" t="s">
        <v>14</v>
      </c>
      <c r="P2" s="37" t="s">
        <v>71</v>
      </c>
    </row>
    <row r="3" spans="1:16" s="23" customFormat="1" ht="20.25" customHeight="1">
      <c r="A3" s="17" t="s">
        <v>639</v>
      </c>
      <c r="B3" s="17" t="s">
        <v>659</v>
      </c>
      <c r="C3" s="17" t="s">
        <v>660</v>
      </c>
      <c r="D3" s="17" t="s">
        <v>662</v>
      </c>
      <c r="E3" s="17"/>
      <c r="F3" s="17"/>
      <c r="G3" s="18"/>
      <c r="H3" s="21"/>
      <c r="I3" s="21" t="s">
        <v>661</v>
      </c>
      <c r="J3" s="21"/>
      <c r="K3" s="21"/>
      <c r="L3" s="18"/>
      <c r="M3" s="18"/>
      <c r="N3" s="18"/>
      <c r="O3" s="18"/>
      <c r="P3" s="18"/>
    </row>
    <row r="4" spans="1:16" s="23" customFormat="1" ht="20.25" customHeight="1">
      <c r="A4" s="17" t="s">
        <v>638</v>
      </c>
      <c r="B4" s="17"/>
      <c r="C4" s="17"/>
      <c r="D4" s="17"/>
      <c r="E4" s="17"/>
      <c r="F4" s="17"/>
      <c r="G4" s="18"/>
      <c r="H4" s="21"/>
      <c r="I4" s="21"/>
      <c r="J4" s="21"/>
      <c r="K4" s="21"/>
      <c r="L4" s="18"/>
      <c r="M4" s="18"/>
      <c r="N4" s="18"/>
      <c r="O4" s="18"/>
      <c r="P4" s="18"/>
    </row>
    <row r="5" spans="1:16" s="23" customFormat="1" ht="20.25" customHeight="1">
      <c r="A5" s="17" t="s">
        <v>640</v>
      </c>
      <c r="B5" s="17"/>
      <c r="C5" s="17"/>
      <c r="D5" s="17"/>
      <c r="E5" s="17"/>
      <c r="F5" s="17"/>
      <c r="G5" s="18"/>
      <c r="H5" s="21"/>
      <c r="I5" s="21"/>
      <c r="J5" s="21"/>
      <c r="K5" s="21"/>
      <c r="L5" s="18"/>
      <c r="M5" s="18"/>
      <c r="N5" s="18"/>
      <c r="O5" s="18"/>
      <c r="P5" s="18"/>
    </row>
    <row r="6" spans="1:16" s="23" customFormat="1" ht="20.25" customHeight="1">
      <c r="A6" s="17" t="s">
        <v>641</v>
      </c>
      <c r="B6" s="17"/>
      <c r="C6" s="17"/>
      <c r="D6" s="17"/>
      <c r="E6" s="17"/>
      <c r="F6" s="17"/>
      <c r="G6" s="18"/>
      <c r="H6" s="21"/>
      <c r="I6" s="21"/>
      <c r="J6" s="21"/>
      <c r="K6" s="21"/>
      <c r="L6" s="18"/>
      <c r="M6" s="18"/>
      <c r="N6" s="18"/>
      <c r="O6" s="18"/>
      <c r="P6" s="18"/>
    </row>
    <row r="7" spans="1:16" s="23" customFormat="1" ht="20.25" customHeight="1">
      <c r="A7" s="17" t="s">
        <v>642</v>
      </c>
      <c r="B7" s="17"/>
      <c r="C7" s="17"/>
      <c r="D7" s="17"/>
      <c r="E7" s="17"/>
      <c r="F7" s="17"/>
      <c r="G7" s="18"/>
      <c r="H7" s="21"/>
      <c r="I7" s="21"/>
      <c r="J7" s="21"/>
      <c r="K7" s="21"/>
      <c r="L7" s="18"/>
      <c r="M7" s="18"/>
      <c r="N7" s="18"/>
      <c r="O7" s="18"/>
      <c r="P7" s="18"/>
    </row>
    <row r="8" spans="1:16" s="23" customFormat="1" ht="20.25" customHeight="1">
      <c r="A8" s="17" t="s">
        <v>643</v>
      </c>
      <c r="B8" s="17"/>
      <c r="C8" s="17"/>
      <c r="D8" s="17"/>
      <c r="E8" s="17"/>
      <c r="F8" s="17"/>
      <c r="G8" s="18"/>
      <c r="H8" s="21"/>
      <c r="I8" s="21"/>
      <c r="J8" s="21"/>
      <c r="K8" s="21"/>
      <c r="L8" s="18"/>
      <c r="M8" s="18"/>
      <c r="N8" s="18"/>
      <c r="O8" s="18"/>
      <c r="P8" s="18"/>
    </row>
    <row r="9" spans="1:16" s="23" customFormat="1" ht="20.25" customHeight="1">
      <c r="A9" s="17" t="s">
        <v>644</v>
      </c>
      <c r="B9" s="17"/>
      <c r="C9" s="17"/>
      <c r="D9" s="17"/>
      <c r="E9" s="17"/>
      <c r="F9" s="17"/>
      <c r="G9" s="18"/>
      <c r="H9" s="21"/>
      <c r="I9" s="21"/>
      <c r="J9" s="21"/>
      <c r="K9" s="21"/>
      <c r="L9" s="18"/>
      <c r="M9" s="18"/>
      <c r="N9" s="18"/>
      <c r="O9" s="18"/>
      <c r="P9" s="18"/>
    </row>
    <row r="10" spans="1:16" s="23" customFormat="1" ht="20.25" customHeight="1">
      <c r="A10" s="17" t="s">
        <v>645</v>
      </c>
      <c r="B10" s="17"/>
      <c r="C10" s="17"/>
      <c r="D10" s="17"/>
      <c r="E10" s="17"/>
      <c r="F10" s="17"/>
      <c r="G10" s="18"/>
      <c r="H10" s="21"/>
      <c r="I10" s="21"/>
      <c r="J10" s="21"/>
      <c r="K10" s="21"/>
      <c r="L10" s="18"/>
      <c r="M10" s="18"/>
      <c r="N10" s="18"/>
      <c r="O10" s="18"/>
      <c r="P10" s="18"/>
    </row>
    <row r="11" spans="1:16" s="23" customFormat="1" ht="20.25" customHeight="1">
      <c r="A11" s="17" t="s">
        <v>646</v>
      </c>
      <c r="B11" s="17"/>
      <c r="C11" s="17"/>
      <c r="D11" s="17"/>
      <c r="E11" s="17"/>
      <c r="F11" s="17"/>
      <c r="G11" s="18"/>
      <c r="H11" s="21"/>
      <c r="I11" s="21"/>
      <c r="J11" s="21"/>
      <c r="K11" s="21"/>
      <c r="L11" s="18"/>
      <c r="M11" s="18"/>
      <c r="N11" s="18"/>
      <c r="O11" s="18"/>
      <c r="P11" s="18"/>
    </row>
    <row r="12" spans="1:16" s="23" customFormat="1" ht="20.25" customHeight="1">
      <c r="A12" s="17" t="s">
        <v>647</v>
      </c>
      <c r="B12" s="17"/>
      <c r="C12" s="17"/>
      <c r="D12" s="17"/>
      <c r="E12" s="17"/>
      <c r="F12" s="17"/>
      <c r="G12" s="18"/>
      <c r="H12" s="21"/>
      <c r="I12" s="21"/>
      <c r="J12" s="21"/>
      <c r="K12" s="21"/>
      <c r="L12" s="18"/>
      <c r="M12" s="18"/>
      <c r="N12" s="18"/>
      <c r="O12" s="18"/>
      <c r="P12" s="18"/>
    </row>
    <row r="13" spans="1:16" s="23" customFormat="1" ht="20.25" customHeight="1">
      <c r="A13" s="17" t="s">
        <v>648</v>
      </c>
      <c r="B13" s="17"/>
      <c r="C13" s="17"/>
      <c r="D13" s="17"/>
      <c r="E13" s="17"/>
      <c r="F13" s="17"/>
      <c r="G13" s="18"/>
      <c r="H13" s="21"/>
      <c r="I13" s="21"/>
      <c r="J13" s="21"/>
      <c r="K13" s="21"/>
      <c r="L13" s="18"/>
      <c r="M13" s="18"/>
      <c r="N13" s="18"/>
      <c r="O13" s="18"/>
      <c r="P13" s="18"/>
    </row>
    <row r="14" spans="1:16" s="23" customFormat="1" ht="20.25" customHeight="1">
      <c r="A14" s="17" t="s">
        <v>649</v>
      </c>
      <c r="B14" s="17"/>
      <c r="C14" s="17"/>
      <c r="D14" s="17"/>
      <c r="E14" s="17"/>
      <c r="F14" s="17"/>
      <c r="G14" s="18"/>
      <c r="H14" s="21"/>
      <c r="I14" s="21"/>
      <c r="J14" s="21"/>
      <c r="K14" s="21"/>
      <c r="L14" s="18"/>
      <c r="M14" s="18"/>
      <c r="N14" s="18"/>
      <c r="O14" s="18"/>
      <c r="P14" s="18"/>
    </row>
    <row r="15" spans="1:16" s="23" customFormat="1" ht="20.25" customHeight="1">
      <c r="A15" s="17" t="s">
        <v>650</v>
      </c>
      <c r="B15" s="17"/>
      <c r="C15" s="17"/>
      <c r="D15" s="17"/>
      <c r="E15" s="17"/>
      <c r="F15" s="17"/>
      <c r="G15" s="18"/>
      <c r="H15" s="21"/>
      <c r="I15" s="21"/>
      <c r="J15" s="21"/>
      <c r="K15" s="21"/>
      <c r="L15" s="18"/>
      <c r="M15" s="18"/>
      <c r="N15" s="18"/>
      <c r="O15" s="18"/>
      <c r="P15" s="18"/>
    </row>
    <row r="16" spans="1:16" s="23" customFormat="1" ht="20.25" customHeight="1">
      <c r="A16" s="17" t="s">
        <v>651</v>
      </c>
      <c r="B16" s="17"/>
      <c r="C16" s="17"/>
      <c r="D16" s="17"/>
      <c r="E16" s="17"/>
      <c r="F16" s="17"/>
      <c r="G16" s="18"/>
      <c r="H16" s="21"/>
      <c r="I16" s="21"/>
      <c r="J16" s="21"/>
      <c r="K16" s="21"/>
      <c r="L16" s="18"/>
      <c r="M16" s="18"/>
      <c r="N16" s="18"/>
      <c r="O16" s="18"/>
      <c r="P16" s="18"/>
    </row>
    <row r="17" spans="1:16" s="23" customFormat="1" ht="20.25" customHeight="1">
      <c r="A17" s="17" t="s">
        <v>652</v>
      </c>
      <c r="B17" s="17"/>
      <c r="C17" s="17"/>
      <c r="D17" s="17"/>
      <c r="E17" s="17"/>
      <c r="F17" s="17"/>
      <c r="G17" s="18"/>
      <c r="H17" s="21"/>
      <c r="I17" s="21"/>
      <c r="J17" s="21"/>
      <c r="K17" s="21"/>
      <c r="L17" s="18"/>
      <c r="M17" s="18"/>
      <c r="N17" s="18"/>
      <c r="O17" s="18"/>
      <c r="P17" s="18"/>
    </row>
    <row r="18" spans="1:16" s="23" customFormat="1" ht="20.25" customHeight="1">
      <c r="A18" s="17" t="s">
        <v>653</v>
      </c>
      <c r="B18" s="17"/>
      <c r="C18" s="17"/>
      <c r="D18" s="17"/>
      <c r="E18" s="17"/>
      <c r="F18" s="17"/>
      <c r="G18" s="18"/>
      <c r="H18" s="21"/>
      <c r="I18" s="21"/>
      <c r="J18" s="21"/>
      <c r="K18" s="21"/>
      <c r="L18" s="18"/>
      <c r="M18" s="18"/>
      <c r="N18" s="18"/>
      <c r="O18" s="18"/>
      <c r="P18" s="18"/>
    </row>
    <row r="19" spans="1:16" s="23" customFormat="1" ht="20.25" customHeight="1">
      <c r="A19" s="17" t="s">
        <v>654</v>
      </c>
      <c r="B19" s="17"/>
      <c r="C19" s="17"/>
      <c r="D19" s="17"/>
      <c r="E19" s="17"/>
      <c r="F19" s="17"/>
      <c r="G19" s="18"/>
      <c r="H19" s="21"/>
      <c r="I19" s="21"/>
      <c r="J19" s="21"/>
      <c r="K19" s="21"/>
      <c r="L19" s="18"/>
      <c r="M19" s="18"/>
      <c r="N19" s="18"/>
      <c r="O19" s="18"/>
      <c r="P19" s="18"/>
    </row>
    <row r="20" spans="1:16" s="23" customFormat="1" ht="20.25" customHeight="1">
      <c r="A20" s="17" t="s">
        <v>655</v>
      </c>
      <c r="B20" s="17"/>
      <c r="C20" s="17"/>
      <c r="D20" s="17"/>
      <c r="E20" s="17"/>
      <c r="F20" s="17"/>
      <c r="G20" s="18"/>
      <c r="H20" s="21"/>
      <c r="I20" s="21"/>
      <c r="J20" s="21"/>
      <c r="K20" s="21"/>
      <c r="L20" s="18"/>
      <c r="M20" s="18"/>
      <c r="N20" s="18"/>
      <c r="O20" s="18"/>
      <c r="P20" s="18"/>
    </row>
    <row r="21" spans="1:16" s="23" customFormat="1" ht="20.25" customHeight="1">
      <c r="A21" s="17" t="s">
        <v>656</v>
      </c>
      <c r="B21" s="17"/>
      <c r="C21" s="17"/>
      <c r="D21" s="17"/>
      <c r="E21" s="17"/>
      <c r="F21" s="17"/>
      <c r="G21" s="18"/>
      <c r="H21" s="21"/>
      <c r="I21" s="21"/>
      <c r="J21" s="21"/>
      <c r="K21" s="21"/>
      <c r="L21" s="18"/>
      <c r="M21" s="18"/>
      <c r="N21" s="18"/>
      <c r="O21" s="18"/>
      <c r="P21" s="18"/>
    </row>
    <row r="22" spans="1:16" s="23" customFormat="1" ht="20.25" customHeight="1">
      <c r="A22" s="17" t="s">
        <v>657</v>
      </c>
      <c r="B22" s="17"/>
      <c r="C22" s="17"/>
      <c r="D22" s="17"/>
      <c r="E22" s="17"/>
      <c r="F22" s="17"/>
      <c r="G22" s="18"/>
      <c r="H22" s="21"/>
      <c r="I22" s="21"/>
      <c r="J22" s="21"/>
      <c r="K22" s="21"/>
      <c r="L22" s="18"/>
      <c r="M22" s="18"/>
      <c r="N22" s="18"/>
      <c r="O22" s="18"/>
      <c r="P22" s="18"/>
    </row>
    <row r="23" spans="1:16" s="23" customFormat="1" ht="20.25" customHeight="1">
      <c r="A23" s="17" t="s">
        <v>658</v>
      </c>
      <c r="B23" s="17"/>
      <c r="C23" s="17"/>
      <c r="D23" s="17"/>
      <c r="E23" s="17"/>
      <c r="F23" s="17"/>
      <c r="G23" s="18"/>
      <c r="H23" s="21"/>
      <c r="I23" s="21"/>
      <c r="J23" s="21"/>
      <c r="K23" s="21"/>
      <c r="L23" s="18"/>
      <c r="M23" s="18"/>
      <c r="N23" s="18"/>
      <c r="O23" s="18"/>
      <c r="P23" s="18"/>
    </row>
    <row r="24" spans="1:16" ht="21" customHeight="1"/>
    <row r="25" spans="1:16" ht="21" customHeight="1"/>
    <row r="26" spans="1:16" ht="21" customHeight="1"/>
    <row r="27" spans="1:16" ht="21" customHeight="1"/>
    <row r="28" spans="1:16" ht="21" customHeight="1"/>
    <row r="29" spans="1:16" ht="21" customHeight="1"/>
    <row r="30" spans="1:16" ht="21" customHeight="1"/>
    <row r="31" spans="1:16" ht="21" customHeight="1"/>
    <row r="32" spans="1:16" ht="21" customHeight="1"/>
    <row r="33" ht="21" customHeight="1"/>
    <row r="34" ht="21" customHeight="1"/>
    <row r="35" ht="21" customHeight="1"/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"/>
  <sheetViews>
    <sheetView zoomScaleNormal="100" workbookViewId="0">
      <selection activeCell="A11" sqref="A11"/>
    </sheetView>
  </sheetViews>
  <sheetFormatPr defaultRowHeight="15.75"/>
  <cols>
    <col min="1" max="1" width="9" customWidth="1"/>
    <col min="2" max="3" width="15" customWidth="1"/>
    <col min="4" max="4" width="15" style="5" customWidth="1"/>
    <col min="5" max="5" width="13.5703125" customWidth="1"/>
    <col min="6" max="6" width="12.5703125" customWidth="1"/>
    <col min="7" max="9" width="28.28515625" customWidth="1"/>
    <col min="10" max="10" width="28.28515625" style="24" customWidth="1"/>
    <col min="11" max="20" width="11.85546875" customWidth="1"/>
    <col min="21" max="26" width="13.7109375" customWidth="1"/>
    <col min="27" max="27" width="15.7109375" customWidth="1"/>
    <col min="28" max="28" width="13.7109375" customWidth="1"/>
    <col min="29" max="29" width="20.28515625" customWidth="1"/>
    <col min="30" max="30" width="18.140625" customWidth="1"/>
  </cols>
  <sheetData>
    <row r="1" spans="1:30" ht="24.75" customHeight="1">
      <c r="A1" s="20" t="s">
        <v>101</v>
      </c>
      <c r="B1" s="20"/>
      <c r="C1" s="20"/>
      <c r="D1" s="38" t="s">
        <v>248</v>
      </c>
      <c r="AB1" s="39">
        <v>43357</v>
      </c>
    </row>
    <row r="2" spans="1:30" s="23" customFormat="1" ht="36" customHeight="1">
      <c r="A2" s="30" t="s">
        <v>81</v>
      </c>
      <c r="B2" s="30" t="s">
        <v>87</v>
      </c>
      <c r="C2" s="30" t="s">
        <v>88</v>
      </c>
      <c r="D2" s="30" t="s">
        <v>89</v>
      </c>
      <c r="E2" s="30" t="s">
        <v>10</v>
      </c>
      <c r="F2" s="31" t="s">
        <v>12</v>
      </c>
      <c r="G2" s="32" t="s">
        <v>69</v>
      </c>
      <c r="H2" s="32" t="s">
        <v>225</v>
      </c>
      <c r="I2" s="32" t="s">
        <v>70</v>
      </c>
      <c r="J2" s="32" t="s">
        <v>15</v>
      </c>
      <c r="K2" s="31" t="s">
        <v>11</v>
      </c>
      <c r="L2" s="31" t="s">
        <v>68</v>
      </c>
      <c r="M2" s="31" t="s">
        <v>230</v>
      </c>
      <c r="N2" s="31" t="s">
        <v>241</v>
      </c>
      <c r="O2" s="31" t="s">
        <v>96</v>
      </c>
      <c r="P2" s="31" t="s">
        <v>97</v>
      </c>
      <c r="Q2" s="31" t="s">
        <v>98</v>
      </c>
      <c r="R2" s="31" t="s">
        <v>99</v>
      </c>
      <c r="S2" s="31" t="s">
        <v>100</v>
      </c>
      <c r="T2" s="31" t="s">
        <v>111</v>
      </c>
      <c r="U2" s="31" t="s">
        <v>90</v>
      </c>
      <c r="V2" s="31" t="s">
        <v>91</v>
      </c>
      <c r="W2" s="126" t="s">
        <v>95</v>
      </c>
      <c r="X2" s="126" t="s">
        <v>92</v>
      </c>
      <c r="Y2" s="126" t="s">
        <v>93</v>
      </c>
      <c r="Z2" s="126" t="s">
        <v>94</v>
      </c>
      <c r="AA2" s="126" t="s">
        <v>249</v>
      </c>
      <c r="AB2" s="126" t="s">
        <v>125</v>
      </c>
      <c r="AC2" s="31" t="s">
        <v>126</v>
      </c>
    </row>
    <row r="3" spans="1:30" s="154" customFormat="1" ht="33" customHeight="1">
      <c r="A3" s="150" t="s">
        <v>306</v>
      </c>
      <c r="B3" s="150"/>
      <c r="C3" s="150"/>
      <c r="D3" s="150"/>
      <c r="E3" s="150"/>
      <c r="F3" s="151"/>
      <c r="G3" s="152"/>
      <c r="H3" s="152"/>
      <c r="I3" s="152"/>
      <c r="J3" s="152" t="s">
        <v>129</v>
      </c>
      <c r="K3" s="151"/>
      <c r="L3" s="151"/>
      <c r="M3" s="151"/>
      <c r="N3" s="151" t="s">
        <v>282</v>
      </c>
      <c r="O3" s="151"/>
      <c r="P3" s="151"/>
      <c r="Q3" s="151"/>
      <c r="R3" s="151"/>
      <c r="S3" s="151"/>
      <c r="T3" s="151"/>
      <c r="U3" s="153" t="s">
        <v>127</v>
      </c>
      <c r="V3" s="153" t="s">
        <v>127</v>
      </c>
      <c r="W3" s="153" t="s">
        <v>127</v>
      </c>
      <c r="X3" s="153" t="s">
        <v>127</v>
      </c>
      <c r="Y3" s="153" t="s">
        <v>127</v>
      </c>
      <c r="Z3" s="153" t="s">
        <v>128</v>
      </c>
      <c r="AA3" s="153" t="s">
        <v>128</v>
      </c>
      <c r="AB3" s="153" t="s">
        <v>128</v>
      </c>
      <c r="AC3" s="153" t="s">
        <v>128</v>
      </c>
    </row>
    <row r="4" spans="1:30" s="23" customFormat="1" ht="20.25" customHeight="1">
      <c r="A4" s="45" t="s">
        <v>133</v>
      </c>
      <c r="B4" s="48" t="s">
        <v>134</v>
      </c>
      <c r="C4" s="17"/>
      <c r="D4" s="17"/>
      <c r="E4" s="17"/>
      <c r="F4" s="46"/>
      <c r="G4" s="47"/>
      <c r="H4" s="47"/>
      <c r="I4" s="21"/>
      <c r="J4" s="21"/>
      <c r="K4" s="46"/>
      <c r="L4" s="46"/>
      <c r="M4" s="46"/>
      <c r="N4" s="46"/>
      <c r="O4" s="46"/>
      <c r="P4" s="18"/>
      <c r="Q4" s="18"/>
      <c r="R4" s="18"/>
      <c r="S4" s="18"/>
      <c r="T4" s="18"/>
      <c r="U4" s="18">
        <v>50000</v>
      </c>
      <c r="V4" s="18">
        <f>U4*23350</f>
        <v>1167500000</v>
      </c>
      <c r="W4" s="18">
        <v>10</v>
      </c>
      <c r="X4" s="18">
        <f>U4/W4</f>
        <v>5000</v>
      </c>
      <c r="Y4" s="18">
        <f>V4/W4</f>
        <v>116750000</v>
      </c>
      <c r="Z4" s="56">
        <v>43435</v>
      </c>
      <c r="AA4" s="18"/>
      <c r="AB4" s="18"/>
      <c r="AC4" s="18"/>
    </row>
    <row r="5" spans="1:30" s="43" customFormat="1" ht="36" customHeight="1">
      <c r="A5" s="146" t="s">
        <v>303</v>
      </c>
      <c r="B5" s="48" t="s">
        <v>304</v>
      </c>
      <c r="C5" s="17"/>
      <c r="D5" s="17"/>
      <c r="E5" s="148"/>
      <c r="F5" s="148"/>
      <c r="G5" s="149"/>
      <c r="H5" s="149"/>
      <c r="I5" s="21"/>
      <c r="J5" s="21"/>
      <c r="K5" s="148"/>
      <c r="L5" s="148"/>
      <c r="M5" s="148"/>
      <c r="N5" s="14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47"/>
      <c r="AA5" s="18"/>
      <c r="AB5" s="18"/>
      <c r="AC5" s="18"/>
    </row>
    <row r="6" spans="1:30" s="23" customFormat="1" ht="36" customHeight="1">
      <c r="A6" s="44" t="s">
        <v>131</v>
      </c>
      <c r="B6" s="49" t="s">
        <v>305</v>
      </c>
      <c r="C6" s="44"/>
      <c r="D6" s="44"/>
      <c r="E6" s="44"/>
      <c r="F6" s="50"/>
      <c r="G6" s="51"/>
      <c r="H6" s="51"/>
      <c r="I6" s="51"/>
      <c r="J6" s="51"/>
      <c r="K6" s="50"/>
      <c r="L6" s="50"/>
      <c r="M6" s="50"/>
      <c r="N6" s="50"/>
      <c r="O6" s="50"/>
      <c r="P6" s="18"/>
      <c r="Q6" s="18"/>
      <c r="R6" s="18"/>
      <c r="S6" s="18"/>
      <c r="T6" s="50"/>
      <c r="U6" s="50"/>
      <c r="V6" s="50"/>
      <c r="W6" s="18"/>
      <c r="X6" s="18"/>
      <c r="Y6" s="18"/>
      <c r="Z6" s="57"/>
      <c r="AA6" s="50"/>
      <c r="AB6" s="50"/>
      <c r="AC6" s="50"/>
    </row>
    <row r="7" spans="1:30" s="23" customFormat="1" ht="36" customHeight="1">
      <c r="A7" s="41" t="s">
        <v>132</v>
      </c>
      <c r="B7" s="54" t="s">
        <v>311</v>
      </c>
      <c r="C7" s="17"/>
      <c r="D7" s="17"/>
      <c r="E7" s="41"/>
      <c r="F7" s="40"/>
      <c r="G7" s="42"/>
      <c r="H7" s="42"/>
      <c r="I7" s="42"/>
      <c r="J7" s="55" t="s">
        <v>157</v>
      </c>
      <c r="K7" s="40"/>
      <c r="L7" s="18"/>
      <c r="M7" s="18"/>
      <c r="N7" s="18"/>
      <c r="O7" s="18"/>
      <c r="P7" s="40"/>
      <c r="Q7" s="40"/>
      <c r="R7" s="40"/>
      <c r="S7" s="40"/>
      <c r="T7" s="18"/>
      <c r="U7" s="18"/>
      <c r="V7" s="18"/>
      <c r="W7" s="18"/>
      <c r="X7" s="18"/>
      <c r="Y7" s="18"/>
      <c r="Z7" s="57"/>
      <c r="AA7" s="18"/>
      <c r="AB7" s="18"/>
      <c r="AC7" s="18"/>
    </row>
    <row r="8" spans="1:30" s="43" customFormat="1" ht="66.75" customHeight="1">
      <c r="A8" s="155" t="s">
        <v>307</v>
      </c>
      <c r="B8" s="156" t="s">
        <v>312</v>
      </c>
      <c r="C8" s="17"/>
      <c r="D8" s="159" t="s">
        <v>308</v>
      </c>
      <c r="E8" s="155"/>
      <c r="F8" s="157"/>
      <c r="G8" s="158"/>
      <c r="H8" s="21"/>
      <c r="I8" s="158"/>
      <c r="J8" s="55"/>
      <c r="K8" s="157"/>
      <c r="L8" s="18"/>
      <c r="M8" s="157"/>
      <c r="N8" s="157"/>
      <c r="O8" s="157" t="s">
        <v>309</v>
      </c>
      <c r="P8" s="18"/>
      <c r="Q8" s="18"/>
      <c r="R8" s="18"/>
      <c r="S8" s="18"/>
      <c r="T8" s="157" t="s">
        <v>310</v>
      </c>
      <c r="U8" s="18"/>
      <c r="V8" s="18"/>
      <c r="W8" s="18"/>
      <c r="X8" s="18"/>
      <c r="Y8" s="18"/>
      <c r="Z8" s="18"/>
      <c r="AA8" s="18"/>
      <c r="AB8" s="18"/>
      <c r="AC8" s="18"/>
    </row>
    <row r="9" spans="1:30" s="23" customFormat="1" ht="36" customHeight="1">
      <c r="A9" s="30" t="s">
        <v>281</v>
      </c>
      <c r="B9" s="127" t="s">
        <v>313</v>
      </c>
      <c r="C9" s="30"/>
      <c r="D9" s="30" t="s">
        <v>283</v>
      </c>
      <c r="E9" s="30"/>
      <c r="F9" s="31"/>
      <c r="G9" s="21"/>
      <c r="H9" s="21"/>
      <c r="I9" s="21"/>
      <c r="J9" s="32"/>
      <c r="K9" s="18"/>
      <c r="L9" s="18"/>
      <c r="M9" s="31"/>
      <c r="N9" s="31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26" t="s">
        <v>284</v>
      </c>
      <c r="AD9" s="143" t="s">
        <v>285</v>
      </c>
    </row>
    <row r="10" spans="1:30" s="23" customFormat="1" ht="20.25" customHeight="1">
      <c r="A10" s="17"/>
      <c r="B10" s="17"/>
      <c r="C10" s="178" t="s">
        <v>158</v>
      </c>
      <c r="D10" s="179"/>
      <c r="E10" s="17"/>
      <c r="F10" s="18"/>
      <c r="G10" s="21"/>
      <c r="H10" s="21"/>
      <c r="I10" s="21"/>
      <c r="J10" s="21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30" s="23" customFormat="1" ht="20.25" customHeight="1">
      <c r="A11" s="17"/>
      <c r="B11" s="17"/>
      <c r="C11" s="180"/>
      <c r="D11" s="181"/>
      <c r="E11" s="17"/>
      <c r="F11" s="18"/>
      <c r="G11" s="21"/>
      <c r="H11" s="21"/>
      <c r="I11" s="21"/>
      <c r="J11" s="21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1:30" s="23" customFormat="1" ht="20.25" customHeight="1">
      <c r="A12" s="17"/>
      <c r="B12" s="17"/>
      <c r="C12" s="180"/>
      <c r="D12" s="181"/>
      <c r="E12" s="17"/>
      <c r="F12" s="18"/>
      <c r="G12" s="21"/>
      <c r="H12" s="21"/>
      <c r="I12" s="21"/>
      <c r="J12" s="21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30" s="23" customFormat="1" ht="20.25" customHeight="1">
      <c r="A13" s="17"/>
      <c r="B13" s="17"/>
      <c r="C13" s="180"/>
      <c r="D13" s="181"/>
      <c r="E13" s="17"/>
      <c r="F13" s="18"/>
      <c r="G13" s="21"/>
      <c r="H13" s="21"/>
      <c r="I13" s="21"/>
      <c r="J13" s="21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30" s="23" customFormat="1" ht="20.25" customHeight="1">
      <c r="A14" s="17"/>
      <c r="B14" s="17"/>
      <c r="C14" s="182"/>
      <c r="D14" s="183"/>
      <c r="E14" s="17"/>
      <c r="F14" s="18"/>
      <c r="G14" s="21"/>
      <c r="H14" s="21"/>
      <c r="I14" s="21"/>
      <c r="J14" s="21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30" s="23" customFormat="1" ht="20.25" customHeight="1">
      <c r="A15" s="17"/>
      <c r="B15" s="17"/>
      <c r="C15" s="17"/>
      <c r="D15" s="17"/>
      <c r="E15" s="17"/>
      <c r="F15" s="18"/>
      <c r="G15" s="21"/>
      <c r="H15" s="21"/>
      <c r="I15" s="21"/>
      <c r="J15" s="21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30" s="23" customFormat="1" ht="20.25" customHeight="1">
      <c r="A16" s="17"/>
      <c r="B16" s="17"/>
      <c r="C16" s="17"/>
      <c r="D16" s="17"/>
      <c r="E16" s="17"/>
      <c r="F16" s="18"/>
      <c r="G16" s="21"/>
      <c r="H16" s="21"/>
      <c r="I16" s="21"/>
      <c r="J16" s="21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 s="23" customFormat="1" ht="20.25" customHeight="1">
      <c r="A17" s="17"/>
      <c r="B17" s="17"/>
      <c r="C17" s="17"/>
      <c r="D17" s="17"/>
      <c r="E17" s="17"/>
      <c r="F17" s="18"/>
      <c r="G17" s="21"/>
      <c r="H17" s="21"/>
      <c r="I17" s="21"/>
      <c r="J17" s="21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29" s="23" customFormat="1" ht="20.25" customHeight="1">
      <c r="A18" s="17"/>
      <c r="B18" s="17"/>
      <c r="C18" s="17"/>
      <c r="D18" s="17"/>
      <c r="E18" s="17"/>
      <c r="F18" s="18"/>
      <c r="G18" s="21"/>
      <c r="H18" s="21"/>
      <c r="I18" s="21"/>
      <c r="J18" s="21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 s="23" customFormat="1" ht="20.25" customHeight="1">
      <c r="A19" s="17"/>
      <c r="B19" s="17"/>
      <c r="C19" s="17"/>
      <c r="D19" s="17"/>
      <c r="E19" s="17"/>
      <c r="F19" s="18"/>
      <c r="G19" s="21"/>
      <c r="H19" s="21"/>
      <c r="I19" s="21"/>
      <c r="J19" s="21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spans="1:29" s="23" customFormat="1" ht="20.25" customHeight="1">
      <c r="A20" s="17"/>
      <c r="B20" s="17"/>
      <c r="C20" s="17"/>
      <c r="D20" s="17"/>
      <c r="E20" s="17"/>
      <c r="F20" s="18"/>
      <c r="G20" s="21"/>
      <c r="H20" s="21"/>
      <c r="I20" s="21"/>
      <c r="J20" s="21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s="23" customFormat="1" ht="20.25" customHeight="1">
      <c r="A21" s="17"/>
      <c r="B21" s="17"/>
      <c r="C21" s="17"/>
      <c r="D21" s="17"/>
      <c r="E21" s="17"/>
      <c r="F21" s="18"/>
      <c r="G21" s="21"/>
      <c r="H21" s="21"/>
      <c r="I21" s="21"/>
      <c r="J21" s="21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 s="23" customFormat="1" ht="20.25" customHeight="1">
      <c r="A22" s="17"/>
      <c r="B22" s="17"/>
      <c r="C22" s="17"/>
      <c r="D22" s="17"/>
      <c r="E22" s="17"/>
      <c r="F22" s="18"/>
      <c r="G22" s="21"/>
      <c r="H22" s="21"/>
      <c r="I22" s="21"/>
      <c r="J22" s="21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 s="23" customFormat="1" ht="20.25" customHeight="1">
      <c r="A23" s="17"/>
      <c r="B23" s="17"/>
      <c r="C23" s="17"/>
      <c r="D23" s="17"/>
      <c r="E23" s="17"/>
      <c r="F23" s="18"/>
      <c r="G23" s="21"/>
      <c r="H23" s="21"/>
      <c r="I23" s="21"/>
      <c r="J23" s="21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 s="23" customFormat="1" ht="20.25" customHeight="1">
      <c r="A24" s="17"/>
      <c r="B24" s="17"/>
      <c r="C24" s="17"/>
      <c r="D24" s="17"/>
      <c r="E24" s="17"/>
      <c r="F24" s="18"/>
      <c r="G24" s="21"/>
      <c r="H24" s="21"/>
      <c r="I24" s="21"/>
      <c r="J24" s="21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spans="1:29" s="23" customFormat="1" ht="20.25" customHeight="1">
      <c r="A25" s="17"/>
      <c r="B25" s="17"/>
      <c r="C25" s="17"/>
      <c r="D25" s="17"/>
      <c r="E25" s="17"/>
      <c r="F25" s="18"/>
      <c r="G25" s="21"/>
      <c r="H25" s="21"/>
      <c r="I25" s="21"/>
      <c r="J25" s="21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spans="1:29" s="23" customFormat="1" ht="20.25" customHeight="1">
      <c r="A26" s="17"/>
      <c r="B26" s="17"/>
      <c r="C26" s="17"/>
      <c r="D26" s="17"/>
      <c r="E26" s="17"/>
      <c r="F26" s="18"/>
      <c r="G26" s="21"/>
      <c r="H26" s="21"/>
      <c r="I26" s="21"/>
      <c r="J26" s="21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1:29" s="23" customFormat="1" ht="20.25" customHeight="1">
      <c r="A27" s="17"/>
      <c r="B27" s="17"/>
      <c r="C27" s="17"/>
      <c r="D27" s="17"/>
      <c r="E27" s="17"/>
      <c r="F27" s="18"/>
      <c r="G27" s="21"/>
      <c r="H27" s="21"/>
      <c r="I27" s="21"/>
      <c r="J27" s="21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spans="1:29" s="23" customFormat="1" ht="20.25" customHeight="1">
      <c r="A28" s="17"/>
      <c r="B28" s="17"/>
      <c r="C28" s="17"/>
      <c r="D28" s="17"/>
      <c r="E28" s="17"/>
      <c r="F28" s="18"/>
      <c r="G28" s="21"/>
      <c r="H28" s="21"/>
      <c r="I28" s="21"/>
      <c r="J28" s="21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1:29" s="23" customFormat="1" ht="20.25" customHeight="1">
      <c r="A29" s="17"/>
      <c r="B29" s="17"/>
      <c r="C29" s="17"/>
      <c r="D29" s="17"/>
      <c r="E29" s="17"/>
      <c r="F29" s="18"/>
      <c r="G29" s="21"/>
      <c r="H29" s="21"/>
      <c r="I29" s="21"/>
      <c r="J29" s="21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spans="1:29" s="23" customFormat="1" ht="20.25" customHeight="1">
      <c r="A30" s="17"/>
      <c r="B30" s="17"/>
      <c r="C30" s="17"/>
      <c r="D30" s="17"/>
      <c r="E30" s="17"/>
      <c r="F30" s="18"/>
      <c r="G30" s="21"/>
      <c r="H30" s="21"/>
      <c r="I30" s="21"/>
      <c r="J30" s="21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spans="1:29" s="23" customFormat="1" ht="20.25" customHeight="1">
      <c r="A31" s="17"/>
      <c r="B31" s="17"/>
      <c r="C31" s="17"/>
      <c r="D31" s="17"/>
      <c r="E31" s="17"/>
      <c r="F31" s="18"/>
      <c r="G31" s="21"/>
      <c r="H31" s="21"/>
      <c r="I31" s="21"/>
      <c r="J31" s="21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spans="1:29" s="23" customFormat="1" ht="20.25" customHeight="1">
      <c r="A32" s="17"/>
      <c r="B32" s="17"/>
      <c r="C32" s="17"/>
      <c r="D32" s="17"/>
      <c r="E32" s="17"/>
      <c r="F32" s="18"/>
      <c r="G32" s="21"/>
      <c r="H32" s="21"/>
      <c r="I32" s="21"/>
      <c r="J32" s="21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spans="1:29" s="23" customFormat="1" ht="20.25" customHeight="1">
      <c r="A33" s="17"/>
      <c r="B33" s="17"/>
      <c r="C33" s="17"/>
      <c r="D33" s="17"/>
      <c r="E33" s="17"/>
      <c r="F33" s="18"/>
      <c r="G33" s="21"/>
      <c r="H33" s="21"/>
      <c r="I33" s="21"/>
      <c r="J33" s="21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 spans="1:29" s="23" customFormat="1" ht="20.25" customHeight="1">
      <c r="A34" s="17"/>
      <c r="B34" s="17"/>
      <c r="C34" s="17"/>
      <c r="D34" s="17"/>
      <c r="E34" s="17"/>
      <c r="F34" s="18"/>
      <c r="G34" s="21"/>
      <c r="H34" s="21"/>
      <c r="I34" s="21"/>
      <c r="J34" s="21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spans="1:29" s="23" customFormat="1" ht="20.25" customHeight="1">
      <c r="A35" s="17"/>
      <c r="B35" s="17"/>
      <c r="C35" s="17"/>
      <c r="D35" s="17"/>
      <c r="E35" s="17"/>
      <c r="F35" s="18"/>
      <c r="G35" s="21"/>
      <c r="H35" s="21"/>
      <c r="I35" s="21"/>
      <c r="J35" s="21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spans="1:29" ht="21" customHeight="1"/>
    <row r="37" spans="1:29" ht="21" customHeight="1"/>
  </sheetData>
  <mergeCells count="1">
    <mergeCell ref="C10:D14"/>
  </mergeCells>
  <phoneticPr fontId="7" type="noConversion"/>
  <pageMargins left="0.31496062992125984" right="0.11811023622047245" top="0.74803149606299213" bottom="0.74803149606299213" header="0.31496062992125984" footer="0.31496062992125984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Z25"/>
  <sheetViews>
    <sheetView topLeftCell="T1" zoomScaleNormal="100" workbookViewId="0">
      <selection activeCell="Y2" sqref="Y2:Z3"/>
    </sheetView>
  </sheetViews>
  <sheetFormatPr defaultRowHeight="15.75"/>
  <cols>
    <col min="1" max="1" width="9" customWidth="1"/>
    <col min="2" max="3" width="15" customWidth="1"/>
    <col min="4" max="5" width="15" style="5" customWidth="1"/>
    <col min="6" max="6" width="13.5703125" customWidth="1"/>
    <col min="7" max="7" width="12.5703125" customWidth="1"/>
    <col min="8" max="10" width="28.28515625" customWidth="1"/>
    <col min="11" max="11" width="28.28515625" style="24" customWidth="1"/>
    <col min="12" max="24" width="11.85546875" customWidth="1"/>
    <col min="25" max="33" width="13.7109375" customWidth="1"/>
    <col min="34" max="34" width="15" customWidth="1"/>
    <col min="35" max="52" width="16.7109375" customWidth="1"/>
  </cols>
  <sheetData>
    <row r="1" spans="1:52" ht="24.75" customHeight="1">
      <c r="A1" s="20" t="s">
        <v>280</v>
      </c>
      <c r="B1" s="20"/>
      <c r="C1" s="20"/>
      <c r="D1" s="38" t="s">
        <v>72</v>
      </c>
      <c r="E1" s="38"/>
      <c r="T1" s="52"/>
      <c r="U1" s="52"/>
      <c r="V1" s="52"/>
      <c r="W1" s="52"/>
      <c r="X1" s="52"/>
      <c r="Y1" s="184" t="s">
        <v>256</v>
      </c>
      <c r="Z1" s="185"/>
      <c r="AA1" s="185"/>
      <c r="AB1" s="185"/>
      <c r="AC1" s="185"/>
      <c r="AD1" s="185"/>
      <c r="AH1" t="s">
        <v>271</v>
      </c>
      <c r="AS1" s="142">
        <v>43677</v>
      </c>
      <c r="AW1" s="184" t="s">
        <v>272</v>
      </c>
      <c r="AX1" s="185"/>
      <c r="AY1" s="185"/>
      <c r="AZ1" s="185"/>
    </row>
    <row r="2" spans="1:52" s="23" customFormat="1" ht="36" customHeight="1">
      <c r="A2" s="30" t="s">
        <v>81</v>
      </c>
      <c r="B2" s="127" t="s">
        <v>87</v>
      </c>
      <c r="C2" s="30" t="s">
        <v>88</v>
      </c>
      <c r="D2" s="30" t="s">
        <v>240</v>
      </c>
      <c r="E2" s="30" t="s">
        <v>233</v>
      </c>
      <c r="F2" s="30" t="s">
        <v>10</v>
      </c>
      <c r="G2" s="31" t="s">
        <v>12</v>
      </c>
      <c r="H2" s="32" t="s">
        <v>69</v>
      </c>
      <c r="I2" s="32" t="s">
        <v>225</v>
      </c>
      <c r="J2" s="32" t="s">
        <v>70</v>
      </c>
      <c r="K2" s="32" t="s">
        <v>15</v>
      </c>
      <c r="L2" s="31" t="s">
        <v>11</v>
      </c>
      <c r="M2" s="31" t="s">
        <v>68</v>
      </c>
      <c r="N2" s="31" t="s">
        <v>96</v>
      </c>
      <c r="O2" s="31" t="s">
        <v>97</v>
      </c>
      <c r="P2" s="31" t="s">
        <v>98</v>
      </c>
      <c r="Q2" s="31" t="s">
        <v>99</v>
      </c>
      <c r="R2" s="31" t="s">
        <v>100</v>
      </c>
      <c r="S2" s="31" t="s">
        <v>111</v>
      </c>
      <c r="T2" s="160" t="s">
        <v>314</v>
      </c>
      <c r="U2" s="160" t="s">
        <v>315</v>
      </c>
      <c r="V2" s="160" t="s">
        <v>316</v>
      </c>
      <c r="W2" s="160" t="s">
        <v>317</v>
      </c>
      <c r="X2" s="160" t="s">
        <v>318</v>
      </c>
      <c r="Y2" s="195" t="s">
        <v>90</v>
      </c>
      <c r="Z2" s="195" t="s">
        <v>91</v>
      </c>
      <c r="AA2" s="134" t="s">
        <v>252</v>
      </c>
      <c r="AB2" s="134" t="s">
        <v>253</v>
      </c>
      <c r="AC2" s="134" t="s">
        <v>254</v>
      </c>
      <c r="AD2" s="134" t="s">
        <v>255</v>
      </c>
      <c r="AE2" s="126" t="s">
        <v>95</v>
      </c>
      <c r="AF2" s="126" t="s">
        <v>93</v>
      </c>
      <c r="AG2" s="126" t="s">
        <v>94</v>
      </c>
      <c r="AH2" s="126" t="s">
        <v>249</v>
      </c>
      <c r="AI2" s="138" t="s">
        <v>258</v>
      </c>
      <c r="AJ2" s="138" t="s">
        <v>259</v>
      </c>
      <c r="AK2" s="138" t="s">
        <v>264</v>
      </c>
      <c r="AL2" s="138" t="s">
        <v>273</v>
      </c>
      <c r="AM2" s="138" t="s">
        <v>274</v>
      </c>
      <c r="AN2" s="138" t="s">
        <v>275</v>
      </c>
      <c r="AO2" s="138" t="s">
        <v>276</v>
      </c>
      <c r="AP2" s="138" t="s">
        <v>277</v>
      </c>
      <c r="AQ2" s="138" t="s">
        <v>278</v>
      </c>
      <c r="AR2" s="138" t="s">
        <v>279</v>
      </c>
      <c r="AS2" s="138" t="s">
        <v>261</v>
      </c>
      <c r="AT2" s="139" t="s">
        <v>266</v>
      </c>
      <c r="AU2" s="132" t="s">
        <v>262</v>
      </c>
      <c r="AV2" s="132" t="s">
        <v>263</v>
      </c>
      <c r="AW2" s="137" t="s">
        <v>267</v>
      </c>
      <c r="AX2" s="137" t="s">
        <v>268</v>
      </c>
      <c r="AY2" s="137" t="s">
        <v>269</v>
      </c>
      <c r="AZ2" s="137" t="s">
        <v>270</v>
      </c>
    </row>
    <row r="3" spans="1:52" s="43" customFormat="1" ht="33" customHeight="1">
      <c r="A3" s="17"/>
      <c r="B3" s="133"/>
      <c r="C3" s="17"/>
      <c r="D3" s="17"/>
      <c r="E3" s="17"/>
      <c r="F3" s="45"/>
      <c r="G3" s="46"/>
      <c r="H3" s="47"/>
      <c r="I3" s="47"/>
      <c r="J3" s="21"/>
      <c r="K3" s="21" t="s">
        <v>251</v>
      </c>
      <c r="L3" s="18"/>
      <c r="M3" s="18"/>
      <c r="N3" s="18"/>
      <c r="O3" s="18"/>
      <c r="P3" s="18"/>
      <c r="Q3" s="18"/>
      <c r="R3" s="18"/>
      <c r="S3" s="58" t="s">
        <v>250</v>
      </c>
      <c r="T3" s="160"/>
      <c r="U3" s="160"/>
      <c r="V3" s="160"/>
      <c r="W3" s="160"/>
      <c r="X3" s="160"/>
      <c r="Y3" s="40" t="s">
        <v>72</v>
      </c>
      <c r="Z3" s="40" t="s">
        <v>72</v>
      </c>
      <c r="AA3" s="18"/>
      <c r="AB3" s="18"/>
      <c r="AC3" s="140">
        <v>20000</v>
      </c>
      <c r="AD3" s="141">
        <f>AC3*23250</f>
        <v>465000000</v>
      </c>
      <c r="AE3" s="18">
        <v>80</v>
      </c>
      <c r="AF3" s="141">
        <f>AD3/AE3</f>
        <v>5812500</v>
      </c>
      <c r="AG3" s="135" t="s">
        <v>257</v>
      </c>
      <c r="AH3" s="18" t="s">
        <v>224</v>
      </c>
      <c r="AI3" s="140">
        <f>AF3</f>
        <v>5812500</v>
      </c>
      <c r="AJ3" s="141">
        <f>AF3</f>
        <v>5812500</v>
      </c>
      <c r="AK3" s="140">
        <f>AF3</f>
        <v>5812500</v>
      </c>
      <c r="AL3" s="140">
        <f>AF3</f>
        <v>5812500</v>
      </c>
      <c r="AM3" s="140">
        <f>AF3</f>
        <v>5812500</v>
      </c>
      <c r="AN3" s="140">
        <f>AF3</f>
        <v>5812500</v>
      </c>
      <c r="AO3" s="140">
        <f>AF3</f>
        <v>5812500</v>
      </c>
      <c r="AP3" s="140">
        <f>AF3</f>
        <v>5812500</v>
      </c>
      <c r="AQ3" s="140">
        <f>AF3</f>
        <v>5812500</v>
      </c>
      <c r="AR3" s="140">
        <f>AF3</f>
        <v>5812500</v>
      </c>
      <c r="AS3" s="140">
        <f>SUM(AI3:AR3)</f>
        <v>58125000</v>
      </c>
      <c r="AT3" s="140">
        <f>AD3-AS3</f>
        <v>406875000</v>
      </c>
      <c r="AU3" s="140">
        <f>AI3+AJ3+AK3</f>
        <v>17437500</v>
      </c>
      <c r="AV3" s="140">
        <f>SUM(AL3:AR3)</f>
        <v>40687500</v>
      </c>
      <c r="AW3" s="140">
        <v>0</v>
      </c>
      <c r="AX3" s="140">
        <f>AD3-(AI3+AJ3+AK3)</f>
        <v>447562500</v>
      </c>
      <c r="AY3" s="140">
        <f>AX3</f>
        <v>447562500</v>
      </c>
      <c r="AZ3" s="140">
        <f>AY3-AV3</f>
        <v>406875000</v>
      </c>
    </row>
    <row r="4" spans="1:52" s="23" customFormat="1" ht="20.25" customHeight="1">
      <c r="A4" s="17"/>
      <c r="B4" s="17"/>
      <c r="C4" s="17"/>
      <c r="D4" s="17"/>
      <c r="E4" s="17"/>
      <c r="F4" s="17"/>
      <c r="G4" s="18"/>
      <c r="H4" s="21"/>
      <c r="I4" s="21"/>
      <c r="J4" s="21"/>
      <c r="K4" s="21"/>
      <c r="L4" s="18"/>
      <c r="M4" s="18"/>
      <c r="N4" s="18"/>
      <c r="O4" s="18"/>
      <c r="P4" s="18"/>
      <c r="Q4" s="18"/>
      <c r="R4" s="18"/>
      <c r="S4" s="18"/>
      <c r="T4" s="40"/>
      <c r="U4" s="40"/>
      <c r="V4" s="40"/>
      <c r="W4" s="40"/>
      <c r="X4" s="40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 s="23" customFormat="1" ht="20.25" customHeight="1">
      <c r="A5" s="17"/>
      <c r="B5" s="17"/>
      <c r="C5" s="17"/>
      <c r="D5" s="17"/>
      <c r="E5" s="17"/>
      <c r="F5" s="17"/>
      <c r="G5" s="18"/>
      <c r="H5" s="21"/>
      <c r="I5" s="21"/>
      <c r="J5" s="21"/>
      <c r="K5" s="21"/>
      <c r="L5" s="18"/>
      <c r="M5" s="18"/>
      <c r="N5" s="18"/>
      <c r="O5" s="18"/>
      <c r="P5" s="18"/>
      <c r="Q5" s="18"/>
      <c r="R5" s="18"/>
      <c r="S5" s="18"/>
      <c r="T5" s="40"/>
      <c r="U5" s="40"/>
      <c r="V5" s="40"/>
      <c r="W5" s="40"/>
      <c r="X5" s="40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 s="23" customFormat="1" ht="20.25" customHeight="1">
      <c r="A6" s="17"/>
      <c r="B6" s="17"/>
      <c r="C6" s="17"/>
      <c r="D6" s="17"/>
      <c r="E6" s="17"/>
      <c r="F6" s="17"/>
      <c r="G6" s="18"/>
      <c r="H6" s="21"/>
      <c r="I6" s="21"/>
      <c r="J6" s="21"/>
      <c r="K6" s="21"/>
      <c r="L6" s="18"/>
      <c r="M6" s="18"/>
      <c r="N6" s="18"/>
      <c r="O6" s="18"/>
      <c r="P6" s="18"/>
      <c r="Q6" s="18"/>
      <c r="R6" s="18"/>
      <c r="S6" s="18"/>
      <c r="T6" s="40"/>
      <c r="U6" s="40"/>
      <c r="V6" s="40"/>
      <c r="W6" s="40"/>
      <c r="X6" s="40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s="23" customFormat="1" ht="20.25" customHeight="1">
      <c r="A7" s="17"/>
      <c r="B7" s="17"/>
      <c r="C7" s="17"/>
      <c r="D7" s="17"/>
      <c r="E7" s="17"/>
      <c r="F7" s="17"/>
      <c r="G7" s="18"/>
      <c r="H7" s="21"/>
      <c r="I7" s="21"/>
      <c r="J7" s="21"/>
      <c r="K7" s="21"/>
      <c r="L7" s="18"/>
      <c r="M7" s="18"/>
      <c r="N7" s="18"/>
      <c r="O7" s="18"/>
      <c r="P7" s="18"/>
      <c r="Q7" s="18"/>
      <c r="R7" s="18"/>
      <c r="S7" s="18"/>
      <c r="T7" s="40"/>
      <c r="U7" s="40"/>
      <c r="V7" s="40"/>
      <c r="W7" s="40"/>
      <c r="X7" s="40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s="23" customFormat="1" ht="20.25" customHeight="1">
      <c r="A8" s="17"/>
      <c r="B8" s="17"/>
      <c r="C8" s="17"/>
      <c r="D8" s="17"/>
      <c r="E8" s="17"/>
      <c r="F8" s="17"/>
      <c r="G8" s="18"/>
      <c r="H8" s="21"/>
      <c r="I8" s="21"/>
      <c r="J8" s="21"/>
      <c r="K8" s="21"/>
      <c r="L8" s="18"/>
      <c r="M8" s="18"/>
      <c r="N8" s="18"/>
      <c r="O8" s="18"/>
      <c r="P8" s="18"/>
      <c r="Q8" s="18"/>
      <c r="R8" s="18"/>
      <c r="S8" s="18"/>
      <c r="T8" s="40"/>
      <c r="U8" s="40"/>
      <c r="V8" s="40"/>
      <c r="W8" s="40"/>
      <c r="X8" s="40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s="23" customFormat="1" ht="20.25" customHeight="1">
      <c r="A9" s="17"/>
      <c r="B9" s="17"/>
      <c r="C9" s="17"/>
      <c r="D9" s="17"/>
      <c r="E9" s="17"/>
      <c r="F9" s="17"/>
      <c r="G9" s="18"/>
      <c r="H9" s="21"/>
      <c r="I9" s="21"/>
      <c r="J9" s="21"/>
      <c r="K9" s="21"/>
      <c r="L9" s="18"/>
      <c r="M9" s="18"/>
      <c r="N9" s="18"/>
      <c r="O9" s="18"/>
      <c r="P9" s="18"/>
      <c r="Q9" s="18"/>
      <c r="R9" s="18"/>
      <c r="S9" s="18"/>
      <c r="T9" s="40"/>
      <c r="U9" s="40"/>
      <c r="V9" s="40"/>
      <c r="W9" s="40"/>
      <c r="X9" s="40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s="23" customFormat="1" ht="20.25" customHeight="1">
      <c r="A10" s="17"/>
      <c r="B10" s="17"/>
      <c r="C10" s="17"/>
      <c r="D10" s="17"/>
      <c r="E10" s="17"/>
      <c r="F10" s="17"/>
      <c r="G10" s="18"/>
      <c r="H10" s="21"/>
      <c r="I10" s="21"/>
      <c r="J10" s="21"/>
      <c r="K10" s="21"/>
      <c r="L10" s="18"/>
      <c r="M10" s="18"/>
      <c r="N10" s="18"/>
      <c r="O10" s="18"/>
      <c r="P10" s="18"/>
      <c r="Q10" s="18"/>
      <c r="R10" s="18"/>
      <c r="S10" s="18"/>
      <c r="T10" s="40"/>
      <c r="U10" s="40"/>
      <c r="V10" s="40"/>
      <c r="W10" s="40"/>
      <c r="X10" s="40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s="23" customFormat="1" ht="20.25" customHeight="1">
      <c r="A11" s="17"/>
      <c r="B11" s="17"/>
      <c r="C11" s="17"/>
      <c r="D11" s="17"/>
      <c r="E11" s="17"/>
      <c r="F11" s="17"/>
      <c r="G11" s="18"/>
      <c r="H11" s="21"/>
      <c r="I11" s="21"/>
      <c r="J11" s="21"/>
      <c r="K11" s="21"/>
      <c r="L11" s="18"/>
      <c r="M11" s="18"/>
      <c r="N11" s="18"/>
      <c r="O11" s="18"/>
      <c r="P11" s="18"/>
      <c r="Q11" s="18"/>
      <c r="R11" s="18"/>
      <c r="S11" s="18"/>
      <c r="T11" s="40"/>
      <c r="U11" s="40"/>
      <c r="V11" s="40"/>
      <c r="W11" s="40"/>
      <c r="X11" s="40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s="23" customFormat="1" ht="20.25" customHeight="1">
      <c r="A12" s="17"/>
      <c r="B12" s="17"/>
      <c r="C12" s="17"/>
      <c r="D12" s="17"/>
      <c r="E12" s="17"/>
      <c r="F12" s="17"/>
      <c r="G12" s="18"/>
      <c r="H12" s="21"/>
      <c r="I12" s="21"/>
      <c r="J12" s="21"/>
      <c r="K12" s="21"/>
      <c r="L12" s="18"/>
      <c r="M12" s="18"/>
      <c r="N12" s="18"/>
      <c r="O12" s="18"/>
      <c r="P12" s="18"/>
      <c r="Q12" s="18"/>
      <c r="R12" s="18"/>
      <c r="S12" s="18"/>
      <c r="T12" s="40"/>
      <c r="U12" s="40"/>
      <c r="V12" s="40"/>
      <c r="W12" s="40"/>
      <c r="X12" s="40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s="23" customFormat="1" ht="20.25" customHeight="1">
      <c r="A13" s="17"/>
      <c r="B13" s="17"/>
      <c r="C13" s="17"/>
      <c r="D13" s="17"/>
      <c r="E13" s="17"/>
      <c r="F13" s="17"/>
      <c r="G13" s="18"/>
      <c r="H13" s="21"/>
      <c r="I13" s="21"/>
      <c r="J13" s="21"/>
      <c r="K13" s="21"/>
      <c r="L13" s="18"/>
      <c r="M13" s="18"/>
      <c r="N13" s="18"/>
      <c r="O13" s="18"/>
      <c r="P13" s="18"/>
      <c r="Q13" s="18"/>
      <c r="R13" s="18"/>
      <c r="S13" s="18"/>
      <c r="T13" s="40"/>
      <c r="U13" s="40"/>
      <c r="V13" s="40"/>
      <c r="W13" s="40"/>
      <c r="X13" s="40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s="23" customFormat="1" ht="20.25" customHeight="1">
      <c r="A14" s="17"/>
      <c r="B14" s="17"/>
      <c r="C14" s="17"/>
      <c r="D14" s="17"/>
      <c r="E14" s="17"/>
      <c r="F14" s="17"/>
      <c r="G14" s="18"/>
      <c r="H14" s="21"/>
      <c r="I14" s="21"/>
      <c r="J14" s="21"/>
      <c r="K14" s="21"/>
      <c r="L14" s="18"/>
      <c r="M14" s="18"/>
      <c r="N14" s="18"/>
      <c r="O14" s="18"/>
      <c r="P14" s="18"/>
      <c r="Q14" s="18"/>
      <c r="R14" s="18"/>
      <c r="S14" s="18"/>
      <c r="T14" s="40"/>
      <c r="U14" s="40"/>
      <c r="V14" s="40"/>
      <c r="W14" s="40"/>
      <c r="X14" s="40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s="23" customFormat="1" ht="20.25" customHeight="1">
      <c r="A15" s="17"/>
      <c r="B15" s="17"/>
      <c r="C15" s="17"/>
      <c r="D15" s="17"/>
      <c r="E15" s="17"/>
      <c r="F15" s="17"/>
      <c r="G15" s="18"/>
      <c r="H15" s="21"/>
      <c r="I15" s="21"/>
      <c r="J15" s="21"/>
      <c r="K15" s="21"/>
      <c r="L15" s="18"/>
      <c r="M15" s="18"/>
      <c r="N15" s="18"/>
      <c r="O15" s="18"/>
      <c r="P15" s="18"/>
      <c r="Q15" s="18"/>
      <c r="R15" s="18"/>
      <c r="S15" s="18"/>
      <c r="T15" s="40"/>
      <c r="U15" s="40"/>
      <c r="V15" s="40"/>
      <c r="W15" s="40"/>
      <c r="X15" s="40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s="23" customFormat="1" ht="20.25" customHeight="1">
      <c r="A16" s="17"/>
      <c r="B16" s="17"/>
      <c r="C16" s="17"/>
      <c r="D16" s="17"/>
      <c r="E16" s="17"/>
      <c r="F16" s="17"/>
      <c r="G16" s="18"/>
      <c r="H16" s="21"/>
      <c r="I16" s="21"/>
      <c r="J16" s="21"/>
      <c r="K16" s="21"/>
      <c r="L16" s="18"/>
      <c r="M16" s="18"/>
      <c r="N16" s="18"/>
      <c r="O16" s="18"/>
      <c r="P16" s="18"/>
      <c r="Q16" s="18"/>
      <c r="R16" s="18"/>
      <c r="S16" s="18"/>
      <c r="T16" s="40"/>
      <c r="U16" s="40"/>
      <c r="V16" s="40"/>
      <c r="W16" s="40"/>
      <c r="X16" s="40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s="23" customFormat="1" ht="20.25" customHeight="1">
      <c r="A17" s="17"/>
      <c r="B17" s="17"/>
      <c r="C17" s="17"/>
      <c r="D17" s="17"/>
      <c r="E17" s="17"/>
      <c r="F17" s="17"/>
      <c r="G17" s="18"/>
      <c r="H17" s="21"/>
      <c r="I17" s="21"/>
      <c r="J17" s="21"/>
      <c r="K17" s="21"/>
      <c r="L17" s="18"/>
      <c r="M17" s="18"/>
      <c r="N17" s="18"/>
      <c r="O17" s="18"/>
      <c r="P17" s="18"/>
      <c r="Q17" s="18"/>
      <c r="R17" s="18"/>
      <c r="S17" s="18"/>
      <c r="T17" s="40"/>
      <c r="U17" s="40"/>
      <c r="V17" s="40"/>
      <c r="W17" s="40"/>
      <c r="X17" s="40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1:52" s="23" customFormat="1" ht="20.25" customHeight="1">
      <c r="A18" s="17"/>
      <c r="B18" s="17"/>
      <c r="C18" s="17"/>
      <c r="D18" s="17"/>
      <c r="E18" s="17"/>
      <c r="F18" s="17"/>
      <c r="G18" s="18"/>
      <c r="H18" s="21"/>
      <c r="I18" s="21"/>
      <c r="J18" s="21"/>
      <c r="K18" s="21"/>
      <c r="L18" s="18"/>
      <c r="M18" s="18"/>
      <c r="N18" s="18"/>
      <c r="O18" s="18"/>
      <c r="P18" s="18"/>
      <c r="Q18" s="18"/>
      <c r="R18" s="18"/>
      <c r="S18" s="18"/>
      <c r="T18" s="40"/>
      <c r="U18" s="40"/>
      <c r="V18" s="40"/>
      <c r="W18" s="40"/>
      <c r="X18" s="40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1:52" s="23" customFormat="1" ht="20.25" customHeight="1">
      <c r="A19" s="17"/>
      <c r="B19" s="17"/>
      <c r="C19" s="17"/>
      <c r="D19" s="17"/>
      <c r="E19" s="17"/>
      <c r="F19" s="17"/>
      <c r="G19" s="18"/>
      <c r="H19" s="21"/>
      <c r="I19" s="21"/>
      <c r="J19" s="21"/>
      <c r="K19" s="21"/>
      <c r="L19" s="18"/>
      <c r="M19" s="18"/>
      <c r="N19" s="18"/>
      <c r="O19" s="18"/>
      <c r="P19" s="18"/>
      <c r="Q19" s="18"/>
      <c r="R19" s="18"/>
      <c r="S19" s="18"/>
      <c r="T19" s="40"/>
      <c r="U19" s="40"/>
      <c r="V19" s="40"/>
      <c r="W19" s="40"/>
      <c r="X19" s="40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1:52" s="23" customFormat="1" ht="20.25" customHeight="1">
      <c r="A20" s="17"/>
      <c r="B20" s="17"/>
      <c r="C20" s="17"/>
      <c r="D20" s="17"/>
      <c r="E20" s="17"/>
      <c r="F20" s="17"/>
      <c r="G20" s="18"/>
      <c r="H20" s="21"/>
      <c r="I20" s="21"/>
      <c r="J20" s="21"/>
      <c r="K20" s="21"/>
      <c r="L20" s="18"/>
      <c r="M20" s="18"/>
      <c r="N20" s="18"/>
      <c r="O20" s="18"/>
      <c r="P20" s="18"/>
      <c r="Q20" s="18"/>
      <c r="R20" s="18"/>
      <c r="S20" s="18"/>
      <c r="T20" s="40"/>
      <c r="U20" s="40"/>
      <c r="V20" s="40"/>
      <c r="W20" s="40"/>
      <c r="X20" s="40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1:52" s="23" customFormat="1" ht="20.25" customHeight="1">
      <c r="A21" s="17"/>
      <c r="B21" s="17"/>
      <c r="C21" s="17"/>
      <c r="D21" s="17"/>
      <c r="E21" s="17"/>
      <c r="F21" s="17"/>
      <c r="G21" s="18"/>
      <c r="H21" s="21"/>
      <c r="I21" s="21"/>
      <c r="J21" s="21"/>
      <c r="K21" s="21"/>
      <c r="L21" s="18"/>
      <c r="M21" s="18"/>
      <c r="N21" s="18"/>
      <c r="O21" s="18"/>
      <c r="P21" s="18"/>
      <c r="Q21" s="18"/>
      <c r="R21" s="18"/>
      <c r="S21" s="18"/>
      <c r="T21" s="40"/>
      <c r="U21" s="40"/>
      <c r="V21" s="40"/>
      <c r="W21" s="40"/>
      <c r="X21" s="40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1:52" s="23" customFormat="1" ht="20.25" customHeight="1">
      <c r="A22" s="17"/>
      <c r="B22" s="17"/>
      <c r="C22" s="17"/>
      <c r="D22" s="17"/>
      <c r="E22" s="17"/>
      <c r="F22" s="17"/>
      <c r="G22" s="18"/>
      <c r="H22" s="21"/>
      <c r="I22" s="21"/>
      <c r="J22" s="21"/>
      <c r="K22" s="21"/>
      <c r="L22" s="18"/>
      <c r="M22" s="18"/>
      <c r="N22" s="18"/>
      <c r="O22" s="18"/>
      <c r="P22" s="18"/>
      <c r="Q22" s="18"/>
      <c r="R22" s="18"/>
      <c r="S22" s="18"/>
      <c r="T22" s="40"/>
      <c r="U22" s="40"/>
      <c r="V22" s="40"/>
      <c r="W22" s="40"/>
      <c r="X22" s="40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1:52" s="23" customFormat="1" ht="20.25" customHeight="1">
      <c r="A23" s="136" t="s">
        <v>260</v>
      </c>
      <c r="B23" s="17"/>
      <c r="C23" s="17"/>
      <c r="D23" s="17"/>
      <c r="E23" s="17"/>
      <c r="F23" s="17"/>
      <c r="G23" s="18"/>
      <c r="H23" s="21"/>
      <c r="I23" s="21"/>
      <c r="J23" s="21"/>
      <c r="K23" s="21"/>
      <c r="L23" s="18"/>
      <c r="M23" s="18"/>
      <c r="N23" s="18"/>
      <c r="O23" s="18"/>
      <c r="P23" s="18"/>
      <c r="Q23" s="18"/>
      <c r="R23" s="18"/>
      <c r="S23" s="18"/>
      <c r="T23" s="40"/>
      <c r="U23" s="40"/>
      <c r="V23" s="40"/>
      <c r="W23" s="40"/>
      <c r="X23" s="40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39" t="s">
        <v>265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1:52" ht="21" customHeight="1"/>
    <row r="25" spans="1:52" ht="21" customHeight="1"/>
  </sheetData>
  <mergeCells count="2">
    <mergeCell ref="Y1:AD1"/>
    <mergeCell ref="AW1:AZ1"/>
  </mergeCells>
  <phoneticPr fontId="7" type="noConversion"/>
  <pageMargins left="0.31496062992125984" right="0.11811023622047245" top="0.74803149606299213" bottom="0.74803149606299213" header="0.31496062992125984" footer="0.31496062992125984"/>
  <pageSetup paperSize="9"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C9" sqref="C9"/>
    </sheetView>
  </sheetViews>
  <sheetFormatPr defaultRowHeight="15.75"/>
  <cols>
    <col min="1" max="1" width="5.42578125" customWidth="1"/>
    <col min="2" max="2" width="20.42578125" customWidth="1"/>
    <col min="3" max="4" width="7.85546875" style="5" customWidth="1"/>
    <col min="5" max="8" width="8.5703125" style="5" customWidth="1"/>
  </cols>
  <sheetData>
    <row r="1" spans="1:8" ht="24" customHeight="1">
      <c r="A1" s="20" t="s">
        <v>124</v>
      </c>
      <c r="E1" s="177" t="s">
        <v>671</v>
      </c>
    </row>
    <row r="2" spans="1:8">
      <c r="A2" s="5">
        <v>1</v>
      </c>
      <c r="B2" t="s">
        <v>113</v>
      </c>
    </row>
    <row r="3" spans="1:8">
      <c r="A3" s="5">
        <v>3</v>
      </c>
      <c r="B3" t="s">
        <v>145</v>
      </c>
    </row>
    <row r="4" spans="1:8">
      <c r="A4" s="5">
        <v>4</v>
      </c>
      <c r="B4" t="s">
        <v>114</v>
      </c>
    </row>
    <row r="5" spans="1:8">
      <c r="A5" s="5">
        <v>5</v>
      </c>
      <c r="B5" t="s">
        <v>75</v>
      </c>
    </row>
    <row r="6" spans="1:8">
      <c r="A6" s="5">
        <v>6</v>
      </c>
      <c r="B6" t="s">
        <v>115</v>
      </c>
    </row>
    <row r="7" spans="1:8">
      <c r="A7" s="5">
        <v>7</v>
      </c>
      <c r="B7" t="s">
        <v>146</v>
      </c>
    </row>
    <row r="8" spans="1:8">
      <c r="A8" s="5">
        <v>8</v>
      </c>
      <c r="B8" t="s">
        <v>116</v>
      </c>
    </row>
    <row r="9" spans="1:8">
      <c r="A9" s="5">
        <v>9</v>
      </c>
      <c r="B9" t="s">
        <v>117</v>
      </c>
    </row>
    <row r="10" spans="1:8">
      <c r="A10" s="5">
        <v>10</v>
      </c>
      <c r="B10" t="s">
        <v>147</v>
      </c>
      <c r="C10" s="5" t="s">
        <v>152</v>
      </c>
      <c r="D10" s="5" t="s">
        <v>153</v>
      </c>
      <c r="E10" s="5" t="s">
        <v>148</v>
      </c>
      <c r="F10" s="5" t="s">
        <v>149</v>
      </c>
      <c r="G10" s="5" t="s">
        <v>150</v>
      </c>
      <c r="H10" s="5" t="s">
        <v>151</v>
      </c>
    </row>
    <row r="11" spans="1:8">
      <c r="A11" s="5">
        <v>11</v>
      </c>
      <c r="B11" t="s">
        <v>119</v>
      </c>
      <c r="C11" s="5" t="s">
        <v>152</v>
      </c>
      <c r="D11" s="5" t="s">
        <v>153</v>
      </c>
    </row>
    <row r="12" spans="1:8">
      <c r="A12" s="5">
        <v>12</v>
      </c>
      <c r="B12" t="s">
        <v>118</v>
      </c>
      <c r="C12" s="5" t="s">
        <v>152</v>
      </c>
      <c r="D12" s="5" t="s">
        <v>153</v>
      </c>
    </row>
    <row r="16" spans="1:8">
      <c r="B16" s="52" t="s">
        <v>154</v>
      </c>
      <c r="C16" s="53" t="s">
        <v>155</v>
      </c>
      <c r="D16" s="53"/>
    </row>
    <row r="17" spans="2:4">
      <c r="B17" s="52" t="s">
        <v>156</v>
      </c>
      <c r="C17" s="53"/>
      <c r="D17" s="53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C17" sqref="C17"/>
    </sheetView>
  </sheetViews>
  <sheetFormatPr defaultRowHeight="15.75"/>
  <cols>
    <col min="1" max="1" width="5.42578125" customWidth="1"/>
    <col min="2" max="2" width="23.7109375" customWidth="1"/>
    <col min="3" max="3" width="14.28515625" customWidth="1"/>
  </cols>
  <sheetData>
    <row r="1" spans="1:4" ht="24" customHeight="1">
      <c r="A1" s="20" t="s">
        <v>120</v>
      </c>
      <c r="D1" s="177" t="s">
        <v>671</v>
      </c>
    </row>
    <row r="2" spans="1:4">
      <c r="A2" s="5">
        <v>1</v>
      </c>
      <c r="B2" t="s">
        <v>636</v>
      </c>
      <c r="C2" t="s">
        <v>670</v>
      </c>
    </row>
    <row r="3" spans="1:4">
      <c r="A3" s="5">
        <v>2</v>
      </c>
      <c r="B3" t="s">
        <v>12</v>
      </c>
      <c r="C3" t="s">
        <v>672</v>
      </c>
    </row>
    <row r="4" spans="1:4">
      <c r="A4" s="5">
        <v>3</v>
      </c>
      <c r="B4" t="s">
        <v>226</v>
      </c>
      <c r="C4" t="s">
        <v>135</v>
      </c>
    </row>
    <row r="5" spans="1:4">
      <c r="A5" s="5">
        <v>4</v>
      </c>
      <c r="B5" t="s">
        <v>227</v>
      </c>
    </row>
    <row r="6" spans="1:4">
      <c r="A6" s="5">
        <v>5</v>
      </c>
      <c r="B6" t="s">
        <v>228</v>
      </c>
    </row>
    <row r="7" spans="1:4">
      <c r="A7" s="5">
        <v>6</v>
      </c>
      <c r="B7" t="s">
        <v>229</v>
      </c>
    </row>
    <row r="8" spans="1:4">
      <c r="A8" s="5">
        <v>7</v>
      </c>
      <c r="B8" t="s">
        <v>121</v>
      </c>
      <c r="C8" t="s">
        <v>668</v>
      </c>
    </row>
    <row r="9" spans="1:4">
      <c r="A9" s="5">
        <v>8</v>
      </c>
      <c r="B9" t="s">
        <v>122</v>
      </c>
      <c r="C9" t="s">
        <v>136</v>
      </c>
    </row>
    <row r="10" spans="1:4">
      <c r="A10" s="5">
        <v>9</v>
      </c>
      <c r="B10" t="s">
        <v>143</v>
      </c>
      <c r="C10" t="s">
        <v>144</v>
      </c>
    </row>
    <row r="11" spans="1:4">
      <c r="A11" s="5">
        <v>10</v>
      </c>
      <c r="B11" t="s">
        <v>137</v>
      </c>
      <c r="C11" s="194">
        <v>20000</v>
      </c>
    </row>
    <row r="12" spans="1:4">
      <c r="A12" s="5">
        <v>11</v>
      </c>
      <c r="B12" t="s">
        <v>138</v>
      </c>
      <c r="C12" s="194">
        <f>C11*23350</f>
        <v>467000000</v>
      </c>
    </row>
    <row r="13" spans="1:4">
      <c r="A13" s="5">
        <v>12</v>
      </c>
      <c r="B13" t="s">
        <v>139</v>
      </c>
    </row>
    <row r="14" spans="1:4">
      <c r="A14" s="5">
        <v>13</v>
      </c>
      <c r="B14" t="s">
        <v>140</v>
      </c>
    </row>
    <row r="15" spans="1:4">
      <c r="A15" s="5">
        <v>14</v>
      </c>
      <c r="B15" t="s">
        <v>141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zoomScaleNormal="100" workbookViewId="0">
      <selection activeCell="S13" sqref="S13"/>
    </sheetView>
  </sheetViews>
  <sheetFormatPr defaultRowHeight="15.75"/>
  <cols>
    <col min="1" max="1" width="9" customWidth="1"/>
    <col min="2" max="5" width="15.7109375" customWidth="1"/>
    <col min="6" max="6" width="15" style="5" customWidth="1"/>
    <col min="7" max="7" width="13.5703125" customWidth="1"/>
    <col min="8" max="8" width="12.5703125" customWidth="1"/>
    <col min="9" max="11" width="28.28515625" customWidth="1"/>
    <col min="12" max="12" width="28.28515625" style="24" customWidth="1"/>
    <col min="13" max="15" width="11.85546875" customWidth="1"/>
    <col min="16" max="16" width="8.85546875" customWidth="1"/>
    <col min="17" max="29" width="13.7109375" customWidth="1"/>
  </cols>
  <sheetData>
    <row r="1" spans="1:29" ht="24.75" customHeight="1">
      <c r="A1" s="20" t="s">
        <v>223</v>
      </c>
      <c r="B1" s="20"/>
      <c r="D1" s="20"/>
      <c r="E1" s="38" t="s">
        <v>72</v>
      </c>
      <c r="F1"/>
    </row>
    <row r="2" spans="1:29" s="23" customFormat="1" ht="36" customHeight="1">
      <c r="A2" s="30" t="s">
        <v>81</v>
      </c>
      <c r="B2" s="30" t="s">
        <v>240</v>
      </c>
      <c r="C2" s="30" t="s">
        <v>233</v>
      </c>
      <c r="D2" s="128" t="s">
        <v>234</v>
      </c>
      <c r="E2" s="128" t="s">
        <v>235</v>
      </c>
      <c r="F2" s="30" t="s">
        <v>87</v>
      </c>
      <c r="G2" s="30" t="s">
        <v>10</v>
      </c>
      <c r="H2" s="31" t="s">
        <v>288</v>
      </c>
      <c r="I2" s="32" t="s">
        <v>289</v>
      </c>
      <c r="J2" s="32" t="s">
        <v>225</v>
      </c>
      <c r="K2" s="32" t="s">
        <v>70</v>
      </c>
      <c r="L2" s="32" t="s">
        <v>15</v>
      </c>
      <c r="M2" s="31" t="s">
        <v>11</v>
      </c>
      <c r="N2" s="31" t="s">
        <v>68</v>
      </c>
      <c r="O2" s="31" t="s">
        <v>230</v>
      </c>
      <c r="P2" s="31" t="s">
        <v>241</v>
      </c>
      <c r="Q2" s="31" t="s">
        <v>90</v>
      </c>
      <c r="R2" s="31" t="s">
        <v>91</v>
      </c>
      <c r="S2" s="31" t="s">
        <v>231</v>
      </c>
      <c r="T2" s="31" t="s">
        <v>232</v>
      </c>
      <c r="U2" s="126" t="s">
        <v>236</v>
      </c>
      <c r="V2" s="126" t="s">
        <v>237</v>
      </c>
      <c r="W2" s="126" t="s">
        <v>238</v>
      </c>
      <c r="X2" s="126" t="s">
        <v>239</v>
      </c>
      <c r="Y2" s="126" t="s">
        <v>244</v>
      </c>
      <c r="Z2" s="126" t="s">
        <v>245</v>
      </c>
      <c r="AA2" s="126" t="s">
        <v>242</v>
      </c>
      <c r="AB2" s="126" t="s">
        <v>243</v>
      </c>
      <c r="AC2" s="126" t="s">
        <v>246</v>
      </c>
    </row>
    <row r="3" spans="1:29" s="43" customFormat="1" ht="20.25" customHeight="1">
      <c r="A3" s="17"/>
      <c r="B3" s="17"/>
      <c r="C3" s="17"/>
      <c r="D3" s="17"/>
      <c r="E3" s="17"/>
      <c r="F3" s="17"/>
      <c r="G3" s="17"/>
      <c r="H3" s="18"/>
      <c r="I3" s="21"/>
      <c r="J3" s="21"/>
      <c r="K3" s="21"/>
      <c r="L3" s="21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25" t="s">
        <v>224</v>
      </c>
      <c r="AB3" s="18"/>
      <c r="AC3" s="18"/>
    </row>
    <row r="4" spans="1:29" s="23" customFormat="1" ht="20.25" customHeight="1">
      <c r="A4" s="17"/>
      <c r="B4" s="17"/>
      <c r="C4" s="17"/>
      <c r="D4" s="17"/>
      <c r="E4" s="17"/>
      <c r="F4" s="17"/>
      <c r="G4" s="17"/>
      <c r="H4" s="18"/>
      <c r="I4" s="21"/>
      <c r="J4" s="21"/>
      <c r="K4" s="21"/>
      <c r="L4" s="21"/>
      <c r="M4" s="18"/>
      <c r="N4" s="18"/>
      <c r="O4" s="18"/>
      <c r="P4" s="18"/>
      <c r="Q4" s="18"/>
      <c r="R4" s="124">
        <v>100000000</v>
      </c>
      <c r="S4" s="18"/>
      <c r="T4" s="18"/>
      <c r="U4" s="18"/>
      <c r="V4" s="18"/>
      <c r="W4" s="18"/>
      <c r="X4" s="18"/>
      <c r="Y4" s="18"/>
      <c r="Z4" s="18"/>
      <c r="AA4" s="129">
        <v>0.01</v>
      </c>
      <c r="AB4" s="130">
        <f>R4*AA4</f>
        <v>1000000</v>
      </c>
      <c r="AC4" s="130">
        <f>R4+AB4</f>
        <v>101000000</v>
      </c>
    </row>
    <row r="5" spans="1:29" s="23" customFormat="1" ht="20.25" customHeight="1">
      <c r="A5" s="17"/>
      <c r="B5" s="17"/>
      <c r="C5" s="17"/>
      <c r="D5" s="17"/>
      <c r="E5" s="17"/>
      <c r="F5" s="17"/>
      <c r="G5" s="17"/>
      <c r="H5" s="18"/>
      <c r="I5" s="21"/>
      <c r="J5" s="21"/>
      <c r="K5" s="21"/>
      <c r="L5" s="21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s="23" customFormat="1" ht="20.25" customHeight="1">
      <c r="A6" s="17"/>
      <c r="B6" s="17"/>
      <c r="C6" s="17"/>
      <c r="D6" s="17"/>
      <c r="E6" s="17"/>
      <c r="F6" s="17"/>
      <c r="G6" s="17"/>
      <c r="H6" s="18"/>
      <c r="I6" s="21"/>
      <c r="J6" s="21"/>
      <c r="K6" s="21"/>
      <c r="L6" s="21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s="23" customFormat="1" ht="20.25" customHeight="1">
      <c r="A7" s="17"/>
      <c r="B7" s="119" t="s">
        <v>224</v>
      </c>
      <c r="C7" s="119"/>
      <c r="D7" s="17"/>
      <c r="E7" s="17"/>
      <c r="F7" s="17"/>
      <c r="G7" s="17"/>
      <c r="H7" s="18"/>
      <c r="I7" s="21"/>
      <c r="J7" s="21"/>
      <c r="K7" s="21"/>
      <c r="L7" s="21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1:29" s="23" customFormat="1" ht="20.25" customHeight="1">
      <c r="A8" s="17"/>
      <c r="B8" s="17"/>
      <c r="C8" s="17"/>
      <c r="D8" s="17"/>
      <c r="E8" s="17"/>
      <c r="F8" s="17"/>
      <c r="G8" s="17"/>
      <c r="H8" s="18"/>
      <c r="I8" s="21"/>
      <c r="J8" s="21"/>
      <c r="K8" s="21"/>
      <c r="L8" s="2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 s="23" customFormat="1" ht="20.25" customHeight="1">
      <c r="A9" s="17"/>
      <c r="B9" s="17"/>
      <c r="C9" s="17"/>
      <c r="D9" s="17"/>
      <c r="E9" s="17"/>
      <c r="F9" s="17"/>
      <c r="G9" s="17"/>
      <c r="H9" s="18"/>
      <c r="I9" s="21"/>
      <c r="J9" s="21"/>
      <c r="K9" s="21"/>
      <c r="L9" s="21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s="23" customFormat="1" ht="20.25" customHeight="1">
      <c r="A10" s="17"/>
      <c r="B10" s="17"/>
      <c r="C10" s="17"/>
      <c r="D10" s="17"/>
      <c r="E10" s="17"/>
      <c r="F10" s="17"/>
      <c r="G10" s="17"/>
      <c r="H10" s="18"/>
      <c r="I10" s="21"/>
      <c r="J10" s="21"/>
      <c r="K10" s="21"/>
      <c r="L10" s="21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 s="23" customFormat="1" ht="20.25" customHeight="1">
      <c r="A11" s="17"/>
      <c r="B11" s="17"/>
      <c r="C11" s="17"/>
      <c r="D11" s="17"/>
      <c r="E11" s="17"/>
      <c r="F11" s="17"/>
      <c r="G11" s="17"/>
      <c r="H11" s="18"/>
      <c r="I11" s="21"/>
      <c r="J11" s="21"/>
      <c r="K11" s="21"/>
      <c r="L11" s="21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1:29" s="23" customFormat="1" ht="20.25" customHeight="1">
      <c r="A12" s="17"/>
      <c r="B12" s="17"/>
      <c r="C12" s="17"/>
      <c r="D12" s="17"/>
      <c r="E12" s="17"/>
      <c r="F12" s="17"/>
      <c r="G12" s="17"/>
      <c r="H12" s="18"/>
      <c r="I12" s="21"/>
      <c r="J12" s="21"/>
      <c r="K12" s="21"/>
      <c r="L12" s="21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 s="23" customFormat="1" ht="20.25" customHeight="1">
      <c r="A13" s="17"/>
      <c r="B13" s="17"/>
      <c r="C13" s="17"/>
      <c r="D13" s="17"/>
      <c r="E13" s="17"/>
      <c r="F13" s="17"/>
      <c r="G13" s="17"/>
      <c r="H13" s="18"/>
      <c r="I13" s="21"/>
      <c r="J13" s="21"/>
      <c r="K13" s="21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 s="23" customFormat="1" ht="20.25" customHeight="1">
      <c r="A14" s="17"/>
      <c r="B14" s="17"/>
      <c r="C14" s="17"/>
      <c r="D14" s="17"/>
      <c r="E14" s="17"/>
      <c r="F14" s="17"/>
      <c r="G14" s="17"/>
      <c r="H14" s="18"/>
      <c r="I14" s="21"/>
      <c r="J14" s="21"/>
      <c r="K14" s="21"/>
      <c r="L14" s="21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29" s="23" customFormat="1" ht="20.25" customHeight="1">
      <c r="A15" s="17"/>
      <c r="B15" s="17"/>
      <c r="C15" s="17"/>
      <c r="D15" s="17"/>
      <c r="E15" s="17"/>
      <c r="F15" s="17"/>
      <c r="G15" s="17"/>
      <c r="H15" s="18"/>
      <c r="I15" s="21"/>
      <c r="J15" s="21"/>
      <c r="K15" s="21"/>
      <c r="L15" s="21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29" s="23" customFormat="1" ht="20.25" customHeight="1">
      <c r="A16" s="17"/>
      <c r="B16" s="17"/>
      <c r="C16" s="17"/>
      <c r="D16" s="17"/>
      <c r="E16" s="17"/>
      <c r="F16" s="17"/>
      <c r="G16" s="17"/>
      <c r="H16" s="18"/>
      <c r="I16" s="21"/>
      <c r="J16" s="21"/>
      <c r="K16" s="21"/>
      <c r="L16" s="21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 s="23" customFormat="1" ht="20.25" customHeight="1">
      <c r="A17" s="17"/>
      <c r="B17" s="17"/>
      <c r="C17" s="17"/>
      <c r="D17" s="17"/>
      <c r="E17" s="17"/>
      <c r="F17" s="17"/>
      <c r="G17" s="17"/>
      <c r="H17" s="18"/>
      <c r="I17" s="21"/>
      <c r="J17" s="21"/>
      <c r="K17" s="21"/>
      <c r="L17" s="21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29" s="23" customFormat="1" ht="20.25" customHeight="1">
      <c r="A18" s="17"/>
      <c r="B18" s="17"/>
      <c r="C18" s="17"/>
      <c r="D18" s="17"/>
      <c r="E18" s="17"/>
      <c r="F18" s="17"/>
      <c r="G18" s="17"/>
      <c r="H18" s="18"/>
      <c r="I18" s="21"/>
      <c r="J18" s="21"/>
      <c r="K18" s="21"/>
      <c r="L18" s="21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 s="23" customFormat="1" ht="20.25" customHeight="1">
      <c r="A19" s="17"/>
      <c r="B19" s="17"/>
      <c r="C19" s="17"/>
      <c r="D19" s="17"/>
      <c r="E19" s="17"/>
      <c r="F19" s="17"/>
      <c r="G19" s="17"/>
      <c r="H19" s="18"/>
      <c r="I19" s="21"/>
      <c r="J19" s="21"/>
      <c r="K19" s="21"/>
      <c r="L19" s="21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spans="1:29" s="23" customFormat="1" ht="20.25" customHeight="1">
      <c r="A20" s="17"/>
      <c r="B20" s="17"/>
      <c r="C20" s="17"/>
      <c r="D20" s="17"/>
      <c r="E20" s="17"/>
      <c r="F20" s="17"/>
      <c r="G20" s="17"/>
      <c r="H20" s="18"/>
      <c r="I20" s="21"/>
      <c r="J20" s="21"/>
      <c r="K20" s="21"/>
      <c r="L20" s="21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s="23" customFormat="1" ht="20.25" customHeight="1">
      <c r="A21" s="17"/>
      <c r="B21" s="17"/>
      <c r="C21" s="17"/>
      <c r="D21" s="17"/>
      <c r="E21" s="17"/>
      <c r="F21" s="17"/>
      <c r="G21" s="17"/>
      <c r="H21" s="18"/>
      <c r="I21" s="21"/>
      <c r="J21" s="21"/>
      <c r="K21" s="21"/>
      <c r="L21" s="21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 s="23" customFormat="1" ht="20.25" customHeight="1">
      <c r="A22" s="17"/>
      <c r="B22" s="17"/>
      <c r="C22" s="17"/>
      <c r="D22" s="17"/>
      <c r="E22" s="17"/>
      <c r="F22" s="17"/>
      <c r="G22" s="17"/>
      <c r="H22" s="18"/>
      <c r="I22" s="21"/>
      <c r="J22" s="21"/>
      <c r="K22" s="21"/>
      <c r="L22" s="21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 s="23" customFormat="1" ht="20.25" customHeight="1">
      <c r="A23" s="17"/>
      <c r="B23" s="17"/>
      <c r="C23" s="17"/>
      <c r="D23" s="17"/>
      <c r="E23" s="17"/>
      <c r="F23" s="17"/>
      <c r="G23" s="17"/>
      <c r="H23" s="18"/>
      <c r="I23" s="21"/>
      <c r="J23" s="21"/>
      <c r="K23" s="21"/>
      <c r="L23" s="21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 ht="21" customHeight="1">
      <c r="A24" s="131" t="s">
        <v>247</v>
      </c>
    </row>
    <row r="25" spans="1:29" ht="21" customHeight="1"/>
  </sheetData>
  <phoneticPr fontId="7" type="noConversion"/>
  <pageMargins left="0.31496062992125984" right="0.11811023622047245" top="0.74803149606299213" bottom="0.74803149606299213" header="0.31496062992125984" footer="0.31496062992125984"/>
  <pageSetup paperSize="9" scale="4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63"/>
  <sheetViews>
    <sheetView workbookViewId="0">
      <selection activeCell="G18" sqref="G18"/>
    </sheetView>
  </sheetViews>
  <sheetFormatPr defaultRowHeight="15.75" customHeight="1"/>
  <cols>
    <col min="1" max="1" width="5.28515625" style="64" customWidth="1"/>
    <col min="2" max="2" width="37.42578125" style="64" customWidth="1"/>
    <col min="3" max="3" width="7.140625" style="68" customWidth="1"/>
    <col min="4" max="4" width="10.140625" style="60" customWidth="1"/>
    <col min="5" max="5" width="9.85546875" style="61" customWidth="1"/>
    <col min="6" max="6" width="12" style="62" customWidth="1"/>
    <col min="7" max="7" width="18.28515625" style="63" customWidth="1"/>
    <col min="8" max="8" width="19.140625" style="64" customWidth="1"/>
    <col min="9" max="9" width="17.7109375" style="64" customWidth="1"/>
    <col min="10" max="10" width="8.85546875" style="64" bestFit="1" customWidth="1"/>
    <col min="11" max="256" width="9.140625" style="64"/>
    <col min="257" max="257" width="5.28515625" style="64" customWidth="1"/>
    <col min="258" max="258" width="37.42578125" style="64" customWidth="1"/>
    <col min="259" max="259" width="7.140625" style="64" customWidth="1"/>
    <col min="260" max="260" width="10.140625" style="64" customWidth="1"/>
    <col min="261" max="261" width="9.85546875" style="64" customWidth="1"/>
    <col min="262" max="262" width="12" style="64" customWidth="1"/>
    <col min="263" max="263" width="18.28515625" style="64" customWidth="1"/>
    <col min="264" max="264" width="15.5703125" style="64" customWidth="1"/>
    <col min="265" max="265" width="17.7109375" style="64" customWidth="1"/>
    <col min="266" max="266" width="8.85546875" style="64" bestFit="1" customWidth="1"/>
    <col min="267" max="512" width="9.140625" style="64"/>
    <col min="513" max="513" width="5.28515625" style="64" customWidth="1"/>
    <col min="514" max="514" width="37.42578125" style="64" customWidth="1"/>
    <col min="515" max="515" width="7.140625" style="64" customWidth="1"/>
    <col min="516" max="516" width="10.140625" style="64" customWidth="1"/>
    <col min="517" max="517" width="9.85546875" style="64" customWidth="1"/>
    <col min="518" max="518" width="12" style="64" customWidth="1"/>
    <col min="519" max="519" width="18.28515625" style="64" customWidth="1"/>
    <col min="520" max="520" width="15.5703125" style="64" customWidth="1"/>
    <col min="521" max="521" width="17.7109375" style="64" customWidth="1"/>
    <col min="522" max="522" width="8.85546875" style="64" bestFit="1" customWidth="1"/>
    <col min="523" max="768" width="9.140625" style="64"/>
    <col min="769" max="769" width="5.28515625" style="64" customWidth="1"/>
    <col min="770" max="770" width="37.42578125" style="64" customWidth="1"/>
    <col min="771" max="771" width="7.140625" style="64" customWidth="1"/>
    <col min="772" max="772" width="10.140625" style="64" customWidth="1"/>
    <col min="773" max="773" width="9.85546875" style="64" customWidth="1"/>
    <col min="774" max="774" width="12" style="64" customWidth="1"/>
    <col min="775" max="775" width="18.28515625" style="64" customWidth="1"/>
    <col min="776" max="776" width="15.5703125" style="64" customWidth="1"/>
    <col min="777" max="777" width="17.7109375" style="64" customWidth="1"/>
    <col min="778" max="778" width="8.85546875" style="64" bestFit="1" customWidth="1"/>
    <col min="779" max="1024" width="9.140625" style="64"/>
    <col min="1025" max="1025" width="5.28515625" style="64" customWidth="1"/>
    <col min="1026" max="1026" width="37.42578125" style="64" customWidth="1"/>
    <col min="1027" max="1027" width="7.140625" style="64" customWidth="1"/>
    <col min="1028" max="1028" width="10.140625" style="64" customWidth="1"/>
    <col min="1029" max="1029" width="9.85546875" style="64" customWidth="1"/>
    <col min="1030" max="1030" width="12" style="64" customWidth="1"/>
    <col min="1031" max="1031" width="18.28515625" style="64" customWidth="1"/>
    <col min="1032" max="1032" width="15.5703125" style="64" customWidth="1"/>
    <col min="1033" max="1033" width="17.7109375" style="64" customWidth="1"/>
    <col min="1034" max="1034" width="8.85546875" style="64" bestFit="1" customWidth="1"/>
    <col min="1035" max="1280" width="9.140625" style="64"/>
    <col min="1281" max="1281" width="5.28515625" style="64" customWidth="1"/>
    <col min="1282" max="1282" width="37.42578125" style="64" customWidth="1"/>
    <col min="1283" max="1283" width="7.140625" style="64" customWidth="1"/>
    <col min="1284" max="1284" width="10.140625" style="64" customWidth="1"/>
    <col min="1285" max="1285" width="9.85546875" style="64" customWidth="1"/>
    <col min="1286" max="1286" width="12" style="64" customWidth="1"/>
    <col min="1287" max="1287" width="18.28515625" style="64" customWidth="1"/>
    <col min="1288" max="1288" width="15.5703125" style="64" customWidth="1"/>
    <col min="1289" max="1289" width="17.7109375" style="64" customWidth="1"/>
    <col min="1290" max="1290" width="8.85546875" style="64" bestFit="1" customWidth="1"/>
    <col min="1291" max="1536" width="9.140625" style="64"/>
    <col min="1537" max="1537" width="5.28515625" style="64" customWidth="1"/>
    <col min="1538" max="1538" width="37.42578125" style="64" customWidth="1"/>
    <col min="1539" max="1539" width="7.140625" style="64" customWidth="1"/>
    <col min="1540" max="1540" width="10.140625" style="64" customWidth="1"/>
    <col min="1541" max="1541" width="9.85546875" style="64" customWidth="1"/>
    <col min="1542" max="1542" width="12" style="64" customWidth="1"/>
    <col min="1543" max="1543" width="18.28515625" style="64" customWidth="1"/>
    <col min="1544" max="1544" width="15.5703125" style="64" customWidth="1"/>
    <col min="1545" max="1545" width="17.7109375" style="64" customWidth="1"/>
    <col min="1546" max="1546" width="8.85546875" style="64" bestFit="1" customWidth="1"/>
    <col min="1547" max="1792" width="9.140625" style="64"/>
    <col min="1793" max="1793" width="5.28515625" style="64" customWidth="1"/>
    <col min="1794" max="1794" width="37.42578125" style="64" customWidth="1"/>
    <col min="1795" max="1795" width="7.140625" style="64" customWidth="1"/>
    <col min="1796" max="1796" width="10.140625" style="64" customWidth="1"/>
    <col min="1797" max="1797" width="9.85546875" style="64" customWidth="1"/>
    <col min="1798" max="1798" width="12" style="64" customWidth="1"/>
    <col min="1799" max="1799" width="18.28515625" style="64" customWidth="1"/>
    <col min="1800" max="1800" width="15.5703125" style="64" customWidth="1"/>
    <col min="1801" max="1801" width="17.7109375" style="64" customWidth="1"/>
    <col min="1802" max="1802" width="8.85546875" style="64" bestFit="1" customWidth="1"/>
    <col min="1803" max="2048" width="9.140625" style="64"/>
    <col min="2049" max="2049" width="5.28515625" style="64" customWidth="1"/>
    <col min="2050" max="2050" width="37.42578125" style="64" customWidth="1"/>
    <col min="2051" max="2051" width="7.140625" style="64" customWidth="1"/>
    <col min="2052" max="2052" width="10.140625" style="64" customWidth="1"/>
    <col min="2053" max="2053" width="9.85546875" style="64" customWidth="1"/>
    <col min="2054" max="2054" width="12" style="64" customWidth="1"/>
    <col min="2055" max="2055" width="18.28515625" style="64" customWidth="1"/>
    <col min="2056" max="2056" width="15.5703125" style="64" customWidth="1"/>
    <col min="2057" max="2057" width="17.7109375" style="64" customWidth="1"/>
    <col min="2058" max="2058" width="8.85546875" style="64" bestFit="1" customWidth="1"/>
    <col min="2059" max="2304" width="9.140625" style="64"/>
    <col min="2305" max="2305" width="5.28515625" style="64" customWidth="1"/>
    <col min="2306" max="2306" width="37.42578125" style="64" customWidth="1"/>
    <col min="2307" max="2307" width="7.140625" style="64" customWidth="1"/>
    <col min="2308" max="2308" width="10.140625" style="64" customWidth="1"/>
    <col min="2309" max="2309" width="9.85546875" style="64" customWidth="1"/>
    <col min="2310" max="2310" width="12" style="64" customWidth="1"/>
    <col min="2311" max="2311" width="18.28515625" style="64" customWidth="1"/>
    <col min="2312" max="2312" width="15.5703125" style="64" customWidth="1"/>
    <col min="2313" max="2313" width="17.7109375" style="64" customWidth="1"/>
    <col min="2314" max="2314" width="8.85546875" style="64" bestFit="1" customWidth="1"/>
    <col min="2315" max="2560" width="9.140625" style="64"/>
    <col min="2561" max="2561" width="5.28515625" style="64" customWidth="1"/>
    <col min="2562" max="2562" width="37.42578125" style="64" customWidth="1"/>
    <col min="2563" max="2563" width="7.140625" style="64" customWidth="1"/>
    <col min="2564" max="2564" width="10.140625" style="64" customWidth="1"/>
    <col min="2565" max="2565" width="9.85546875" style="64" customWidth="1"/>
    <col min="2566" max="2566" width="12" style="64" customWidth="1"/>
    <col min="2567" max="2567" width="18.28515625" style="64" customWidth="1"/>
    <col min="2568" max="2568" width="15.5703125" style="64" customWidth="1"/>
    <col min="2569" max="2569" width="17.7109375" style="64" customWidth="1"/>
    <col min="2570" max="2570" width="8.85546875" style="64" bestFit="1" customWidth="1"/>
    <col min="2571" max="2816" width="9.140625" style="64"/>
    <col min="2817" max="2817" width="5.28515625" style="64" customWidth="1"/>
    <col min="2818" max="2818" width="37.42578125" style="64" customWidth="1"/>
    <col min="2819" max="2819" width="7.140625" style="64" customWidth="1"/>
    <col min="2820" max="2820" width="10.140625" style="64" customWidth="1"/>
    <col min="2821" max="2821" width="9.85546875" style="64" customWidth="1"/>
    <col min="2822" max="2822" width="12" style="64" customWidth="1"/>
    <col min="2823" max="2823" width="18.28515625" style="64" customWidth="1"/>
    <col min="2824" max="2824" width="15.5703125" style="64" customWidth="1"/>
    <col min="2825" max="2825" width="17.7109375" style="64" customWidth="1"/>
    <col min="2826" max="2826" width="8.85546875" style="64" bestFit="1" customWidth="1"/>
    <col min="2827" max="3072" width="9.140625" style="64"/>
    <col min="3073" max="3073" width="5.28515625" style="64" customWidth="1"/>
    <col min="3074" max="3074" width="37.42578125" style="64" customWidth="1"/>
    <col min="3075" max="3075" width="7.140625" style="64" customWidth="1"/>
    <col min="3076" max="3076" width="10.140625" style="64" customWidth="1"/>
    <col min="3077" max="3077" width="9.85546875" style="64" customWidth="1"/>
    <col min="3078" max="3078" width="12" style="64" customWidth="1"/>
    <col min="3079" max="3079" width="18.28515625" style="64" customWidth="1"/>
    <col min="3080" max="3080" width="15.5703125" style="64" customWidth="1"/>
    <col min="3081" max="3081" width="17.7109375" style="64" customWidth="1"/>
    <col min="3082" max="3082" width="8.85546875" style="64" bestFit="1" customWidth="1"/>
    <col min="3083" max="3328" width="9.140625" style="64"/>
    <col min="3329" max="3329" width="5.28515625" style="64" customWidth="1"/>
    <col min="3330" max="3330" width="37.42578125" style="64" customWidth="1"/>
    <col min="3331" max="3331" width="7.140625" style="64" customWidth="1"/>
    <col min="3332" max="3332" width="10.140625" style="64" customWidth="1"/>
    <col min="3333" max="3333" width="9.85546875" style="64" customWidth="1"/>
    <col min="3334" max="3334" width="12" style="64" customWidth="1"/>
    <col min="3335" max="3335" width="18.28515625" style="64" customWidth="1"/>
    <col min="3336" max="3336" width="15.5703125" style="64" customWidth="1"/>
    <col min="3337" max="3337" width="17.7109375" style="64" customWidth="1"/>
    <col min="3338" max="3338" width="8.85546875" style="64" bestFit="1" customWidth="1"/>
    <col min="3339" max="3584" width="9.140625" style="64"/>
    <col min="3585" max="3585" width="5.28515625" style="64" customWidth="1"/>
    <col min="3586" max="3586" width="37.42578125" style="64" customWidth="1"/>
    <col min="3587" max="3587" width="7.140625" style="64" customWidth="1"/>
    <col min="3588" max="3588" width="10.140625" style="64" customWidth="1"/>
    <col min="3589" max="3589" width="9.85546875" style="64" customWidth="1"/>
    <col min="3590" max="3590" width="12" style="64" customWidth="1"/>
    <col min="3591" max="3591" width="18.28515625" style="64" customWidth="1"/>
    <col min="3592" max="3592" width="15.5703125" style="64" customWidth="1"/>
    <col min="3593" max="3593" width="17.7109375" style="64" customWidth="1"/>
    <col min="3594" max="3594" width="8.85546875" style="64" bestFit="1" customWidth="1"/>
    <col min="3595" max="3840" width="9.140625" style="64"/>
    <col min="3841" max="3841" width="5.28515625" style="64" customWidth="1"/>
    <col min="3842" max="3842" width="37.42578125" style="64" customWidth="1"/>
    <col min="3843" max="3843" width="7.140625" style="64" customWidth="1"/>
    <col min="3844" max="3844" width="10.140625" style="64" customWidth="1"/>
    <col min="3845" max="3845" width="9.85546875" style="64" customWidth="1"/>
    <col min="3846" max="3846" width="12" style="64" customWidth="1"/>
    <col min="3847" max="3847" width="18.28515625" style="64" customWidth="1"/>
    <col min="3848" max="3848" width="15.5703125" style="64" customWidth="1"/>
    <col min="3849" max="3849" width="17.7109375" style="64" customWidth="1"/>
    <col min="3850" max="3850" width="8.85546875" style="64" bestFit="1" customWidth="1"/>
    <col min="3851" max="4096" width="9.140625" style="64"/>
    <col min="4097" max="4097" width="5.28515625" style="64" customWidth="1"/>
    <col min="4098" max="4098" width="37.42578125" style="64" customWidth="1"/>
    <col min="4099" max="4099" width="7.140625" style="64" customWidth="1"/>
    <col min="4100" max="4100" width="10.140625" style="64" customWidth="1"/>
    <col min="4101" max="4101" width="9.85546875" style="64" customWidth="1"/>
    <col min="4102" max="4102" width="12" style="64" customWidth="1"/>
    <col min="4103" max="4103" width="18.28515625" style="64" customWidth="1"/>
    <col min="4104" max="4104" width="15.5703125" style="64" customWidth="1"/>
    <col min="4105" max="4105" width="17.7109375" style="64" customWidth="1"/>
    <col min="4106" max="4106" width="8.85546875" style="64" bestFit="1" customWidth="1"/>
    <col min="4107" max="4352" width="9.140625" style="64"/>
    <col min="4353" max="4353" width="5.28515625" style="64" customWidth="1"/>
    <col min="4354" max="4354" width="37.42578125" style="64" customWidth="1"/>
    <col min="4355" max="4355" width="7.140625" style="64" customWidth="1"/>
    <col min="4356" max="4356" width="10.140625" style="64" customWidth="1"/>
    <col min="4357" max="4357" width="9.85546875" style="64" customWidth="1"/>
    <col min="4358" max="4358" width="12" style="64" customWidth="1"/>
    <col min="4359" max="4359" width="18.28515625" style="64" customWidth="1"/>
    <col min="4360" max="4360" width="15.5703125" style="64" customWidth="1"/>
    <col min="4361" max="4361" width="17.7109375" style="64" customWidth="1"/>
    <col min="4362" max="4362" width="8.85546875" style="64" bestFit="1" customWidth="1"/>
    <col min="4363" max="4608" width="9.140625" style="64"/>
    <col min="4609" max="4609" width="5.28515625" style="64" customWidth="1"/>
    <col min="4610" max="4610" width="37.42578125" style="64" customWidth="1"/>
    <col min="4611" max="4611" width="7.140625" style="64" customWidth="1"/>
    <col min="4612" max="4612" width="10.140625" style="64" customWidth="1"/>
    <col min="4613" max="4613" width="9.85546875" style="64" customWidth="1"/>
    <col min="4614" max="4614" width="12" style="64" customWidth="1"/>
    <col min="4615" max="4615" width="18.28515625" style="64" customWidth="1"/>
    <col min="4616" max="4616" width="15.5703125" style="64" customWidth="1"/>
    <col min="4617" max="4617" width="17.7109375" style="64" customWidth="1"/>
    <col min="4618" max="4618" width="8.85546875" style="64" bestFit="1" customWidth="1"/>
    <col min="4619" max="4864" width="9.140625" style="64"/>
    <col min="4865" max="4865" width="5.28515625" style="64" customWidth="1"/>
    <col min="4866" max="4866" width="37.42578125" style="64" customWidth="1"/>
    <col min="4867" max="4867" width="7.140625" style="64" customWidth="1"/>
    <col min="4868" max="4868" width="10.140625" style="64" customWidth="1"/>
    <col min="4869" max="4869" width="9.85546875" style="64" customWidth="1"/>
    <col min="4870" max="4870" width="12" style="64" customWidth="1"/>
    <col min="4871" max="4871" width="18.28515625" style="64" customWidth="1"/>
    <col min="4872" max="4872" width="15.5703125" style="64" customWidth="1"/>
    <col min="4873" max="4873" width="17.7109375" style="64" customWidth="1"/>
    <col min="4874" max="4874" width="8.85546875" style="64" bestFit="1" customWidth="1"/>
    <col min="4875" max="5120" width="9.140625" style="64"/>
    <col min="5121" max="5121" width="5.28515625" style="64" customWidth="1"/>
    <col min="5122" max="5122" width="37.42578125" style="64" customWidth="1"/>
    <col min="5123" max="5123" width="7.140625" style="64" customWidth="1"/>
    <col min="5124" max="5124" width="10.140625" style="64" customWidth="1"/>
    <col min="5125" max="5125" width="9.85546875" style="64" customWidth="1"/>
    <col min="5126" max="5126" width="12" style="64" customWidth="1"/>
    <col min="5127" max="5127" width="18.28515625" style="64" customWidth="1"/>
    <col min="5128" max="5128" width="15.5703125" style="64" customWidth="1"/>
    <col min="5129" max="5129" width="17.7109375" style="64" customWidth="1"/>
    <col min="5130" max="5130" width="8.85546875" style="64" bestFit="1" customWidth="1"/>
    <col min="5131" max="5376" width="9.140625" style="64"/>
    <col min="5377" max="5377" width="5.28515625" style="64" customWidth="1"/>
    <col min="5378" max="5378" width="37.42578125" style="64" customWidth="1"/>
    <col min="5379" max="5379" width="7.140625" style="64" customWidth="1"/>
    <col min="5380" max="5380" width="10.140625" style="64" customWidth="1"/>
    <col min="5381" max="5381" width="9.85546875" style="64" customWidth="1"/>
    <col min="5382" max="5382" width="12" style="64" customWidth="1"/>
    <col min="5383" max="5383" width="18.28515625" style="64" customWidth="1"/>
    <col min="5384" max="5384" width="15.5703125" style="64" customWidth="1"/>
    <col min="5385" max="5385" width="17.7109375" style="64" customWidth="1"/>
    <col min="5386" max="5386" width="8.85546875" style="64" bestFit="1" customWidth="1"/>
    <col min="5387" max="5632" width="9.140625" style="64"/>
    <col min="5633" max="5633" width="5.28515625" style="64" customWidth="1"/>
    <col min="5634" max="5634" width="37.42578125" style="64" customWidth="1"/>
    <col min="5635" max="5635" width="7.140625" style="64" customWidth="1"/>
    <col min="5636" max="5636" width="10.140625" style="64" customWidth="1"/>
    <col min="5637" max="5637" width="9.85546875" style="64" customWidth="1"/>
    <col min="5638" max="5638" width="12" style="64" customWidth="1"/>
    <col min="5639" max="5639" width="18.28515625" style="64" customWidth="1"/>
    <col min="5640" max="5640" width="15.5703125" style="64" customWidth="1"/>
    <col min="5641" max="5641" width="17.7109375" style="64" customWidth="1"/>
    <col min="5642" max="5642" width="8.85546875" style="64" bestFit="1" customWidth="1"/>
    <col min="5643" max="5888" width="9.140625" style="64"/>
    <col min="5889" max="5889" width="5.28515625" style="64" customWidth="1"/>
    <col min="5890" max="5890" width="37.42578125" style="64" customWidth="1"/>
    <col min="5891" max="5891" width="7.140625" style="64" customWidth="1"/>
    <col min="5892" max="5892" width="10.140625" style="64" customWidth="1"/>
    <col min="5893" max="5893" width="9.85546875" style="64" customWidth="1"/>
    <col min="5894" max="5894" width="12" style="64" customWidth="1"/>
    <col min="5895" max="5895" width="18.28515625" style="64" customWidth="1"/>
    <col min="5896" max="5896" width="15.5703125" style="64" customWidth="1"/>
    <col min="5897" max="5897" width="17.7109375" style="64" customWidth="1"/>
    <col min="5898" max="5898" width="8.85546875" style="64" bestFit="1" customWidth="1"/>
    <col min="5899" max="6144" width="9.140625" style="64"/>
    <col min="6145" max="6145" width="5.28515625" style="64" customWidth="1"/>
    <col min="6146" max="6146" width="37.42578125" style="64" customWidth="1"/>
    <col min="6147" max="6147" width="7.140625" style="64" customWidth="1"/>
    <col min="6148" max="6148" width="10.140625" style="64" customWidth="1"/>
    <col min="6149" max="6149" width="9.85546875" style="64" customWidth="1"/>
    <col min="6150" max="6150" width="12" style="64" customWidth="1"/>
    <col min="6151" max="6151" width="18.28515625" style="64" customWidth="1"/>
    <col min="6152" max="6152" width="15.5703125" style="64" customWidth="1"/>
    <col min="6153" max="6153" width="17.7109375" style="64" customWidth="1"/>
    <col min="6154" max="6154" width="8.85546875" style="64" bestFit="1" customWidth="1"/>
    <col min="6155" max="6400" width="9.140625" style="64"/>
    <col min="6401" max="6401" width="5.28515625" style="64" customWidth="1"/>
    <col min="6402" max="6402" width="37.42578125" style="64" customWidth="1"/>
    <col min="6403" max="6403" width="7.140625" style="64" customWidth="1"/>
    <col min="6404" max="6404" width="10.140625" style="64" customWidth="1"/>
    <col min="6405" max="6405" width="9.85546875" style="64" customWidth="1"/>
    <col min="6406" max="6406" width="12" style="64" customWidth="1"/>
    <col min="6407" max="6407" width="18.28515625" style="64" customWidth="1"/>
    <col min="6408" max="6408" width="15.5703125" style="64" customWidth="1"/>
    <col min="6409" max="6409" width="17.7109375" style="64" customWidth="1"/>
    <col min="6410" max="6410" width="8.85546875" style="64" bestFit="1" customWidth="1"/>
    <col min="6411" max="6656" width="9.140625" style="64"/>
    <col min="6657" max="6657" width="5.28515625" style="64" customWidth="1"/>
    <col min="6658" max="6658" width="37.42578125" style="64" customWidth="1"/>
    <col min="6659" max="6659" width="7.140625" style="64" customWidth="1"/>
    <col min="6660" max="6660" width="10.140625" style="64" customWidth="1"/>
    <col min="6661" max="6661" width="9.85546875" style="64" customWidth="1"/>
    <col min="6662" max="6662" width="12" style="64" customWidth="1"/>
    <col min="6663" max="6663" width="18.28515625" style="64" customWidth="1"/>
    <col min="6664" max="6664" width="15.5703125" style="64" customWidth="1"/>
    <col min="6665" max="6665" width="17.7109375" style="64" customWidth="1"/>
    <col min="6666" max="6666" width="8.85546875" style="64" bestFit="1" customWidth="1"/>
    <col min="6667" max="6912" width="9.140625" style="64"/>
    <col min="6913" max="6913" width="5.28515625" style="64" customWidth="1"/>
    <col min="6914" max="6914" width="37.42578125" style="64" customWidth="1"/>
    <col min="6915" max="6915" width="7.140625" style="64" customWidth="1"/>
    <col min="6916" max="6916" width="10.140625" style="64" customWidth="1"/>
    <col min="6917" max="6917" width="9.85546875" style="64" customWidth="1"/>
    <col min="6918" max="6918" width="12" style="64" customWidth="1"/>
    <col min="6919" max="6919" width="18.28515625" style="64" customWidth="1"/>
    <col min="6920" max="6920" width="15.5703125" style="64" customWidth="1"/>
    <col min="6921" max="6921" width="17.7109375" style="64" customWidth="1"/>
    <col min="6922" max="6922" width="8.85546875" style="64" bestFit="1" customWidth="1"/>
    <col min="6923" max="7168" width="9.140625" style="64"/>
    <col min="7169" max="7169" width="5.28515625" style="64" customWidth="1"/>
    <col min="7170" max="7170" width="37.42578125" style="64" customWidth="1"/>
    <col min="7171" max="7171" width="7.140625" style="64" customWidth="1"/>
    <col min="7172" max="7172" width="10.140625" style="64" customWidth="1"/>
    <col min="7173" max="7173" width="9.85546875" style="64" customWidth="1"/>
    <col min="7174" max="7174" width="12" style="64" customWidth="1"/>
    <col min="7175" max="7175" width="18.28515625" style="64" customWidth="1"/>
    <col min="7176" max="7176" width="15.5703125" style="64" customWidth="1"/>
    <col min="7177" max="7177" width="17.7109375" style="64" customWidth="1"/>
    <col min="7178" max="7178" width="8.85546875" style="64" bestFit="1" customWidth="1"/>
    <col min="7179" max="7424" width="9.140625" style="64"/>
    <col min="7425" max="7425" width="5.28515625" style="64" customWidth="1"/>
    <col min="7426" max="7426" width="37.42578125" style="64" customWidth="1"/>
    <col min="7427" max="7427" width="7.140625" style="64" customWidth="1"/>
    <col min="7428" max="7428" width="10.140625" style="64" customWidth="1"/>
    <col min="7429" max="7429" width="9.85546875" style="64" customWidth="1"/>
    <col min="7430" max="7430" width="12" style="64" customWidth="1"/>
    <col min="7431" max="7431" width="18.28515625" style="64" customWidth="1"/>
    <col min="7432" max="7432" width="15.5703125" style="64" customWidth="1"/>
    <col min="7433" max="7433" width="17.7109375" style="64" customWidth="1"/>
    <col min="7434" max="7434" width="8.85546875" style="64" bestFit="1" customWidth="1"/>
    <col min="7435" max="7680" width="9.140625" style="64"/>
    <col min="7681" max="7681" width="5.28515625" style="64" customWidth="1"/>
    <col min="7682" max="7682" width="37.42578125" style="64" customWidth="1"/>
    <col min="7683" max="7683" width="7.140625" style="64" customWidth="1"/>
    <col min="7684" max="7684" width="10.140625" style="64" customWidth="1"/>
    <col min="7685" max="7685" width="9.85546875" style="64" customWidth="1"/>
    <col min="7686" max="7686" width="12" style="64" customWidth="1"/>
    <col min="7687" max="7687" width="18.28515625" style="64" customWidth="1"/>
    <col min="7688" max="7688" width="15.5703125" style="64" customWidth="1"/>
    <col min="7689" max="7689" width="17.7109375" style="64" customWidth="1"/>
    <col min="7690" max="7690" width="8.85546875" style="64" bestFit="1" customWidth="1"/>
    <col min="7691" max="7936" width="9.140625" style="64"/>
    <col min="7937" max="7937" width="5.28515625" style="64" customWidth="1"/>
    <col min="7938" max="7938" width="37.42578125" style="64" customWidth="1"/>
    <col min="7939" max="7939" width="7.140625" style="64" customWidth="1"/>
    <col min="7940" max="7940" width="10.140625" style="64" customWidth="1"/>
    <col min="7941" max="7941" width="9.85546875" style="64" customWidth="1"/>
    <col min="7942" max="7942" width="12" style="64" customWidth="1"/>
    <col min="7943" max="7943" width="18.28515625" style="64" customWidth="1"/>
    <col min="7944" max="7944" width="15.5703125" style="64" customWidth="1"/>
    <col min="7945" max="7945" width="17.7109375" style="64" customWidth="1"/>
    <col min="7946" max="7946" width="8.85546875" style="64" bestFit="1" customWidth="1"/>
    <col min="7947" max="8192" width="9.140625" style="64"/>
    <col min="8193" max="8193" width="5.28515625" style="64" customWidth="1"/>
    <col min="8194" max="8194" width="37.42578125" style="64" customWidth="1"/>
    <col min="8195" max="8195" width="7.140625" style="64" customWidth="1"/>
    <col min="8196" max="8196" width="10.140625" style="64" customWidth="1"/>
    <col min="8197" max="8197" width="9.85546875" style="64" customWidth="1"/>
    <col min="8198" max="8198" width="12" style="64" customWidth="1"/>
    <col min="8199" max="8199" width="18.28515625" style="64" customWidth="1"/>
    <col min="8200" max="8200" width="15.5703125" style="64" customWidth="1"/>
    <col min="8201" max="8201" width="17.7109375" style="64" customWidth="1"/>
    <col min="8202" max="8202" width="8.85546875" style="64" bestFit="1" customWidth="1"/>
    <col min="8203" max="8448" width="9.140625" style="64"/>
    <col min="8449" max="8449" width="5.28515625" style="64" customWidth="1"/>
    <col min="8450" max="8450" width="37.42578125" style="64" customWidth="1"/>
    <col min="8451" max="8451" width="7.140625" style="64" customWidth="1"/>
    <col min="8452" max="8452" width="10.140625" style="64" customWidth="1"/>
    <col min="8453" max="8453" width="9.85546875" style="64" customWidth="1"/>
    <col min="8454" max="8454" width="12" style="64" customWidth="1"/>
    <col min="8455" max="8455" width="18.28515625" style="64" customWidth="1"/>
    <col min="8456" max="8456" width="15.5703125" style="64" customWidth="1"/>
    <col min="8457" max="8457" width="17.7109375" style="64" customWidth="1"/>
    <col min="8458" max="8458" width="8.85546875" style="64" bestFit="1" customWidth="1"/>
    <col min="8459" max="8704" width="9.140625" style="64"/>
    <col min="8705" max="8705" width="5.28515625" style="64" customWidth="1"/>
    <col min="8706" max="8706" width="37.42578125" style="64" customWidth="1"/>
    <col min="8707" max="8707" width="7.140625" style="64" customWidth="1"/>
    <col min="8708" max="8708" width="10.140625" style="64" customWidth="1"/>
    <col min="8709" max="8709" width="9.85546875" style="64" customWidth="1"/>
    <col min="8710" max="8710" width="12" style="64" customWidth="1"/>
    <col min="8711" max="8711" width="18.28515625" style="64" customWidth="1"/>
    <col min="8712" max="8712" width="15.5703125" style="64" customWidth="1"/>
    <col min="8713" max="8713" width="17.7109375" style="64" customWidth="1"/>
    <col min="8714" max="8714" width="8.85546875" style="64" bestFit="1" customWidth="1"/>
    <col min="8715" max="8960" width="9.140625" style="64"/>
    <col min="8961" max="8961" width="5.28515625" style="64" customWidth="1"/>
    <col min="8962" max="8962" width="37.42578125" style="64" customWidth="1"/>
    <col min="8963" max="8963" width="7.140625" style="64" customWidth="1"/>
    <col min="8964" max="8964" width="10.140625" style="64" customWidth="1"/>
    <col min="8965" max="8965" width="9.85546875" style="64" customWidth="1"/>
    <col min="8966" max="8966" width="12" style="64" customWidth="1"/>
    <col min="8967" max="8967" width="18.28515625" style="64" customWidth="1"/>
    <col min="8968" max="8968" width="15.5703125" style="64" customWidth="1"/>
    <col min="8969" max="8969" width="17.7109375" style="64" customWidth="1"/>
    <col min="8970" max="8970" width="8.85546875" style="64" bestFit="1" customWidth="1"/>
    <col min="8971" max="9216" width="9.140625" style="64"/>
    <col min="9217" max="9217" width="5.28515625" style="64" customWidth="1"/>
    <col min="9218" max="9218" width="37.42578125" style="64" customWidth="1"/>
    <col min="9219" max="9219" width="7.140625" style="64" customWidth="1"/>
    <col min="9220" max="9220" width="10.140625" style="64" customWidth="1"/>
    <col min="9221" max="9221" width="9.85546875" style="64" customWidth="1"/>
    <col min="9222" max="9222" width="12" style="64" customWidth="1"/>
    <col min="9223" max="9223" width="18.28515625" style="64" customWidth="1"/>
    <col min="9224" max="9224" width="15.5703125" style="64" customWidth="1"/>
    <col min="9225" max="9225" width="17.7109375" style="64" customWidth="1"/>
    <col min="9226" max="9226" width="8.85546875" style="64" bestFit="1" customWidth="1"/>
    <col min="9227" max="9472" width="9.140625" style="64"/>
    <col min="9473" max="9473" width="5.28515625" style="64" customWidth="1"/>
    <col min="9474" max="9474" width="37.42578125" style="64" customWidth="1"/>
    <col min="9475" max="9475" width="7.140625" style="64" customWidth="1"/>
    <col min="9476" max="9476" width="10.140625" style="64" customWidth="1"/>
    <col min="9477" max="9477" width="9.85546875" style="64" customWidth="1"/>
    <col min="9478" max="9478" width="12" style="64" customWidth="1"/>
    <col min="9479" max="9479" width="18.28515625" style="64" customWidth="1"/>
    <col min="9480" max="9480" width="15.5703125" style="64" customWidth="1"/>
    <col min="9481" max="9481" width="17.7109375" style="64" customWidth="1"/>
    <col min="9482" max="9482" width="8.85546875" style="64" bestFit="1" customWidth="1"/>
    <col min="9483" max="9728" width="9.140625" style="64"/>
    <col min="9729" max="9729" width="5.28515625" style="64" customWidth="1"/>
    <col min="9730" max="9730" width="37.42578125" style="64" customWidth="1"/>
    <col min="9731" max="9731" width="7.140625" style="64" customWidth="1"/>
    <col min="9732" max="9732" width="10.140625" style="64" customWidth="1"/>
    <col min="9733" max="9733" width="9.85546875" style="64" customWidth="1"/>
    <col min="9734" max="9734" width="12" style="64" customWidth="1"/>
    <col min="9735" max="9735" width="18.28515625" style="64" customWidth="1"/>
    <col min="9736" max="9736" width="15.5703125" style="64" customWidth="1"/>
    <col min="9737" max="9737" width="17.7109375" style="64" customWidth="1"/>
    <col min="9738" max="9738" width="8.85546875" style="64" bestFit="1" customWidth="1"/>
    <col min="9739" max="9984" width="9.140625" style="64"/>
    <col min="9985" max="9985" width="5.28515625" style="64" customWidth="1"/>
    <col min="9986" max="9986" width="37.42578125" style="64" customWidth="1"/>
    <col min="9987" max="9987" width="7.140625" style="64" customWidth="1"/>
    <col min="9988" max="9988" width="10.140625" style="64" customWidth="1"/>
    <col min="9989" max="9989" width="9.85546875" style="64" customWidth="1"/>
    <col min="9990" max="9990" width="12" style="64" customWidth="1"/>
    <col min="9991" max="9991" width="18.28515625" style="64" customWidth="1"/>
    <col min="9992" max="9992" width="15.5703125" style="64" customWidth="1"/>
    <col min="9993" max="9993" width="17.7109375" style="64" customWidth="1"/>
    <col min="9994" max="9994" width="8.85546875" style="64" bestFit="1" customWidth="1"/>
    <col min="9995" max="10240" width="9.140625" style="64"/>
    <col min="10241" max="10241" width="5.28515625" style="64" customWidth="1"/>
    <col min="10242" max="10242" width="37.42578125" style="64" customWidth="1"/>
    <col min="10243" max="10243" width="7.140625" style="64" customWidth="1"/>
    <col min="10244" max="10244" width="10.140625" style="64" customWidth="1"/>
    <col min="10245" max="10245" width="9.85546875" style="64" customWidth="1"/>
    <col min="10246" max="10246" width="12" style="64" customWidth="1"/>
    <col min="10247" max="10247" width="18.28515625" style="64" customWidth="1"/>
    <col min="10248" max="10248" width="15.5703125" style="64" customWidth="1"/>
    <col min="10249" max="10249" width="17.7109375" style="64" customWidth="1"/>
    <col min="10250" max="10250" width="8.85546875" style="64" bestFit="1" customWidth="1"/>
    <col min="10251" max="10496" width="9.140625" style="64"/>
    <col min="10497" max="10497" width="5.28515625" style="64" customWidth="1"/>
    <col min="10498" max="10498" width="37.42578125" style="64" customWidth="1"/>
    <col min="10499" max="10499" width="7.140625" style="64" customWidth="1"/>
    <col min="10500" max="10500" width="10.140625" style="64" customWidth="1"/>
    <col min="10501" max="10501" width="9.85546875" style="64" customWidth="1"/>
    <col min="10502" max="10502" width="12" style="64" customWidth="1"/>
    <col min="10503" max="10503" width="18.28515625" style="64" customWidth="1"/>
    <col min="10504" max="10504" width="15.5703125" style="64" customWidth="1"/>
    <col min="10505" max="10505" width="17.7109375" style="64" customWidth="1"/>
    <col min="10506" max="10506" width="8.85546875" style="64" bestFit="1" customWidth="1"/>
    <col min="10507" max="10752" width="9.140625" style="64"/>
    <col min="10753" max="10753" width="5.28515625" style="64" customWidth="1"/>
    <col min="10754" max="10754" width="37.42578125" style="64" customWidth="1"/>
    <col min="10755" max="10755" width="7.140625" style="64" customWidth="1"/>
    <col min="10756" max="10756" width="10.140625" style="64" customWidth="1"/>
    <col min="10757" max="10757" width="9.85546875" style="64" customWidth="1"/>
    <col min="10758" max="10758" width="12" style="64" customWidth="1"/>
    <col min="10759" max="10759" width="18.28515625" style="64" customWidth="1"/>
    <col min="10760" max="10760" width="15.5703125" style="64" customWidth="1"/>
    <col min="10761" max="10761" width="17.7109375" style="64" customWidth="1"/>
    <col min="10762" max="10762" width="8.85546875" style="64" bestFit="1" customWidth="1"/>
    <col min="10763" max="11008" width="9.140625" style="64"/>
    <col min="11009" max="11009" width="5.28515625" style="64" customWidth="1"/>
    <col min="11010" max="11010" width="37.42578125" style="64" customWidth="1"/>
    <col min="11011" max="11011" width="7.140625" style="64" customWidth="1"/>
    <col min="11012" max="11012" width="10.140625" style="64" customWidth="1"/>
    <col min="11013" max="11013" width="9.85546875" style="64" customWidth="1"/>
    <col min="11014" max="11014" width="12" style="64" customWidth="1"/>
    <col min="11015" max="11015" width="18.28515625" style="64" customWidth="1"/>
    <col min="11016" max="11016" width="15.5703125" style="64" customWidth="1"/>
    <col min="11017" max="11017" width="17.7109375" style="64" customWidth="1"/>
    <col min="11018" max="11018" width="8.85546875" style="64" bestFit="1" customWidth="1"/>
    <col min="11019" max="11264" width="9.140625" style="64"/>
    <col min="11265" max="11265" width="5.28515625" style="64" customWidth="1"/>
    <col min="11266" max="11266" width="37.42578125" style="64" customWidth="1"/>
    <col min="11267" max="11267" width="7.140625" style="64" customWidth="1"/>
    <col min="11268" max="11268" width="10.140625" style="64" customWidth="1"/>
    <col min="11269" max="11269" width="9.85546875" style="64" customWidth="1"/>
    <col min="11270" max="11270" width="12" style="64" customWidth="1"/>
    <col min="11271" max="11271" width="18.28515625" style="64" customWidth="1"/>
    <col min="11272" max="11272" width="15.5703125" style="64" customWidth="1"/>
    <col min="11273" max="11273" width="17.7109375" style="64" customWidth="1"/>
    <col min="11274" max="11274" width="8.85546875" style="64" bestFit="1" customWidth="1"/>
    <col min="11275" max="11520" width="9.140625" style="64"/>
    <col min="11521" max="11521" width="5.28515625" style="64" customWidth="1"/>
    <col min="11522" max="11522" width="37.42578125" style="64" customWidth="1"/>
    <col min="11523" max="11523" width="7.140625" style="64" customWidth="1"/>
    <col min="11524" max="11524" width="10.140625" style="64" customWidth="1"/>
    <col min="11525" max="11525" width="9.85546875" style="64" customWidth="1"/>
    <col min="11526" max="11526" width="12" style="64" customWidth="1"/>
    <col min="11527" max="11527" width="18.28515625" style="64" customWidth="1"/>
    <col min="11528" max="11528" width="15.5703125" style="64" customWidth="1"/>
    <col min="11529" max="11529" width="17.7109375" style="64" customWidth="1"/>
    <col min="11530" max="11530" width="8.85546875" style="64" bestFit="1" customWidth="1"/>
    <col min="11531" max="11776" width="9.140625" style="64"/>
    <col min="11777" max="11777" width="5.28515625" style="64" customWidth="1"/>
    <col min="11778" max="11778" width="37.42578125" style="64" customWidth="1"/>
    <col min="11779" max="11779" width="7.140625" style="64" customWidth="1"/>
    <col min="11780" max="11780" width="10.140625" style="64" customWidth="1"/>
    <col min="11781" max="11781" width="9.85546875" style="64" customWidth="1"/>
    <col min="11782" max="11782" width="12" style="64" customWidth="1"/>
    <col min="11783" max="11783" width="18.28515625" style="64" customWidth="1"/>
    <col min="11784" max="11784" width="15.5703125" style="64" customWidth="1"/>
    <col min="11785" max="11785" width="17.7109375" style="64" customWidth="1"/>
    <col min="11786" max="11786" width="8.85546875" style="64" bestFit="1" customWidth="1"/>
    <col min="11787" max="12032" width="9.140625" style="64"/>
    <col min="12033" max="12033" width="5.28515625" style="64" customWidth="1"/>
    <col min="12034" max="12034" width="37.42578125" style="64" customWidth="1"/>
    <col min="12035" max="12035" width="7.140625" style="64" customWidth="1"/>
    <col min="12036" max="12036" width="10.140625" style="64" customWidth="1"/>
    <col min="12037" max="12037" width="9.85546875" style="64" customWidth="1"/>
    <col min="12038" max="12038" width="12" style="64" customWidth="1"/>
    <col min="12039" max="12039" width="18.28515625" style="64" customWidth="1"/>
    <col min="12040" max="12040" width="15.5703125" style="64" customWidth="1"/>
    <col min="12041" max="12041" width="17.7109375" style="64" customWidth="1"/>
    <col min="12042" max="12042" width="8.85546875" style="64" bestFit="1" customWidth="1"/>
    <col min="12043" max="12288" width="9.140625" style="64"/>
    <col min="12289" max="12289" width="5.28515625" style="64" customWidth="1"/>
    <col min="12290" max="12290" width="37.42578125" style="64" customWidth="1"/>
    <col min="12291" max="12291" width="7.140625" style="64" customWidth="1"/>
    <col min="12292" max="12292" width="10.140625" style="64" customWidth="1"/>
    <col min="12293" max="12293" width="9.85546875" style="64" customWidth="1"/>
    <col min="12294" max="12294" width="12" style="64" customWidth="1"/>
    <col min="12295" max="12295" width="18.28515625" style="64" customWidth="1"/>
    <col min="12296" max="12296" width="15.5703125" style="64" customWidth="1"/>
    <col min="12297" max="12297" width="17.7109375" style="64" customWidth="1"/>
    <col min="12298" max="12298" width="8.85546875" style="64" bestFit="1" customWidth="1"/>
    <col min="12299" max="12544" width="9.140625" style="64"/>
    <col min="12545" max="12545" width="5.28515625" style="64" customWidth="1"/>
    <col min="12546" max="12546" width="37.42578125" style="64" customWidth="1"/>
    <col min="12547" max="12547" width="7.140625" style="64" customWidth="1"/>
    <col min="12548" max="12548" width="10.140625" style="64" customWidth="1"/>
    <col min="12549" max="12549" width="9.85546875" style="64" customWidth="1"/>
    <col min="12550" max="12550" width="12" style="64" customWidth="1"/>
    <col min="12551" max="12551" width="18.28515625" style="64" customWidth="1"/>
    <col min="12552" max="12552" width="15.5703125" style="64" customWidth="1"/>
    <col min="12553" max="12553" width="17.7109375" style="64" customWidth="1"/>
    <col min="12554" max="12554" width="8.85546875" style="64" bestFit="1" customWidth="1"/>
    <col min="12555" max="12800" width="9.140625" style="64"/>
    <col min="12801" max="12801" width="5.28515625" style="64" customWidth="1"/>
    <col min="12802" max="12802" width="37.42578125" style="64" customWidth="1"/>
    <col min="12803" max="12803" width="7.140625" style="64" customWidth="1"/>
    <col min="12804" max="12804" width="10.140625" style="64" customWidth="1"/>
    <col min="12805" max="12805" width="9.85546875" style="64" customWidth="1"/>
    <col min="12806" max="12806" width="12" style="64" customWidth="1"/>
    <col min="12807" max="12807" width="18.28515625" style="64" customWidth="1"/>
    <col min="12808" max="12808" width="15.5703125" style="64" customWidth="1"/>
    <col min="12809" max="12809" width="17.7109375" style="64" customWidth="1"/>
    <col min="12810" max="12810" width="8.85546875" style="64" bestFit="1" customWidth="1"/>
    <col min="12811" max="13056" width="9.140625" style="64"/>
    <col min="13057" max="13057" width="5.28515625" style="64" customWidth="1"/>
    <col min="13058" max="13058" width="37.42578125" style="64" customWidth="1"/>
    <col min="13059" max="13059" width="7.140625" style="64" customWidth="1"/>
    <col min="13060" max="13060" width="10.140625" style="64" customWidth="1"/>
    <col min="13061" max="13061" width="9.85546875" style="64" customWidth="1"/>
    <col min="13062" max="13062" width="12" style="64" customWidth="1"/>
    <col min="13063" max="13063" width="18.28515625" style="64" customWidth="1"/>
    <col min="13064" max="13064" width="15.5703125" style="64" customWidth="1"/>
    <col min="13065" max="13065" width="17.7109375" style="64" customWidth="1"/>
    <col min="13066" max="13066" width="8.85546875" style="64" bestFit="1" customWidth="1"/>
    <col min="13067" max="13312" width="9.140625" style="64"/>
    <col min="13313" max="13313" width="5.28515625" style="64" customWidth="1"/>
    <col min="13314" max="13314" width="37.42578125" style="64" customWidth="1"/>
    <col min="13315" max="13315" width="7.140625" style="64" customWidth="1"/>
    <col min="13316" max="13316" width="10.140625" style="64" customWidth="1"/>
    <col min="13317" max="13317" width="9.85546875" style="64" customWidth="1"/>
    <col min="13318" max="13318" width="12" style="64" customWidth="1"/>
    <col min="13319" max="13319" width="18.28515625" style="64" customWidth="1"/>
    <col min="13320" max="13320" width="15.5703125" style="64" customWidth="1"/>
    <col min="13321" max="13321" width="17.7109375" style="64" customWidth="1"/>
    <col min="13322" max="13322" width="8.85546875" style="64" bestFit="1" customWidth="1"/>
    <col min="13323" max="13568" width="9.140625" style="64"/>
    <col min="13569" max="13569" width="5.28515625" style="64" customWidth="1"/>
    <col min="13570" max="13570" width="37.42578125" style="64" customWidth="1"/>
    <col min="13571" max="13571" width="7.140625" style="64" customWidth="1"/>
    <col min="13572" max="13572" width="10.140625" style="64" customWidth="1"/>
    <col min="13573" max="13573" width="9.85546875" style="64" customWidth="1"/>
    <col min="13574" max="13574" width="12" style="64" customWidth="1"/>
    <col min="13575" max="13575" width="18.28515625" style="64" customWidth="1"/>
    <col min="13576" max="13576" width="15.5703125" style="64" customWidth="1"/>
    <col min="13577" max="13577" width="17.7109375" style="64" customWidth="1"/>
    <col min="13578" max="13578" width="8.85546875" style="64" bestFit="1" customWidth="1"/>
    <col min="13579" max="13824" width="9.140625" style="64"/>
    <col min="13825" max="13825" width="5.28515625" style="64" customWidth="1"/>
    <col min="13826" max="13826" width="37.42578125" style="64" customWidth="1"/>
    <col min="13827" max="13827" width="7.140625" style="64" customWidth="1"/>
    <col min="13828" max="13828" width="10.140625" style="64" customWidth="1"/>
    <col min="13829" max="13829" width="9.85546875" style="64" customWidth="1"/>
    <col min="13830" max="13830" width="12" style="64" customWidth="1"/>
    <col min="13831" max="13831" width="18.28515625" style="64" customWidth="1"/>
    <col min="13832" max="13832" width="15.5703125" style="64" customWidth="1"/>
    <col min="13833" max="13833" width="17.7109375" style="64" customWidth="1"/>
    <col min="13834" max="13834" width="8.85546875" style="64" bestFit="1" customWidth="1"/>
    <col min="13835" max="14080" width="9.140625" style="64"/>
    <col min="14081" max="14081" width="5.28515625" style="64" customWidth="1"/>
    <col min="14082" max="14082" width="37.42578125" style="64" customWidth="1"/>
    <col min="14083" max="14083" width="7.140625" style="64" customWidth="1"/>
    <col min="14084" max="14084" width="10.140625" style="64" customWidth="1"/>
    <col min="14085" max="14085" width="9.85546875" style="64" customWidth="1"/>
    <col min="14086" max="14086" width="12" style="64" customWidth="1"/>
    <col min="14087" max="14087" width="18.28515625" style="64" customWidth="1"/>
    <col min="14088" max="14088" width="15.5703125" style="64" customWidth="1"/>
    <col min="14089" max="14089" width="17.7109375" style="64" customWidth="1"/>
    <col min="14090" max="14090" width="8.85546875" style="64" bestFit="1" customWidth="1"/>
    <col min="14091" max="14336" width="9.140625" style="64"/>
    <col min="14337" max="14337" width="5.28515625" style="64" customWidth="1"/>
    <col min="14338" max="14338" width="37.42578125" style="64" customWidth="1"/>
    <col min="14339" max="14339" width="7.140625" style="64" customWidth="1"/>
    <col min="14340" max="14340" width="10.140625" style="64" customWidth="1"/>
    <col min="14341" max="14341" width="9.85546875" style="64" customWidth="1"/>
    <col min="14342" max="14342" width="12" style="64" customWidth="1"/>
    <col min="14343" max="14343" width="18.28515625" style="64" customWidth="1"/>
    <col min="14344" max="14344" width="15.5703125" style="64" customWidth="1"/>
    <col min="14345" max="14345" width="17.7109375" style="64" customWidth="1"/>
    <col min="14346" max="14346" width="8.85546875" style="64" bestFit="1" customWidth="1"/>
    <col min="14347" max="14592" width="9.140625" style="64"/>
    <col min="14593" max="14593" width="5.28515625" style="64" customWidth="1"/>
    <col min="14594" max="14594" width="37.42578125" style="64" customWidth="1"/>
    <col min="14595" max="14595" width="7.140625" style="64" customWidth="1"/>
    <col min="14596" max="14596" width="10.140625" style="64" customWidth="1"/>
    <col min="14597" max="14597" width="9.85546875" style="64" customWidth="1"/>
    <col min="14598" max="14598" width="12" style="64" customWidth="1"/>
    <col min="14599" max="14599" width="18.28515625" style="64" customWidth="1"/>
    <col min="14600" max="14600" width="15.5703125" style="64" customWidth="1"/>
    <col min="14601" max="14601" width="17.7109375" style="64" customWidth="1"/>
    <col min="14602" max="14602" width="8.85546875" style="64" bestFit="1" customWidth="1"/>
    <col min="14603" max="14848" width="9.140625" style="64"/>
    <col min="14849" max="14849" width="5.28515625" style="64" customWidth="1"/>
    <col min="14850" max="14850" width="37.42578125" style="64" customWidth="1"/>
    <col min="14851" max="14851" width="7.140625" style="64" customWidth="1"/>
    <col min="14852" max="14852" width="10.140625" style="64" customWidth="1"/>
    <col min="14853" max="14853" width="9.85546875" style="64" customWidth="1"/>
    <col min="14854" max="14854" width="12" style="64" customWidth="1"/>
    <col min="14855" max="14855" width="18.28515625" style="64" customWidth="1"/>
    <col min="14856" max="14856" width="15.5703125" style="64" customWidth="1"/>
    <col min="14857" max="14857" width="17.7109375" style="64" customWidth="1"/>
    <col min="14858" max="14858" width="8.85546875" style="64" bestFit="1" customWidth="1"/>
    <col min="14859" max="15104" width="9.140625" style="64"/>
    <col min="15105" max="15105" width="5.28515625" style="64" customWidth="1"/>
    <col min="15106" max="15106" width="37.42578125" style="64" customWidth="1"/>
    <col min="15107" max="15107" width="7.140625" style="64" customWidth="1"/>
    <col min="15108" max="15108" width="10.140625" style="64" customWidth="1"/>
    <col min="15109" max="15109" width="9.85546875" style="64" customWidth="1"/>
    <col min="15110" max="15110" width="12" style="64" customWidth="1"/>
    <col min="15111" max="15111" width="18.28515625" style="64" customWidth="1"/>
    <col min="15112" max="15112" width="15.5703125" style="64" customWidth="1"/>
    <col min="15113" max="15113" width="17.7109375" style="64" customWidth="1"/>
    <col min="15114" max="15114" width="8.85546875" style="64" bestFit="1" customWidth="1"/>
    <col min="15115" max="15360" width="9.140625" style="64"/>
    <col min="15361" max="15361" width="5.28515625" style="64" customWidth="1"/>
    <col min="15362" max="15362" width="37.42578125" style="64" customWidth="1"/>
    <col min="15363" max="15363" width="7.140625" style="64" customWidth="1"/>
    <col min="15364" max="15364" width="10.140625" style="64" customWidth="1"/>
    <col min="15365" max="15365" width="9.85546875" style="64" customWidth="1"/>
    <col min="15366" max="15366" width="12" style="64" customWidth="1"/>
    <col min="15367" max="15367" width="18.28515625" style="64" customWidth="1"/>
    <col min="15368" max="15368" width="15.5703125" style="64" customWidth="1"/>
    <col min="15369" max="15369" width="17.7109375" style="64" customWidth="1"/>
    <col min="15370" max="15370" width="8.85546875" style="64" bestFit="1" customWidth="1"/>
    <col min="15371" max="15616" width="9.140625" style="64"/>
    <col min="15617" max="15617" width="5.28515625" style="64" customWidth="1"/>
    <col min="15618" max="15618" width="37.42578125" style="64" customWidth="1"/>
    <col min="15619" max="15619" width="7.140625" style="64" customWidth="1"/>
    <col min="15620" max="15620" width="10.140625" style="64" customWidth="1"/>
    <col min="15621" max="15621" width="9.85546875" style="64" customWidth="1"/>
    <col min="15622" max="15622" width="12" style="64" customWidth="1"/>
    <col min="15623" max="15623" width="18.28515625" style="64" customWidth="1"/>
    <col min="15624" max="15624" width="15.5703125" style="64" customWidth="1"/>
    <col min="15625" max="15625" width="17.7109375" style="64" customWidth="1"/>
    <col min="15626" max="15626" width="8.85546875" style="64" bestFit="1" customWidth="1"/>
    <col min="15627" max="15872" width="9.140625" style="64"/>
    <col min="15873" max="15873" width="5.28515625" style="64" customWidth="1"/>
    <col min="15874" max="15874" width="37.42578125" style="64" customWidth="1"/>
    <col min="15875" max="15875" width="7.140625" style="64" customWidth="1"/>
    <col min="15876" max="15876" width="10.140625" style="64" customWidth="1"/>
    <col min="15877" max="15877" width="9.85546875" style="64" customWidth="1"/>
    <col min="15878" max="15878" width="12" style="64" customWidth="1"/>
    <col min="15879" max="15879" width="18.28515625" style="64" customWidth="1"/>
    <col min="15880" max="15880" width="15.5703125" style="64" customWidth="1"/>
    <col min="15881" max="15881" width="17.7109375" style="64" customWidth="1"/>
    <col min="15882" max="15882" width="8.85546875" style="64" bestFit="1" customWidth="1"/>
    <col min="15883" max="16128" width="9.140625" style="64"/>
    <col min="16129" max="16129" width="5.28515625" style="64" customWidth="1"/>
    <col min="16130" max="16130" width="37.42578125" style="64" customWidth="1"/>
    <col min="16131" max="16131" width="7.140625" style="64" customWidth="1"/>
    <col min="16132" max="16132" width="10.140625" style="64" customWidth="1"/>
    <col min="16133" max="16133" width="9.85546875" style="64" customWidth="1"/>
    <col min="16134" max="16134" width="12" style="64" customWidth="1"/>
    <col min="16135" max="16135" width="18.28515625" style="64" customWidth="1"/>
    <col min="16136" max="16136" width="15.5703125" style="64" customWidth="1"/>
    <col min="16137" max="16137" width="17.7109375" style="64" customWidth="1"/>
    <col min="16138" max="16138" width="8.85546875" style="64" bestFit="1" customWidth="1"/>
    <col min="16139" max="16384" width="9.140625" style="64"/>
  </cols>
  <sheetData>
    <row r="1" spans="1:10" ht="15.75" customHeight="1">
      <c r="A1" s="122" t="s">
        <v>159</v>
      </c>
      <c r="B1" s="122"/>
      <c r="C1" s="122"/>
    </row>
    <row r="2" spans="1:10" ht="15.75" customHeight="1">
      <c r="A2" s="65" t="s">
        <v>160</v>
      </c>
      <c r="B2" s="65"/>
      <c r="C2" s="65"/>
      <c r="D2" s="123" t="s">
        <v>287</v>
      </c>
      <c r="E2" s="120"/>
      <c r="F2" s="121"/>
      <c r="G2" s="144"/>
      <c r="I2" s="108" t="s">
        <v>222</v>
      </c>
      <c r="J2" s="66"/>
    </row>
    <row r="3" spans="1:10" s="67" customFormat="1" ht="24.75" customHeight="1">
      <c r="A3" s="187" t="s">
        <v>161</v>
      </c>
      <c r="B3" s="187"/>
      <c r="C3" s="187"/>
      <c r="D3" s="187"/>
      <c r="E3" s="187"/>
      <c r="F3" s="187"/>
      <c r="G3" s="187"/>
      <c r="H3" s="187"/>
      <c r="I3" s="187"/>
      <c r="J3" s="187"/>
    </row>
    <row r="4" spans="1:10" ht="24" customHeight="1">
      <c r="A4" s="188" t="s">
        <v>162</v>
      </c>
      <c r="B4" s="188"/>
      <c r="C4" s="188"/>
      <c r="D4" s="188"/>
      <c r="E4" s="188"/>
      <c r="F4" s="188"/>
      <c r="G4" s="188"/>
      <c r="H4" s="188"/>
      <c r="I4" s="188"/>
    </row>
    <row r="5" spans="1:10" ht="15.75" customHeight="1">
      <c r="A5" s="189" t="s">
        <v>163</v>
      </c>
      <c r="B5" s="189"/>
      <c r="C5" s="189"/>
      <c r="D5" s="189"/>
      <c r="E5" s="189"/>
      <c r="F5" s="189"/>
      <c r="G5" s="189"/>
      <c r="H5" s="189"/>
      <c r="I5" s="189"/>
      <c r="J5" s="189"/>
    </row>
    <row r="6" spans="1:10" ht="15.75" customHeight="1">
      <c r="D6" s="69"/>
      <c r="E6" s="190" t="s">
        <v>164</v>
      </c>
      <c r="F6" s="190"/>
      <c r="G6" s="70"/>
      <c r="H6" s="68"/>
    </row>
    <row r="7" spans="1:10" ht="18.75" customHeight="1">
      <c r="A7" s="67" t="s">
        <v>165</v>
      </c>
      <c r="H7" s="62"/>
      <c r="I7" s="71"/>
    </row>
    <row r="8" spans="1:10" ht="15.75" customHeight="1">
      <c r="A8" s="64" t="s">
        <v>215</v>
      </c>
      <c r="H8" s="62" t="s">
        <v>220</v>
      </c>
      <c r="I8" s="71">
        <f>+I32</f>
        <v>8293275000</v>
      </c>
      <c r="J8" s="64" t="s">
        <v>166</v>
      </c>
    </row>
    <row r="9" spans="1:10" ht="15.75" customHeight="1">
      <c r="A9" s="64" t="s">
        <v>216</v>
      </c>
      <c r="E9" s="72" t="s">
        <v>218</v>
      </c>
      <c r="H9" s="73" t="s">
        <v>221</v>
      </c>
      <c r="I9" s="71">
        <f>+I32</f>
        <v>8293275000</v>
      </c>
    </row>
    <row r="10" spans="1:10" ht="15.75" customHeight="1">
      <c r="A10" s="64" t="s">
        <v>217</v>
      </c>
      <c r="E10" s="72" t="s">
        <v>219</v>
      </c>
      <c r="I10" s="71"/>
    </row>
    <row r="11" spans="1:10" ht="15.75" hidden="1" customHeight="1">
      <c r="A11" s="64" t="s">
        <v>167</v>
      </c>
      <c r="E11" s="72" t="s">
        <v>168</v>
      </c>
      <c r="I11" s="71"/>
    </row>
    <row r="12" spans="1:10" ht="15.75" customHeight="1">
      <c r="A12" s="64" t="s">
        <v>169</v>
      </c>
    </row>
    <row r="13" spans="1:10" ht="15.75" customHeight="1">
      <c r="A13" s="64" t="s">
        <v>170</v>
      </c>
    </row>
    <row r="14" spans="1:10" ht="15.75" customHeight="1">
      <c r="E14" s="61" t="s">
        <v>171</v>
      </c>
      <c r="F14" s="61">
        <v>22475</v>
      </c>
      <c r="J14" s="64" t="s">
        <v>172</v>
      </c>
    </row>
    <row r="15" spans="1:10" s="67" customFormat="1" ht="20.25" customHeight="1">
      <c r="A15" s="191" t="s">
        <v>173</v>
      </c>
      <c r="B15" s="191" t="s">
        <v>174</v>
      </c>
      <c r="C15" s="74" t="s">
        <v>175</v>
      </c>
      <c r="D15" s="193" t="s">
        <v>176</v>
      </c>
      <c r="E15" s="193"/>
      <c r="F15" s="193" t="s">
        <v>177</v>
      </c>
      <c r="G15" s="193"/>
      <c r="H15" s="193" t="s">
        <v>178</v>
      </c>
      <c r="I15" s="193"/>
      <c r="J15" s="191" t="s">
        <v>179</v>
      </c>
    </row>
    <row r="16" spans="1:10" s="67" customFormat="1" ht="17.25" customHeight="1">
      <c r="A16" s="192"/>
      <c r="B16" s="192"/>
      <c r="C16" s="74" t="s">
        <v>180</v>
      </c>
      <c r="D16" s="74" t="s">
        <v>181</v>
      </c>
      <c r="E16" s="74" t="s">
        <v>182</v>
      </c>
      <c r="F16" s="75" t="s">
        <v>183</v>
      </c>
      <c r="G16" s="76" t="s">
        <v>184</v>
      </c>
      <c r="H16" s="77" t="s">
        <v>183</v>
      </c>
      <c r="I16" s="78" t="s">
        <v>184</v>
      </c>
      <c r="J16" s="191"/>
    </row>
    <row r="17" spans="1:10" s="67" customFormat="1" ht="22.5" customHeight="1">
      <c r="A17" s="192"/>
      <c r="B17" s="192"/>
      <c r="C17" s="74" t="s">
        <v>185</v>
      </c>
      <c r="D17" s="74" t="s">
        <v>186</v>
      </c>
      <c r="E17" s="74" t="s">
        <v>187</v>
      </c>
      <c r="F17" s="75" t="s">
        <v>188</v>
      </c>
      <c r="G17" s="79" t="s">
        <v>189</v>
      </c>
      <c r="H17" s="75" t="s">
        <v>188</v>
      </c>
      <c r="I17" s="80" t="s">
        <v>189</v>
      </c>
      <c r="J17" s="191"/>
    </row>
    <row r="18" spans="1:10" s="88" customFormat="1" ht="53.25" customHeight="1">
      <c r="A18" s="81">
        <v>1</v>
      </c>
      <c r="B18" s="82" t="s">
        <v>190</v>
      </c>
      <c r="C18" s="83" t="s">
        <v>191</v>
      </c>
      <c r="D18" s="84">
        <v>8</v>
      </c>
      <c r="E18" s="84">
        <v>8</v>
      </c>
      <c r="F18" s="85">
        <v>10500</v>
      </c>
      <c r="G18" s="86">
        <f>+ROUND(F18*$F$14,0)</f>
        <v>235987500</v>
      </c>
      <c r="H18" s="85">
        <f>+E18*F18</f>
        <v>84000</v>
      </c>
      <c r="I18" s="86">
        <f>+ROUND(H18*$F$14,0)</f>
        <v>1887900000</v>
      </c>
      <c r="J18" s="87"/>
    </row>
    <row r="19" spans="1:10" s="88" customFormat="1" ht="53.25" customHeight="1">
      <c r="A19" s="83">
        <v>2</v>
      </c>
      <c r="B19" s="82" t="s">
        <v>192</v>
      </c>
      <c r="C19" s="83" t="s">
        <v>191</v>
      </c>
      <c r="D19" s="84">
        <v>20</v>
      </c>
      <c r="E19" s="84">
        <v>20</v>
      </c>
      <c r="F19" s="85">
        <v>9300</v>
      </c>
      <c r="G19" s="86">
        <f>+ROUND(F19*$F$14,0)</f>
        <v>209017500</v>
      </c>
      <c r="H19" s="85">
        <f>+E19*F19</f>
        <v>186000</v>
      </c>
      <c r="I19" s="86">
        <f>+ROUND(H19*$F$14,0)</f>
        <v>4180350000</v>
      </c>
      <c r="J19" s="83"/>
    </row>
    <row r="20" spans="1:10" s="88" customFormat="1" ht="53.25" customHeight="1">
      <c r="A20" s="81">
        <v>3</v>
      </c>
      <c r="B20" s="82" t="s">
        <v>193</v>
      </c>
      <c r="C20" s="83" t="s">
        <v>191</v>
      </c>
      <c r="D20" s="84">
        <v>9</v>
      </c>
      <c r="E20" s="84">
        <v>9</v>
      </c>
      <c r="F20" s="85">
        <v>11000</v>
      </c>
      <c r="G20" s="86">
        <f>+ROUND(F20*$F$14,0)</f>
        <v>247225000</v>
      </c>
      <c r="H20" s="85">
        <f>+E20*F20</f>
        <v>99000</v>
      </c>
      <c r="I20" s="86">
        <f>+ROUND(H20*$F$14,0)</f>
        <v>2225025000</v>
      </c>
      <c r="J20" s="83"/>
    </row>
    <row r="21" spans="1:10" s="88" customFormat="1" ht="33" customHeight="1">
      <c r="A21" s="83"/>
      <c r="B21" s="89"/>
      <c r="C21" s="83"/>
      <c r="D21" s="84"/>
      <c r="E21" s="84"/>
      <c r="F21" s="85"/>
      <c r="G21" s="90"/>
      <c r="H21" s="91"/>
      <c r="I21" s="91"/>
      <c r="J21" s="83"/>
    </row>
    <row r="22" spans="1:10" s="88" customFormat="1" ht="33" customHeight="1">
      <c r="A22" s="83"/>
      <c r="B22" s="82"/>
      <c r="C22" s="83"/>
      <c r="D22" s="84"/>
      <c r="E22" s="84"/>
      <c r="F22" s="85"/>
      <c r="G22" s="86"/>
      <c r="H22" s="85"/>
      <c r="I22" s="86"/>
      <c r="J22" s="83"/>
    </row>
    <row r="23" spans="1:10" s="88" customFormat="1" ht="33" customHeight="1">
      <c r="A23" s="81"/>
      <c r="B23" s="92" t="s">
        <v>194</v>
      </c>
      <c r="C23" s="83"/>
      <c r="D23" s="84"/>
      <c r="E23" s="84"/>
      <c r="F23" s="85"/>
      <c r="G23" s="85"/>
      <c r="H23" s="85"/>
      <c r="I23" s="86"/>
      <c r="J23" s="87"/>
    </row>
    <row r="24" spans="1:10" s="88" customFormat="1" ht="48.75" customHeight="1">
      <c r="A24" s="83"/>
      <c r="B24" s="82"/>
      <c r="C24" s="83"/>
      <c r="D24" s="84"/>
      <c r="E24" s="84"/>
      <c r="F24" s="85"/>
      <c r="G24" s="86"/>
      <c r="H24" s="85"/>
      <c r="I24" s="86"/>
      <c r="J24" s="83"/>
    </row>
    <row r="25" spans="1:10" s="88" customFormat="1" ht="33" customHeight="1">
      <c r="A25" s="83"/>
      <c r="B25" s="89"/>
      <c r="C25" s="83"/>
      <c r="D25" s="84"/>
      <c r="E25" s="84"/>
      <c r="F25" s="85"/>
      <c r="G25" s="90"/>
      <c r="H25" s="91"/>
      <c r="I25" s="91"/>
      <c r="J25" s="83"/>
    </row>
    <row r="26" spans="1:10" s="88" customFormat="1" ht="33" customHeight="1">
      <c r="A26" s="83"/>
      <c r="B26" s="82"/>
      <c r="C26" s="83"/>
      <c r="D26" s="84"/>
      <c r="E26" s="84"/>
      <c r="F26" s="85"/>
      <c r="G26" s="86"/>
      <c r="H26" s="85"/>
      <c r="I26" s="86"/>
      <c r="J26" s="83"/>
    </row>
    <row r="27" spans="1:10" s="88" customFormat="1" ht="33" hidden="1" customHeight="1">
      <c r="A27" s="81"/>
      <c r="B27" s="92"/>
      <c r="C27" s="83"/>
      <c r="D27" s="84"/>
      <c r="E27" s="84"/>
      <c r="F27" s="85"/>
      <c r="G27" s="85"/>
      <c r="H27" s="85"/>
      <c r="I27" s="86"/>
      <c r="J27" s="87"/>
    </row>
    <row r="28" spans="1:10" s="88" customFormat="1" ht="33" hidden="1" customHeight="1">
      <c r="A28" s="81"/>
      <c r="B28" s="82"/>
      <c r="C28" s="83"/>
      <c r="D28" s="84"/>
      <c r="E28" s="84"/>
      <c r="F28" s="85"/>
      <c r="G28" s="86"/>
      <c r="H28" s="85"/>
      <c r="I28" s="86"/>
      <c r="J28" s="87"/>
    </row>
    <row r="29" spans="1:10" s="88" customFormat="1" ht="33" hidden="1" customHeight="1">
      <c r="A29" s="81"/>
      <c r="B29" s="92"/>
      <c r="C29" s="83"/>
      <c r="D29" s="84"/>
      <c r="E29" s="84"/>
      <c r="F29" s="85"/>
      <c r="G29" s="86"/>
      <c r="H29" s="85"/>
      <c r="I29" s="86"/>
      <c r="J29" s="87"/>
    </row>
    <row r="30" spans="1:10" s="88" customFormat="1" ht="33" hidden="1" customHeight="1">
      <c r="A30" s="81"/>
      <c r="B30" s="82"/>
      <c r="C30" s="83"/>
      <c r="D30" s="84"/>
      <c r="E30" s="84"/>
      <c r="F30" s="85"/>
      <c r="G30" s="86"/>
      <c r="H30" s="85"/>
      <c r="I30" s="86"/>
      <c r="J30" s="87"/>
    </row>
    <row r="31" spans="1:10" s="88" customFormat="1" ht="33" hidden="1" customHeight="1">
      <c r="A31" s="81"/>
      <c r="B31" s="92"/>
      <c r="C31" s="83"/>
      <c r="D31" s="84"/>
      <c r="E31" s="84"/>
      <c r="F31" s="85"/>
      <c r="G31" s="86"/>
      <c r="H31" s="85"/>
      <c r="I31" s="86"/>
      <c r="J31" s="87"/>
    </row>
    <row r="32" spans="1:10" s="100" customFormat="1" ht="15.75" customHeight="1">
      <c r="A32" s="93"/>
      <c r="B32" s="94" t="s">
        <v>195</v>
      </c>
      <c r="C32" s="94"/>
      <c r="D32" s="95"/>
      <c r="E32" s="95"/>
      <c r="F32" s="96"/>
      <c r="G32" s="97"/>
      <c r="H32" s="98">
        <f>SUM(H18:H31)</f>
        <v>369000</v>
      </c>
      <c r="I32" s="99">
        <f>SUM(I18:I31)</f>
        <v>8293275000</v>
      </c>
      <c r="J32" s="93"/>
    </row>
    <row r="33" spans="1:10" ht="15.75" customHeight="1">
      <c r="I33" s="101"/>
    </row>
    <row r="34" spans="1:10" s="100" customFormat="1" ht="15.75" customHeight="1">
      <c r="A34" s="100" t="s">
        <v>196</v>
      </c>
      <c r="C34" s="59"/>
      <c r="D34" s="102" t="s">
        <v>197</v>
      </c>
      <c r="E34" s="64"/>
      <c r="F34" s="64"/>
      <c r="G34" s="63"/>
      <c r="H34" s="64"/>
    </row>
    <row r="35" spans="1:10" ht="15.75" customHeight="1">
      <c r="A35" s="64" t="s">
        <v>198</v>
      </c>
      <c r="C35" s="186">
        <f>+I32</f>
        <v>8293275000</v>
      </c>
      <c r="D35" s="186"/>
      <c r="E35" s="186"/>
      <c r="F35" s="186"/>
      <c r="G35" s="186"/>
      <c r="H35" s="103" t="s">
        <v>199</v>
      </c>
    </row>
    <row r="37" spans="1:10" ht="15.75" customHeight="1">
      <c r="B37" s="72" t="s">
        <v>200</v>
      </c>
      <c r="C37" s="72" t="s">
        <v>201</v>
      </c>
      <c r="E37" s="104" t="s">
        <v>202</v>
      </c>
      <c r="F37" s="61"/>
      <c r="G37" s="105" t="s">
        <v>203</v>
      </c>
      <c r="H37" s="106" t="s">
        <v>204</v>
      </c>
      <c r="I37" s="106" t="s">
        <v>205</v>
      </c>
      <c r="J37" s="107" t="s">
        <v>206</v>
      </c>
    </row>
    <row r="38" spans="1:10" ht="15" customHeight="1">
      <c r="B38" s="108" t="s">
        <v>207</v>
      </c>
      <c r="C38" s="68" t="s">
        <v>208</v>
      </c>
      <c r="D38" s="64"/>
      <c r="E38" s="109" t="s">
        <v>209</v>
      </c>
      <c r="F38" s="61"/>
      <c r="G38" s="110" t="s">
        <v>210</v>
      </c>
      <c r="H38" s="111" t="s">
        <v>211</v>
      </c>
      <c r="I38" s="110" t="s">
        <v>212</v>
      </c>
      <c r="J38" s="112" t="s">
        <v>213</v>
      </c>
    </row>
    <row r="39" spans="1:10" ht="15.75" customHeight="1">
      <c r="D39" s="113"/>
      <c r="G39" s="61"/>
    </row>
    <row r="40" spans="1:10" ht="15.75" customHeight="1">
      <c r="G40" s="61"/>
    </row>
    <row r="41" spans="1:10" ht="15.75" customHeight="1">
      <c r="D41" s="109"/>
      <c r="E41" s="114"/>
      <c r="G41" s="115"/>
      <c r="I41" s="116"/>
    </row>
    <row r="42" spans="1:10" ht="15.75" customHeight="1">
      <c r="D42" s="104"/>
      <c r="E42" s="117"/>
      <c r="G42" s="104"/>
      <c r="I42" s="118" t="s">
        <v>214</v>
      </c>
    </row>
    <row r="58" spans="8:8" ht="15.75" customHeight="1">
      <c r="H58" s="101"/>
    </row>
    <row r="59" spans="8:8" ht="15.75" customHeight="1">
      <c r="H59" s="101"/>
    </row>
    <row r="60" spans="8:8" ht="15.75" customHeight="1">
      <c r="H60" s="101"/>
    </row>
    <row r="61" spans="8:8" ht="15.75" customHeight="1">
      <c r="H61" s="101"/>
    </row>
    <row r="63" spans="8:8" ht="15.75" customHeight="1">
      <c r="H63" s="101"/>
    </row>
  </sheetData>
  <mergeCells count="11">
    <mergeCell ref="C35:G35"/>
    <mergeCell ref="A3:J3"/>
    <mergeCell ref="A4:I4"/>
    <mergeCell ref="A5:J5"/>
    <mergeCell ref="E6:F6"/>
    <mergeCell ref="A15:A17"/>
    <mergeCell ref="B15:B17"/>
    <mergeCell ref="D15:E15"/>
    <mergeCell ref="F15:G15"/>
    <mergeCell ref="H15:I15"/>
    <mergeCell ref="J15:J17"/>
  </mergeCells>
  <phoneticPr fontId="7" type="noConversion"/>
  <printOptions horizontalCentered="1"/>
  <pageMargins left="7.8740157480315001E-2" right="7.8740157480315001E-2" top="0.39370078740157499" bottom="0.98425196850393704" header="0" footer="0.511811023622047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準備工作</vt:lpstr>
      <vt:lpstr>機器編碼原則</vt:lpstr>
      <vt:lpstr>機器編碼對照總表</vt:lpstr>
      <vt:lpstr>現有機器細項總表(共用)</vt:lpstr>
      <vt:lpstr>機器攤提表(財務用)</vt:lpstr>
      <vt:lpstr>廠商基本資料</vt:lpstr>
      <vt:lpstr>機器基本資料</vt:lpstr>
      <vt:lpstr>入庫表(廠內用)</vt:lpstr>
      <vt:lpstr>入庫單(財務提供-稅局格式)</vt:lpstr>
    </vt:vector>
  </TitlesOfParts>
  <Company>Mobile: 0907969681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Mai Phuong</dc:creator>
  <cp:lastModifiedBy>Winnie 黃秀紋</cp:lastModifiedBy>
  <cp:lastPrinted>2020-03-21T13:05:52Z</cp:lastPrinted>
  <dcterms:created xsi:type="dcterms:W3CDTF">2018-09-13T06:02:29Z</dcterms:created>
  <dcterms:modified xsi:type="dcterms:W3CDTF">2020-03-23T01:39:24Z</dcterms:modified>
</cp:coreProperties>
</file>