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35" yWindow="90" windowWidth="12120" windowHeight="9120" activeTab="1"/>
  </bookViews>
  <sheets>
    <sheet name="Y-1189(UK)" sheetId="243" r:id="rId1"/>
    <sheet name="Y2211-0649" sheetId="244" r:id="rId2"/>
  </sheets>
  <definedNames>
    <definedName name="_xlnm._FilterDatabase" localSheetId="0" hidden="1">'Y-1189(UK)'!$L$21:$L$23</definedName>
    <definedName name="_xlnm._FilterDatabase" localSheetId="1" hidden="1">'Y2211-0649'!$A$11:$IW$58</definedName>
    <definedName name="_xlnm.Print_Area" localSheetId="0">'Y-1189(UK)'!$A$1:$N$33</definedName>
    <definedName name="_xlnm.Print_Titles" localSheetId="0">'Y-1189(UK)'!$1:$19</definedName>
  </definedNames>
  <calcPr calcId="144525" calcMode="autoNoTable"/>
</workbook>
</file>

<file path=xl/calcChain.xml><?xml version="1.0" encoding="utf-8"?>
<calcChain xmlns="http://schemas.openxmlformats.org/spreadsheetml/2006/main">
  <c r="I13" i="244" l="1"/>
  <c r="I12" i="244"/>
  <c r="I38" i="244"/>
  <c r="I37" i="244"/>
  <c r="I36" i="244"/>
  <c r="I35" i="244"/>
  <c r="I47" i="244"/>
  <c r="I46" i="244"/>
  <c r="I58" i="244" l="1"/>
  <c r="I57" i="244"/>
  <c r="I56" i="244"/>
  <c r="I55" i="244"/>
  <c r="I54" i="244"/>
  <c r="I53" i="244"/>
  <c r="I52" i="244"/>
  <c r="I51" i="244"/>
  <c r="I50" i="244"/>
  <c r="I49" i="244"/>
  <c r="I48" i="244"/>
  <c r="I45" i="244"/>
  <c r="I44" i="244"/>
  <c r="I43" i="244"/>
  <c r="I42" i="244"/>
  <c r="I41" i="244"/>
  <c r="I40" i="244"/>
  <c r="I39" i="244"/>
  <c r="I34" i="244"/>
  <c r="I33" i="244"/>
  <c r="I32" i="244"/>
  <c r="I31" i="244"/>
  <c r="I30" i="244"/>
  <c r="I29" i="244"/>
  <c r="I28" i="244"/>
  <c r="I27" i="244"/>
  <c r="I26" i="244"/>
  <c r="I25" i="244"/>
  <c r="I24" i="244"/>
  <c r="I23" i="244"/>
  <c r="I22" i="244"/>
  <c r="I21" i="244"/>
  <c r="I20" i="244"/>
  <c r="I19" i="244"/>
  <c r="I18" i="244"/>
  <c r="I17" i="244"/>
  <c r="I16" i="244"/>
  <c r="I15" i="244"/>
  <c r="I14" i="244"/>
  <c r="G9" i="244"/>
  <c r="A8" i="244"/>
  <c r="A7" i="244"/>
  <c r="G19" i="244" l="1"/>
  <c r="E19" i="244" s="1"/>
  <c r="G15" i="244"/>
  <c r="E15" i="244" s="1"/>
  <c r="G34" i="244"/>
  <c r="E34" i="244" s="1"/>
  <c r="G42" i="244"/>
  <c r="E42" i="244" s="1"/>
  <c r="G45" i="244"/>
  <c r="E45" i="244" s="1"/>
  <c r="G25" i="244"/>
  <c r="E25" i="244" s="1"/>
  <c r="G17" i="244"/>
  <c r="E17" i="244" s="1"/>
  <c r="G29" i="244"/>
  <c r="E29" i="244" s="1"/>
  <c r="G37" i="244"/>
  <c r="E37" i="244" s="1"/>
  <c r="G53" i="244"/>
  <c r="E53" i="244" s="1"/>
  <c r="G30" i="244"/>
  <c r="E30" i="244" s="1"/>
  <c r="G32" i="244"/>
  <c r="E32" i="244" s="1"/>
  <c r="G44" i="244"/>
  <c r="E44" i="244" s="1"/>
  <c r="G20" i="244"/>
  <c r="E20" i="244" s="1"/>
  <c r="G14" i="244"/>
  <c r="E14" i="244" s="1"/>
  <c r="G58" i="244"/>
  <c r="E58" i="244" s="1"/>
  <c r="G55" i="244"/>
  <c r="E55" i="244" s="1"/>
  <c r="G40" i="244"/>
  <c r="E40" i="244" s="1"/>
  <c r="G39" i="244"/>
  <c r="E39" i="244" s="1"/>
  <c r="G33" i="244"/>
  <c r="E33" i="244" s="1"/>
  <c r="G49" i="244"/>
  <c r="E49" i="244" s="1"/>
  <c r="G52" i="244"/>
  <c r="E52" i="244" s="1"/>
  <c r="G51" i="244"/>
  <c r="E51" i="244" s="1"/>
  <c r="G47" i="244"/>
  <c r="E47" i="244" s="1"/>
  <c r="G35" i="244"/>
  <c r="E35" i="244" s="1"/>
  <c r="G26" i="244"/>
  <c r="E26" i="244" s="1"/>
  <c r="G24" i="244"/>
  <c r="E24" i="244" s="1"/>
  <c r="G16" i="244"/>
  <c r="E16" i="244" s="1"/>
  <c r="G31" i="244"/>
  <c r="E31" i="244" s="1"/>
  <c r="G36" i="244"/>
  <c r="E36" i="244" s="1"/>
  <c r="G38" i="244"/>
  <c r="E38" i="244" s="1"/>
  <c r="G50" i="244"/>
  <c r="E50" i="244" s="1"/>
  <c r="G56" i="244"/>
  <c r="E56" i="244" s="1"/>
  <c r="G12" i="244"/>
  <c r="E12" i="244" s="1"/>
  <c r="G13" i="244"/>
  <c r="E13" i="244" s="1"/>
  <c r="G18" i="244"/>
  <c r="E18" i="244" s="1"/>
  <c r="G23" i="244"/>
  <c r="E23" i="244" s="1"/>
  <c r="G54" i="244"/>
  <c r="E54" i="244" s="1"/>
  <c r="G57" i="244"/>
  <c r="E57" i="244" s="1"/>
  <c r="G21" i="244"/>
  <c r="E21" i="244" s="1"/>
  <c r="G22" i="244"/>
  <c r="E22" i="244" s="1"/>
  <c r="G27" i="244"/>
  <c r="E27" i="244" s="1"/>
  <c r="G46" i="244"/>
  <c r="E46" i="244" s="1"/>
  <c r="G28" i="244"/>
  <c r="E28" i="244" s="1"/>
  <c r="G41" i="244"/>
  <c r="E41" i="244" s="1"/>
  <c r="G43" i="244"/>
  <c r="E43" i="244" s="1"/>
  <c r="G48" i="244"/>
  <c r="E48" i="244" s="1"/>
  <c r="G10" i="244" l="1"/>
  <c r="H10" i="244"/>
  <c r="C23" i="243" l="1"/>
  <c r="C26" i="243" s="1"/>
  <c r="I23" i="243"/>
  <c r="I26" i="243" s="1"/>
  <c r="H23" i="243"/>
  <c r="H26" i="243" s="1"/>
  <c r="G23" i="243"/>
  <c r="G26" i="243" s="1"/>
</calcChain>
</file>

<file path=xl/sharedStrings.xml><?xml version="1.0" encoding="utf-8"?>
<sst xmlns="http://schemas.openxmlformats.org/spreadsheetml/2006/main" count="311" uniqueCount="231">
  <si>
    <t>NOTIFY TO:</t>
  </si>
  <si>
    <t>PORT OF LOADING:</t>
  </si>
  <si>
    <t>PLACE OF DELIVERY:</t>
  </si>
  <si>
    <t>HOCHIMINH / VIETNAM</t>
  </si>
  <si>
    <t>VINH LONG FOOTWEAR CO., LTD</t>
  </si>
  <si>
    <t>RY</t>
  </si>
  <si>
    <t>ETD</t>
  </si>
  <si>
    <t>SHIPPING REQUEST</t>
  </si>
  <si>
    <t>STYLE</t>
  </si>
  <si>
    <t>CONT</t>
  </si>
  <si>
    <t>EFD</t>
  </si>
  <si>
    <t>CONSIGNEE:</t>
  </si>
  <si>
    <t>SHIPPER:</t>
  </si>
  <si>
    <t>DESCRIPTION OF GOODS</t>
  </si>
  <si>
    <t>PRS</t>
  </si>
  <si>
    <t>CTNS</t>
  </si>
  <si>
    <t>CBM</t>
  </si>
  <si>
    <t>GW</t>
  </si>
  <si>
    <t>Converse Netherlands BV</t>
  </si>
  <si>
    <t>Colosseum 1, 1213NL, Hilversum</t>
  </si>
  <si>
    <t>The Netherlands</t>
  </si>
  <si>
    <t>Colosseum 1</t>
  </si>
  <si>
    <t>1213NL, Hilversum</t>
  </si>
  <si>
    <t xml:space="preserve">Contact: Olga Soldatova / Airita Snepste </t>
  </si>
  <si>
    <t>(Olga.Soldatova@converse.com / Airita.Snepste@Converse.com)</t>
  </si>
  <si>
    <t>N.W</t>
  </si>
  <si>
    <t>PORT OF DISCHARGE:</t>
  </si>
  <si>
    <t>Contact: Olga Soldatova / Airita Snepste (Olga.Soldatova@converse.com / Airita.Snepste@Converse.com)</t>
  </si>
  <si>
    <t xml:space="preserve"> Mail Address : thingocdiep.nguyen@damco.com</t>
  </si>
  <si>
    <t xml:space="preserve"> Tel: 84-28-35203807</t>
  </si>
  <si>
    <t>TO: MAERSK</t>
  </si>
  <si>
    <t>VINH LONG PROVINCE VIETNAM</t>
  </si>
  <si>
    <t>HOA PHU INDUSTRIAL ZONE,THANH HUNG HAMLET,</t>
  </si>
  <si>
    <t>HOA PHU VILLAGE, LONG HO DISTRICT,</t>
  </si>
  <si>
    <t>FROM: TY XUAN/ANH TUAN(TEL:0909987016)</t>
  </si>
  <si>
    <t>TEL: 02703.962.057</t>
  </si>
  <si>
    <t>NLGD0002</t>
  </si>
  <si>
    <t>UK</t>
  </si>
  <si>
    <t>CONVERSE FOOTWEAR-------BV--UK</t>
  </si>
  <si>
    <t>ANTWERP</t>
  </si>
  <si>
    <t xml:space="preserve">UK via Grobbendonk, Belgium </t>
  </si>
  <si>
    <r>
      <t xml:space="preserve">* </t>
    </r>
    <r>
      <rPr>
        <b/>
        <sz val="12"/>
        <color indexed="10"/>
        <rFont val="Arial"/>
        <family val="2"/>
      </rPr>
      <t>NOTES</t>
    </r>
    <r>
      <rPr>
        <sz val="12"/>
        <color indexed="10"/>
        <rFont val="Arial"/>
        <family val="2"/>
      </rPr>
      <t xml:space="preserve">: </t>
    </r>
  </si>
  <si>
    <t>A03011C</t>
  </si>
  <si>
    <t>A PART OF 40'GP</t>
  </si>
  <si>
    <t>Y2211-0649</t>
  </si>
  <si>
    <t>Tên Sản phẩm xuất khẩu: GIÀY CONVERSE CÁC LOẠI (GIÀY VẢI)</t>
  </si>
  <si>
    <t>Mẫu số 16/ĐMTT/GSQL</t>
  </si>
  <si>
    <t>BẢNG THÔNG BÁO ĐỊNH MỨC TIÊU HAO NGUYÊN LIỆU, VẬT TƯ</t>
  </si>
  <si>
    <t>CHO MỘT ĐƠN VỊ SẢN PHẨM</t>
  </si>
  <si>
    <t>Tên doanh nghiệp: CÔNG TY TNHH TỶ XUÂN      Địa chỉ : KHU CÔNG NGHIỆP HOÀ PHÚ VĨNH LONG</t>
  </si>
  <si>
    <t xml:space="preserve">Mã sản phẩm: </t>
  </si>
  <si>
    <t>Mã số doanh nghiệp: 1500411257</t>
  </si>
  <si>
    <t xml:space="preserve">  Ñôn vò tính sp: ñoâi</t>
  </si>
  <si>
    <t>170586C, 170587C</t>
  </si>
  <si>
    <t>STT</t>
  </si>
  <si>
    <t>Tên nguyên liệu, vật tư (NL, VT)</t>
  </si>
  <si>
    <t>Mã NL, VT</t>
  </si>
  <si>
    <t>Đơn vị tính</t>
  </si>
  <si>
    <t>Định mức sử dụng</t>
  </si>
  <si>
    <t>GHI CHÚ</t>
  </si>
  <si>
    <t>DOI</t>
  </si>
  <si>
    <t>SQM=&gt;SQF (DB)</t>
  </si>
  <si>
    <t>138CM(Y)</t>
  </si>
  <si>
    <t>M 44"</t>
  </si>
  <si>
    <t>40CM</t>
  </si>
  <si>
    <t>SQM =&gt; Yarrd2</t>
  </si>
  <si>
    <t>60*90 SHT =&gt; Yard2</t>
  </si>
  <si>
    <t>40 M</t>
  </si>
  <si>
    <t xml:space="preserve">54M </t>
  </si>
  <si>
    <t>110CM (M)</t>
  </si>
  <si>
    <t xml:space="preserve">97*137CM </t>
  </si>
  <si>
    <t>148cm(M)</t>
  </si>
  <si>
    <t>90*137CM SHT</t>
  </si>
  <si>
    <t>18MM,20MM (M=&gt; YRD)</t>
  </si>
  <si>
    <t>52M</t>
  </si>
  <si>
    <t>(1)</t>
  </si>
  <si>
    <t>(2)</t>
  </si>
  <si>
    <t>(3)</t>
  </si>
  <si>
    <t>(4)</t>
  </si>
  <si>
    <t>(5)</t>
  </si>
  <si>
    <t>(8)</t>
  </si>
  <si>
    <t>I/át vuông</t>
  </si>
  <si>
    <t>ktra qui doi</t>
  </si>
  <si>
    <t>Tấm</t>
  </si>
  <si>
    <t>Vải dệt ép pu xốp  ( Vải ép nhiều lớp)</t>
  </si>
  <si>
    <t>Vải dệt móc đã nhuộm</t>
  </si>
  <si>
    <t>Vải không dệt từ polyeste</t>
  </si>
  <si>
    <t>KD</t>
  </si>
  <si>
    <t xml:space="preserve">Da nhân tạo  </t>
  </si>
  <si>
    <t>Vải nylon đã nhuộm</t>
  </si>
  <si>
    <t>NL</t>
  </si>
  <si>
    <t>I/át</t>
  </si>
  <si>
    <t>MIẾNG LÓT GIÀY CÁC LỌAI</t>
  </si>
  <si>
    <t>ML</t>
  </si>
  <si>
    <t>Đôi/Cặp</t>
  </si>
  <si>
    <t>Cái/Chiếc</t>
  </si>
  <si>
    <t xml:space="preserve">ÔDÊ TRÊN DƯỚI  </t>
  </si>
  <si>
    <t>ODE</t>
  </si>
  <si>
    <t>Bộ</t>
  </si>
  <si>
    <t>Ruy băng in nhãn giày</t>
  </si>
  <si>
    <t>RIBBONS</t>
  </si>
  <si>
    <r>
      <t xml:space="preserve">KIEM TRA QUY DOI loại </t>
    </r>
    <r>
      <rPr>
        <u/>
        <sz val="12"/>
        <color rgb="FFFF0000"/>
        <rFont val="Times New Roman"/>
        <family val="1"/>
      </rPr>
      <t>35mm</t>
    </r>
    <r>
      <rPr>
        <sz val="12"/>
        <color rgb="FFFF0000"/>
        <rFont val="Times New Roman"/>
        <family val="1"/>
      </rPr>
      <t xml:space="preserve"> 1bộ gồm 12 rol trắng+ 8 rol đen in được</t>
    </r>
    <r>
      <rPr>
        <u/>
        <sz val="12"/>
        <color rgb="FFFF0000"/>
        <rFont val="Times New Roman"/>
        <family val="1"/>
      </rPr>
      <t xml:space="preserve"> 90884 </t>
    </r>
    <r>
      <rPr>
        <sz val="12"/>
        <color rgb="FFFF0000"/>
        <rFont val="Times New Roman"/>
        <family val="1"/>
      </rPr>
      <t>cái)</t>
    </r>
  </si>
  <si>
    <t>Dây kéo răng bằng nhựa</t>
  </si>
  <si>
    <t>DKN</t>
  </si>
  <si>
    <t xml:space="preserve">HỘP ĐỰNG GIÀY  </t>
  </si>
  <si>
    <t>Nhãn giấy chưa in</t>
  </si>
  <si>
    <t>NG-T</t>
  </si>
  <si>
    <t>THÙNG CARTON ĐỰNG GIÀY</t>
  </si>
  <si>
    <t>Tờ</t>
  </si>
  <si>
    <t xml:space="preserve">Giấy gói giày </t>
  </si>
  <si>
    <t>Băng keo đóng gói</t>
  </si>
  <si>
    <t>BK-1</t>
  </si>
  <si>
    <t>Cuộn</t>
  </si>
  <si>
    <t>Tấm lót giày bằng PU xốp</t>
  </si>
  <si>
    <t>FOAM</t>
  </si>
  <si>
    <t>Kilogam</t>
  </si>
  <si>
    <t>Cao su Butadien</t>
  </si>
  <si>
    <t>HC06</t>
  </si>
  <si>
    <t>Cao su Styren-Butadien</t>
  </si>
  <si>
    <t>HC06-1</t>
  </si>
  <si>
    <t>Cao su tổng hợp</t>
  </si>
  <si>
    <t>HC07</t>
  </si>
  <si>
    <t>Chất xúc tiến làm lưu hóa cao su đã điều chế</t>
  </si>
  <si>
    <t>HC14</t>
  </si>
  <si>
    <t>Polyethylene glycols (Dạng bột)</t>
  </si>
  <si>
    <t>HC26</t>
  </si>
  <si>
    <t>Chế phẩm dầu có chứa &gt;70% là dầu có nguồn gốc từ dầu mỏ thuộc phân đoạn nặng</t>
  </si>
  <si>
    <t>HC27-1</t>
  </si>
  <si>
    <t>Stearic acid công nghiệp hàm lượng nhỏ hơn 90%</t>
  </si>
  <si>
    <t>HC29</t>
  </si>
  <si>
    <t>Thuốc màu từ Titan dioxit có hàm lượng Titan dioxit ở thể khô lớn hơn 80% tính theo trọng lượng</t>
  </si>
  <si>
    <t>HC31-1</t>
  </si>
  <si>
    <t>Silic dioxit dạng bột</t>
  </si>
  <si>
    <t>HC32-1</t>
  </si>
  <si>
    <t>Zinc oxide znco (Kẽm oxit)</t>
  </si>
  <si>
    <t>HC34</t>
  </si>
  <si>
    <t>Keo dán làm từ polyme</t>
  </si>
  <si>
    <t xml:space="preserve">Cao su tự nhiên </t>
  </si>
  <si>
    <t>Hydrocarbon resin (Petroleum resin)</t>
  </si>
  <si>
    <t>HC40</t>
  </si>
  <si>
    <t>Hợp chất hóa dẻo dùng cho cao su, plastic</t>
  </si>
  <si>
    <t>HCHD</t>
  </si>
  <si>
    <t xml:space="preserve">Chất lưu hóa cao su đã điều chế, thành phần chính là hợp chất lưu huỳnh </t>
  </si>
  <si>
    <t>HC23-XT</t>
  </si>
  <si>
    <t xml:space="preserve">Sáp parafin wax Kassel </t>
  </si>
  <si>
    <t>SAP-PWK</t>
  </si>
  <si>
    <t>TC-DM-1</t>
  </si>
  <si>
    <t>TC-KD</t>
  </si>
  <si>
    <t>TC-K-PU39</t>
  </si>
  <si>
    <t>TC-V-EP</t>
  </si>
  <si>
    <t>TC-HOP</t>
  </si>
  <si>
    <t>TC-THUNG</t>
  </si>
  <si>
    <t>TC-GG-A</t>
  </si>
  <si>
    <t>TC-HC14</t>
  </si>
  <si>
    <t>TC-HC34</t>
  </si>
  <si>
    <t>TC-HC36</t>
  </si>
  <si>
    <t>TC-HC37</t>
  </si>
  <si>
    <t>X</t>
  </si>
  <si>
    <t xml:space="preserve">Vải không dệt </t>
  </si>
  <si>
    <t>VN-KD</t>
  </si>
  <si>
    <t>Vải dệt vân điểm các loại</t>
  </si>
  <si>
    <t>VN-VD</t>
  </si>
  <si>
    <t>Nhãn giấy</t>
  </si>
  <si>
    <t>VN-NG</t>
  </si>
  <si>
    <t xml:space="preserve">Chỉ may giày </t>
  </si>
  <si>
    <t>VN-CHI-R</t>
  </si>
  <si>
    <t>Dây giày</t>
  </si>
  <si>
    <t>VN-DG</t>
  </si>
  <si>
    <t>Dây rút mũi</t>
  </si>
  <si>
    <t>VN-DRUT</t>
  </si>
  <si>
    <t>Canxi carbonat</t>
  </si>
  <si>
    <t>VN-Canxi</t>
  </si>
  <si>
    <t>Chất phòng lão</t>
  </si>
  <si>
    <t>VN-HC11</t>
  </si>
  <si>
    <t>Keo làm giày</t>
  </si>
  <si>
    <t>VN-KEO</t>
  </si>
  <si>
    <t xml:space="preserve">Chất xúc tác làm cứng keo </t>
  </si>
  <si>
    <t>VN-LAMCUNG</t>
  </si>
  <si>
    <t>Phẩm màu  các loại dùng làm giày</t>
  </si>
  <si>
    <t>VN-P.MAU</t>
  </si>
  <si>
    <t xml:space="preserve">Chất xử lý nguyên liệu làm giày </t>
  </si>
  <si>
    <t>VN-XULY</t>
  </si>
  <si>
    <t xml:space="preserve">Chất vệ sinh làm sạch bềmặt </t>
  </si>
  <si>
    <t>VN-LAMSACH</t>
  </si>
  <si>
    <t>138CM BLACK 1.0mm SHP170AD (V)</t>
  </si>
  <si>
    <t>44" WHITE 190D WOVEN LJ-C5+PU COATING (T)</t>
  </si>
  <si>
    <t>#3-3.5 0.83-0.97MM SPORTOE 35 1SL HH TV-067 (51% TPU RECYCLED) (T)</t>
  </si>
  <si>
    <t>11.5*5*5MM &amp; 11.5*6*3MM ALUMINIUM EYELET EC11550 &amp; EC11530C ANODIZED- CO-268 DULL SILVER (T)</t>
  </si>
  <si>
    <t>25HCON04-SD 32MM WHITE LABEL AND BLACK INK RIBBON (T)</t>
  </si>
  <si>
    <t>9.5CM VSC-56 DA8LH C5 P14 BTM-0 KENSIN N-ANTI- COLOR 580 /SILVER /COLOR 580 (T)</t>
  </si>
  <si>
    <t>47*82MM 20H002732-NS CONVERSE UPC LABEL (T)</t>
  </si>
  <si>
    <t>72MM*90M GOLD CONVERSE SEAL TAPE (V)</t>
  </si>
  <si>
    <t>44" LIGHT BLUE 5mm SMART FOAM(HARDNESS 29-37 ASKER C) (T)</t>
  </si>
  <si>
    <t>Keo nhan tao KBR-01</t>
  </si>
  <si>
    <t>BUTADIENE RUBBER SBR-1502 (OIA)</t>
  </si>
  <si>
    <t>Cao su SYNTHETIC RUBBER NIPOL IR2200 (OIA)</t>
  </si>
  <si>
    <t>Chat xuc tien SW-50GE/F150 (dang hat)</t>
  </si>
  <si>
    <t>Chat hoat tinh PEG</t>
  </si>
  <si>
    <t>Dau lammem NA-80</t>
  </si>
  <si>
    <t>Stearic acid</t>
  </si>
  <si>
    <t>Titan Dioxit CR-834</t>
  </si>
  <si>
    <t>WHITE SILICA ZC-185-MP</t>
  </si>
  <si>
    <t>ZINC OXIDE AZO-805 (POWDERY)</t>
  </si>
  <si>
    <t>Nhua thong CV-200AN</t>
  </si>
  <si>
    <t>ANTIOZONANT A08  (ANTIOXIDANT)</t>
  </si>
  <si>
    <t>Luu huynh khong hoa tan VULBOND IS-75 (Cosmos)</t>
  </si>
  <si>
    <t>Chat tro gia cong KASSEL 40/60 (dang hat nhuyen ) (SAP-PWK)</t>
  </si>
  <si>
    <t>46" BLACK 200G 100% RECYCLED CK MESH UNBACKED (V)</t>
  </si>
  <si>
    <t>44" WHITE 1.0mm CO-1044 NONWOVEN CO-44 (V)</t>
  </si>
  <si>
    <t>54" 0.8mm BLACK P344WMA EMBOSS CK20 PU(NON WOVEN SFDT02) (V)</t>
  </si>
  <si>
    <t>44" BLACK 200G 100% RECYCLED CK MESH +BLACK 2MM K329 FOAM +BLACK TRICOT +CEMENT (V)</t>
  </si>
  <si>
    <t>296*206*113MM(MM-1) PBX-30762-1-CB-B300 INNER BOX (V)</t>
  </si>
  <si>
    <t>SL-1-B300-MZ 12 PACK 662*482*329</t>
  </si>
  <si>
    <t>860*290MM WHITE PTS-20570-1-T08 TISSUE PAPER (V)</t>
  </si>
  <si>
    <t>Chat xuc tien S-80GE</t>
  </si>
  <si>
    <t>ZNO-80 (LONGHI)</t>
  </si>
  <si>
    <t>Keo hap tinh nuoc NA-054</t>
  </si>
  <si>
    <t>SVR 3L Natural Rubber (OIA)</t>
  </si>
  <si>
    <t>44" 0.8-1.0MM HYSOCK 16N (V)</t>
  </si>
  <si>
    <t>44" BLACK 50% RECYCLED 12OZ COTTON CANVAS (V)</t>
  </si>
  <si>
    <t>QC LABEL OF RED WORDS (V)</t>
  </si>
  <si>
    <t>BLACK 20/2 SP THREAD (V)</t>
  </si>
  <si>
    <t>50" 8mm CTV-EC048 RECYCLE POLY FLAT LACE/15MM PLASTIC TIP- WHITE /CLEAR (V)</t>
  </si>
  <si>
    <t>3mm CT07-W001 WEBBING- BLACK (V)</t>
  </si>
  <si>
    <t>Bot CACO3 (OMYCCARB IT)</t>
  </si>
  <si>
    <t>Chat phong lao CPL ( FOCUS SUCCES)</t>
  </si>
  <si>
    <t>Keo nong chayVNP-HM-533B(HM-533B)</t>
  </si>
  <si>
    <t>Chat lam sach VNP-NO.29CN (NO.29CN)</t>
  </si>
  <si>
    <t>Pham mau mau xanh R929</t>
  </si>
  <si>
    <t>297-1</t>
  </si>
  <si>
    <t>Chat tay rua VNP-25 (NP-25)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</si>
</sst>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0.000"/>
    <numFmt numFmtId="169" formatCode="#,##0.000"/>
    <numFmt numFmtId="170" formatCode="[$$-409]#,##0.00"/>
    <numFmt numFmtId="171" formatCode="[$-409]d\-mmm;@"/>
    <numFmt numFmtId="172" formatCode="0;[Red]0"/>
    <numFmt numFmtId="173" formatCode="0.0000"/>
    <numFmt numFmtId="174" formatCode="0.000000"/>
    <numFmt numFmtId="175" formatCode="#,##0.00_ "/>
    <numFmt numFmtId="176" formatCode="_(* #,##0.000000_);_(* \(#,##0.000000\);_(* &quot;-&quot;??_);_(@_)"/>
    <numFmt numFmtId="177" formatCode="0.0000000"/>
  </numFmts>
  <fonts count="10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Arial"/>
      <family val="2"/>
    </font>
    <font>
      <b/>
      <sz val="12"/>
      <color indexed="10"/>
      <name val="Arial"/>
      <family val="2"/>
    </font>
    <font>
      <sz val="11"/>
      <name val="Arial"/>
      <family val="2"/>
    </font>
    <font>
      <b/>
      <sz val="12"/>
      <color indexed="12"/>
      <name val="Arial"/>
      <family val="2"/>
    </font>
    <font>
      <b/>
      <sz val="14"/>
      <color indexed="10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12"/>
      <color indexed="12"/>
      <name val="Arial"/>
      <family val="2"/>
    </font>
    <font>
      <b/>
      <sz val="15"/>
      <color indexed="12"/>
      <name val="ARIAL"/>
      <family val="2"/>
    </font>
    <font>
      <sz val="16"/>
      <name val="Arial"/>
      <family val="2"/>
    </font>
    <font>
      <sz val="10"/>
      <name val="Verdana"/>
      <family val="2"/>
    </font>
    <font>
      <b/>
      <sz val="20"/>
      <name val="Arial"/>
      <family val="2"/>
    </font>
    <font>
      <b/>
      <sz val="22"/>
      <name val="Arial"/>
      <family val="2"/>
    </font>
    <font>
      <sz val="12"/>
      <name val="Verdana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sz val="12"/>
      <name val="新細明體"/>
      <family val="1"/>
      <charset val="136"/>
    </font>
    <font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VNI-Times"/>
    </font>
    <font>
      <sz val="10"/>
      <name val="VNI-Times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name val="VNI-Times"/>
    </font>
    <font>
      <b/>
      <sz val="14"/>
      <name val="Times New Roman"/>
      <family val="1"/>
    </font>
    <font>
      <sz val="10"/>
      <color indexed="8"/>
      <name val="ARIAL"/>
      <family val="2"/>
    </font>
    <font>
      <sz val="11"/>
      <color rgb="FFFF0000"/>
      <name val="Arial"/>
      <family val="2"/>
    </font>
    <font>
      <b/>
      <sz val="13"/>
      <color rgb="FFFF0000"/>
      <name val="Times New Roman"/>
      <family val="1"/>
    </font>
    <font>
      <b/>
      <sz val="12"/>
      <color rgb="FF0000FF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8"/>
      <name val="VNI-Times"/>
    </font>
    <font>
      <sz val="9"/>
      <name val="Times New Roman"/>
      <family val="1"/>
    </font>
    <font>
      <sz val="12"/>
      <color indexed="8"/>
      <name val="Times New Roman"/>
      <family val="1"/>
    </font>
    <font>
      <b/>
      <sz val="9"/>
      <name val="VNI-Times"/>
    </font>
    <font>
      <sz val="12"/>
      <color rgb="FF0000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FF0000"/>
      <name val="Times New Roman"/>
      <family val="1"/>
    </font>
    <font>
      <u/>
      <sz val="12"/>
      <color rgb="FFFF0000"/>
      <name val="Times New Roman"/>
      <family val="1"/>
    </font>
    <font>
      <sz val="12"/>
      <color rgb="FF0070C0"/>
      <name val="Times New Roman"/>
      <family val="1"/>
    </font>
    <font>
      <sz val="10"/>
      <color rgb="FF0000FF"/>
      <name val="Times New Roman"/>
      <family val="1"/>
    </font>
    <font>
      <sz val="12"/>
      <color indexed="8"/>
      <name val="????"/>
      <charset val="136"/>
    </font>
    <font>
      <sz val="12"/>
      <color indexed="8"/>
      <name val="????"/>
      <charset val="134"/>
    </font>
    <font>
      <sz val="12"/>
      <name val="新細明體"/>
      <family val="1"/>
      <charset val="134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theme="1"/>
      <name val="Calibri"/>
      <family val="2"/>
      <charset val="136"/>
      <scheme val="minor"/>
    </font>
    <font>
      <sz val="1"/>
      <color indexed="60"/>
      <name val="Calibri"/>
      <family val="2"/>
    </font>
    <font>
      <sz val="11"/>
      <color theme="1"/>
      <name val="Calibri"/>
      <family val="1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0"/>
      <color indexed="8"/>
      <name val="??_GB2312"/>
      <charset val="134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172">
    <xf numFmtId="0" fontId="0" fillId="0" borderId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5" fillId="3" borderId="0" applyNumberFormat="0" applyBorder="0" applyAlignment="0" applyProtection="0"/>
    <xf numFmtId="0" fontId="26" fillId="20" borderId="1" applyNumberFormat="0" applyAlignment="0" applyProtection="0"/>
    <xf numFmtId="0" fontId="27" fillId="21" borderId="2" applyNumberFormat="0" applyAlignment="0" applyProtection="0"/>
    <xf numFmtId="165" fontId="7" fillId="0" borderId="0" applyFont="0" applyFill="0" applyBorder="0" applyAlignment="0" applyProtection="0">
      <alignment vertical="center"/>
    </xf>
    <xf numFmtId="165" fontId="40" fillId="0" borderId="0" applyFont="0" applyFill="0" applyBorder="0" applyAlignment="0" applyProtection="0"/>
    <xf numFmtId="167" fontId="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30" fillId="0" borderId="3" applyNumberFormat="0" applyFill="0" applyAlignment="0" applyProtection="0"/>
    <xf numFmtId="0" fontId="31" fillId="0" borderId="4" applyNumberFormat="0" applyFill="0" applyAlignment="0" applyProtection="0"/>
    <xf numFmtId="0" fontId="32" fillId="0" borderId="5" applyNumberFormat="0" applyFill="0" applyAlignment="0" applyProtection="0"/>
    <xf numFmtId="0" fontId="32" fillId="0" borderId="0" applyNumberFormat="0" applyFill="0" applyBorder="0" applyAlignment="0" applyProtection="0"/>
    <xf numFmtId="0" fontId="33" fillId="7" borderId="1" applyNumberFormat="0" applyAlignment="0" applyProtection="0"/>
    <xf numFmtId="0" fontId="34" fillId="0" borderId="6" applyNumberFormat="0" applyFill="0" applyAlignment="0" applyProtection="0"/>
    <xf numFmtId="0" fontId="35" fillId="22" borderId="0" applyNumberFormat="0" applyBorder="0" applyAlignment="0" applyProtection="0"/>
    <xf numFmtId="0" fontId="7" fillId="0" borderId="0" applyProtection="0"/>
    <xf numFmtId="0" fontId="7" fillId="0" borderId="0" applyProtection="0"/>
    <xf numFmtId="170" fontId="7" fillId="0" borderId="0" applyProtection="0"/>
    <xf numFmtId="170" fontId="7" fillId="0" borderId="0" applyProtection="0"/>
    <xf numFmtId="170" fontId="42" fillId="0" borderId="0" applyProtection="0"/>
    <xf numFmtId="0" fontId="44" fillId="0" borderId="0"/>
    <xf numFmtId="170" fontId="7" fillId="0" borderId="0" applyProtection="0"/>
    <xf numFmtId="0" fontId="40" fillId="0" borderId="0"/>
    <xf numFmtId="170" fontId="7" fillId="0" borderId="0" applyProtection="0"/>
    <xf numFmtId="170" fontId="42" fillId="0" borderId="0" applyProtection="0"/>
    <xf numFmtId="0" fontId="44" fillId="0" borderId="0"/>
    <xf numFmtId="170" fontId="7" fillId="0" borderId="0" applyProtection="0"/>
    <xf numFmtId="170" fontId="7" fillId="0" borderId="0" applyProtection="0"/>
    <xf numFmtId="170" fontId="7" fillId="0" borderId="0" applyProtection="0"/>
    <xf numFmtId="170" fontId="42" fillId="0" borderId="0" applyProtection="0"/>
    <xf numFmtId="170" fontId="42" fillId="0" borderId="0" applyProtection="0"/>
    <xf numFmtId="170" fontId="42" fillId="0" borderId="0" applyProtection="0"/>
    <xf numFmtId="170" fontId="7" fillId="0" borderId="0" applyProtection="0"/>
    <xf numFmtId="170" fontId="7" fillId="0" borderId="0" applyProtection="0"/>
    <xf numFmtId="0" fontId="23" fillId="23" borderId="7" applyNumberFormat="0" applyFont="0" applyAlignment="0" applyProtection="0"/>
    <xf numFmtId="0" fontId="36" fillId="20" borderId="8" applyNumberFormat="0" applyAlignment="0" applyProtection="0"/>
    <xf numFmtId="0" fontId="7" fillId="0" borderId="0" applyProtection="0"/>
    <xf numFmtId="0" fontId="37" fillId="0" borderId="0" applyNumberFormat="0" applyFill="0" applyBorder="0" applyAlignment="0" applyProtection="0"/>
    <xf numFmtId="0" fontId="38" fillId="0" borderId="9" applyNumberFormat="0" applyFill="0" applyAlignment="0" applyProtection="0"/>
    <xf numFmtId="166" fontId="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5" fontId="23" fillId="0" borderId="0" applyFont="0" applyFill="0" applyBorder="0" applyAlignment="0" applyProtection="0"/>
    <xf numFmtId="0" fontId="2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50" fillId="0" borderId="0"/>
    <xf numFmtId="0" fontId="7" fillId="0" borderId="0" applyProtection="0"/>
    <xf numFmtId="0" fontId="7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68" fillId="0" borderId="0"/>
    <xf numFmtId="0" fontId="50" fillId="0" borderId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68" fillId="0" borderId="0"/>
    <xf numFmtId="0" fontId="50" fillId="0" borderId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9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" fillId="0" borderId="0" applyProtection="0"/>
    <xf numFmtId="0" fontId="80" fillId="2" borderId="0" applyNumberFormat="0" applyBorder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center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2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77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" fillId="0" borderId="0"/>
    <xf numFmtId="0" fontId="2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7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7" fillId="0" borderId="0" applyProtection="0"/>
    <xf numFmtId="9" fontId="77" fillId="0" borderId="0" applyFont="0" applyFill="0" applyBorder="0" applyAlignment="0" applyProtection="0">
      <alignment vertical="center"/>
    </xf>
    <xf numFmtId="0" fontId="79" fillId="0" borderId="0" applyProtection="0"/>
    <xf numFmtId="0" fontId="2" fillId="0" borderId="0"/>
    <xf numFmtId="0" fontId="2" fillId="0" borderId="0"/>
    <xf numFmtId="0" fontId="85" fillId="22" borderId="0" applyNumberFormat="0" applyBorder="0" applyAlignment="0" applyProtection="0">
      <alignment vertical="center"/>
    </xf>
    <xf numFmtId="0" fontId="80" fillId="23" borderId="7" applyNumberFormat="0" applyFont="0" applyAlignment="0" applyProtection="0">
      <alignment vertical="center"/>
    </xf>
    <xf numFmtId="0" fontId="86" fillId="0" borderId="9" applyNumberFormat="0" applyFill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9" fillId="0" borderId="0"/>
    <xf numFmtId="0" fontId="90" fillId="0" borderId="0" applyNumberFormat="0" applyFill="0" applyBorder="0" applyAlignment="0" applyProtection="0">
      <alignment vertical="center"/>
    </xf>
    <xf numFmtId="0" fontId="91" fillId="0" borderId="3" applyNumberFormat="0" applyFill="0" applyAlignment="0" applyProtection="0">
      <alignment vertical="center"/>
    </xf>
    <xf numFmtId="0" fontId="92" fillId="0" borderId="4" applyNumberFormat="0" applyFill="0" applyAlignment="0" applyProtection="0">
      <alignment vertical="center"/>
    </xf>
    <xf numFmtId="0" fontId="93" fillId="0" borderId="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" fillId="0" borderId="0" applyProtection="0"/>
    <xf numFmtId="0" fontId="94" fillId="21" borderId="2" applyNumberFormat="0" applyAlignment="0" applyProtection="0">
      <alignment vertical="center"/>
    </xf>
    <xf numFmtId="0" fontId="95" fillId="20" borderId="1" applyNumberForma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98" fillId="7" borderId="1" applyNumberFormat="0" applyAlignment="0" applyProtection="0">
      <alignment vertical="center"/>
    </xf>
    <xf numFmtId="0" fontId="99" fillId="20" borderId="8" applyNumberFormat="0" applyAlignment="0" applyProtection="0">
      <alignment vertical="center"/>
    </xf>
    <xf numFmtId="0" fontId="100" fillId="0" borderId="6" applyNumberFormat="0" applyFill="0" applyAlignment="0" applyProtection="0">
      <alignment vertical="center"/>
    </xf>
  </cellStyleXfs>
  <cellXfs count="259">
    <xf numFmtId="0" fontId="0" fillId="0" borderId="0" xfId="0"/>
    <xf numFmtId="0" fontId="0" fillId="0" borderId="0" xfId="0" applyBorder="1"/>
    <xf numFmtId="0" fontId="4" fillId="0" borderId="0" xfId="0" applyFont="1"/>
    <xf numFmtId="0" fontId="8" fillId="0" borderId="0" xfId="0" applyFont="1"/>
    <xf numFmtId="0" fontId="3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3" fontId="9" fillId="24" borderId="14" xfId="0" applyNumberFormat="1" applyFont="1" applyFill="1" applyBorder="1" applyAlignment="1">
      <alignment horizontal="center"/>
    </xf>
    <xf numFmtId="0" fontId="7" fillId="25" borderId="0" xfId="0" applyFont="1" applyFill="1" applyBorder="1"/>
    <xf numFmtId="0" fontId="7" fillId="24" borderId="11" xfId="0" applyFont="1" applyFill="1" applyBorder="1"/>
    <xf numFmtId="0" fontId="10" fillId="0" borderId="15" xfId="0" applyFont="1" applyBorder="1"/>
    <xf numFmtId="0" fontId="11" fillId="0" borderId="0" xfId="0" applyFont="1"/>
    <xf numFmtId="0" fontId="13" fillId="0" borderId="0" xfId="0" applyFont="1" applyAlignment="1">
      <alignment horizontal="center"/>
    </xf>
    <xf numFmtId="0" fontId="3" fillId="0" borderId="16" xfId="0" applyFont="1" applyBorder="1"/>
    <xf numFmtId="0" fontId="15" fillId="0" borderId="17" xfId="0" applyFont="1" applyBorder="1"/>
    <xf numFmtId="0" fontId="15" fillId="0" borderId="15" xfId="0" applyFont="1" applyBorder="1"/>
    <xf numFmtId="0" fontId="14" fillId="0" borderId="0" xfId="0" applyFont="1" applyAlignment="1">
      <alignment horizontal="center"/>
    </xf>
    <xf numFmtId="0" fontId="7" fillId="0" borderId="0" xfId="0" applyFont="1" applyBorder="1"/>
    <xf numFmtId="0" fontId="7" fillId="24" borderId="14" xfId="0" applyFont="1" applyFill="1" applyBorder="1"/>
    <xf numFmtId="0" fontId="17" fillId="0" borderId="0" xfId="0" applyFont="1" applyFill="1"/>
    <xf numFmtId="0" fontId="18" fillId="0" borderId="0" xfId="0" applyFont="1"/>
    <xf numFmtId="0" fontId="2" fillId="0" borderId="0" xfId="0" applyFont="1"/>
    <xf numFmtId="0" fontId="2" fillId="0" borderId="18" xfId="0" applyFont="1" applyBorder="1"/>
    <xf numFmtId="0" fontId="2" fillId="0" borderId="0" xfId="0" applyFont="1" applyBorder="1"/>
    <xf numFmtId="0" fontId="2" fillId="0" borderId="16" xfId="0" applyFont="1" applyBorder="1"/>
    <xf numFmtId="0" fontId="2" fillId="0" borderId="10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0" xfId="0" applyFont="1" applyAlignment="1">
      <alignment horizontal="center"/>
    </xf>
    <xf numFmtId="0" fontId="7" fillId="0" borderId="14" xfId="0" applyFont="1" applyFill="1" applyBorder="1"/>
    <xf numFmtId="169" fontId="9" fillId="2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7" fillId="0" borderId="15" xfId="0" applyFont="1" applyFill="1" applyBorder="1"/>
    <xf numFmtId="0" fontId="7" fillId="0" borderId="19" xfId="0" applyFont="1" applyFill="1" applyBorder="1"/>
    <xf numFmtId="0" fontId="3" fillId="0" borderId="0" xfId="0" applyFont="1" applyBorder="1"/>
    <xf numFmtId="0" fontId="3" fillId="0" borderId="0" xfId="0" applyFont="1" applyFill="1" applyBorder="1" applyAlignment="1">
      <alignment horizontal="center" wrapText="1"/>
    </xf>
    <xf numFmtId="0" fontId="21" fillId="26" borderId="0" xfId="0" applyFont="1" applyFill="1"/>
    <xf numFmtId="0" fontId="6" fillId="26" borderId="0" xfId="0" applyFont="1" applyFill="1" applyBorder="1"/>
    <xf numFmtId="171" fontId="9" fillId="24" borderId="14" xfId="0" applyNumberFormat="1" applyFont="1" applyFill="1" applyBorder="1" applyAlignment="1">
      <alignment horizontal="center"/>
    </xf>
    <xf numFmtId="170" fontId="6" fillId="0" borderId="11" xfId="0" applyNumberFormat="1" applyFont="1" applyFill="1" applyBorder="1" applyAlignment="1">
      <alignment horizontal="center" vertical="center"/>
    </xf>
    <xf numFmtId="170" fontId="10" fillId="0" borderId="14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2" fontId="10" fillId="0" borderId="14" xfId="0" applyNumberFormat="1" applyFont="1" applyFill="1" applyBorder="1" applyAlignment="1">
      <alignment horizontal="center" vertical="center"/>
    </xf>
    <xf numFmtId="1" fontId="10" fillId="0" borderId="14" xfId="0" applyNumberFormat="1" applyFont="1" applyFill="1" applyBorder="1" applyAlignment="1">
      <alignment horizontal="center" vertical="center"/>
    </xf>
    <xf numFmtId="168" fontId="10" fillId="0" borderId="14" xfId="0" applyNumberFormat="1" applyFont="1" applyFill="1" applyBorder="1" applyAlignment="1">
      <alignment horizontal="center" vertical="center"/>
    </xf>
    <xf numFmtId="170" fontId="6" fillId="0" borderId="14" xfId="0" applyNumberFormat="1" applyFont="1" applyFill="1" applyBorder="1" applyAlignment="1">
      <alignment vertical="center"/>
    </xf>
    <xf numFmtId="0" fontId="6" fillId="0" borderId="0" xfId="0" applyFont="1"/>
    <xf numFmtId="16" fontId="0" fillId="0" borderId="0" xfId="0" applyNumberFormat="1"/>
    <xf numFmtId="0" fontId="6" fillId="0" borderId="0" xfId="0" applyFont="1" applyAlignment="1">
      <alignment horizontal="center"/>
    </xf>
    <xf numFmtId="4" fontId="9" fillId="24" borderId="14" xfId="0" applyNumberFormat="1" applyFont="1" applyFill="1" applyBorder="1" applyAlignment="1">
      <alignment horizontal="center"/>
    </xf>
    <xf numFmtId="170" fontId="6" fillId="0" borderId="14" xfId="0" applyNumberFormat="1" applyFont="1" applyFill="1" applyBorder="1" applyAlignment="1">
      <alignment horizontal="center" vertical="center"/>
    </xf>
    <xf numFmtId="170" fontId="3" fillId="27" borderId="11" xfId="40" applyNumberFormat="1" applyFont="1" applyFill="1" applyBorder="1" applyAlignment="1">
      <alignment horizontal="center" vertical="center"/>
    </xf>
    <xf numFmtId="0" fontId="5" fillId="0" borderId="0" xfId="0" applyFont="1"/>
    <xf numFmtId="0" fontId="41" fillId="24" borderId="11" xfId="0" applyFont="1" applyFill="1" applyBorder="1" applyAlignment="1">
      <alignment horizontal="center" wrapText="1"/>
    </xf>
    <xf numFmtId="0" fontId="22" fillId="0" borderId="15" xfId="0" applyFont="1" applyBorder="1"/>
    <xf numFmtId="0" fontId="8" fillId="0" borderId="14" xfId="0" applyFont="1" applyFill="1" applyBorder="1" applyAlignment="1">
      <alignment horizontal="center"/>
    </xf>
    <xf numFmtId="170" fontId="6" fillId="0" borderId="11" xfId="42" applyNumberFormat="1" applyFont="1" applyFill="1" applyBorder="1" applyAlignment="1">
      <alignment horizontal="center" vertical="center"/>
    </xf>
    <xf numFmtId="172" fontId="3" fillId="0" borderId="11" xfId="42" applyNumberFormat="1" applyFont="1" applyFill="1" applyBorder="1" applyAlignment="1">
      <alignment horizontal="center" vertical="center"/>
    </xf>
    <xf numFmtId="1" fontId="3" fillId="0" borderId="11" xfId="42" applyNumberFormat="1" applyFont="1" applyFill="1" applyBorder="1" applyAlignment="1">
      <alignment horizontal="center" vertical="center"/>
    </xf>
    <xf numFmtId="168" fontId="3" fillId="0" borderId="11" xfId="42" applyNumberFormat="1" applyFont="1" applyFill="1" applyBorder="1" applyAlignment="1">
      <alignment horizontal="center" vertical="center"/>
    </xf>
    <xf numFmtId="2" fontId="6" fillId="0" borderId="11" xfId="42" applyNumberFormat="1" applyFont="1" applyFill="1" applyBorder="1" applyAlignment="1">
      <alignment horizontal="center" vertical="center"/>
    </xf>
    <xf numFmtId="172" fontId="5" fillId="0" borderId="11" xfId="42" applyNumberFormat="1" applyFont="1" applyFill="1" applyBorder="1" applyAlignment="1">
      <alignment horizontal="center" vertical="center"/>
    </xf>
    <xf numFmtId="0" fontId="2" fillId="28" borderId="0" xfId="0" applyFont="1" applyFill="1" applyBorder="1"/>
    <xf numFmtId="0" fontId="45" fillId="28" borderId="15" xfId="0" applyFont="1" applyFill="1" applyBorder="1"/>
    <xf numFmtId="171" fontId="6" fillId="0" borderId="11" xfId="42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/>
    </xf>
    <xf numFmtId="16" fontId="7" fillId="25" borderId="15" xfId="0" applyNumberFormat="1" applyFont="1" applyFill="1" applyBorder="1"/>
    <xf numFmtId="170" fontId="6" fillId="0" borderId="11" xfId="44" applyFont="1" applyFill="1" applyBorder="1" applyAlignment="1">
      <alignment horizontal="center" vertical="center"/>
    </xf>
    <xf numFmtId="0" fontId="8" fillId="0" borderId="11" xfId="28" applyNumberFormat="1" applyFont="1" applyFill="1" applyBorder="1" applyAlignment="1">
      <alignment horizontal="center" vertical="center"/>
    </xf>
    <xf numFmtId="172" fontId="3" fillId="29" borderId="11" xfId="42" applyNumberFormat="1" applyFont="1" applyFill="1" applyBorder="1" applyAlignment="1">
      <alignment horizontal="center" vertical="center"/>
    </xf>
    <xf numFmtId="170" fontId="6" fillId="0" borderId="11" xfId="58" applyFont="1" applyFill="1" applyBorder="1" applyAlignment="1">
      <alignment horizontal="center" vertical="center"/>
    </xf>
    <xf numFmtId="170" fontId="8" fillId="0" borderId="11" xfId="58" applyFont="1" applyFill="1" applyBorder="1" applyAlignment="1">
      <alignment horizontal="center" vertical="center"/>
    </xf>
    <xf numFmtId="168" fontId="8" fillId="0" borderId="11" xfId="28" applyNumberFormat="1" applyFont="1" applyFill="1" applyBorder="1" applyAlignment="1">
      <alignment horizontal="center" vertical="center"/>
    </xf>
    <xf numFmtId="2" fontId="8" fillId="0" borderId="11" xfId="28" applyNumberFormat="1" applyFont="1" applyFill="1" applyBorder="1" applyAlignment="1">
      <alignment horizontal="center" vertical="center"/>
    </xf>
    <xf numFmtId="170" fontId="8" fillId="0" borderId="11" xfId="42" applyNumberFormat="1" applyFont="1" applyFill="1" applyBorder="1" applyAlignment="1">
      <alignment horizontal="center" vertical="center"/>
    </xf>
    <xf numFmtId="1" fontId="5" fillId="0" borderId="11" xfId="42" applyNumberFormat="1" applyFont="1" applyFill="1" applyBorder="1" applyAlignment="1">
      <alignment horizontal="center" vertical="center"/>
    </xf>
    <xf numFmtId="168" fontId="5" fillId="0" borderId="11" xfId="42" applyNumberFormat="1" applyFont="1" applyFill="1" applyBorder="1" applyAlignment="1">
      <alignment horizontal="center" vertical="center"/>
    </xf>
    <xf numFmtId="2" fontId="8" fillId="0" borderId="11" xfId="42" applyNumberFormat="1" applyFont="1" applyFill="1" applyBorder="1" applyAlignment="1">
      <alignment horizontal="center" vertical="center"/>
    </xf>
    <xf numFmtId="0" fontId="9" fillId="24" borderId="13" xfId="0" applyFont="1" applyFill="1" applyBorder="1" applyAlignment="1">
      <alignment horizontal="center"/>
    </xf>
    <xf numFmtId="0" fontId="3" fillId="0" borderId="18" xfId="0" applyFont="1" applyBorder="1"/>
    <xf numFmtId="0" fontId="8" fillId="0" borderId="19" xfId="28" applyNumberFormat="1" applyFont="1" applyFill="1" applyBorder="1" applyAlignment="1">
      <alignment horizontal="center" vertical="center"/>
    </xf>
    <xf numFmtId="172" fontId="5" fillId="0" borderId="19" xfId="42" applyNumberFormat="1" applyFont="1" applyFill="1" applyBorder="1" applyAlignment="1">
      <alignment horizontal="center" vertical="center"/>
    </xf>
    <xf numFmtId="172" fontId="3" fillId="0" borderId="14" xfId="42" applyNumberFormat="1" applyFont="1" applyFill="1" applyBorder="1" applyAlignment="1">
      <alignment horizontal="center" vertical="center"/>
    </xf>
    <xf numFmtId="0" fontId="46" fillId="0" borderId="0" xfId="0" applyFont="1"/>
    <xf numFmtId="0" fontId="48" fillId="0" borderId="0" xfId="66" applyFont="1" applyFill="1"/>
    <xf numFmtId="0" fontId="49" fillId="0" borderId="0" xfId="66" applyFont="1" applyFill="1"/>
    <xf numFmtId="0" fontId="49" fillId="0" borderId="0" xfId="66" applyFont="1" applyFill="1" applyAlignment="1">
      <alignment horizontal="left"/>
    </xf>
    <xf numFmtId="0" fontId="48" fillId="0" borderId="0" xfId="67" applyFont="1" applyFill="1" applyAlignment="1">
      <alignment horizontal="center" vertical="center"/>
    </xf>
    <xf numFmtId="0" fontId="50" fillId="0" borderId="0" xfId="67" applyFont="1" applyFill="1" applyBorder="1" applyAlignment="1">
      <alignment horizontal="center" vertical="center"/>
    </xf>
    <xf numFmtId="2" fontId="51" fillId="0" borderId="0" xfId="68" applyNumberFormat="1" applyFont="1" applyFill="1" applyBorder="1" applyAlignment="1">
      <alignment horizontal="center"/>
    </xf>
    <xf numFmtId="0" fontId="50" fillId="0" borderId="0" xfId="67" applyFont="1" applyFill="1" applyBorder="1"/>
    <xf numFmtId="0" fontId="52" fillId="0" borderId="0" xfId="67" applyFont="1" applyFill="1" applyBorder="1"/>
    <xf numFmtId="0" fontId="52" fillId="0" borderId="0" xfId="69" applyFont="1" applyFill="1" applyBorder="1"/>
    <xf numFmtId="0" fontId="50" fillId="0" borderId="0" xfId="69" applyFont="1" applyFill="1" applyBorder="1"/>
    <xf numFmtId="0" fontId="50" fillId="0" borderId="0" xfId="69" applyFont="1" applyFill="1"/>
    <xf numFmtId="0" fontId="53" fillId="0" borderId="0" xfId="70" applyFont="1" applyFill="1" applyAlignment="1">
      <alignment vertical="center"/>
    </xf>
    <xf numFmtId="0" fontId="50" fillId="0" borderId="0" xfId="67" applyFont="1" applyFill="1"/>
    <xf numFmtId="0" fontId="51" fillId="0" borderId="0" xfId="72" applyFont="1" applyFill="1" applyBorder="1" applyAlignment="1">
      <alignment horizontal="center"/>
    </xf>
    <xf numFmtId="0" fontId="52" fillId="0" borderId="0" xfId="71" applyFont="1" applyFill="1" applyBorder="1" applyAlignment="1">
      <alignment horizontal="center" vertical="center" wrapText="1"/>
    </xf>
    <xf numFmtId="0" fontId="50" fillId="0" borderId="0" xfId="71" applyFont="1" applyFill="1" applyBorder="1" applyAlignment="1">
      <alignment horizontal="center" vertical="center" wrapText="1"/>
    </xf>
    <xf numFmtId="0" fontId="51" fillId="0" borderId="0" xfId="66" applyFont="1" applyFill="1" applyBorder="1" applyAlignment="1">
      <alignment horizontal="center"/>
    </xf>
    <xf numFmtId="2" fontId="50" fillId="0" borderId="0" xfId="68" applyNumberFormat="1" applyFont="1" applyFill="1" applyBorder="1" applyAlignment="1">
      <alignment horizontal="center" vertical="center"/>
    </xf>
    <xf numFmtId="0" fontId="50" fillId="0" borderId="0" xfId="68" applyFont="1" applyFill="1" applyBorder="1" applyAlignment="1">
      <alignment horizontal="center" vertical="center"/>
    </xf>
    <xf numFmtId="173" fontId="52" fillId="0" borderId="0" xfId="73" applyNumberFormat="1" applyFont="1" applyFill="1" applyBorder="1"/>
    <xf numFmtId="1" fontId="50" fillId="0" borderId="0" xfId="74" applyNumberFormat="1" applyFont="1" applyFill="1" applyBorder="1" applyAlignment="1">
      <alignment horizontal="right"/>
    </xf>
    <xf numFmtId="173" fontId="50" fillId="0" borderId="0" xfId="73" applyNumberFormat="1" applyFont="1" applyFill="1" applyBorder="1"/>
    <xf numFmtId="174" fontId="50" fillId="0" borderId="0" xfId="73" applyNumberFormat="1" applyFont="1" applyFill="1" applyBorder="1" applyAlignment="1">
      <alignment vertical="center"/>
    </xf>
    <xf numFmtId="174" fontId="50" fillId="0" borderId="0" xfId="67" applyNumberFormat="1" applyFont="1" applyFill="1" applyBorder="1"/>
    <xf numFmtId="174" fontId="50" fillId="0" borderId="0" xfId="67" applyNumberFormat="1" applyFont="1" applyFill="1"/>
    <xf numFmtId="0" fontId="51" fillId="0" borderId="0" xfId="75" applyFont="1" applyFill="1" applyAlignment="1"/>
    <xf numFmtId="0" fontId="50" fillId="0" borderId="0" xfId="67" applyFont="1" applyFill="1" applyAlignment="1">
      <alignment horizontal="center"/>
    </xf>
    <xf numFmtId="0" fontId="53" fillId="0" borderId="0" xfId="76" applyFont="1" applyFill="1" applyAlignment="1">
      <alignment horizontal="left"/>
    </xf>
    <xf numFmtId="0" fontId="53" fillId="0" borderId="0" xfId="76" applyFont="1" applyFill="1" applyAlignment="1"/>
    <xf numFmtId="0" fontId="51" fillId="0" borderId="0" xfId="77" applyFont="1" applyFill="1"/>
    <xf numFmtId="0" fontId="51" fillId="0" borderId="0" xfId="76" applyFont="1" applyFill="1" applyBorder="1" applyAlignment="1"/>
    <xf numFmtId="173" fontId="50" fillId="0" borderId="0" xfId="74" applyNumberFormat="1" applyFont="1" applyFill="1" applyBorder="1" applyAlignment="1">
      <alignment horizontal="right"/>
    </xf>
    <xf numFmtId="0" fontId="49" fillId="0" borderId="0" xfId="66" applyFont="1" applyFill="1" applyAlignment="1">
      <alignment horizontal="center"/>
    </xf>
    <xf numFmtId="0" fontId="49" fillId="0" borderId="0" xfId="66" applyFont="1" applyFill="1" applyAlignment="1">
      <alignment horizontal="centerContinuous"/>
    </xf>
    <xf numFmtId="9" fontId="49" fillId="0" borderId="0" xfId="66" applyNumberFormat="1" applyFont="1" applyFill="1" applyAlignment="1">
      <alignment horizontal="centerContinuous"/>
    </xf>
    <xf numFmtId="0" fontId="56" fillId="0" borderId="0" xfId="78" applyFont="1" applyFill="1" applyBorder="1" applyAlignment="1">
      <alignment horizontal="center" vertical="center"/>
    </xf>
    <xf numFmtId="0" fontId="10" fillId="0" borderId="0" xfId="78" applyFont="1" applyFill="1" applyBorder="1" applyAlignment="1">
      <alignment horizontal="center" vertical="center"/>
    </xf>
    <xf numFmtId="0" fontId="57" fillId="0" borderId="0" xfId="79" applyFont="1" applyFill="1" applyBorder="1" applyAlignment="1"/>
    <xf numFmtId="173" fontId="50" fillId="0" borderId="0" xfId="67" applyNumberFormat="1" applyFont="1" applyFill="1" applyBorder="1" applyAlignment="1">
      <alignment horizontal="right"/>
    </xf>
    <xf numFmtId="0" fontId="58" fillId="0" borderId="0" xfId="77" applyFont="1" applyFill="1"/>
    <xf numFmtId="0" fontId="49" fillId="0" borderId="0" xfId="67" applyFont="1" applyFill="1" applyAlignment="1">
      <alignment horizontal="left"/>
    </xf>
    <xf numFmtId="0" fontId="49" fillId="0" borderId="0" xfId="67" applyFont="1" applyFill="1"/>
    <xf numFmtId="9" fontId="48" fillId="0" borderId="0" xfId="67" applyNumberFormat="1" applyFont="1" applyFill="1"/>
    <xf numFmtId="9" fontId="50" fillId="0" borderId="0" xfId="67" applyNumberFormat="1" applyFont="1" applyFill="1"/>
    <xf numFmtId="9" fontId="50" fillId="0" borderId="0" xfId="67" applyNumberFormat="1" applyFont="1" applyFill="1" applyBorder="1"/>
    <xf numFmtId="2" fontId="50" fillId="0" borderId="0" xfId="67" applyNumberFormat="1" applyFont="1" applyFill="1" applyBorder="1" applyAlignment="1">
      <alignment horizontal="center"/>
    </xf>
    <xf numFmtId="1" fontId="50" fillId="0" borderId="0" xfId="67" applyNumberFormat="1" applyFont="1" applyFill="1" applyBorder="1" applyAlignment="1">
      <alignment horizontal="center"/>
    </xf>
    <xf numFmtId="1" fontId="50" fillId="0" borderId="0" xfId="67" applyNumberFormat="1" applyFont="1" applyFill="1" applyBorder="1"/>
    <xf numFmtId="0" fontId="50" fillId="0" borderId="0" xfId="68" applyFont="1" applyFill="1" applyBorder="1"/>
    <xf numFmtId="0" fontId="50" fillId="0" borderId="0" xfId="68" applyFont="1" applyFill="1"/>
    <xf numFmtId="0" fontId="59" fillId="0" borderId="0" xfId="79" applyFont="1" applyFill="1" applyAlignment="1"/>
    <xf numFmtId="0" fontId="49" fillId="0" borderId="0" xfId="71" applyFont="1" applyFill="1"/>
    <xf numFmtId="0" fontId="60" fillId="30" borderId="0" xfId="67" applyFont="1" applyFill="1"/>
    <xf numFmtId="0" fontId="50" fillId="30" borderId="0" xfId="67" applyNumberFormat="1" applyFont="1" applyFill="1"/>
    <xf numFmtId="49" fontId="50" fillId="0" borderId="0" xfId="66" applyNumberFormat="1" applyFont="1" applyFill="1" applyBorder="1"/>
    <xf numFmtId="2" fontId="50" fillId="0" borderId="0" xfId="68" applyNumberFormat="1" applyFont="1" applyFill="1" applyBorder="1" applyAlignment="1">
      <alignment horizontal="center"/>
    </xf>
    <xf numFmtId="175" fontId="51" fillId="0" borderId="0" xfId="70" applyNumberFormat="1" applyFont="1" applyFill="1" applyBorder="1" applyAlignment="1">
      <alignment horizontal="left" vertical="center" wrapText="1"/>
    </xf>
    <xf numFmtId="0" fontId="52" fillId="0" borderId="0" xfId="68" applyFont="1" applyFill="1" applyBorder="1"/>
    <xf numFmtId="2" fontId="51" fillId="0" borderId="0" xfId="66" applyNumberFormat="1" applyFont="1" applyFill="1"/>
    <xf numFmtId="0" fontId="50" fillId="0" borderId="0" xfId="81" applyFont="1" applyFill="1"/>
    <xf numFmtId="0" fontId="63" fillId="0" borderId="11" xfId="82" applyFont="1" applyBorder="1" applyAlignment="1">
      <alignment horizontal="center"/>
    </xf>
    <xf numFmtId="174" fontId="64" fillId="0" borderId="11" xfId="73" applyNumberFormat="1" applyFont="1" applyFill="1" applyBorder="1" applyAlignment="1">
      <alignment horizontal="center"/>
    </xf>
    <xf numFmtId="174" fontId="50" fillId="0" borderId="11" xfId="67" applyNumberFormat="1" applyFont="1" applyFill="1" applyBorder="1" applyAlignment="1">
      <alignment horizontal="center"/>
    </xf>
    <xf numFmtId="174" fontId="65" fillId="0" borderId="11" xfId="67" applyNumberFormat="1" applyFont="1" applyFill="1" applyBorder="1" applyAlignment="1">
      <alignment horizontal="center"/>
    </xf>
    <xf numFmtId="174" fontId="64" fillId="0" borderId="11" xfId="67" applyNumberFormat="1" applyFont="1" applyFill="1" applyBorder="1" applyAlignment="1">
      <alignment horizontal="center"/>
    </xf>
    <xf numFmtId="0" fontId="50" fillId="0" borderId="11" xfId="67" applyFont="1" applyFill="1" applyBorder="1"/>
    <xf numFmtId="174" fontId="66" fillId="0" borderId="11" xfId="67" applyNumberFormat="1" applyFont="1" applyFill="1" applyBorder="1" applyAlignment="1">
      <alignment horizontal="center" vertical="center"/>
    </xf>
    <xf numFmtId="174" fontId="65" fillId="0" borderId="11" xfId="67" applyNumberFormat="1" applyFont="1" applyFill="1" applyBorder="1" applyAlignment="1">
      <alignment horizontal="right" vertical="center"/>
    </xf>
    <xf numFmtId="0" fontId="50" fillId="0" borderId="11" xfId="68" applyFont="1" applyFill="1" applyBorder="1"/>
    <xf numFmtId="176" fontId="0" fillId="0" borderId="11" xfId="83" applyNumberFormat="1" applyFont="1" applyFill="1" applyBorder="1"/>
    <xf numFmtId="0" fontId="51" fillId="31" borderId="0" xfId="80" applyFont="1" applyFill="1" applyBorder="1" applyAlignment="1">
      <alignment horizontal="center" vertical="center" wrapText="1"/>
    </xf>
    <xf numFmtId="0" fontId="51" fillId="28" borderId="0" xfId="80" applyFont="1" applyFill="1" applyBorder="1" applyAlignment="1">
      <alignment horizontal="center" vertical="center" wrapText="1"/>
    </xf>
    <xf numFmtId="0" fontId="51" fillId="0" borderId="0" xfId="80" applyFont="1" applyFill="1" applyBorder="1" applyAlignment="1">
      <alignment horizontal="center" vertical="center" wrapText="1"/>
    </xf>
    <xf numFmtId="0" fontId="63" fillId="0" borderId="11" xfId="82" applyFont="1" applyBorder="1"/>
    <xf numFmtId="1" fontId="67" fillId="0" borderId="11" xfId="67" applyNumberFormat="1" applyFont="1" applyFill="1" applyBorder="1" applyAlignment="1">
      <alignment horizontal="center"/>
    </xf>
    <xf numFmtId="0" fontId="68" fillId="0" borderId="11" xfId="82" applyFont="1" applyBorder="1"/>
    <xf numFmtId="0" fontId="68" fillId="0" borderId="14" xfId="82" applyFont="1" applyBorder="1"/>
    <xf numFmtId="49" fontId="50" fillId="0" borderId="11" xfId="67" applyNumberFormat="1" applyFont="1" applyFill="1" applyBorder="1"/>
    <xf numFmtId="0" fontId="1" fillId="0" borderId="11" xfId="78" applyBorder="1"/>
    <xf numFmtId="0" fontId="1" fillId="0" borderId="11" xfId="84" applyFont="1" applyFill="1" applyBorder="1"/>
    <xf numFmtId="49" fontId="65" fillId="0" borderId="11" xfId="67" applyNumberFormat="1" applyFont="1" applyFill="1" applyBorder="1"/>
    <xf numFmtId="1" fontId="50" fillId="0" borderId="11" xfId="67" applyNumberFormat="1" applyFont="1" applyFill="1" applyBorder="1"/>
    <xf numFmtId="1" fontId="50" fillId="0" borderId="11" xfId="73" applyNumberFormat="1" applyFont="1" applyFill="1" applyBorder="1"/>
    <xf numFmtId="1" fontId="50" fillId="0" borderId="0" xfId="73" applyNumberFormat="1" applyFont="1" applyFill="1" applyBorder="1"/>
    <xf numFmtId="49" fontId="50" fillId="0" borderId="0" xfId="67" applyNumberFormat="1" applyFont="1" applyFill="1" applyBorder="1"/>
    <xf numFmtId="1" fontId="50" fillId="0" borderId="0" xfId="73" applyNumberFormat="1" applyFont="1" applyFill="1" applyBorder="1" applyAlignment="1">
      <alignment vertical="center"/>
    </xf>
    <xf numFmtId="0" fontId="50" fillId="0" borderId="0" xfId="67" applyFont="1" applyFill="1" applyAlignment="1">
      <alignment horizontal="right"/>
    </xf>
    <xf numFmtId="49" fontId="50" fillId="0" borderId="0" xfId="67" applyNumberFormat="1" applyFont="1" applyFill="1"/>
    <xf numFmtId="49" fontId="69" fillId="0" borderId="11" xfId="66" applyNumberFormat="1" applyFont="1" applyFill="1" applyBorder="1" applyAlignment="1">
      <alignment horizontal="center" vertical="center"/>
    </xf>
    <xf numFmtId="49" fontId="53" fillId="0" borderId="11" xfId="66" applyNumberFormat="1" applyFont="1" applyFill="1" applyBorder="1" applyAlignment="1">
      <alignment horizontal="center" vertical="center"/>
    </xf>
    <xf numFmtId="49" fontId="53" fillId="0" borderId="14" xfId="66" applyNumberFormat="1" applyFont="1" applyFill="1" applyBorder="1" applyAlignment="1">
      <alignment horizontal="left" vertical="center"/>
    </xf>
    <xf numFmtId="49" fontId="53" fillId="0" borderId="14" xfId="66" applyNumberFormat="1" applyFont="1" applyFill="1" applyBorder="1" applyAlignment="1">
      <alignment horizontal="center" vertical="center"/>
    </xf>
    <xf numFmtId="49" fontId="69" fillId="0" borderId="14" xfId="66" applyNumberFormat="1" applyFont="1" applyFill="1" applyBorder="1" applyAlignment="1">
      <alignment horizontal="center" vertical="center"/>
    </xf>
    <xf numFmtId="49" fontId="51" fillId="0" borderId="0" xfId="66" applyNumberFormat="1" applyFont="1" applyFill="1" applyBorder="1" applyAlignment="1">
      <alignment horizontal="center" vertical="center"/>
    </xf>
    <xf numFmtId="2" fontId="50" fillId="0" borderId="0" xfId="81" applyNumberFormat="1" applyFont="1" applyFill="1" applyAlignment="1">
      <alignment horizontal="center"/>
    </xf>
    <xf numFmtId="0" fontId="52" fillId="0" borderId="0" xfId="85" applyFont="1" applyFill="1"/>
    <xf numFmtId="0" fontId="52" fillId="0" borderId="0" xfId="81" applyFont="1" applyFill="1"/>
    <xf numFmtId="0" fontId="50" fillId="0" borderId="0" xfId="86" applyFont="1" applyFill="1"/>
    <xf numFmtId="0" fontId="50" fillId="0" borderId="11" xfId="87" applyFont="1" applyFill="1" applyBorder="1" applyAlignment="1">
      <alignment horizontal="center"/>
    </xf>
    <xf numFmtId="0" fontId="50" fillId="0" borderId="11" xfId="78" applyFont="1" applyFill="1" applyBorder="1" applyAlignment="1">
      <alignment horizontal="left"/>
    </xf>
    <xf numFmtId="0" fontId="50" fillId="0" borderId="11" xfId="78" applyFont="1" applyFill="1" applyBorder="1"/>
    <xf numFmtId="174" fontId="50" fillId="0" borderId="11" xfId="74" applyNumberFormat="1" applyFont="1" applyFill="1" applyBorder="1" applyAlignment="1">
      <alignment horizontal="right"/>
    </xf>
    <xf numFmtId="2" fontId="60" fillId="0" borderId="11" xfId="68" applyNumberFormat="1" applyFont="1" applyFill="1" applyBorder="1" applyAlignment="1">
      <alignment horizontal="center" vertical="center" wrapText="1"/>
    </xf>
    <xf numFmtId="174" fontId="50" fillId="0" borderId="15" xfId="88" applyNumberFormat="1" applyFont="1" applyFill="1" applyBorder="1" applyAlignment="1">
      <alignment horizontal="right"/>
    </xf>
    <xf numFmtId="174" fontId="50" fillId="0" borderId="23" xfId="67" applyNumberFormat="1" applyFont="1" applyFill="1" applyBorder="1" applyAlignment="1">
      <alignment horizontal="right" vertical="center"/>
    </xf>
    <xf numFmtId="2" fontId="52" fillId="0" borderId="0" xfId="89" applyNumberFormat="1" applyFont="1" applyFill="1" applyAlignment="1">
      <alignment horizontal="center"/>
    </xf>
    <xf numFmtId="0" fontId="50" fillId="0" borderId="0" xfId="70" applyFont="1" applyFill="1"/>
    <xf numFmtId="0" fontId="50" fillId="0" borderId="0" xfId="85" applyFont="1" applyFill="1"/>
    <xf numFmtId="0" fontId="52" fillId="0" borderId="0" xfId="70" applyFont="1" applyFill="1"/>
    <xf numFmtId="2" fontId="60" fillId="0" borderId="11" xfId="71" applyNumberFormat="1" applyFont="1" applyFill="1" applyBorder="1" applyAlignment="1">
      <alignment horizontal="center" vertical="center"/>
    </xf>
    <xf numFmtId="174" fontId="50" fillId="0" borderId="15" xfId="74" applyNumberFormat="1" applyFont="1" applyFill="1" applyBorder="1" applyAlignment="1">
      <alignment horizontal="right"/>
    </xf>
    <xf numFmtId="0" fontId="52" fillId="0" borderId="0" xfId="86" applyFont="1" applyFill="1"/>
    <xf numFmtId="0" fontId="50" fillId="0" borderId="0" xfId="89" applyFont="1" applyFill="1"/>
    <xf numFmtId="0" fontId="52" fillId="0" borderId="0" xfId="89" applyFont="1" applyFill="1"/>
    <xf numFmtId="0" fontId="50" fillId="0" borderId="0" xfId="71" applyFont="1" applyFill="1"/>
    <xf numFmtId="0" fontId="50" fillId="0" borderId="0" xfId="90" applyFont="1" applyFill="1"/>
    <xf numFmtId="174" fontId="70" fillId="0" borderId="15" xfId="74" applyNumberFormat="1" applyFont="1" applyFill="1" applyBorder="1" applyAlignment="1">
      <alignment horizontal="right"/>
    </xf>
    <xf numFmtId="174" fontId="50" fillId="28" borderId="23" xfId="67" applyNumberFormat="1" applyFont="1" applyFill="1" applyBorder="1" applyAlignment="1">
      <alignment horizontal="right" vertical="center"/>
    </xf>
    <xf numFmtId="0" fontId="50" fillId="0" borderId="0" xfId="91" applyFont="1" applyFill="1"/>
    <xf numFmtId="0" fontId="50" fillId="0" borderId="0" xfId="92" applyFont="1" applyFill="1"/>
    <xf numFmtId="0" fontId="71" fillId="0" borderId="11" xfId="78" applyFont="1" applyBorder="1"/>
    <xf numFmtId="2" fontId="60" fillId="0" borderId="11" xfId="89" applyNumberFormat="1" applyFont="1" applyFill="1" applyBorder="1" applyAlignment="1">
      <alignment horizontal="center" vertical="center"/>
    </xf>
    <xf numFmtId="0" fontId="52" fillId="0" borderId="0" xfId="68" applyFont="1" applyFill="1"/>
    <xf numFmtId="0" fontId="52" fillId="0" borderId="0" xfId="67" applyFont="1" applyFill="1"/>
    <xf numFmtId="0" fontId="50" fillId="0" borderId="0" xfId="93" applyFont="1" applyFill="1"/>
    <xf numFmtId="0" fontId="52" fillId="0" borderId="0" xfId="94" applyFont="1" applyFill="1"/>
    <xf numFmtId="0" fontId="50" fillId="0" borderId="0" xfId="94" applyFont="1" applyFill="1"/>
    <xf numFmtId="0" fontId="72" fillId="0" borderId="11" xfId="78" applyFont="1" applyBorder="1"/>
    <xf numFmtId="0" fontId="71" fillId="0" borderId="11" xfId="78" applyFont="1" applyFill="1" applyBorder="1" applyAlignment="1">
      <alignment horizontal="left"/>
    </xf>
    <xf numFmtId="0" fontId="71" fillId="0" borderId="0" xfId="78" applyFont="1" applyFill="1"/>
    <xf numFmtId="0" fontId="71" fillId="0" borderId="11" xfId="78" applyFont="1" applyFill="1" applyBorder="1"/>
    <xf numFmtId="177" fontId="73" fillId="0" borderId="11" xfId="89" applyNumberFormat="1" applyFont="1" applyFill="1" applyBorder="1" applyAlignment="1">
      <alignment horizontal="center" vertical="center"/>
    </xf>
    <xf numFmtId="0" fontId="52" fillId="0" borderId="0" xfId="78" applyFont="1" applyFill="1"/>
    <xf numFmtId="0" fontId="71" fillId="0" borderId="11" xfId="78" applyFont="1" applyBorder="1" applyAlignment="1">
      <alignment horizontal="left"/>
    </xf>
    <xf numFmtId="0" fontId="52" fillId="0" borderId="0" xfId="77" applyFont="1" applyFill="1"/>
    <xf numFmtId="0" fontId="50" fillId="0" borderId="0" xfId="77" applyFont="1" applyFill="1"/>
    <xf numFmtId="174" fontId="50" fillId="0" borderId="15" xfId="74" applyNumberFormat="1" applyFont="1" applyFill="1" applyBorder="1" applyAlignment="1">
      <alignment horizontal="left"/>
    </xf>
    <xf numFmtId="0" fontId="52" fillId="0" borderId="0" xfId="90" applyFont="1" applyFill="1"/>
    <xf numFmtId="2" fontId="50" fillId="0" borderId="0" xfId="96" applyNumberFormat="1" applyFont="1" applyFill="1" applyBorder="1" applyAlignment="1">
      <alignment horizontal="center"/>
    </xf>
    <xf numFmtId="10" fontId="50" fillId="0" borderId="0" xfId="89" applyNumberFormat="1" applyFont="1" applyFill="1" applyBorder="1"/>
    <xf numFmtId="0" fontId="50" fillId="0" borderId="0" xfId="89" applyFont="1" applyFill="1" applyBorder="1"/>
    <xf numFmtId="10" fontId="50" fillId="0" borderId="0" xfId="68" applyNumberFormat="1" applyFont="1" applyFill="1" applyBorder="1"/>
    <xf numFmtId="0" fontId="52" fillId="0" borderId="0" xfId="67" applyFont="1" applyFill="1" applyAlignment="1">
      <alignment horizontal="right"/>
    </xf>
    <xf numFmtId="10" fontId="50" fillId="0" borderId="0" xfId="97" applyNumberFormat="1" applyFont="1" applyFill="1" applyBorder="1"/>
    <xf numFmtId="0" fontId="50" fillId="0" borderId="0" xfId="77" applyFont="1" applyFill="1" applyBorder="1"/>
    <xf numFmtId="0" fontId="52" fillId="0" borderId="0" xfId="98" applyFont="1" applyFill="1"/>
    <xf numFmtId="0" fontId="50" fillId="0" borderId="0" xfId="98" applyFont="1" applyFill="1"/>
    <xf numFmtId="174" fontId="75" fillId="0" borderId="15" xfId="74" applyNumberFormat="1" applyFont="1" applyFill="1" applyBorder="1" applyAlignment="1">
      <alignment horizontal="right"/>
    </xf>
    <xf numFmtId="0" fontId="71" fillId="0" borderId="11" xfId="78" applyFont="1" applyBorder="1" applyAlignment="1">
      <alignment vertical="center"/>
    </xf>
    <xf numFmtId="0" fontId="71" fillId="0" borderId="24" xfId="78" applyFont="1" applyBorder="1" applyAlignment="1">
      <alignment horizontal="right" vertical="center"/>
    </xf>
    <xf numFmtId="0" fontId="70" fillId="0" borderId="11" xfId="78" applyFont="1" applyFill="1" applyBorder="1"/>
    <xf numFmtId="0" fontId="70" fillId="0" borderId="11" xfId="78" applyFont="1" applyFill="1" applyBorder="1" applyAlignment="1">
      <alignment horizontal="left"/>
    </xf>
    <xf numFmtId="2" fontId="76" fillId="0" borderId="11" xfId="89" applyNumberFormat="1" applyFont="1" applyFill="1" applyBorder="1" applyAlignment="1">
      <alignment horizontal="center" vertical="center"/>
    </xf>
    <xf numFmtId="0" fontId="50" fillId="0" borderId="0" xfId="67" applyFont="1" applyFill="1" applyAlignment="1">
      <alignment horizontal="left"/>
    </xf>
    <xf numFmtId="2" fontId="50" fillId="0" borderId="0" xfId="67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left" wrapText="1"/>
    </xf>
    <xf numFmtId="0" fontId="16" fillId="0" borderId="12" xfId="0" applyFont="1" applyBorder="1" applyAlignment="1">
      <alignment horizontal="center"/>
    </xf>
    <xf numFmtId="0" fontId="51" fillId="0" borderId="0" xfId="71" applyFont="1" applyFill="1" applyBorder="1" applyAlignment="1">
      <alignment horizontal="center" vertical="center" wrapText="1"/>
    </xf>
    <xf numFmtId="2" fontId="51" fillId="0" borderId="0" xfId="71" applyNumberFormat="1" applyFont="1" applyFill="1" applyBorder="1" applyAlignment="1">
      <alignment horizontal="center" vertical="center"/>
    </xf>
    <xf numFmtId="0" fontId="54" fillId="0" borderId="0" xfId="72" applyFont="1" applyFill="1" applyAlignment="1">
      <alignment horizontal="center"/>
    </xf>
    <xf numFmtId="0" fontId="54" fillId="0" borderId="0" xfId="66" applyFont="1" applyFill="1" applyAlignment="1">
      <alignment horizontal="center"/>
    </xf>
    <xf numFmtId="0" fontId="61" fillId="0" borderId="22" xfId="80" applyFont="1" applyFill="1" applyBorder="1" applyAlignment="1">
      <alignment horizontal="center" vertical="center"/>
    </xf>
    <xf numFmtId="0" fontId="61" fillId="0" borderId="14" xfId="80" applyFont="1" applyFill="1" applyBorder="1" applyAlignment="1">
      <alignment horizontal="center" vertical="center"/>
    </xf>
    <xf numFmtId="0" fontId="51" fillId="0" borderId="22" xfId="80" applyFont="1" applyFill="1" applyBorder="1" applyAlignment="1">
      <alignment horizontal="center" vertical="center"/>
    </xf>
    <xf numFmtId="0" fontId="51" fillId="0" borderId="14" xfId="80" applyFont="1" applyFill="1" applyBorder="1" applyAlignment="1">
      <alignment horizontal="center" vertical="center"/>
    </xf>
    <xf numFmtId="0" fontId="51" fillId="0" borderId="22" xfId="80" applyFont="1" applyFill="1" applyBorder="1" applyAlignment="1">
      <alignment horizontal="center" vertical="center" wrapText="1"/>
    </xf>
    <xf numFmtId="0" fontId="51" fillId="0" borderId="14" xfId="80" applyFont="1" applyFill="1" applyBorder="1" applyAlignment="1">
      <alignment horizontal="center" vertical="center" wrapText="1"/>
    </xf>
    <xf numFmtId="0" fontId="62" fillId="0" borderId="22" xfId="80" applyFont="1" applyFill="1" applyBorder="1" applyAlignment="1">
      <alignment horizontal="center" vertical="center" wrapText="1"/>
    </xf>
    <xf numFmtId="0" fontId="62" fillId="0" borderId="14" xfId="80" applyFont="1" applyFill="1" applyBorder="1" applyAlignment="1">
      <alignment horizontal="center" vertical="center" wrapText="1"/>
    </xf>
  </cellXfs>
  <cellStyles count="3172">
    <cellStyle name="_1.2" xfId="99"/>
    <cellStyle name="_1.2_明細-09.03-09.07 (ExcelFIX)" xfId="100"/>
    <cellStyle name="_1.2_明細-09.10-09.14 (ExcelFIX)" xfId="101"/>
    <cellStyle name="_1.2_明細-09.17-09.21 (ExcelFIX)" xfId="102"/>
    <cellStyle name="_1.2_明細-09.24-09.28 (ExcelFIX)" xfId="103"/>
    <cellStyle name="_1.2_明細-10.01-10.05  (ExcelFIX)" xfId="104"/>
    <cellStyle name="_1.2_明細-10.08-10.12  (ExcelFIX)" xfId="105"/>
    <cellStyle name="_1.2_明細-10.15-10.20  (ExcelFIX)" xfId="106"/>
    <cellStyle name="_1.2_明細-10.22-10.26 (ExcelFIX)" xfId="107"/>
    <cellStyle name="_1.2_明細-10.29-11.02 (ExcelFIX)" xfId="108"/>
    <cellStyle name="_1.2_明細-11.05-11.09 (ExcelFIX)" xfId="109"/>
    <cellStyle name="_1.2_明細-11.12-11.16 (ExcelFIX)" xfId="110"/>
    <cellStyle name="_1.2_明細-11.19-11.23 (ExcelFIX)" xfId="111"/>
    <cellStyle name="_1.2_明細-11.26-11.30 (ExcelFIX)" xfId="112"/>
    <cellStyle name="_1.2_明細-12.03-12.07 (ExcelFIX)" xfId="113"/>
    <cellStyle name="_1.2_柜明細-06.04-06.09  (ExcelFIX)" xfId="114"/>
    <cellStyle name="_1.2_柜明細-06.11-06.15  (ExcelFIX)" xfId="115"/>
    <cellStyle name="_1.2_柜明細-06.18-06.23 (ExcelFIX)" xfId="116"/>
    <cellStyle name="_1.2_柜明細-06.25-06.30 (ExcelFIX)" xfId="117"/>
    <cellStyle name="_1.2_柜明細-07.02-07.07 (ExcelFIX)" xfId="118"/>
    <cellStyle name="_1.2_柜明細-07.09-07.13 (ExcelFIX)" xfId="119"/>
    <cellStyle name="_1.2_柜明細-07.09-07.14 (ExcelFIX)" xfId="120"/>
    <cellStyle name="_1.2_柜明細-07.16-07.21 (ExcelFIX)" xfId="121"/>
    <cellStyle name="_1.2_柜明細-07.23-07.28 (ExcelFIX)" xfId="122"/>
    <cellStyle name="_1.2_柜明細-07.30-08.03 (ExcelFIX)" xfId="123"/>
    <cellStyle name="_1.2_柜明細-08.06-08.10 (ExcelFIX)" xfId="124"/>
    <cellStyle name="_1.2_柜明細-08.13-08.17 (ExcelFIX)" xfId="125"/>
    <cellStyle name="_1.2_柜明細-08.20-08.24 (ExcelFIX)" xfId="126"/>
    <cellStyle name="_1.2_柜明細-08.27-08.31 (ExcelFIX)" xfId="127"/>
    <cellStyle name="_1.2_柜明細-5.28-6.02  (ExcelFIX)" xfId="128"/>
    <cellStyle name="_1.2_細-01.02-01.05 (ExcelFIX)" xfId="129"/>
    <cellStyle name="_1.2_細-01.06-01.11  (ExcelFIX)" xfId="130"/>
    <cellStyle name="_1.2_細-01.07-01.12 (ExcelFIX)" xfId="131"/>
    <cellStyle name="_1.2_細-01.12-01.17 (ExcelFIX)" xfId="132"/>
    <cellStyle name="_1.2_細-01.13-01.17  (ExcelFIX)" xfId="133"/>
    <cellStyle name="_1.2_細-01.14-01.19 (ExcelFIX)" xfId="134"/>
    <cellStyle name="_1.2_細-01.19-01.24 (ExcelFIX)" xfId="135"/>
    <cellStyle name="_1.2_細-01.20-01.24  (ExcelFIX)" xfId="136"/>
    <cellStyle name="_1.2_細-01.21-01.26 (ExcelFIX)" xfId="137"/>
    <cellStyle name="_1.2_細-01.26-01.31 (ExcelFIX)" xfId="138"/>
    <cellStyle name="_1.2_細-01.28-02.02 (ExcelFIX)" xfId="139"/>
    <cellStyle name="_1.2_細-02.02-02.07 (ExcelFIX)" xfId="140"/>
    <cellStyle name="_1.2_細-02.04-02.06 (ExcelFIX)" xfId="141"/>
    <cellStyle name="_1.2_細-02.09-02.10 (ExcelFIX)" xfId="142"/>
    <cellStyle name="_1.2_細-02.10-02.14  (ExcelFIX)" xfId="143"/>
    <cellStyle name="_1.2_細-02.17-02.21  (ExcelFIX)" xfId="144"/>
    <cellStyle name="_1.2_細-02.18-02.23 (ExcelFIX)" xfId="145"/>
    <cellStyle name="_1.2_細-02.24-02.28  (ExcelFIX)" xfId="146"/>
    <cellStyle name="_1.2_細-02.25-03.02 (ExcelFIX)" xfId="147"/>
    <cellStyle name="_1.2_細-03.03-03.07  (ExcelFIX)" xfId="148"/>
    <cellStyle name="_1.2_細-03.04-03.08 (ExcelFIX)" xfId="149"/>
    <cellStyle name="_1.2_細-03.09-03.14  (ExcelFIX)" xfId="150"/>
    <cellStyle name="_1.2_細-03.10-03.14  (ExcelFIX)" xfId="151"/>
    <cellStyle name="_1.2_細-03.11-03.15 (ExcelFIX)" xfId="152"/>
    <cellStyle name="_1.2_細-03.16-03.21  (ExcelFIX)" xfId="153"/>
    <cellStyle name="_1.2_細-03.17-03.21  (ExcelFIX)" xfId="154"/>
    <cellStyle name="_1.2_細-03.18-03.22 (ExcelFIX)" xfId="155"/>
    <cellStyle name="_1.2_細-03.23-03.27  (ExcelFIX)" xfId="156"/>
    <cellStyle name="_1.2_細-03.23-03.28  (ExcelFIX)" xfId="157"/>
    <cellStyle name="_1.2_細-03.24-03.28  (ExcelFIX)" xfId="158"/>
    <cellStyle name="_1.2_細-03.30-04.03  (ExcelFIX)" xfId="159"/>
    <cellStyle name="_1.2_細-03.31-04.04  (ExcelFIX)" xfId="160"/>
    <cellStyle name="_1.2_細-04.01-04.06  (ExcelFIX)" xfId="161"/>
    <cellStyle name="_1.2_細-04.06-04.10  (ExcelFIX)" xfId="162"/>
    <cellStyle name="_1.2_細-04.07-04.12  (ExcelFIX)" xfId="163"/>
    <cellStyle name="_1.2_細-04.14-04.18  (ExcelFIX)" xfId="164"/>
    <cellStyle name="_1.2_細-04.20-04.25  (ExcelFIX)" xfId="165"/>
    <cellStyle name="_1.2_細-04.21-04.26  (ExcelFIX)" xfId="166"/>
    <cellStyle name="_1.2_細-04.22-04.27  (ExcelFIX)" xfId="167"/>
    <cellStyle name="_1.2_細-04.27-04.29  (ExcelFIX)" xfId="168"/>
    <cellStyle name="_1.2_細-04.28-05.02  (ExcelFIX)" xfId="169"/>
    <cellStyle name="_1.2_細-05.01-05.04  (ExcelFIX)" xfId="170"/>
    <cellStyle name="_1.2_細-05.04-05.08  (ExcelFIX)" xfId="171"/>
    <cellStyle name="_1.2_細-05.05-05.09  (ExcelFIX)" xfId="172"/>
    <cellStyle name="_1.2_細-05.06-05.11  (ExcelFIX)" xfId="173"/>
    <cellStyle name="_1.2_細-05.11-05.16  (ExcelFIX)" xfId="174"/>
    <cellStyle name="_1.2_細-05.12-05.16  (ExcelFIX)" xfId="175"/>
    <cellStyle name="_1.2_細-05.13-05.18  (ExcelFIX)" xfId="176"/>
    <cellStyle name="_1.2_細-05.18-05.22  (ExcelFIX)" xfId="177"/>
    <cellStyle name="_1.2_細-05.19-05.24  (ExcelFIX)" xfId="178"/>
    <cellStyle name="_1.2_細-05.20-05.25  (ExcelFIX)" xfId="179"/>
    <cellStyle name="_1.2_細-05.25-05.30  (ExcelFIX)" xfId="180"/>
    <cellStyle name="_1.2_細-05.26-05.30  (ExcelFIX)" xfId="181"/>
    <cellStyle name="_1.2_細-05.27-06.01  (ExcelFIX)" xfId="182"/>
    <cellStyle name="_1.2_細-06.01-06.06  (ExcelFIX)" xfId="183"/>
    <cellStyle name="_1.2_細-06.02-06.06  (ExcelFIX)" xfId="184"/>
    <cellStyle name="_1.2_細-06.03-06.08  (ExcelFIX)" xfId="185"/>
    <cellStyle name="_1.2_細-06.08-06.13  (ExcelFIX)" xfId="186"/>
    <cellStyle name="_1.2_細-06.09-06.13  (ExcelFIX)" xfId="187"/>
    <cellStyle name="_1.2_細-06.10-06.15  (ExcelFIX)" xfId="188"/>
    <cellStyle name="_1.2_細-06.15-06.19 (nho them panama o tren vo)  (ExcelFIX)" xfId="189"/>
    <cellStyle name="_1.2_細-06.16-06.20  (ExcelFIX)" xfId="190"/>
    <cellStyle name="_1.2_細-06.17-06.22  (ExcelFIX)" xfId="191"/>
    <cellStyle name="_1.2_細-06.22-06.27 (ExcelFIX)" xfId="192"/>
    <cellStyle name="_1.2_細-06.23-06.27  (ExcelFIX)" xfId="193"/>
    <cellStyle name="_1.2_細-06.24-06.29  (ExcelFIX)" xfId="194"/>
    <cellStyle name="_1.2_細-06.29-07.04 (ExcelFIX)" xfId="195"/>
    <cellStyle name="_1.2_細-06.30-07.05  (ExcelFIX)" xfId="196"/>
    <cellStyle name="_1.2_細-07.01-07.06  (ExcelFIX)" xfId="197"/>
    <cellStyle name="_1.2_細-07.06-07.10 (ExcelFIX)" xfId="198"/>
    <cellStyle name="_1.2_細-07.07-07.12  (ExcelFIX)" xfId="199"/>
    <cellStyle name="_1.2_細-07.08-07.12  (ExcelFIX)" xfId="200"/>
    <cellStyle name="_1.2_細-07.13-07.17 (ExcelFIX)" xfId="201"/>
    <cellStyle name="_1.2_細-07.14-07.119  (ExcelFIX)" xfId="202"/>
    <cellStyle name="_1.2_細-07.15-07.20  (ExcelFIX)" xfId="203"/>
    <cellStyle name="_1.2_細-07.20-07.24 (ExcelFIX)" xfId="204"/>
    <cellStyle name="_1.2_細-07.21-07.25  (ExcelFIX)" xfId="205"/>
    <cellStyle name="_1.2_細-07.27-08.01 (ExcelFIX)" xfId="206"/>
    <cellStyle name="_1.2_細-07.28-08.02 (ExcelFIX)" xfId="207"/>
    <cellStyle name="_1.2_細-07.29-08.02 (ExcelFIX)" xfId="208"/>
    <cellStyle name="_1.2_細-08.03-08.07 (ExcelFIX)" xfId="209"/>
    <cellStyle name="_1.2_細-08.04-08.09 (ExcelFIX)" xfId="210"/>
    <cellStyle name="_1.2_細-08.05-08.10 (ExcelFIX)" xfId="211"/>
    <cellStyle name="_1.2_細-08.10-08.14 (ExcelFIX)" xfId="212"/>
    <cellStyle name="_1.2_細-08.11-08.16 (ExcelFIX)" xfId="213"/>
    <cellStyle name="_1.2_細-08.12-08.17 (ExcelFIX)" xfId="214"/>
    <cellStyle name="_1.2_細-08.17-08.21 (ExcelFIX)" xfId="215"/>
    <cellStyle name="_1.2_細-08.18-08.23 (ExcelFIX)" xfId="216"/>
    <cellStyle name="_1.2_細-08.19-08.24 (ExcelFIX)" xfId="217"/>
    <cellStyle name="_1.2_細-08.24-08.29 (ExcelFIX)" xfId="218"/>
    <cellStyle name="_1.2_細-08.25-08.28 (ExcelFIX)" xfId="219"/>
    <cellStyle name="_1.2_細-08.26-08.29 (ExcelFIX)" xfId="220"/>
    <cellStyle name="_1.2_細-08.31-09.05 (ExcelFIX)" xfId="221"/>
    <cellStyle name="_1.2_細-09.04-09.06 (ExcelFIX)" xfId="222"/>
    <cellStyle name="_1.2_細-09.04-09.07 (ExcelFIX)" xfId="223"/>
    <cellStyle name="_1.2_細-09.07-09.12 (ExcelFIX)" xfId="224"/>
    <cellStyle name="_1.2_細-09.08-09.13 (ExcelFIX)" xfId="225"/>
    <cellStyle name="_1.2_細-09.09-09.14 (ExcelFIX)" xfId="226"/>
    <cellStyle name="_1.2_細-09.14-09.19 (ExcelFIX)" xfId="227"/>
    <cellStyle name="_1.2_細-09.15-09.20 (ExcelFIX)" xfId="228"/>
    <cellStyle name="_1.2_細-09.16-09.21 (ExcelFIX)" xfId="229"/>
    <cellStyle name="_1.2_細-09.21-09.26 (ExcelFIX)" xfId="230"/>
    <cellStyle name="_1.2_細-09.22-09.27 (ExcelFIX)" xfId="231"/>
    <cellStyle name="_1.2_細-09.23-09.28 (ExcelFIX)" xfId="232"/>
    <cellStyle name="_1.2_細-09.28-10.03 (ExcelFIX)" xfId="233"/>
    <cellStyle name="_1.2_細-09.29-10.04 (ExcelFIX)" xfId="234"/>
    <cellStyle name="_1.2_細-09.30-10.04 (ExcelFIX)" xfId="235"/>
    <cellStyle name="_1.2_細-10.05-10.10 (ExcelFIX)" xfId="236"/>
    <cellStyle name="_1.2_細-10.06-10.11 (ExcelFIX)" xfId="237"/>
    <cellStyle name="_1.2_細-10.07-10.11 (ExcelFIX)" xfId="238"/>
    <cellStyle name="_1.2_細-10.12-10.16 (ExcelFIX)" xfId="239"/>
    <cellStyle name="_1.2_細-10.13-10.18 (ExcelFIX)" xfId="240"/>
    <cellStyle name="_1.2_細-10.14-10.18 (ExcelFIX)" xfId="241"/>
    <cellStyle name="_1.2_細-10.19-10.24 (ExcelFIX)" xfId="242"/>
    <cellStyle name="_1.2_細-10.20-10.24 (ExcelFIX)" xfId="243"/>
    <cellStyle name="_1.2_細-10.21-10.25 (ExcelFIX)" xfId="244"/>
    <cellStyle name="_1.2_細-10.21-10.31 (ExcelFIX)" xfId="245"/>
    <cellStyle name="_1.2_細-10.26-10.31 (ExcelFIX)" xfId="246"/>
    <cellStyle name="_1.2_細-10.27-11.01 (ExcelFIX)" xfId="247"/>
    <cellStyle name="_1.2_細-10.28-11.01 (ExcelFIX)" xfId="248"/>
    <cellStyle name="_1.2_細-11.03-11.08 (ExcelFIX)" xfId="249"/>
    <cellStyle name="_1.2_細-11.04-11.09 (ExcelFIX)" xfId="250"/>
    <cellStyle name="_1.2_細-11.10-11.15 (ExcelFIX)" xfId="251"/>
    <cellStyle name="_1.2_細-11.11-11.15  (ExcelFIX)" xfId="252"/>
    <cellStyle name="_1.2_細-11.11-11.16(ExcelFIX)" xfId="253"/>
    <cellStyle name="_1.2_細-11.17-11.22 (ExcelFIX)" xfId="254"/>
    <cellStyle name="_1.2_細-11.18-11.23  (ExcelFIX)" xfId="255"/>
    <cellStyle name="_1.2_細-11.24-11.29 (ExcelFIX)" xfId="256"/>
    <cellStyle name="_1.2_細-11.25-11.30  (ExcelFIX)" xfId="257"/>
    <cellStyle name="_1.2_細-12.01-12.06 (ExcelFIX)" xfId="258"/>
    <cellStyle name="_1.2_細-12.02-12.07  (ExcelFIX)" xfId="259"/>
    <cellStyle name="_1.2_細-12.08-12.13 (ExcelFIX)" xfId="260"/>
    <cellStyle name="_1.2_細-12.09-12.14  (ExcelFIX)" xfId="261"/>
    <cellStyle name="_1.2_細-12.10-12.15 (ExcelFIX)" xfId="262"/>
    <cellStyle name="_1.2_細-12.15-12.20 (ExcelFIX)" xfId="263"/>
    <cellStyle name="_1.2_細-12.16-12.20  (ExcelFIX)" xfId="264"/>
    <cellStyle name="_1.2_細-12.17-12.22 (ExcelFIX)" xfId="265"/>
    <cellStyle name="_1.2_細-12.22-12.27 (ExcelFIX)" xfId="266"/>
    <cellStyle name="_1.2_細-12.23-12.28  (ExcelFIX)" xfId="267"/>
    <cellStyle name="_1.2_細-12.24-12.29 (ExcelFIX)" xfId="268"/>
    <cellStyle name="_1.2_細-12.29-01.03 (ExcelFIX)" xfId="269"/>
    <cellStyle name="_1.2_細-12.30-01.03  (ExcelFIX)" xfId="270"/>
    <cellStyle name="_1.2_裝柜明細-10.31-11.04" xfId="271"/>
    <cellStyle name="_1.2_裝柜明細-11.07-11.11" xfId="272"/>
    <cellStyle name="_1.2_裝柜明細-11.14-11.18" xfId="273"/>
    <cellStyle name="_1.2_裝柜明細-11.21-11.25" xfId="274"/>
    <cellStyle name="_1.2_裝柜明細-11.28-12.02" xfId="275"/>
    <cellStyle name="_1.2_裝柜明細-12.05-12.09 (ExcelFIX)" xfId="276"/>
    <cellStyle name="_1.2_裝柜明細-12-12-12.17  (ExcelFIX)" xfId="277"/>
    <cellStyle name="_1.2_裝柜明細-12-19-12.23  (ExcelFIX)" xfId="278"/>
    <cellStyle name="_1.2_裝柜明細-12-26-12.30  (ExcelFIX)" xfId="279"/>
    <cellStyle name="_1.2_裝柜明細-3.19-3.23  (ExcelFIX)" xfId="280"/>
    <cellStyle name="_1.2_裝柜明細-3.26-3.30  (ExcelFIX)" xfId="281"/>
    <cellStyle name="_1.2_裝柜明細-4.9-4.13  (ExcelFIX)" xfId="282"/>
    <cellStyle name="_1.2_裝柜明細-5.14-5.19  (ExcelFIX)" xfId="283"/>
    <cellStyle name="_1.2_裝柜明細-5.21-5.26  (ExcelFIX)" xfId="284"/>
    <cellStyle name="_1.2_裝柜明細-5.2-5.5  (ExcelFIX)" xfId="285"/>
    <cellStyle name="_1.2_裝柜明細-5.7-5.12  (ExcelFIX)" xfId="286"/>
    <cellStyle name="_2" xfId="287"/>
    <cellStyle name="_2_明細-09.03-09.07 (ExcelFIX)" xfId="288"/>
    <cellStyle name="_2_明細-09.10-09.14 (ExcelFIX)" xfId="289"/>
    <cellStyle name="_2_明細-09.17-09.21 (ExcelFIX)" xfId="290"/>
    <cellStyle name="_2_明細-09.24-09.28 (ExcelFIX)" xfId="291"/>
    <cellStyle name="_2_明細-10.01-10.05  (ExcelFIX)" xfId="292"/>
    <cellStyle name="_2_明細-10.08-10.12  (ExcelFIX)" xfId="293"/>
    <cellStyle name="_2_明細-10.15-10.20  (ExcelFIX)" xfId="294"/>
    <cellStyle name="_2_明細-10.22-10.26 (ExcelFIX)" xfId="295"/>
    <cellStyle name="_2_明細-10.29-11.02 (ExcelFIX)" xfId="296"/>
    <cellStyle name="_2_明細-11.05-11.09 (ExcelFIX)" xfId="297"/>
    <cellStyle name="_2_明細-11.12-11.16 (ExcelFIX)" xfId="298"/>
    <cellStyle name="_2_明細-11.19-11.23 (ExcelFIX)" xfId="299"/>
    <cellStyle name="_2_明細-11.26-11.30 (ExcelFIX)" xfId="300"/>
    <cellStyle name="_2_明細-12.03-12.07 (ExcelFIX)" xfId="301"/>
    <cellStyle name="_2_柜明細-06.04-06.09  (ExcelFIX)" xfId="302"/>
    <cellStyle name="_2_柜明細-06.11-06.15  (ExcelFIX)" xfId="303"/>
    <cellStyle name="_2_柜明細-06.18-06.23 (ExcelFIX)" xfId="304"/>
    <cellStyle name="_2_柜明細-06.25-06.30 (ExcelFIX)" xfId="305"/>
    <cellStyle name="_2_柜明細-07.02-07.07 (ExcelFIX)" xfId="306"/>
    <cellStyle name="_2_柜明細-07.09-07.13 (ExcelFIX)" xfId="307"/>
    <cellStyle name="_2_柜明細-07.09-07.14 (ExcelFIX)" xfId="308"/>
    <cellStyle name="_2_柜明細-07.16-07.21 (ExcelFIX)" xfId="309"/>
    <cellStyle name="_2_柜明細-07.23-07.28 (ExcelFIX)" xfId="310"/>
    <cellStyle name="_2_柜明細-07.30-08.03 (ExcelFIX)" xfId="311"/>
    <cellStyle name="_2_柜明細-08.06-08.10 (ExcelFIX)" xfId="312"/>
    <cellStyle name="_2_柜明細-08.13-08.17 (ExcelFIX)" xfId="313"/>
    <cellStyle name="_2_柜明細-08.20-08.24 (ExcelFIX)" xfId="314"/>
    <cellStyle name="_2_柜明細-08.27-08.31 (ExcelFIX)" xfId="315"/>
    <cellStyle name="_2_柜明細-5.28-6.02  (ExcelFIX)" xfId="316"/>
    <cellStyle name="_2_細-01.02-01.05 (ExcelFIX)" xfId="317"/>
    <cellStyle name="_2_細-01.06-01.11  (ExcelFIX)" xfId="318"/>
    <cellStyle name="_2_細-01.07-01.12 (ExcelFIX)" xfId="319"/>
    <cellStyle name="_2_細-01.12-01.17 (ExcelFIX)" xfId="320"/>
    <cellStyle name="_2_細-01.13-01.17  (ExcelFIX)" xfId="321"/>
    <cellStyle name="_2_細-01.14-01.19 (ExcelFIX)" xfId="322"/>
    <cellStyle name="_2_細-01.19-01.24 (ExcelFIX)" xfId="323"/>
    <cellStyle name="_2_細-01.20-01.24  (ExcelFIX)" xfId="324"/>
    <cellStyle name="_2_細-01.21-01.26 (ExcelFIX)" xfId="325"/>
    <cellStyle name="_2_細-01.26-01.31 (ExcelFIX)" xfId="326"/>
    <cellStyle name="_2_細-01.28-02.02 (ExcelFIX)" xfId="327"/>
    <cellStyle name="_2_細-02.02-02.07 (ExcelFIX)" xfId="328"/>
    <cellStyle name="_2_細-02.04-02.06 (ExcelFIX)" xfId="329"/>
    <cellStyle name="_2_細-02.09-02.10 (ExcelFIX)" xfId="330"/>
    <cellStyle name="_2_細-02.10-02.14  (ExcelFIX)" xfId="331"/>
    <cellStyle name="_2_細-02.17-02.21  (ExcelFIX)" xfId="332"/>
    <cellStyle name="_2_細-02.18-02.23 (ExcelFIX)" xfId="333"/>
    <cellStyle name="_2_細-02.24-02.28  (ExcelFIX)" xfId="334"/>
    <cellStyle name="_2_細-02.25-03.02 (ExcelFIX)" xfId="335"/>
    <cellStyle name="_2_細-03.03-03.07  (ExcelFIX)" xfId="336"/>
    <cellStyle name="_2_細-03.04-03.08 (ExcelFIX)" xfId="337"/>
    <cellStyle name="_2_細-03.09-03.14  (ExcelFIX)" xfId="338"/>
    <cellStyle name="_2_細-03.10-03.14  (ExcelFIX)" xfId="339"/>
    <cellStyle name="_2_細-03.11-03.15 (ExcelFIX)" xfId="340"/>
    <cellStyle name="_2_細-03.16-03.21  (ExcelFIX)" xfId="341"/>
    <cellStyle name="_2_細-03.17-03.21  (ExcelFIX)" xfId="342"/>
    <cellStyle name="_2_細-03.18-03.22 (ExcelFIX)" xfId="343"/>
    <cellStyle name="_2_細-03.23-03.27  (ExcelFIX)" xfId="344"/>
    <cellStyle name="_2_細-03.23-03.28  (ExcelFIX)" xfId="345"/>
    <cellStyle name="_2_細-03.24-03.28  (ExcelFIX)" xfId="346"/>
    <cellStyle name="_2_細-03.30-04.03  (ExcelFIX)" xfId="347"/>
    <cellStyle name="_2_細-03.31-04.04  (ExcelFIX)" xfId="348"/>
    <cellStyle name="_2_細-04.01-04.06  (ExcelFIX)" xfId="349"/>
    <cellStyle name="_2_細-04.06-04.10  (ExcelFIX)" xfId="350"/>
    <cellStyle name="_2_細-04.07-04.12  (ExcelFIX)" xfId="351"/>
    <cellStyle name="_2_細-04.14-04.18  (ExcelFIX)" xfId="352"/>
    <cellStyle name="_2_細-04.20-04.25  (ExcelFIX)" xfId="353"/>
    <cellStyle name="_2_細-04.21-04.26  (ExcelFIX)" xfId="354"/>
    <cellStyle name="_2_細-04.22-04.27  (ExcelFIX)" xfId="355"/>
    <cellStyle name="_2_細-04.27-04.29  (ExcelFIX)" xfId="356"/>
    <cellStyle name="_2_細-04.28-05.02  (ExcelFIX)" xfId="357"/>
    <cellStyle name="_2_細-05.01-05.04  (ExcelFIX)" xfId="358"/>
    <cellStyle name="_2_細-05.04-05.08  (ExcelFIX)" xfId="359"/>
    <cellStyle name="_2_細-05.05-05.09  (ExcelFIX)" xfId="360"/>
    <cellStyle name="_2_細-05.06-05.11  (ExcelFIX)" xfId="361"/>
    <cellStyle name="_2_細-05.11-05.16  (ExcelFIX)" xfId="362"/>
    <cellStyle name="_2_細-05.12-05.16  (ExcelFIX)" xfId="363"/>
    <cellStyle name="_2_細-05.13-05.18  (ExcelFIX)" xfId="364"/>
    <cellStyle name="_2_細-05.18-05.22  (ExcelFIX)" xfId="365"/>
    <cellStyle name="_2_細-05.19-05.24  (ExcelFIX)" xfId="366"/>
    <cellStyle name="_2_細-05.20-05.25  (ExcelFIX)" xfId="367"/>
    <cellStyle name="_2_細-05.25-05.30  (ExcelFIX)" xfId="368"/>
    <cellStyle name="_2_細-05.26-05.30  (ExcelFIX)" xfId="369"/>
    <cellStyle name="_2_細-05.27-06.01  (ExcelFIX)" xfId="370"/>
    <cellStyle name="_2_細-06.01-06.06  (ExcelFIX)" xfId="371"/>
    <cellStyle name="_2_細-06.02-06.06  (ExcelFIX)" xfId="372"/>
    <cellStyle name="_2_細-06.03-06.08  (ExcelFIX)" xfId="373"/>
    <cellStyle name="_2_細-06.08-06.13  (ExcelFIX)" xfId="374"/>
    <cellStyle name="_2_細-06.09-06.13  (ExcelFIX)" xfId="375"/>
    <cellStyle name="_2_細-06.10-06.15  (ExcelFIX)" xfId="376"/>
    <cellStyle name="_2_細-06.15-06.19 (nho them panama o tren vo)  (ExcelFIX)" xfId="377"/>
    <cellStyle name="_2_細-06.16-06.20  (ExcelFIX)" xfId="378"/>
    <cellStyle name="_2_細-06.17-06.22  (ExcelFIX)" xfId="379"/>
    <cellStyle name="_2_細-06.22-06.27 (ExcelFIX)" xfId="380"/>
    <cellStyle name="_2_細-06.23-06.27  (ExcelFIX)" xfId="381"/>
    <cellStyle name="_2_細-06.24-06.29  (ExcelFIX)" xfId="382"/>
    <cellStyle name="_2_細-06.29-07.04 (ExcelFIX)" xfId="383"/>
    <cellStyle name="_2_細-06.30-07.05  (ExcelFIX)" xfId="384"/>
    <cellStyle name="_2_細-07.01-07.06  (ExcelFIX)" xfId="385"/>
    <cellStyle name="_2_細-07.06-07.10 (ExcelFIX)" xfId="386"/>
    <cellStyle name="_2_細-07.07-07.12  (ExcelFIX)" xfId="387"/>
    <cellStyle name="_2_細-07.08-07.12  (ExcelFIX)" xfId="388"/>
    <cellStyle name="_2_細-07.13-07.17 (ExcelFIX)" xfId="389"/>
    <cellStyle name="_2_細-07.14-07.119  (ExcelFIX)" xfId="390"/>
    <cellStyle name="_2_細-07.15-07.20  (ExcelFIX)" xfId="391"/>
    <cellStyle name="_2_細-07.20-07.24 (ExcelFIX)" xfId="392"/>
    <cellStyle name="_2_細-07.21-07.25  (ExcelFIX)" xfId="393"/>
    <cellStyle name="_2_細-07.27-08.01 (ExcelFIX)" xfId="394"/>
    <cellStyle name="_2_細-07.28-08.02 (ExcelFIX)" xfId="395"/>
    <cellStyle name="_2_細-07.29-08.02 (ExcelFIX)" xfId="396"/>
    <cellStyle name="_2_細-08.03-08.07 (ExcelFIX)" xfId="397"/>
    <cellStyle name="_2_細-08.04-08.09 (ExcelFIX)" xfId="398"/>
    <cellStyle name="_2_細-08.05-08.10 (ExcelFIX)" xfId="399"/>
    <cellStyle name="_2_細-08.10-08.14 (ExcelFIX)" xfId="400"/>
    <cellStyle name="_2_細-08.11-08.16 (ExcelFIX)" xfId="401"/>
    <cellStyle name="_2_細-08.12-08.17 (ExcelFIX)" xfId="402"/>
    <cellStyle name="_2_細-08.17-08.21 (ExcelFIX)" xfId="403"/>
    <cellStyle name="_2_細-08.18-08.23 (ExcelFIX)" xfId="404"/>
    <cellStyle name="_2_細-08.19-08.24 (ExcelFIX)" xfId="405"/>
    <cellStyle name="_2_細-08.24-08.29 (ExcelFIX)" xfId="406"/>
    <cellStyle name="_2_細-08.25-08.28 (ExcelFIX)" xfId="407"/>
    <cellStyle name="_2_細-08.26-08.29 (ExcelFIX)" xfId="408"/>
    <cellStyle name="_2_細-08.31-09.05 (ExcelFIX)" xfId="409"/>
    <cellStyle name="_2_細-09.04-09.06 (ExcelFIX)" xfId="410"/>
    <cellStyle name="_2_細-09.04-09.07 (ExcelFIX)" xfId="411"/>
    <cellStyle name="_2_細-09.07-09.12 (ExcelFIX)" xfId="412"/>
    <cellStyle name="_2_細-09.08-09.13 (ExcelFIX)" xfId="413"/>
    <cellStyle name="_2_細-09.09-09.14 (ExcelFIX)" xfId="414"/>
    <cellStyle name="_2_細-09.14-09.19 (ExcelFIX)" xfId="415"/>
    <cellStyle name="_2_細-09.15-09.20 (ExcelFIX)" xfId="416"/>
    <cellStyle name="_2_細-09.16-09.21 (ExcelFIX)" xfId="417"/>
    <cellStyle name="_2_細-09.21-09.26 (ExcelFIX)" xfId="418"/>
    <cellStyle name="_2_細-09.22-09.27 (ExcelFIX)" xfId="419"/>
    <cellStyle name="_2_細-09.23-09.28 (ExcelFIX)" xfId="420"/>
    <cellStyle name="_2_細-09.28-10.03 (ExcelFIX)" xfId="421"/>
    <cellStyle name="_2_細-09.29-10.04 (ExcelFIX)" xfId="422"/>
    <cellStyle name="_2_細-09.30-10.04 (ExcelFIX)" xfId="423"/>
    <cellStyle name="_2_細-10.05-10.10 (ExcelFIX)" xfId="424"/>
    <cellStyle name="_2_細-10.06-10.11 (ExcelFIX)" xfId="425"/>
    <cellStyle name="_2_細-10.07-10.11 (ExcelFIX)" xfId="426"/>
    <cellStyle name="_2_細-10.12-10.16 (ExcelFIX)" xfId="427"/>
    <cellStyle name="_2_細-10.13-10.18 (ExcelFIX)" xfId="428"/>
    <cellStyle name="_2_細-10.14-10.18 (ExcelFIX)" xfId="429"/>
    <cellStyle name="_2_細-10.19-10.24 (ExcelFIX)" xfId="430"/>
    <cellStyle name="_2_細-10.20-10.24 (ExcelFIX)" xfId="431"/>
    <cellStyle name="_2_細-10.21-10.25 (ExcelFIX)" xfId="432"/>
    <cellStyle name="_2_細-10.21-10.31 (ExcelFIX)" xfId="433"/>
    <cellStyle name="_2_細-10.26-10.31 (ExcelFIX)" xfId="434"/>
    <cellStyle name="_2_細-10.27-11.01 (ExcelFIX)" xfId="435"/>
    <cellStyle name="_2_細-10.28-11.01 (ExcelFIX)" xfId="436"/>
    <cellStyle name="_2_細-11.03-11.08 (ExcelFIX)" xfId="437"/>
    <cellStyle name="_2_細-11.04-11.09 (ExcelFIX)" xfId="438"/>
    <cellStyle name="_2_細-11.10-11.15 (ExcelFIX)" xfId="439"/>
    <cellStyle name="_2_細-11.11-11.15  (ExcelFIX)" xfId="440"/>
    <cellStyle name="_2_細-11.11-11.16(ExcelFIX)" xfId="441"/>
    <cellStyle name="_2_細-11.17-11.22 (ExcelFIX)" xfId="442"/>
    <cellStyle name="_2_細-11.18-11.23  (ExcelFIX)" xfId="443"/>
    <cellStyle name="_2_細-11.24-11.29 (ExcelFIX)" xfId="444"/>
    <cellStyle name="_2_細-11.25-11.30  (ExcelFIX)" xfId="445"/>
    <cellStyle name="_2_細-12.01-12.06 (ExcelFIX)" xfId="446"/>
    <cellStyle name="_2_細-12.02-12.07  (ExcelFIX)" xfId="447"/>
    <cellStyle name="_2_細-12.08-12.13 (ExcelFIX)" xfId="448"/>
    <cellStyle name="_2_細-12.09-12.14  (ExcelFIX)" xfId="449"/>
    <cellStyle name="_2_細-12.10-12.15 (ExcelFIX)" xfId="450"/>
    <cellStyle name="_2_細-12.15-12.20 (ExcelFIX)" xfId="451"/>
    <cellStyle name="_2_細-12.16-12.20  (ExcelFIX)" xfId="452"/>
    <cellStyle name="_2_細-12.17-12.22 (ExcelFIX)" xfId="453"/>
    <cellStyle name="_2_細-12.22-12.27 (ExcelFIX)" xfId="454"/>
    <cellStyle name="_2_細-12.23-12.28  (ExcelFIX)" xfId="455"/>
    <cellStyle name="_2_細-12.24-12.29 (ExcelFIX)" xfId="456"/>
    <cellStyle name="_2_細-12.29-01.03 (ExcelFIX)" xfId="457"/>
    <cellStyle name="_2_細-12.30-01.03  (ExcelFIX)" xfId="458"/>
    <cellStyle name="_2_裝柜明細-10.31-11.04" xfId="459"/>
    <cellStyle name="_2_裝柜明細-11.07-11.11" xfId="460"/>
    <cellStyle name="_2_裝柜明細-11.14-11.18" xfId="461"/>
    <cellStyle name="_2_裝柜明細-11.21-11.25" xfId="462"/>
    <cellStyle name="_2_裝柜明細-11.28-12.02" xfId="463"/>
    <cellStyle name="_2_裝柜明細-12.05-12.09 (ExcelFIX)" xfId="464"/>
    <cellStyle name="_2_裝柜明細-12-12-12.17  (ExcelFIX)" xfId="465"/>
    <cellStyle name="_2_裝柜明細-12-19-12.23  (ExcelFIX)" xfId="466"/>
    <cellStyle name="_2_裝柜明細-12-26-12.30  (ExcelFIX)" xfId="467"/>
    <cellStyle name="_2_裝柜明細-3.19-3.23  (ExcelFIX)" xfId="468"/>
    <cellStyle name="_2_裝柜明細-3.26-3.30  (ExcelFIX)" xfId="469"/>
    <cellStyle name="_2_裝柜明細-4.9-4.13  (ExcelFIX)" xfId="470"/>
    <cellStyle name="_2_裝柜明細-5.14-5.19  (ExcelFIX)" xfId="471"/>
    <cellStyle name="_2_裝柜明細-5.21-5.26  (ExcelFIX)" xfId="472"/>
    <cellStyle name="_2_裝柜明細-5.2-5.5  (ExcelFIX)" xfId="473"/>
    <cellStyle name="_2_裝柜明細-5.7-5.12  (ExcelFIX)" xfId="474"/>
    <cellStyle name="_2011 年 Vinh Long Order list- 0805" xfId="475"/>
    <cellStyle name="_2011 年 Vinh Long Order list- 0805_2011 年 Vinh Long Order list- 1202" xfId="476"/>
    <cellStyle name="_2011 年 Vinh Long Order list- 0805_2011 年 Vinh Long Order list- 1202_2014 年 Vinh Long Order list- 0407" xfId="477"/>
    <cellStyle name="_2011 年 Vinh Long Order list- 0805_2011 年 Vinh Long Order list- 1202_201406" xfId="478"/>
    <cellStyle name="_2011 年 Vinh Long Order list- 0805_2012 年 Vinh Long Order list- 0113" xfId="479"/>
    <cellStyle name="_2011 年 Vinh Long Order list- 0805_2012 年 Vinh Long Order list- 0113_2014 年 Vinh Long Order list- 0407" xfId="480"/>
    <cellStyle name="_2011 年 Vinh Long Order list- 0805_2012 年 Vinh Long Order list- 0113_201406" xfId="481"/>
    <cellStyle name="_2011 年 Vinh Long Order list- 0805_2012 年 Vinh Long Order list- 0309" xfId="482"/>
    <cellStyle name="_2011 年 Vinh Long Order list- 0805_2012 年 Vinh Long Order list- 0309_2014 年 Vinh Long Order list- 0407" xfId="483"/>
    <cellStyle name="_2011 年 Vinh Long Order list- 0805_2012 年 Vinh Long Order list- 0309_201406" xfId="484"/>
    <cellStyle name="_2011 年 Vinh Long Order list- 0805_2012 年 Vinh Long Order list- 0316" xfId="485"/>
    <cellStyle name="_2011 年 Vinh Long Order list- 0805_2012 年 Vinh Long Order list- 0316_2014 年 Vinh Long Order list- 0407" xfId="486"/>
    <cellStyle name="_2011 年 Vinh Long Order list- 0805_2012 年 Vinh Long Order list- 0316_201406" xfId="487"/>
    <cellStyle name="_2011 年 Vinh Long Order list- 0805_2012 年 Vinh Long Order list- 0413" xfId="488"/>
    <cellStyle name="_2011 年 Vinh Long Order list- 0805_2012 年 Vinh Long Order list- 0413_2014 年 Vinh Long Order list- 0407" xfId="489"/>
    <cellStyle name="_2011 年 Vinh Long Order list- 0805_2012 年 Vinh Long Order list- 0413_201406" xfId="490"/>
    <cellStyle name="_2011 年 Vinh Long Order list- 0805_2012 年 Vinh Long Order list- 0525" xfId="491"/>
    <cellStyle name="_2011 年 Vinh Long Order list- 0805_2012 年 Vinh Long Order list- 0525_2014 年 Vinh Long Order list- 0407" xfId="492"/>
    <cellStyle name="_2011 年 Vinh Long Order list- 0805_2012 年 Vinh Long Order list- 0525_201406" xfId="493"/>
    <cellStyle name="_2011 年 Vinh Long Order list- 0805_2012 年 Vinh Long Order list- 0615" xfId="494"/>
    <cellStyle name="_2011 年 Vinh Long Order list- 0805_2012 年 Vinh Long Order list- 0615_2014 年 Vinh Long Order list- 0407" xfId="495"/>
    <cellStyle name="_2011 年 Vinh Long Order list- 0805_2012 年 Vinh Long Order list- 0615_201406" xfId="496"/>
    <cellStyle name="_2011 年 Vinh Long Order list- 0805_2012 年 Vinh Long Order list- 1125" xfId="497"/>
    <cellStyle name="_2011 年 Vinh Long Order list- 0805_2012 年 Vinh Long Order list- 1125_2014 年 Vinh Long Order list- 0407" xfId="498"/>
    <cellStyle name="_2011 年 Vinh Long Order list- 0805_2012 年 Vinh Long Order list- 1125_201406" xfId="499"/>
    <cellStyle name="_2011 年 Vinh Long Order list- 0805_2012 年 Vinh Long Order list- 1223" xfId="500"/>
    <cellStyle name="_2011 年 Vinh Long Order list- 0805_2012 年 Vinh Long Order list- 1223_2014 年 Vinh Long Order list- 0407" xfId="501"/>
    <cellStyle name="_2011 年 Vinh Long Order list- 0805_2012 年 Vinh Long Order list- 1223_201406" xfId="502"/>
    <cellStyle name="_2011 年 Vinh Long Order list- 0805_2013 年 Vinh Long Order list- 0831" xfId="503"/>
    <cellStyle name="_2011 年 Vinh Long Order list- 0805_2013 年 Vinh Long Order list- 0831_2014 年 Vinh Long Order list- 0407" xfId="504"/>
    <cellStyle name="_2011 年 Vinh Long Order list- 0805_2013 年 Vinh Long Order list- 0831_201406" xfId="505"/>
    <cellStyle name="_2012-02" xfId="506"/>
    <cellStyle name="_25-11x" xfId="507"/>
    <cellStyle name="_25-11x_GIAY LANH T11 LAN 7 15-12X (ExcelFIX)-old" xfId="508"/>
    <cellStyle name="_25-11x_GIAY LANH T11 LAN 7 15-12X (ExcelFIX)-old_03345" xfId="509"/>
    <cellStyle name="_25-11x_GIAY LANH T11 LAN 7 15-12X (ExcelFIX)-old_1" xfId="510"/>
    <cellStyle name="_25-11x_GIAY LANH T11 LAN 7 15-12X (ExcelFIX)-old_1_03334" xfId="511"/>
    <cellStyle name="_25-11x_GIAY LANH T11 LAN 7 15-12X (ExcelFIX)-old_1_DM" xfId="512"/>
    <cellStyle name="_25-11x_GIAY LANH T11 LAN 7 15-12X (ExcelFIX)-old_1_GIAY LANH T12 LAN 1 22-24-12X DA OK GOI (ExcelFIX) (ExcelFIX)" xfId="513"/>
    <cellStyle name="_25-11x_GIAY LANH T11 LAN 7 15-12X (ExcelFIX)-old_1_GIAY LANH T12 LAN 1 22-24-12X DA OK GOI DAO (ExcelFIX)" xfId="514"/>
    <cellStyle name="_25-11x_GIAY LANH T11 LAN 7 15-12X (ExcelFIX)-old_1_GIAY LANH T12 LAN 1 22-24-12X DA OK GOI DAO (ExcelFIX)_1PALLADIUM T01 XUAT 8.2 (ExcelFIX)" xfId="515"/>
    <cellStyle name="_25-11x_GIAY LANH T11 LAN 7 15-12X (ExcelFIX)-old_1_GIAY LANH T12 LAN 1 22-24-12X DA OK GOI DAO (ExcelFIX)_1PALLADIUM T02 XUAT (ExcelFIX)" xfId="516"/>
    <cellStyle name="_25-11x_GIAY LANH T11 LAN 7 15-12X (ExcelFIX)-old_1_GIAY LANH T12 LAN 1 22-24-12X DA OK GOI DAO (ExcelFIX)_6.2.15 XUAT" xfId="517"/>
    <cellStyle name="_25-11x_GIAY LANH T11 LAN 7 15-12X (ExcelFIX)-old_1_GIAY LANH T12 LAN 1 22-24-12X DA OK GOI DAO (ExcelFIX)_6.2.15 XUAT_K-SWISS T01 30-1 (ExcelFIX)" xfId="518"/>
    <cellStyle name="_25-11x_GIAY LANH T11 LAN 7 15-12X (ExcelFIX)-old_1_GIAY LANH T12 LAN 1 22-24-12X DA OK GOI DAO (ExcelFIX)_6.2.15 XUAT_K-SWISS T01 DAO LAM MY CAN BANG CHUA XUAT10-2X" xfId="519"/>
    <cellStyle name="_25-11x_GIAY LANH T11 LAN 7 15-12X (ExcelFIX)-old_1_GIAY LANH T12 LAN 1 22-24-12X DA OK GOI DAO (ExcelFIX)_DM CHUA XUAT-23.1.15" xfId="520"/>
    <cellStyle name="_25-11x_GIAY LANH T11 LAN 7 15-12X (ExcelFIX)-old_1_GIAY LANH T12 LAN 1 22-24-12X DA OK GOI DAO (ExcelFIX)_DM CHUA XUAT-23.1.15_K-SWISS T01 30-1 (ExcelFIX)" xfId="521"/>
    <cellStyle name="_25-11x_GIAY LANH T11 LAN 7 15-12X (ExcelFIX)-old_1_GIAY LANH T12 LAN 1 22-24-12X DA OK GOI DAO (ExcelFIX)_DM CHUA XUAT-23.1.15_K-SWISS T01 DAO LAM MY CAN BANG CHUA XUAT10-2X" xfId="522"/>
    <cellStyle name="_25-11x_GIAY LANH T11 LAN 7 15-12X (ExcelFIX)-old_1_GIAY LANH T12 LAN 1 22-24-12X DA OK GOI DAO (ExcelFIX)_KS 6-3X" xfId="523"/>
    <cellStyle name="_25-11x_GIAY LANH T11 LAN 7 15-12X (ExcelFIX)-old_1_GIAY LANH T12 LAN 1 22-24-12X DA OK GOI DAO (ExcelFIX)_K-SWISS 30.1 XUAT" xfId="524"/>
    <cellStyle name="_25-11x_GIAY LANH T11 LAN 7 15-12X (ExcelFIX)-old_1_GIAY LANH T12 LAN 1 22-24-12X DA OK GOI DAO (ExcelFIX)_K-SWISS T01 10-2X (ExcelFIX)" xfId="525"/>
    <cellStyle name="_25-11x_GIAY LANH T11 LAN 7 15-12X (ExcelFIX)-old_1_GIAY LANH T12 LAN 1 22-24-12X DA OK GOI DAO (ExcelFIX)_K-SWISS T01 30-1 (ExcelFIX)" xfId="526"/>
    <cellStyle name="_25-11x_GIAY LANH T11 LAN 7 15-12X (ExcelFIX)-old_1_GIAY LANH T12 LAN 1 22-24-12X DA OK GOI DAO (ExcelFIX)_K-SWISS T01 DAO LAM MY CAN BANG CHUA XUAT10-2X" xfId="527"/>
    <cellStyle name="_25-11x_GIAY LANH T11 LAN 7 15-12X (ExcelFIX)-old_1_GIAY LANH T12 LAN 1 22-24-12X DA OK GOI DAO (ExcelFIX)_K-SWISS T01 LAN 2 DOI XUAT WEAR 2-2X HC OK, M1 OK " xfId="528"/>
    <cellStyle name="_25-11x_GIAY LANH T11 LAN 7 15-12X (ExcelFIX)-old_1_GIAY LANH T12 LAN 1 22-24-12X DA OK GOI DAO (ExcelFIX)_K-SWISS-GIAY LANH T01 19-1X" xfId="529"/>
    <cellStyle name="_25-11x_GIAY LANH T11 LAN 7 15-12X (ExcelFIX)-old_1_GIAY LANH T12 LAN 1 22-24-12X DA OK GOI DAO (ExcelFIX)_PALLADIUM T01 XUAT 23.1 LAN 2 (ExcelFIX)" xfId="530"/>
    <cellStyle name="_25-11x_GIAY LANH T11 LAN 7 15-12X (ExcelFIX)-old_1_GIAY LANH T12 LAN 1 22-24-12X DA OK GOI DAO (ExcelFIX)_PALLADIUM T01 XUAT 8.2 (ExcelFIX)" xfId="531"/>
    <cellStyle name="_25-11x_GIAY LANH T11 LAN 7 15-12X (ExcelFIX)-old_1_GIAY LANH T12 LAN 1 22-24-12X DA OK GOI DAO (ExcelFIX)_PALLADIUM T01xuat 23.1 (ExcelFIX)" xfId="532"/>
    <cellStyle name="_25-11x_GIAY LANH T11 LAN 7 15-12X (ExcelFIX)-old_1_GIAY LANH T12 LAN 1 22-24-12X DA OK GOI DAO (ExcelFIX)_PALLADIUM T01xuat 23.1 LAN 1 (ExcelFIX)" xfId="533"/>
    <cellStyle name="_25-11x_GIAY LANH T11 LAN 7 15-12X (ExcelFIX)-old_1_GIAY LANH T12 LAN 1 22-24-12X DA OK GOI DAO (ExcelFIX)_PALLADIUM-CXXUAT 6.2" xfId="534"/>
    <cellStyle name="_25-11x_GIAY LANH T11 LAN 7 15-12X (ExcelFIX)-old_1_GIAY LANH T12 LAN 1 22-24-12X DA OK GOI DAO (ExcelFIX)_PALLADIUM-CXXUAT 9.2" xfId="535"/>
    <cellStyle name="_25-11x_GIAY LANH T11 LAN 7 15-12X (ExcelFIX)-old_1_GIAY LANH T12 LAN 1 22-24-12X DA OK GOI DAO (ExcelFIX)_PALLADIUM-CXXUAT CHUA CO NGAY XUAT" xfId="536"/>
    <cellStyle name="_25-11x_GIAY LANH T11 LAN 7 15-12X (ExcelFIX)-old_1_GIAY LANH T12 LAN 1 22-24-12X DA OK GOI DAO (ExcelFIX)_SD1502-053,054 XUAT 2.3 (ExcelFIX)" xfId="537"/>
    <cellStyle name="_25-11x_GIAY LANH T11 LAN 7 15-12X (ExcelFIX)-old_1_GIAY LANH T12 LAN 1 22-24-12X DA OK GOI DAO (ExcelFIX)_SWS1502-155,156,159~166 XUAT 6.3" xfId="538"/>
    <cellStyle name="_25-11x_GIAY LANH T11 LAN 7 15-12X (ExcelFIX)-old_1_GIAY LANH T12 LAN 1 22-24-12X DA OK GOI DAO (ExcelFIX)_SWS1502-167" xfId="539"/>
    <cellStyle name="_25-11x_GIAY LANH T11 LAN 7 15-12X (ExcelFIX)-old_1_GIAY LANH T12 LAN 3 XUAT co 78B  22-12" xfId="540"/>
    <cellStyle name="_25-11x_GIAY LANH T11 LAN 7 15-12X (ExcelFIX)-old_1_GIAY LANH T12 LAN 3 XUAT co 78B  22-12_6.2.15 XUAT" xfId="541"/>
    <cellStyle name="_25-11x_GIAY LANH T11 LAN 7 15-12X (ExcelFIX)-old_1_GIAY LANH T12 LAN 3 XUAT co 78B  22-12_6.2.15 XUAT_K-SWISS T01 30-1 (ExcelFIX)" xfId="542"/>
    <cellStyle name="_25-11x_GIAY LANH T11 LAN 7 15-12X (ExcelFIX)-old_1_GIAY LANH T12 LAN 3 XUAT co 78B  22-12_6.2.15 XUAT_K-SWISS T01 DAO LAM MY CAN BANG CHUA XUAT10-2X" xfId="543"/>
    <cellStyle name="_25-11x_GIAY LANH T11 LAN 7 15-12X (ExcelFIX)-old_1_GIAY LANH T12 LAN 3 XUAT co 78B  22-12_DM CHUA XUAT-23.1.15" xfId="544"/>
    <cellStyle name="_25-11x_GIAY LANH T11 LAN 7 15-12X (ExcelFIX)-old_1_GIAY LANH T12 LAN 3 XUAT co 78B  22-12_DM CHUA XUAT-23.1.15_K-SWISS T01 30-1 (ExcelFIX)" xfId="545"/>
    <cellStyle name="_25-11x_GIAY LANH T11 LAN 7 15-12X (ExcelFIX)-old_1_GIAY LANH T12 LAN 3 XUAT co 78B  22-12_DM CHUA XUAT-23.1.15_K-SWISS T01 DAO LAM MY CAN BANG CHUA XUAT10-2X" xfId="546"/>
    <cellStyle name="_25-11x_GIAY LANH T11 LAN 7 15-12X (ExcelFIX)-old_1_GIAY LANH T12 LAN 3 XUAT co 78B  22-12_KS 6-3X" xfId="547"/>
    <cellStyle name="_25-11x_GIAY LANH T11 LAN 7 15-12X (ExcelFIX)-old_1_GIAY LANH T12 LAN 3 XUAT co 78B  22-12_K-SWISS 30.1 XUAT" xfId="548"/>
    <cellStyle name="_25-11x_GIAY LANH T11 LAN 7 15-12X (ExcelFIX)-old_1_GIAY LANH T12 LAN 3 XUAT co 78B  22-12_K-SWISS T01 10-2X (ExcelFIX)" xfId="549"/>
    <cellStyle name="_25-11x_GIAY LANH T11 LAN 7 15-12X (ExcelFIX)-old_1_GIAY LANH T12 LAN 3 XUAT co 78B  22-12_K-SWISS T01 30-1 (ExcelFIX)" xfId="550"/>
    <cellStyle name="_25-11x_GIAY LANH T11 LAN 7 15-12X (ExcelFIX)-old_1_GIAY LANH T12 LAN 3 XUAT co 78B  22-12_K-SWISS T01 DAO LAM MY CAN BANG CHUA XUAT10-2X" xfId="551"/>
    <cellStyle name="_25-11x_GIAY LANH T11 LAN 7 15-12X (ExcelFIX)-old_1_GIAY LANH T12 LAN 3 XUAT co 78B  22-12_K-SWISS T01 LAN 2 DOI XUAT WEAR 2-2X HC OK, M1 OK " xfId="552"/>
    <cellStyle name="_25-11x_GIAY LANH T11 LAN 7 15-12X (ExcelFIX)-old_1_GIAY LANH T12 LAN 3 XUAT co 78B  22-12_K-SWISS-GIAY LANH T01 19-1X" xfId="553"/>
    <cellStyle name="_25-11x_GIAY LANH T11 LAN 7 15-12X (ExcelFIX)-old_1_GIAY LANH T12 LAN 3 XUAT co 78B  22-12_SD1502-053,054 XUAT 2.3 (ExcelFIX)" xfId="554"/>
    <cellStyle name="_25-11x_GIAY LANH T11 LAN 7 15-12X (ExcelFIX)-old_1_GIAY LANH T12 LAN 3 XUAT co 78B  22-12_SWS1502-155,156,159~166 XUAT 6.3" xfId="555"/>
    <cellStyle name="_25-11x_GIAY LANH T11 LAN 7 15-12X (ExcelFIX)-old_1_GIAY LANH T12 LAN 3 XUAT co 78B  22-12_SWS1502-167" xfId="556"/>
    <cellStyle name="_25-11x_GIAY LANH T11 LAN 7 15-12X (ExcelFIX)-old_1_GIAY LANH T12-HAP 27-12X" xfId="557"/>
    <cellStyle name="_25-11x_GIAY LANH T11 LAN 7 15-12X (ExcelFIX)-old_1_GIAY LANH T12-HAP 27-12X_1PALLADIUM T01 XUAT 8.2 (ExcelFIX)" xfId="558"/>
    <cellStyle name="_25-11x_GIAY LANH T11 LAN 7 15-12X (ExcelFIX)-old_1_GIAY LANH T12-HAP 27-12X_1PALLADIUM T02 XUAT (ExcelFIX)" xfId="559"/>
    <cellStyle name="_25-11x_GIAY LANH T11 LAN 7 15-12X (ExcelFIX)-old_1_GIAY LANH T12-HAP 27-12X_6.2.15 XUAT" xfId="560"/>
    <cellStyle name="_25-11x_GIAY LANH T11 LAN 7 15-12X (ExcelFIX)-old_1_GIAY LANH T12-HAP 27-12X_6.2.15 XUAT_K-SWISS T01 30-1 (ExcelFIX)" xfId="561"/>
    <cellStyle name="_25-11x_GIAY LANH T11 LAN 7 15-12X (ExcelFIX)-old_1_GIAY LANH T12-HAP 27-12X_6.2.15 XUAT_K-SWISS T01 DAO LAM MY CAN BANG CHUA XUAT10-2X" xfId="562"/>
    <cellStyle name="_25-11x_GIAY LANH T11 LAN 7 15-12X (ExcelFIX)-old_1_GIAY LANH T12-HAP 27-12X_DM CHUA XUAT-23.1.15" xfId="563"/>
    <cellStyle name="_25-11x_GIAY LANH T11 LAN 7 15-12X (ExcelFIX)-old_1_GIAY LANH T12-HAP 27-12X_DM CHUA XUAT-23.1.15_K-SWISS T01 30-1 (ExcelFIX)" xfId="564"/>
    <cellStyle name="_25-11x_GIAY LANH T11 LAN 7 15-12X (ExcelFIX)-old_1_GIAY LANH T12-HAP 27-12X_DM CHUA XUAT-23.1.15_K-SWISS T01 DAO LAM MY CAN BANG CHUA XUAT10-2X" xfId="565"/>
    <cellStyle name="_25-11x_GIAY LANH T11 LAN 7 15-12X (ExcelFIX)-old_1_GIAY LANH T12-HAP 27-12X_KS 6-3X" xfId="566"/>
    <cellStyle name="_25-11x_GIAY LANH T11 LAN 7 15-12X (ExcelFIX)-old_1_GIAY LANH T12-HAP 27-12X_K-SWISS 30.1 XUAT" xfId="567"/>
    <cellStyle name="_25-11x_GIAY LANH T11 LAN 7 15-12X (ExcelFIX)-old_1_GIAY LANH T12-HAP 27-12X_K-SWISS T01 10-2X (ExcelFIX)" xfId="568"/>
    <cellStyle name="_25-11x_GIAY LANH T11 LAN 7 15-12X (ExcelFIX)-old_1_GIAY LANH T12-HAP 27-12X_K-SWISS T01 30-1 (ExcelFIX)" xfId="569"/>
    <cellStyle name="_25-11x_GIAY LANH T11 LAN 7 15-12X (ExcelFIX)-old_1_GIAY LANH T12-HAP 27-12X_K-SWISS T01 DAO LAM MY CAN BANG CHUA XUAT10-2X" xfId="570"/>
    <cellStyle name="_25-11x_GIAY LANH T11 LAN 7 15-12X (ExcelFIX)-old_1_GIAY LANH T12-HAP 27-12X_K-SWISS T01 LAN 2 DOI XUAT WEAR 2-2X HC OK, M1 OK " xfId="571"/>
    <cellStyle name="_25-11x_GIAY LANH T11 LAN 7 15-12X (ExcelFIX)-old_1_GIAY LANH T12-HAP 27-12X_K-SWISS-GIAY LANH T01 19-1X" xfId="572"/>
    <cellStyle name="_25-11x_GIAY LANH T11 LAN 7 15-12X (ExcelFIX)-old_1_GIAY LANH T12-HAP 27-12X_PALLADIUM T01 XUAT 23.1 LAN 2 (ExcelFIX)" xfId="573"/>
    <cellStyle name="_25-11x_GIAY LANH T11 LAN 7 15-12X (ExcelFIX)-old_1_GIAY LANH T12-HAP 27-12X_PALLADIUM T01 XUAT 8.2 (ExcelFIX)" xfId="574"/>
    <cellStyle name="_25-11x_GIAY LANH T11 LAN 7 15-12X (ExcelFIX)-old_1_GIAY LANH T12-HAP 27-12X_PALLADIUM T01xuat 23.1 (ExcelFIX)" xfId="575"/>
    <cellStyle name="_25-11x_GIAY LANH T11 LAN 7 15-12X (ExcelFIX)-old_1_GIAY LANH T12-HAP 27-12X_PALLADIUM T01xuat 23.1 LAN 1 (ExcelFIX)" xfId="576"/>
    <cellStyle name="_25-11x_GIAY LANH T11 LAN 7 15-12X (ExcelFIX)-old_1_GIAY LANH T12-HAP 27-12X_PALLADIUM-CXXUAT 6.2" xfId="577"/>
    <cellStyle name="_25-11x_GIAY LANH T11 LAN 7 15-12X (ExcelFIX)-old_1_GIAY LANH T12-HAP 27-12X_PALLADIUM-CXXUAT 9.2" xfId="578"/>
    <cellStyle name="_25-11x_GIAY LANH T11 LAN 7 15-12X (ExcelFIX)-old_1_GIAY LANH T12-HAP 27-12X_PALLADIUM-CXXUAT CHUA CO NGAY XUAT" xfId="579"/>
    <cellStyle name="_25-11x_GIAY LANH T11 LAN 7 15-12X (ExcelFIX)-old_1_GIAY LANH T12-HAP 27-12X_SD1502-053,054 XUAT 2.3 (ExcelFIX)" xfId="580"/>
    <cellStyle name="_25-11x_GIAY LANH T11 LAN 7 15-12X (ExcelFIX)-old_1_GIAY LANH T12-HAP 27-12X_SWS1502-155,156,159~166 XUAT 6.3" xfId="581"/>
    <cellStyle name="_25-11x_GIAY LANH T11 LAN 7 15-12X (ExcelFIX)-old_1_GIAY LANH T12-HAP 27-12X_SWS1502-167" xfId="582"/>
    <cellStyle name="_25-11x_GIAY LANH T11 LAN 7 15-12X (ExcelFIX)-old_1_K-SWISS T12 LAN 2 22-12X (ExcelFIX)" xfId="583"/>
    <cellStyle name="_25-11x_GIAY LANH T11 LAN 7 15-12X (ExcelFIX)-old_1_K-SWISS T12 LAN 2 22-12X (ExcelFIX)_1PALLADIUM T01 XUAT 8.2 (ExcelFIX)" xfId="584"/>
    <cellStyle name="_25-11x_GIAY LANH T11 LAN 7 15-12X (ExcelFIX)-old_1_K-SWISS T12 LAN 2 22-12X (ExcelFIX)_1PALLADIUM T02 XUAT (ExcelFIX)" xfId="585"/>
    <cellStyle name="_25-11x_GIAY LANH T11 LAN 7 15-12X (ExcelFIX)-old_1_K-SWISS T12 LAN 2 22-12X (ExcelFIX)_6.2.15 XUAT" xfId="586"/>
    <cellStyle name="_25-11x_GIAY LANH T11 LAN 7 15-12X (ExcelFIX)-old_1_K-SWISS T12 LAN 2 22-12X (ExcelFIX)_6.2.15 XUAT_K-SWISS T01 30-1 (ExcelFIX)" xfId="587"/>
    <cellStyle name="_25-11x_GIAY LANH T11 LAN 7 15-12X (ExcelFIX)-old_1_K-SWISS T12 LAN 2 22-12X (ExcelFIX)_6.2.15 XUAT_K-SWISS T01 DAO LAM MY CAN BANG CHUA XUAT10-2X" xfId="588"/>
    <cellStyle name="_25-11x_GIAY LANH T11 LAN 7 15-12X (ExcelFIX)-old_1_K-SWISS T12 LAN 2 22-12X (ExcelFIX)_DM CHUA XUAT-23.1.15" xfId="589"/>
    <cellStyle name="_25-11x_GIAY LANH T11 LAN 7 15-12X (ExcelFIX)-old_1_K-SWISS T12 LAN 2 22-12X (ExcelFIX)_DM CHUA XUAT-23.1.15_K-SWISS T01 30-1 (ExcelFIX)" xfId="590"/>
    <cellStyle name="_25-11x_GIAY LANH T11 LAN 7 15-12X (ExcelFIX)-old_1_K-SWISS T12 LAN 2 22-12X (ExcelFIX)_DM CHUA XUAT-23.1.15_K-SWISS T01 DAO LAM MY CAN BANG CHUA XUAT10-2X" xfId="591"/>
    <cellStyle name="_25-11x_GIAY LANH T11 LAN 7 15-12X (ExcelFIX)-old_1_K-SWISS T12 LAN 2 22-12X (ExcelFIX)_KS 6-3X" xfId="592"/>
    <cellStyle name="_25-11x_GIAY LANH T11 LAN 7 15-12X (ExcelFIX)-old_1_K-SWISS T12 LAN 2 22-12X (ExcelFIX)_K-SWISS 30.1 XUAT" xfId="593"/>
    <cellStyle name="_25-11x_GIAY LANH T11 LAN 7 15-12X (ExcelFIX)-old_1_K-SWISS T12 LAN 2 22-12X (ExcelFIX)_K-SWISS T01 10-2X (ExcelFIX)" xfId="594"/>
    <cellStyle name="_25-11x_GIAY LANH T11 LAN 7 15-12X (ExcelFIX)-old_1_K-SWISS T12 LAN 2 22-12X (ExcelFIX)_K-SWISS T01 30-1 (ExcelFIX)" xfId="595"/>
    <cellStyle name="_25-11x_GIAY LANH T11 LAN 7 15-12X (ExcelFIX)-old_1_K-SWISS T12 LAN 2 22-12X (ExcelFIX)_K-SWISS T01 DAO LAM MY CAN BANG CHUA XUAT10-2X" xfId="596"/>
    <cellStyle name="_25-11x_GIAY LANH T11 LAN 7 15-12X (ExcelFIX)-old_1_K-SWISS T12 LAN 2 22-12X (ExcelFIX)_K-SWISS T01 LAN 2 DOI XUAT WEAR 2-2X HC OK, M1 OK " xfId="597"/>
    <cellStyle name="_25-11x_GIAY LANH T11 LAN 7 15-12X (ExcelFIX)-old_1_K-SWISS T12 LAN 2 22-12X (ExcelFIX)_K-SWISS-GIAY LANH T01 19-1X" xfId="598"/>
    <cellStyle name="_25-11x_GIAY LANH T11 LAN 7 15-12X (ExcelFIX)-old_1_K-SWISS T12 LAN 2 22-12X (ExcelFIX)_PALLADIUM T01 XUAT 23.1 LAN 2 (ExcelFIX)" xfId="599"/>
    <cellStyle name="_25-11x_GIAY LANH T11 LAN 7 15-12X (ExcelFIX)-old_1_K-SWISS T12 LAN 2 22-12X (ExcelFIX)_PALLADIUM T01 XUAT 8.2 (ExcelFIX)" xfId="600"/>
    <cellStyle name="_25-11x_GIAY LANH T11 LAN 7 15-12X (ExcelFIX)-old_1_K-SWISS T12 LAN 2 22-12X (ExcelFIX)_PALLADIUM T01xuat 23.1 (ExcelFIX)" xfId="601"/>
    <cellStyle name="_25-11x_GIAY LANH T11 LAN 7 15-12X (ExcelFIX)-old_1_K-SWISS T12 LAN 2 22-12X (ExcelFIX)_PALLADIUM T01xuat 23.1 LAN 1 (ExcelFIX)" xfId="602"/>
    <cellStyle name="_25-11x_GIAY LANH T11 LAN 7 15-12X (ExcelFIX)-old_1_K-SWISS T12 LAN 2 22-12X (ExcelFIX)_PALLADIUM-CXXUAT 6.2" xfId="603"/>
    <cellStyle name="_25-11x_GIAY LANH T11 LAN 7 15-12X (ExcelFIX)-old_1_K-SWISS T12 LAN 2 22-12X (ExcelFIX)_PALLADIUM-CXXUAT 9.2" xfId="604"/>
    <cellStyle name="_25-11x_GIAY LANH T11 LAN 7 15-12X (ExcelFIX)-old_1_K-SWISS T12 LAN 2 22-12X (ExcelFIX)_PALLADIUM-CXXUAT CHUA CO NGAY XUAT" xfId="605"/>
    <cellStyle name="_25-11x_GIAY LANH T11 LAN 7 15-12X (ExcelFIX)-old_1_K-SWISS T12 LAN 2 22-12X (ExcelFIX)_SD1502-053,054 XUAT 2.3 (ExcelFIX)" xfId="606"/>
    <cellStyle name="_25-11x_GIAY LANH T11 LAN 7 15-12X (ExcelFIX)-old_1_K-SWISS T12 LAN 2 22-12X (ExcelFIX)_SWS1502-155,156,159~166 XUAT 6.3" xfId="607"/>
    <cellStyle name="_25-11x_GIAY LANH T11 LAN 7 15-12X (ExcelFIX)-old_1_K-SWISS T12 LAN 2 22-12X (ExcelFIX)_SWS1502-167" xfId="608"/>
    <cellStyle name="_25-11x_GIAY LANH T11 LAN 7 15-12X (ExcelFIX)-old_1_SWS1501-129,133,403" xfId="609"/>
    <cellStyle name="_25-11x_GIAY LANH T11 LAN 7 15-12X (ExcelFIX)-old_1_SWS1501-129,133,403_K-SWISS T01 10-2X (ExcelFIX)" xfId="610"/>
    <cellStyle name="_25-11x_GIAY LANH T11 LAN 7 15-12X (ExcelFIX)-old_1_SWS1501-130,131,132" xfId="611"/>
    <cellStyle name="_25-11x_GIAY LANH T11 LAN 7 15-12X (ExcelFIX)-old_1_SWS1501-130,131,132_K-SWISS T01 10-2X (ExcelFIX)" xfId="612"/>
    <cellStyle name="_25-11x_GIAY LANH T11 LAN 7 15-12X (ExcelFIX)-old_1_SWS1501-135,125,126" xfId="613"/>
    <cellStyle name="_25-11x_GIAY LANH T11 LAN 7 15-12X (ExcelFIX)-old_1_SWS1501-135,125,126_K-SWISS T01 10-2X (ExcelFIX)" xfId="614"/>
    <cellStyle name="_25-11x_GIAY LANH T11 LAN 7 15-12X (ExcelFIX)-old_DM" xfId="615"/>
    <cellStyle name="_25-11x_GIAY LANH T11 LAN 7 15-12X (ExcelFIX)-old_GIAY LANH T12 LAN 1 22-24-12X (ExcelFIX)" xfId="616"/>
    <cellStyle name="_25-11x_GIAY LANH T11 LAN 7 15-12X (ExcelFIX)-old_GIAY LANH T12 LAN 1 22-24-12X DA OK GOI (ExcelFIX) (ExcelFIX)" xfId="617"/>
    <cellStyle name="_25-11x_GIAY LANH T11 LAN 7 15-12X (ExcelFIX)-old_GIAY LANH T12 LAN 1 22-24-12X DA OK GOI DAO (ExcelFIX)" xfId="618"/>
    <cellStyle name="_25-11x_GIAY LANH T11 LAN 7 15-12X (ExcelFIX)-old_GIAY LANH T12 LAN 2 XUAT 22-24-12  MAT 2 ROI CAN BANG" xfId="619"/>
    <cellStyle name="_25-11x_GIAY LANH T11 LAN 7 15-12X (ExcelFIX)-old_GIAY LANH T12 LAN 2 XUAT 22-24-12  MAT 2 ROI CAN BANG_1" xfId="620"/>
    <cellStyle name="_25-11x_GIAY LANH T11 LAN 7 15-12X (ExcelFIX)-old_GIAY LANH T12 LAN 2 XUAT 22-24-12  MAT 2 ROI CAN BANG_1_KS 6-3X" xfId="621"/>
    <cellStyle name="_25-11x_GIAY LANH T11 LAN 7 15-12X (ExcelFIX)-old_GIAY LANH T12 LAN 2 XUAT 22-24-12  MAT 2 ROI CAN BANG_1_K-SWISS T01 10-2X (ExcelFIX)" xfId="622"/>
    <cellStyle name="_25-11x_GIAY LANH T11 LAN 7 15-12X (ExcelFIX)-old_GIAY LANH T12 LAN 2 XUAT 22-24-12  MAT 2 ROI CAN BANG_1_K-SWISS T01 30-1 (ExcelFIX)" xfId="623"/>
    <cellStyle name="_25-11x_GIAY LANH T11 LAN 7 15-12X (ExcelFIX)-old_GIAY LANH T12 LAN 2 XUAT 22-24-12  MAT 2 ROI CAN BANG_1_K-SWISS T01 DAO LAM MY CAN BANG CHUA XUAT10-2X" xfId="624"/>
    <cellStyle name="_25-11x_GIAY LANH T11 LAN 7 15-12X (ExcelFIX)-old_GIAY LANH T12 LAN 2 XUAT 22-24-12  MAT 2 ROI CAN BANG_1_K-SWISS T01 LAN 2 DOI XUAT WEAR 2-2X HC OK, M1 OK " xfId="625"/>
    <cellStyle name="_25-11x_GIAY LANH T11 LAN 7 15-12X (ExcelFIX)-old_GIAY LANH T12 LAN 2 XUAT 22-24-12  MAT 2 ROI CAN BANG_1_SD1502-053,054 XUAT 2.3 (ExcelFIX)" xfId="626"/>
    <cellStyle name="_25-11x_GIAY LANH T11 LAN 7 15-12X (ExcelFIX)-old_GIAY LANH T12 LAN 2 XUAT 22-24-12  MAT 2 ROI CAN BANG_1_SWS1502-155,156,159~166 XUAT 6.3" xfId="627"/>
    <cellStyle name="_25-11x_GIAY LANH T11 LAN 7 15-12X (ExcelFIX)-old_GIAY LANH T12 LAN 2 XUAT 22-24-12  MAT 2 ROI CAN BANG_DM" xfId="628"/>
    <cellStyle name="_25-11x_GIAY LANH T11 LAN 7 15-12X (ExcelFIX)-old_GIAY LANH T12 LAN 2 XUAT 22-24-12  MAT 2 ROI CAN BANG_GIAY LANH T12-HAP 27-12X" xfId="629"/>
    <cellStyle name="_25-11x_GIAY LANH T11 LAN 7 15-12X (ExcelFIX)-old_GIAY LANH T12 LAN 2 XUAT 22-24-12  MAT 2 ROI CAN BANG_GIAY LANH T12-HAP 27-12X_1PALLADIUM T01 XUAT 8.2 (ExcelFIX)" xfId="630"/>
    <cellStyle name="_25-11x_GIAY LANH T11 LAN 7 15-12X (ExcelFIX)-old_GIAY LANH T12 LAN 2 XUAT 22-24-12  MAT 2 ROI CAN BANG_GIAY LANH T12-HAP 27-12X_1PALLADIUM T02 XUAT (ExcelFIX)" xfId="631"/>
    <cellStyle name="_25-11x_GIAY LANH T11 LAN 7 15-12X (ExcelFIX)-old_GIAY LANH T12 LAN 2 XUAT 22-24-12  MAT 2 ROI CAN BANG_GIAY LANH T12-HAP 27-12X_6.2.15 XUAT" xfId="632"/>
    <cellStyle name="_25-11x_GIAY LANH T11 LAN 7 15-12X (ExcelFIX)-old_GIAY LANH T12 LAN 2 XUAT 22-24-12  MAT 2 ROI CAN BANG_GIAY LANH T12-HAP 27-12X_6.2.15 XUAT_K-SWISS T01 30-1 (ExcelFIX)" xfId="633"/>
    <cellStyle name="_25-11x_GIAY LANH T11 LAN 7 15-12X (ExcelFIX)-old_GIAY LANH T12 LAN 2 XUAT 22-24-12  MAT 2 ROI CAN BANG_GIAY LANH T12-HAP 27-12X_6.2.15 XUAT_K-SWISS T01 DAO LAM MY CAN BANG CHUA XUAT10-2X" xfId="634"/>
    <cellStyle name="_25-11x_GIAY LANH T11 LAN 7 15-12X (ExcelFIX)-old_GIAY LANH T12 LAN 2 XUAT 22-24-12  MAT 2 ROI CAN BANG_GIAY LANH T12-HAP 27-12X_DM CHUA XUAT-23.1.15" xfId="635"/>
    <cellStyle name="_25-11x_GIAY LANH T11 LAN 7 15-12X (ExcelFIX)-old_GIAY LANH T12 LAN 2 XUAT 22-24-12  MAT 2 ROI CAN BANG_GIAY LANH T12-HAP 27-12X_DM CHUA XUAT-23.1.15_K-SWISS T01 30-1 (ExcelFIX)" xfId="636"/>
    <cellStyle name="_25-11x_GIAY LANH T11 LAN 7 15-12X (ExcelFIX)-old_GIAY LANH T12 LAN 2 XUAT 22-24-12  MAT 2 ROI CAN BANG_GIAY LANH T12-HAP 27-12X_DM CHUA XUAT-23.1.15_K-SWISS T01 DAO LAM MY CAN BANG CHUA XUAT10-2X" xfId="637"/>
    <cellStyle name="_25-11x_GIAY LANH T11 LAN 7 15-12X (ExcelFIX)-old_GIAY LANH T12 LAN 2 XUAT 22-24-12  MAT 2 ROI CAN BANG_GIAY LANH T12-HAP 27-12X_KS 6-3X" xfId="638"/>
    <cellStyle name="_25-11x_GIAY LANH T11 LAN 7 15-12X (ExcelFIX)-old_GIAY LANH T12 LAN 2 XUAT 22-24-12  MAT 2 ROI CAN BANG_GIAY LANH T12-HAP 27-12X_K-SWISS 30.1 XUAT" xfId="639"/>
    <cellStyle name="_25-11x_GIAY LANH T11 LAN 7 15-12X (ExcelFIX)-old_GIAY LANH T12 LAN 2 XUAT 22-24-12  MAT 2 ROI CAN BANG_GIAY LANH T12-HAP 27-12X_K-SWISS T01 10-2X (ExcelFIX)" xfId="640"/>
    <cellStyle name="_25-11x_GIAY LANH T11 LAN 7 15-12X (ExcelFIX)-old_GIAY LANH T12 LAN 2 XUAT 22-24-12  MAT 2 ROI CAN BANG_GIAY LANH T12-HAP 27-12X_K-SWISS T01 30-1 (ExcelFIX)" xfId="641"/>
    <cellStyle name="_25-11x_GIAY LANH T11 LAN 7 15-12X (ExcelFIX)-old_GIAY LANH T12 LAN 2 XUAT 22-24-12  MAT 2 ROI CAN BANG_GIAY LANH T12-HAP 27-12X_K-SWISS T01 DAO LAM MY CAN BANG CHUA XUAT10-2X" xfId="642"/>
    <cellStyle name="_25-11x_GIAY LANH T11 LAN 7 15-12X (ExcelFIX)-old_GIAY LANH T12 LAN 2 XUAT 22-24-12  MAT 2 ROI CAN BANG_GIAY LANH T12-HAP 27-12X_K-SWISS T01 LAN 2 DOI XUAT WEAR 2-2X HC OK, M1 OK " xfId="643"/>
    <cellStyle name="_25-11x_GIAY LANH T11 LAN 7 15-12X (ExcelFIX)-old_GIAY LANH T12 LAN 2 XUAT 22-24-12  MAT 2 ROI CAN BANG_GIAY LANH T12-HAP 27-12X_K-SWISS-GIAY LANH T01 19-1X" xfId="644"/>
    <cellStyle name="_25-11x_GIAY LANH T11 LAN 7 15-12X (ExcelFIX)-old_GIAY LANH T12 LAN 2 XUAT 22-24-12  MAT 2 ROI CAN BANG_GIAY LANH T12-HAP 27-12X_PALLADIUM T01 XUAT 23.1 LAN 2 (ExcelFIX)" xfId="645"/>
    <cellStyle name="_25-11x_GIAY LANH T11 LAN 7 15-12X (ExcelFIX)-old_GIAY LANH T12 LAN 2 XUAT 22-24-12  MAT 2 ROI CAN BANG_GIAY LANH T12-HAP 27-12X_PALLADIUM T01 XUAT 8.2 (ExcelFIX)" xfId="646"/>
    <cellStyle name="_25-11x_GIAY LANH T11 LAN 7 15-12X (ExcelFIX)-old_GIAY LANH T12 LAN 2 XUAT 22-24-12  MAT 2 ROI CAN BANG_GIAY LANH T12-HAP 27-12X_PALLADIUM T01xuat 23.1 (ExcelFIX)" xfId="647"/>
    <cellStyle name="_25-11x_GIAY LANH T11 LAN 7 15-12X (ExcelFIX)-old_GIAY LANH T12 LAN 2 XUAT 22-24-12  MAT 2 ROI CAN BANG_GIAY LANH T12-HAP 27-12X_PALLADIUM T01xuat 23.1 LAN 1 (ExcelFIX)" xfId="648"/>
    <cellStyle name="_25-11x_GIAY LANH T11 LAN 7 15-12X (ExcelFIX)-old_GIAY LANH T12 LAN 2 XUAT 22-24-12  MAT 2 ROI CAN BANG_GIAY LANH T12-HAP 27-12X_PALLADIUM-CXXUAT 6.2" xfId="649"/>
    <cellStyle name="_25-11x_GIAY LANH T11 LAN 7 15-12X (ExcelFIX)-old_GIAY LANH T12 LAN 2 XUAT 22-24-12  MAT 2 ROI CAN BANG_GIAY LANH T12-HAP 27-12X_PALLADIUM-CXXUAT 9.2" xfId="650"/>
    <cellStyle name="_25-11x_GIAY LANH T11 LAN 7 15-12X (ExcelFIX)-old_GIAY LANH T12 LAN 2 XUAT 22-24-12  MAT 2 ROI CAN BANG_GIAY LANH T12-HAP 27-12X_PALLADIUM-CXXUAT CHUA CO NGAY XUAT" xfId="651"/>
    <cellStyle name="_25-11x_GIAY LANH T11 LAN 7 15-12X (ExcelFIX)-old_GIAY LANH T12 LAN 2 XUAT 22-24-12  MAT 2 ROI CAN BANG_GIAY LANH T12-HAP 27-12X_SD1502-053,054 XUAT 2.3 (ExcelFIX)" xfId="652"/>
    <cellStyle name="_25-11x_GIAY LANH T11 LAN 7 15-12X (ExcelFIX)-old_GIAY LANH T12 LAN 2 XUAT 22-24-12  MAT 2 ROI CAN BANG_GIAY LANH T12-HAP 27-12X_SWS1502-155,156,159~166 XUAT 6.3" xfId="653"/>
    <cellStyle name="_25-11x_GIAY LANH T11 LAN 7 15-12X (ExcelFIX)-old_GIAY LANH T12 LAN 2 XUAT 22-24-12  MAT 2 ROI CAN BANG_GIAY LANH T12-HAP 27-12X_SWS1502-167" xfId="654"/>
    <cellStyle name="_25-11x_GIAY LANH T11 LAN 7 15-12X (ExcelFIX)-old_GIAY LANH T12 LAN 2 XUAT 22-24-12  MAT 2 ROI CAN BANG_K-SWISS T12 LAN 2 22-12X (ExcelFIX)" xfId="655"/>
    <cellStyle name="_25-11x_GIAY LANH T11 LAN 7 15-12X (ExcelFIX)-old_GIAY LANH T12 LAN 2 XUAT 22-24-12  MAT 2 ROI CAN BANG_K-SWISS T12 LAN 2 22-12X (ExcelFIX)_1PALLADIUM T01 XUAT 8.2 (ExcelFIX)" xfId="656"/>
    <cellStyle name="_25-11x_GIAY LANH T11 LAN 7 15-12X (ExcelFIX)-old_GIAY LANH T12 LAN 2 XUAT 22-24-12  MAT 2 ROI CAN BANG_K-SWISS T12 LAN 2 22-12X (ExcelFIX)_1PALLADIUM T02 XUAT (ExcelFIX)" xfId="657"/>
    <cellStyle name="_25-11x_GIAY LANH T11 LAN 7 15-12X (ExcelFIX)-old_GIAY LANH T12 LAN 2 XUAT 22-24-12  MAT 2 ROI CAN BANG_K-SWISS T12 LAN 2 22-12X (ExcelFIX)_6.2.15 XUAT" xfId="658"/>
    <cellStyle name="_25-11x_GIAY LANH T11 LAN 7 15-12X (ExcelFIX)-old_GIAY LANH T12 LAN 2 XUAT 22-24-12  MAT 2 ROI CAN BANG_K-SWISS T12 LAN 2 22-12X (ExcelFIX)_6.2.15 XUAT_K-SWISS T01 30-1 (ExcelFIX)" xfId="659"/>
    <cellStyle name="_25-11x_GIAY LANH T11 LAN 7 15-12X (ExcelFIX)-old_GIAY LANH T12 LAN 2 XUAT 22-24-12  MAT 2 ROI CAN BANG_K-SWISS T12 LAN 2 22-12X (ExcelFIX)_6.2.15 XUAT_K-SWISS T01 DAO LAM MY CAN BANG CHUA XUAT10-2X" xfId="660"/>
    <cellStyle name="_25-11x_GIAY LANH T11 LAN 7 15-12X (ExcelFIX)-old_GIAY LANH T12 LAN 2 XUAT 22-24-12  MAT 2 ROI CAN BANG_K-SWISS T12 LAN 2 22-12X (ExcelFIX)_DM CHUA XUAT-23.1.15" xfId="661"/>
    <cellStyle name="_25-11x_GIAY LANH T11 LAN 7 15-12X (ExcelFIX)-old_GIAY LANH T12 LAN 2 XUAT 22-24-12  MAT 2 ROI CAN BANG_K-SWISS T12 LAN 2 22-12X (ExcelFIX)_DM CHUA XUAT-23.1.15_K-SWISS T01 30-1 (ExcelFIX)" xfId="662"/>
    <cellStyle name="_25-11x_GIAY LANH T11 LAN 7 15-12X (ExcelFIX)-old_GIAY LANH T12 LAN 2 XUAT 22-24-12  MAT 2 ROI CAN BANG_K-SWISS T12 LAN 2 22-12X (ExcelFIX)_DM CHUA XUAT-23.1.15_K-SWISS T01 DAO LAM MY CAN BANG CHUA XUAT10-2X" xfId="663"/>
    <cellStyle name="_25-11x_GIAY LANH T11 LAN 7 15-12X (ExcelFIX)-old_GIAY LANH T12 LAN 2 XUAT 22-24-12  MAT 2 ROI CAN BANG_K-SWISS T12 LAN 2 22-12X (ExcelFIX)_KS 6-3X" xfId="664"/>
    <cellStyle name="_25-11x_GIAY LANH T11 LAN 7 15-12X (ExcelFIX)-old_GIAY LANH T12 LAN 2 XUAT 22-24-12  MAT 2 ROI CAN BANG_K-SWISS T12 LAN 2 22-12X (ExcelFIX)_K-SWISS 30.1 XUAT" xfId="665"/>
    <cellStyle name="_25-11x_GIAY LANH T11 LAN 7 15-12X (ExcelFIX)-old_GIAY LANH T12 LAN 2 XUAT 22-24-12  MAT 2 ROI CAN BANG_K-SWISS T12 LAN 2 22-12X (ExcelFIX)_K-SWISS T01 10-2X (ExcelFIX)" xfId="666"/>
    <cellStyle name="_25-11x_GIAY LANH T11 LAN 7 15-12X (ExcelFIX)-old_GIAY LANH T12 LAN 2 XUAT 22-24-12  MAT 2 ROI CAN BANG_K-SWISS T12 LAN 2 22-12X (ExcelFIX)_K-SWISS T01 30-1 (ExcelFIX)" xfId="667"/>
    <cellStyle name="_25-11x_GIAY LANH T11 LAN 7 15-12X (ExcelFIX)-old_GIAY LANH T12 LAN 2 XUAT 22-24-12  MAT 2 ROI CAN BANG_K-SWISS T12 LAN 2 22-12X (ExcelFIX)_K-SWISS T01 DAO LAM MY CAN BANG CHUA XUAT10-2X" xfId="668"/>
    <cellStyle name="_25-11x_GIAY LANH T11 LAN 7 15-12X (ExcelFIX)-old_GIAY LANH T12 LAN 2 XUAT 22-24-12  MAT 2 ROI CAN BANG_K-SWISS T12 LAN 2 22-12X (ExcelFIX)_K-SWISS T01 LAN 2 DOI XUAT WEAR 2-2X HC OK, M1 OK " xfId="669"/>
    <cellStyle name="_25-11x_GIAY LANH T11 LAN 7 15-12X (ExcelFIX)-old_GIAY LANH T12 LAN 2 XUAT 22-24-12  MAT 2 ROI CAN BANG_K-SWISS T12 LAN 2 22-12X (ExcelFIX)_K-SWISS-GIAY LANH T01 19-1X" xfId="670"/>
    <cellStyle name="_25-11x_GIAY LANH T11 LAN 7 15-12X (ExcelFIX)-old_GIAY LANH T12 LAN 2 XUAT 22-24-12  MAT 2 ROI CAN BANG_K-SWISS T12 LAN 2 22-12X (ExcelFIX)_PALLADIUM T01 XUAT 23.1 LAN 2 (ExcelFIX)" xfId="671"/>
    <cellStyle name="_25-11x_GIAY LANH T11 LAN 7 15-12X (ExcelFIX)-old_GIAY LANH T12 LAN 2 XUAT 22-24-12  MAT 2 ROI CAN BANG_K-SWISS T12 LAN 2 22-12X (ExcelFIX)_PALLADIUM T01 XUAT 8.2 (ExcelFIX)" xfId="672"/>
    <cellStyle name="_25-11x_GIAY LANH T11 LAN 7 15-12X (ExcelFIX)-old_GIAY LANH T12 LAN 2 XUAT 22-24-12  MAT 2 ROI CAN BANG_K-SWISS T12 LAN 2 22-12X (ExcelFIX)_PALLADIUM T01xuat 23.1 (ExcelFIX)" xfId="673"/>
    <cellStyle name="_25-11x_GIAY LANH T11 LAN 7 15-12X (ExcelFIX)-old_GIAY LANH T12 LAN 2 XUAT 22-24-12  MAT 2 ROI CAN BANG_K-SWISS T12 LAN 2 22-12X (ExcelFIX)_PALLADIUM T01xuat 23.1 LAN 1 (ExcelFIX)" xfId="674"/>
    <cellStyle name="_25-11x_GIAY LANH T11 LAN 7 15-12X (ExcelFIX)-old_GIAY LANH T12 LAN 2 XUAT 22-24-12  MAT 2 ROI CAN BANG_K-SWISS T12 LAN 2 22-12X (ExcelFIX)_PALLADIUM-CXXUAT 6.2" xfId="675"/>
    <cellStyle name="_25-11x_GIAY LANH T11 LAN 7 15-12X (ExcelFIX)-old_GIAY LANH T12 LAN 2 XUAT 22-24-12  MAT 2 ROI CAN BANG_K-SWISS T12 LAN 2 22-12X (ExcelFIX)_PALLADIUM-CXXUAT 9.2" xfId="676"/>
    <cellStyle name="_25-11x_GIAY LANH T11 LAN 7 15-12X (ExcelFIX)-old_GIAY LANH T12 LAN 2 XUAT 22-24-12  MAT 2 ROI CAN BANG_K-SWISS T12 LAN 2 22-12X (ExcelFIX)_PALLADIUM-CXXUAT CHUA CO NGAY XUAT" xfId="677"/>
    <cellStyle name="_25-11x_GIAY LANH T11 LAN 7 15-12X (ExcelFIX)-old_GIAY LANH T12 LAN 2 XUAT 22-24-12  MAT 2 ROI CAN BANG_K-SWISS T12 LAN 2 22-12X (ExcelFIX)_SD1502-053,054 XUAT 2.3 (ExcelFIX)" xfId="678"/>
    <cellStyle name="_25-11x_GIAY LANH T11 LAN 7 15-12X (ExcelFIX)-old_GIAY LANH T12 LAN 2 XUAT 22-24-12  MAT 2 ROI CAN BANG_K-SWISS T12 LAN 2 22-12X (ExcelFIX)_SWS1502-155,156,159~166 XUAT 6.3" xfId="679"/>
    <cellStyle name="_25-11x_GIAY LANH T11 LAN 7 15-12X (ExcelFIX)-old_GIAY LANH T12 LAN 2 XUAT 22-24-12  MAT 2 ROI CAN BANG_K-SWISS T12 LAN 2 22-12X (ExcelFIX)_SWS1502-167" xfId="680"/>
    <cellStyle name="_25-11x_GIAY LANH T11 LAN 7 15-12X (ExcelFIX)-old_GIAY LANH T12 LAN 2 XUAT 22-24-12  MAT 2 ROI CAN BANG_SWS1501-129,133,403" xfId="681"/>
    <cellStyle name="_25-11x_GIAY LANH T11 LAN 7 15-12X (ExcelFIX)-old_GIAY LANH T12 LAN 2 XUAT 22-24-12  MAT 2 ROI CAN BANG_SWS1501-129,133,403_K-SWISS T01 10-2X (ExcelFIX)" xfId="682"/>
    <cellStyle name="_25-11x_GIAY LANH T11 LAN 7 15-12X (ExcelFIX)-old_GIAY LANH T12 LAN 2 XUAT 22-24-12  MAT 2 ROI CAN BANG_SWS1501-130,131,132" xfId="683"/>
    <cellStyle name="_25-11x_GIAY LANH T11 LAN 7 15-12X (ExcelFIX)-old_GIAY LANH T12 LAN 2 XUAT 22-24-12  MAT 2 ROI CAN BANG_SWS1501-130,131,132_K-SWISS T01 10-2X (ExcelFIX)" xfId="684"/>
    <cellStyle name="_25-11x_GIAY LANH T11 LAN 7 15-12X (ExcelFIX)-old_GIAY LANH T12 LAN 2 XUAT 22-24-12  MAT 2 ROI CAN BANG_SWS1501-135,125,126" xfId="685"/>
    <cellStyle name="_25-11x_GIAY LANH T11 LAN 7 15-12X (ExcelFIX)-old_GIAY LANH T12 LAN 2 XUAT 22-24-12  MAT 2 ROI CAN BANG_SWS1501-135,125,126_K-SWISS T01 10-2X (ExcelFIX)" xfId="686"/>
    <cellStyle name="_25-11x_GIAY LANH T11 LAN 7 15-12X (ExcelFIX)-old_GIAY LANH T12 LAN 3 XUAT co 78B  22-12" xfId="687"/>
    <cellStyle name="_25-11x_GIAY LANH T11 LAN 7 15-12X (ExcelFIX)-old_GIAY LANH T12-HAP" xfId="688"/>
    <cellStyle name="_25-11x_GIAY LANH T11 LAN 7 15-12X (ExcelFIX)-old_GIAY LANH T12-HAP 27-12X" xfId="689"/>
    <cellStyle name="_25-11x_GIAY LANH T11 LAN 7 15-12X (ExcelFIX)-old_K-SWISS T12 LAN 2 22-12X (ExcelFIX)" xfId="690"/>
    <cellStyle name="_25-11x_GIAY LANH T11 LAN 7 15-12X (ExcelFIX)-old_K-SWISS T12 LAN 2 22-12X (ExcelFIX)_1" xfId="691"/>
    <cellStyle name="_25-11x_GIAY LANH T11 LAN 7 15-12X (ExcelFIX)-old_K-SWISS T12 LAN 2 22-12X (ExcelFIX)_1_1PALLADIUM T01 XUAT 8.2 (ExcelFIX)" xfId="692"/>
    <cellStyle name="_25-11x_GIAY LANH T11 LAN 7 15-12X (ExcelFIX)-old_K-SWISS T12 LAN 2 22-12X (ExcelFIX)_1_1PALLADIUM T02 XUAT (ExcelFIX)" xfId="693"/>
    <cellStyle name="_25-11x_GIAY LANH T11 LAN 7 15-12X (ExcelFIX)-old_K-SWISS T12 LAN 2 22-12X (ExcelFIX)_1_6.2.15 XUAT" xfId="694"/>
    <cellStyle name="_25-11x_GIAY LANH T11 LAN 7 15-12X (ExcelFIX)-old_K-SWISS T12 LAN 2 22-12X (ExcelFIX)_1_6.2.15 XUAT_K-SWISS T01 30-1 (ExcelFIX)" xfId="695"/>
    <cellStyle name="_25-11x_GIAY LANH T11 LAN 7 15-12X (ExcelFIX)-old_K-SWISS T12 LAN 2 22-12X (ExcelFIX)_1_6.2.15 XUAT_K-SWISS T01 DAO LAM MY CAN BANG CHUA XUAT10-2X" xfId="696"/>
    <cellStyle name="_25-11x_GIAY LANH T11 LAN 7 15-12X (ExcelFIX)-old_K-SWISS T12 LAN 2 22-12X (ExcelFIX)_1_DM CHUA XUAT-23.1.15" xfId="697"/>
    <cellStyle name="_25-11x_GIAY LANH T11 LAN 7 15-12X (ExcelFIX)-old_K-SWISS T12 LAN 2 22-12X (ExcelFIX)_1_DM CHUA XUAT-23.1.15_K-SWISS T01 30-1 (ExcelFIX)" xfId="698"/>
    <cellStyle name="_25-11x_GIAY LANH T11 LAN 7 15-12X (ExcelFIX)-old_K-SWISS T12 LAN 2 22-12X (ExcelFIX)_1_DM CHUA XUAT-23.1.15_K-SWISS T01 DAO LAM MY CAN BANG CHUA XUAT10-2X" xfId="699"/>
    <cellStyle name="_25-11x_GIAY LANH T11 LAN 7 15-12X (ExcelFIX)-old_K-SWISS T12 LAN 2 22-12X (ExcelFIX)_1_KS 6-3X" xfId="700"/>
    <cellStyle name="_25-11x_GIAY LANH T11 LAN 7 15-12X (ExcelFIX)-old_K-SWISS T12 LAN 2 22-12X (ExcelFIX)_1_K-SWISS 30.1 XUAT" xfId="701"/>
    <cellStyle name="_25-11x_GIAY LANH T11 LAN 7 15-12X (ExcelFIX)-old_K-SWISS T12 LAN 2 22-12X (ExcelFIX)_1_K-SWISS T01 10-2X (ExcelFIX)" xfId="702"/>
    <cellStyle name="_25-11x_GIAY LANH T11 LAN 7 15-12X (ExcelFIX)-old_K-SWISS T12 LAN 2 22-12X (ExcelFIX)_1_K-SWISS T01 30-1 (ExcelFIX)" xfId="703"/>
    <cellStyle name="_25-11x_GIAY LANH T11 LAN 7 15-12X (ExcelFIX)-old_K-SWISS T12 LAN 2 22-12X (ExcelFIX)_1_K-SWISS T01 DAO LAM MY CAN BANG CHUA XUAT10-2X" xfId="704"/>
    <cellStyle name="_25-11x_GIAY LANH T11 LAN 7 15-12X (ExcelFIX)-old_K-SWISS T12 LAN 2 22-12X (ExcelFIX)_1_K-SWISS T01 LAN 2 DOI XUAT WEAR 2-2X HC OK, M1 OK " xfId="705"/>
    <cellStyle name="_25-11x_GIAY LANH T11 LAN 7 15-12X (ExcelFIX)-old_K-SWISS T12 LAN 2 22-12X (ExcelFIX)_1_K-SWISS-GIAY LANH T01 19-1X" xfId="706"/>
    <cellStyle name="_25-11x_GIAY LANH T11 LAN 7 15-12X (ExcelFIX)-old_K-SWISS T12 LAN 2 22-12X (ExcelFIX)_1_PALLADIUM T01 XUAT 23.1 LAN 2 (ExcelFIX)" xfId="707"/>
    <cellStyle name="_25-11x_GIAY LANH T11 LAN 7 15-12X (ExcelFIX)-old_K-SWISS T12 LAN 2 22-12X (ExcelFIX)_1_PALLADIUM T01 XUAT 8.2 (ExcelFIX)" xfId="708"/>
    <cellStyle name="_25-11x_GIAY LANH T11 LAN 7 15-12X (ExcelFIX)-old_K-SWISS T12 LAN 2 22-12X (ExcelFIX)_1_PALLADIUM T01xuat 23.1 (ExcelFIX)" xfId="709"/>
    <cellStyle name="_25-11x_GIAY LANH T11 LAN 7 15-12X (ExcelFIX)-old_K-SWISS T12 LAN 2 22-12X (ExcelFIX)_1_PALLADIUM T01xuat 23.1 LAN 1 (ExcelFIX)" xfId="710"/>
    <cellStyle name="_25-11x_GIAY LANH T11 LAN 7 15-12X (ExcelFIX)-old_K-SWISS T12 LAN 2 22-12X (ExcelFIX)_1_PALLADIUM-CXXUAT 6.2" xfId="711"/>
    <cellStyle name="_25-11x_GIAY LANH T11 LAN 7 15-12X (ExcelFIX)-old_K-SWISS T12 LAN 2 22-12X (ExcelFIX)_1_PALLADIUM-CXXUAT 9.2" xfId="712"/>
    <cellStyle name="_25-11x_GIAY LANH T11 LAN 7 15-12X (ExcelFIX)-old_K-SWISS T12 LAN 2 22-12X (ExcelFIX)_1_PALLADIUM-CXXUAT CHUA CO NGAY XUAT" xfId="713"/>
    <cellStyle name="_25-11x_GIAY LANH T11 LAN 7 15-12X (ExcelFIX)-old_K-SWISS T12 LAN 2 22-12X (ExcelFIX)_1_SD1502-053,054 XUAT 2.3 (ExcelFIX)" xfId="714"/>
    <cellStyle name="_25-11x_GIAY LANH T11 LAN 7 15-12X (ExcelFIX)-old_K-SWISS T12 LAN 2 22-12X (ExcelFIX)_1_SWS1502-155,156,159~166 XUAT 6.3" xfId="715"/>
    <cellStyle name="_25-11x_GIAY LANH T11 LAN 7 15-12X (ExcelFIX)-old_K-SWISS T12 LAN 2 22-12X (ExcelFIX)_1_SWS1502-167" xfId="716"/>
    <cellStyle name="_25-11x_GIAY LANH T11 LAN 7 15-12X (ExcelFIX)-old_K-SWISS T12 LAN 2 22-12X (ExcelFIX)_GIAY LANH T12-HAP 27-12X" xfId="717"/>
    <cellStyle name="_25-11x_GIAY LANH T11 LAN 7 15-12X (ExcelFIX)-old_K-SWISS T12 LAN 2 22-12X (ExcelFIX)_GIAY LANH T12-HAP 27-12X_1PALLADIUM T01 XUAT 8.2 (ExcelFIX)" xfId="718"/>
    <cellStyle name="_25-11x_GIAY LANH T11 LAN 7 15-12X (ExcelFIX)-old_K-SWISS T12 LAN 2 22-12X (ExcelFIX)_GIAY LANH T12-HAP 27-12X_1PALLADIUM T02 XUAT (ExcelFIX)" xfId="719"/>
    <cellStyle name="_25-11x_GIAY LANH T11 LAN 7 15-12X (ExcelFIX)-old_K-SWISS T12 LAN 2 22-12X (ExcelFIX)_GIAY LANH T12-HAP 27-12X_6.2.15 XUAT" xfId="720"/>
    <cellStyle name="_25-11x_GIAY LANH T11 LAN 7 15-12X (ExcelFIX)-old_K-SWISS T12 LAN 2 22-12X (ExcelFIX)_GIAY LANH T12-HAP 27-12X_6.2.15 XUAT_K-SWISS T01 30-1 (ExcelFIX)" xfId="721"/>
    <cellStyle name="_25-11x_GIAY LANH T11 LAN 7 15-12X (ExcelFIX)-old_K-SWISS T12 LAN 2 22-12X (ExcelFIX)_GIAY LANH T12-HAP 27-12X_6.2.15 XUAT_K-SWISS T01 DAO LAM MY CAN BANG CHUA XUAT10-2X" xfId="722"/>
    <cellStyle name="_25-11x_GIAY LANH T11 LAN 7 15-12X (ExcelFIX)-old_K-SWISS T12 LAN 2 22-12X (ExcelFIX)_GIAY LANH T12-HAP 27-12X_DM CHUA XUAT-23.1.15" xfId="723"/>
    <cellStyle name="_25-11x_GIAY LANH T11 LAN 7 15-12X (ExcelFIX)-old_K-SWISS T12 LAN 2 22-12X (ExcelFIX)_GIAY LANH T12-HAP 27-12X_DM CHUA XUAT-23.1.15_K-SWISS T01 30-1 (ExcelFIX)" xfId="724"/>
    <cellStyle name="_25-11x_GIAY LANH T11 LAN 7 15-12X (ExcelFIX)-old_K-SWISS T12 LAN 2 22-12X (ExcelFIX)_GIAY LANH T12-HAP 27-12X_DM CHUA XUAT-23.1.15_K-SWISS T01 DAO LAM MY CAN BANG CHUA XUAT10-2X" xfId="725"/>
    <cellStyle name="_25-11x_GIAY LANH T11 LAN 7 15-12X (ExcelFIX)-old_K-SWISS T12 LAN 2 22-12X (ExcelFIX)_GIAY LANH T12-HAP 27-12X_KS 6-3X" xfId="726"/>
    <cellStyle name="_25-11x_GIAY LANH T11 LAN 7 15-12X (ExcelFIX)-old_K-SWISS T12 LAN 2 22-12X (ExcelFIX)_GIAY LANH T12-HAP 27-12X_K-SWISS 30.1 XUAT" xfId="727"/>
    <cellStyle name="_25-11x_GIAY LANH T11 LAN 7 15-12X (ExcelFIX)-old_K-SWISS T12 LAN 2 22-12X (ExcelFIX)_GIAY LANH T12-HAP 27-12X_K-SWISS T01 10-2X (ExcelFIX)" xfId="728"/>
    <cellStyle name="_25-11x_GIAY LANH T11 LAN 7 15-12X (ExcelFIX)-old_K-SWISS T12 LAN 2 22-12X (ExcelFIX)_GIAY LANH T12-HAP 27-12X_K-SWISS T01 30-1 (ExcelFIX)" xfId="729"/>
    <cellStyle name="_25-11x_GIAY LANH T11 LAN 7 15-12X (ExcelFIX)-old_K-SWISS T12 LAN 2 22-12X (ExcelFIX)_GIAY LANH T12-HAP 27-12X_K-SWISS T01 DAO LAM MY CAN BANG CHUA XUAT10-2X" xfId="730"/>
    <cellStyle name="_25-11x_GIAY LANH T11 LAN 7 15-12X (ExcelFIX)-old_K-SWISS T12 LAN 2 22-12X (ExcelFIX)_GIAY LANH T12-HAP 27-12X_K-SWISS T01 LAN 2 DOI XUAT WEAR 2-2X HC OK, M1 OK " xfId="731"/>
    <cellStyle name="_25-11x_GIAY LANH T11 LAN 7 15-12X (ExcelFIX)-old_K-SWISS T12 LAN 2 22-12X (ExcelFIX)_GIAY LANH T12-HAP 27-12X_K-SWISS-GIAY LANH T01 19-1X" xfId="732"/>
    <cellStyle name="_25-11x_GIAY LANH T11 LAN 7 15-12X (ExcelFIX)-old_K-SWISS T12 LAN 2 22-12X (ExcelFIX)_GIAY LANH T12-HAP 27-12X_PALLADIUM T01 XUAT 23.1 LAN 2 (ExcelFIX)" xfId="733"/>
    <cellStyle name="_25-11x_GIAY LANH T11 LAN 7 15-12X (ExcelFIX)-old_K-SWISS T12 LAN 2 22-12X (ExcelFIX)_GIAY LANH T12-HAP 27-12X_PALLADIUM T01 XUAT 8.2 (ExcelFIX)" xfId="734"/>
    <cellStyle name="_25-11x_GIAY LANH T11 LAN 7 15-12X (ExcelFIX)-old_K-SWISS T12 LAN 2 22-12X (ExcelFIX)_GIAY LANH T12-HAP 27-12X_PALLADIUM T01xuat 23.1 (ExcelFIX)" xfId="735"/>
    <cellStyle name="_25-11x_GIAY LANH T11 LAN 7 15-12X (ExcelFIX)-old_K-SWISS T12 LAN 2 22-12X (ExcelFIX)_GIAY LANH T12-HAP 27-12X_PALLADIUM T01xuat 23.1 LAN 1 (ExcelFIX)" xfId="736"/>
    <cellStyle name="_25-11x_GIAY LANH T11 LAN 7 15-12X (ExcelFIX)-old_K-SWISS T12 LAN 2 22-12X (ExcelFIX)_GIAY LANH T12-HAP 27-12X_PALLADIUM-CXXUAT 6.2" xfId="737"/>
    <cellStyle name="_25-11x_GIAY LANH T11 LAN 7 15-12X (ExcelFIX)-old_K-SWISS T12 LAN 2 22-12X (ExcelFIX)_GIAY LANH T12-HAP 27-12X_PALLADIUM-CXXUAT 9.2" xfId="738"/>
    <cellStyle name="_25-11x_GIAY LANH T11 LAN 7 15-12X (ExcelFIX)-old_K-SWISS T12 LAN 2 22-12X (ExcelFIX)_GIAY LANH T12-HAP 27-12X_PALLADIUM-CXXUAT CHUA CO NGAY XUAT" xfId="739"/>
    <cellStyle name="_25-11x_GIAY LANH T11 LAN 7 15-12X (ExcelFIX)-old_K-SWISS T12 LAN 2 22-12X (ExcelFIX)_GIAY LANH T12-HAP 27-12X_SD1502-053,054 XUAT 2.3 (ExcelFIX)" xfId="740"/>
    <cellStyle name="_25-11x_GIAY LANH T11 LAN 7 15-12X (ExcelFIX)-old_K-SWISS T12 LAN 2 22-12X (ExcelFIX)_GIAY LANH T12-HAP 27-12X_SWS1502-155,156,159~166 XUAT 6.3" xfId="741"/>
    <cellStyle name="_25-11x_GIAY LANH T11 LAN 7 15-12X (ExcelFIX)-old_K-SWISS T12 LAN 2 22-12X (ExcelFIX)_GIAY LANH T12-HAP 27-12X_SWS1502-167" xfId="742"/>
    <cellStyle name="_25-11x_GIAY LANH T12 CO T11 15-12X  CO T12 (ExcelFIX)-old" xfId="743"/>
    <cellStyle name="_25-11x_GIAY LANH T12 CO T11 15-12X  CO T12 (ExcelFIX)-old_1" xfId="744"/>
    <cellStyle name="_25-11x_GIAY LANH T12 CO T11 15-12X  CO T12 (ExcelFIX)-old_1_6.2.15 XUAT" xfId="745"/>
    <cellStyle name="_25-11x_GIAY LANH T12 CO T11 15-12X  CO T12 (ExcelFIX)-old_1_6.2.15 XUAT_K-SWISS T01 30-1 (ExcelFIX)" xfId="746"/>
    <cellStyle name="_25-11x_GIAY LANH T12 CO T11 15-12X  CO T12 (ExcelFIX)-old_1_6.2.15 XUAT_K-SWISS T01 DAO LAM MY CAN BANG CHUA XUAT10-2X" xfId="747"/>
    <cellStyle name="_25-11x_GIAY LANH T12 CO T11 15-12X  CO T12 (ExcelFIX)-old_1_DM CHUA XUAT-23.1.15" xfId="748"/>
    <cellStyle name="_25-11x_GIAY LANH T12 CO T11 15-12X  CO T12 (ExcelFIX)-old_1_DM CHUA XUAT-23.1.15_K-SWISS T01 30-1 (ExcelFIX)" xfId="749"/>
    <cellStyle name="_25-11x_GIAY LANH T12 CO T11 15-12X  CO T12 (ExcelFIX)-old_1_DM CHUA XUAT-23.1.15_K-SWISS T01 DAO LAM MY CAN BANG CHUA XUAT10-2X" xfId="750"/>
    <cellStyle name="_25-11x_GIAY LANH T12 CO T11 15-12X  CO T12 (ExcelFIX)-old_1_KS 6-3X" xfId="751"/>
    <cellStyle name="_25-11x_GIAY LANH T12 CO T11 15-12X  CO T12 (ExcelFIX)-old_1_K-SWISS 30.1 XUAT" xfId="752"/>
    <cellStyle name="_25-11x_GIAY LANH T12 CO T11 15-12X  CO T12 (ExcelFIX)-old_1_K-SWISS T01 10-2X (ExcelFIX)" xfId="753"/>
    <cellStyle name="_25-11x_GIAY LANH T12 CO T11 15-12X  CO T12 (ExcelFIX)-old_1_K-SWISS T01 30-1 (ExcelFIX)" xfId="754"/>
    <cellStyle name="_25-11x_GIAY LANH T12 CO T11 15-12X  CO T12 (ExcelFIX)-old_1_K-SWISS T01 DAO LAM MY CAN BANG CHUA XUAT10-2X" xfId="755"/>
    <cellStyle name="_25-11x_GIAY LANH T12 CO T11 15-12X  CO T12 (ExcelFIX)-old_1_K-SWISS T01 LAN 2 DOI XUAT WEAR 2-2X HC OK, M1 OK " xfId="756"/>
    <cellStyle name="_25-11x_GIAY LANH T12 CO T11 15-12X  CO T12 (ExcelFIX)-old_1_K-SWISS-GIAY LANH T01 19-1X" xfId="757"/>
    <cellStyle name="_25-11x_GIAY LANH T12 CO T11 15-12X  CO T12 (ExcelFIX)-old_1_SD1502-053,054 XUAT 2.3 (ExcelFIX)" xfId="758"/>
    <cellStyle name="_25-11x_GIAY LANH T12 CO T11 15-12X  CO T12 (ExcelFIX)-old_1_SWS1502-155,156,159~166 XUAT 6.3" xfId="759"/>
    <cellStyle name="_25-11x_GIAY LANH T12 CO T11 15-12X  CO T12 (ExcelFIX)-old_1_SWS1502-167" xfId="760"/>
    <cellStyle name="_25-11x_GIAY LANH T12 CO T11 15-12X  CO T12 (ExcelFIX)-old_DM" xfId="761"/>
    <cellStyle name="_25-11x_GIAY LANH T12 CO T11 15-12X  CO T12 (ExcelFIX)-old_GIAY LANH T12-HAP 27-12X" xfId="762"/>
    <cellStyle name="_25-11x_GIAY LANH T12 CO T11 15-12X  CO T12 (ExcelFIX)-old_GIAY LANH T12-HAP 27-12X_1PALLADIUM T01 XUAT 8.2 (ExcelFIX)" xfId="763"/>
    <cellStyle name="_25-11x_GIAY LANH T12 CO T11 15-12X  CO T12 (ExcelFIX)-old_GIAY LANH T12-HAP 27-12X_1PALLADIUM T02 XUAT (ExcelFIX)" xfId="764"/>
    <cellStyle name="_25-11x_GIAY LANH T12 CO T11 15-12X  CO T12 (ExcelFIX)-old_GIAY LANH T12-HAP 27-12X_6.2.15 XUAT" xfId="765"/>
    <cellStyle name="_25-11x_GIAY LANH T12 CO T11 15-12X  CO T12 (ExcelFIX)-old_GIAY LANH T12-HAP 27-12X_6.2.15 XUAT_K-SWISS T01 30-1 (ExcelFIX)" xfId="766"/>
    <cellStyle name="_25-11x_GIAY LANH T12 CO T11 15-12X  CO T12 (ExcelFIX)-old_GIAY LANH T12-HAP 27-12X_6.2.15 XUAT_K-SWISS T01 DAO LAM MY CAN BANG CHUA XUAT10-2X" xfId="767"/>
    <cellStyle name="_25-11x_GIAY LANH T12 CO T11 15-12X  CO T12 (ExcelFIX)-old_GIAY LANH T12-HAP 27-12X_DM CHUA XUAT-23.1.15" xfId="768"/>
    <cellStyle name="_25-11x_GIAY LANH T12 CO T11 15-12X  CO T12 (ExcelFIX)-old_GIAY LANH T12-HAP 27-12X_DM CHUA XUAT-23.1.15_K-SWISS T01 30-1 (ExcelFIX)" xfId="769"/>
    <cellStyle name="_25-11x_GIAY LANH T12 CO T11 15-12X  CO T12 (ExcelFIX)-old_GIAY LANH T12-HAP 27-12X_DM CHUA XUAT-23.1.15_K-SWISS T01 DAO LAM MY CAN BANG CHUA XUAT10-2X" xfId="770"/>
    <cellStyle name="_25-11x_GIAY LANH T12 CO T11 15-12X  CO T12 (ExcelFIX)-old_GIAY LANH T12-HAP 27-12X_KS 6-3X" xfId="771"/>
    <cellStyle name="_25-11x_GIAY LANH T12 CO T11 15-12X  CO T12 (ExcelFIX)-old_GIAY LANH T12-HAP 27-12X_K-SWISS 30.1 XUAT" xfId="772"/>
    <cellStyle name="_25-11x_GIAY LANH T12 CO T11 15-12X  CO T12 (ExcelFIX)-old_GIAY LANH T12-HAP 27-12X_K-SWISS T01 10-2X (ExcelFIX)" xfId="773"/>
    <cellStyle name="_25-11x_GIAY LANH T12 CO T11 15-12X  CO T12 (ExcelFIX)-old_GIAY LANH T12-HAP 27-12X_K-SWISS T01 30-1 (ExcelFIX)" xfId="774"/>
    <cellStyle name="_25-11x_GIAY LANH T12 CO T11 15-12X  CO T12 (ExcelFIX)-old_GIAY LANH T12-HAP 27-12X_K-SWISS T01 DAO LAM MY CAN BANG CHUA XUAT10-2X" xfId="775"/>
    <cellStyle name="_25-11x_GIAY LANH T12 CO T11 15-12X  CO T12 (ExcelFIX)-old_GIAY LANH T12-HAP 27-12X_K-SWISS T01 LAN 2 DOI XUAT WEAR 2-2X HC OK, M1 OK " xfId="776"/>
    <cellStyle name="_25-11x_GIAY LANH T12 CO T11 15-12X  CO T12 (ExcelFIX)-old_GIAY LANH T12-HAP 27-12X_K-SWISS-GIAY LANH T01 19-1X" xfId="777"/>
    <cellStyle name="_25-11x_GIAY LANH T12 CO T11 15-12X  CO T12 (ExcelFIX)-old_GIAY LANH T12-HAP 27-12X_PALLADIUM T01 XUAT 23.1 LAN 2 (ExcelFIX)" xfId="778"/>
    <cellStyle name="_25-11x_GIAY LANH T12 CO T11 15-12X  CO T12 (ExcelFIX)-old_GIAY LANH T12-HAP 27-12X_PALLADIUM T01 XUAT 8.2 (ExcelFIX)" xfId="779"/>
    <cellStyle name="_25-11x_GIAY LANH T12 CO T11 15-12X  CO T12 (ExcelFIX)-old_GIAY LANH T12-HAP 27-12X_PALLADIUM T01xuat 23.1 (ExcelFIX)" xfId="780"/>
    <cellStyle name="_25-11x_GIAY LANH T12 CO T11 15-12X  CO T12 (ExcelFIX)-old_GIAY LANH T12-HAP 27-12X_PALLADIUM T01xuat 23.1 LAN 1 (ExcelFIX)" xfId="781"/>
    <cellStyle name="_25-11x_GIAY LANH T12 CO T11 15-12X  CO T12 (ExcelFIX)-old_GIAY LANH T12-HAP 27-12X_PALLADIUM-CXXUAT 6.2" xfId="782"/>
    <cellStyle name="_25-11x_GIAY LANH T12 CO T11 15-12X  CO T12 (ExcelFIX)-old_GIAY LANH T12-HAP 27-12X_PALLADIUM-CXXUAT 9.2" xfId="783"/>
    <cellStyle name="_25-11x_GIAY LANH T12 CO T11 15-12X  CO T12 (ExcelFIX)-old_GIAY LANH T12-HAP 27-12X_PALLADIUM-CXXUAT CHUA CO NGAY XUAT" xfId="784"/>
    <cellStyle name="_25-11x_GIAY LANH T12 CO T11 15-12X  CO T12 (ExcelFIX)-old_GIAY LANH T12-HAP 27-12X_SD1502-053,054 XUAT 2.3 (ExcelFIX)" xfId="785"/>
    <cellStyle name="_25-11x_GIAY LANH T12 CO T11 15-12X  CO T12 (ExcelFIX)-old_GIAY LANH T12-HAP 27-12X_SWS1502-155,156,159~166 XUAT 6.3" xfId="786"/>
    <cellStyle name="_25-11x_GIAY LANH T12 CO T11 15-12X  CO T12 (ExcelFIX)-old_GIAY LANH T12-HAP 27-12X_SWS1502-167" xfId="787"/>
    <cellStyle name="_25-11x_GIAY LANH T12 CO T11 15-12X  CO T12 (ExcelFIX)-old_K-SWISS T12 LAN 2 22-12X (ExcelFIX)" xfId="788"/>
    <cellStyle name="_25-11x_GIAY LANH T12 CO T11 15-12X  CO T12 (ExcelFIX)-old_K-SWISS T12 LAN 2 22-12X (ExcelFIX)_1PALLADIUM T01 XUAT 8.2 (ExcelFIX)" xfId="789"/>
    <cellStyle name="_25-11x_GIAY LANH T12 CO T11 15-12X  CO T12 (ExcelFIX)-old_K-SWISS T12 LAN 2 22-12X (ExcelFIX)_1PALLADIUM T02 XUAT (ExcelFIX)" xfId="790"/>
    <cellStyle name="_25-11x_GIAY LANH T12 CO T11 15-12X  CO T12 (ExcelFIX)-old_K-SWISS T12 LAN 2 22-12X (ExcelFIX)_6.2.15 XUAT" xfId="791"/>
    <cellStyle name="_25-11x_GIAY LANH T12 CO T11 15-12X  CO T12 (ExcelFIX)-old_K-SWISS T12 LAN 2 22-12X (ExcelFIX)_6.2.15 XUAT_K-SWISS T01 30-1 (ExcelFIX)" xfId="792"/>
    <cellStyle name="_25-11x_GIAY LANH T12 CO T11 15-12X  CO T12 (ExcelFIX)-old_K-SWISS T12 LAN 2 22-12X (ExcelFIX)_6.2.15 XUAT_K-SWISS T01 DAO LAM MY CAN BANG CHUA XUAT10-2X" xfId="793"/>
    <cellStyle name="_25-11x_GIAY LANH T12 CO T11 15-12X  CO T12 (ExcelFIX)-old_K-SWISS T12 LAN 2 22-12X (ExcelFIX)_DM CHUA XUAT-23.1.15" xfId="794"/>
    <cellStyle name="_25-11x_GIAY LANH T12 CO T11 15-12X  CO T12 (ExcelFIX)-old_K-SWISS T12 LAN 2 22-12X (ExcelFIX)_DM CHUA XUAT-23.1.15_K-SWISS T01 30-1 (ExcelFIX)" xfId="795"/>
    <cellStyle name="_25-11x_GIAY LANH T12 CO T11 15-12X  CO T12 (ExcelFIX)-old_K-SWISS T12 LAN 2 22-12X (ExcelFIX)_DM CHUA XUAT-23.1.15_K-SWISS T01 DAO LAM MY CAN BANG CHUA XUAT10-2X" xfId="796"/>
    <cellStyle name="_25-11x_GIAY LANH T12 CO T11 15-12X  CO T12 (ExcelFIX)-old_K-SWISS T12 LAN 2 22-12X (ExcelFIX)_KS 6-3X" xfId="797"/>
    <cellStyle name="_25-11x_GIAY LANH T12 CO T11 15-12X  CO T12 (ExcelFIX)-old_K-SWISS T12 LAN 2 22-12X (ExcelFIX)_K-SWISS 30.1 XUAT" xfId="798"/>
    <cellStyle name="_25-11x_GIAY LANH T12 CO T11 15-12X  CO T12 (ExcelFIX)-old_K-SWISS T12 LAN 2 22-12X (ExcelFIX)_K-SWISS T01 10-2X (ExcelFIX)" xfId="799"/>
    <cellStyle name="_25-11x_GIAY LANH T12 CO T11 15-12X  CO T12 (ExcelFIX)-old_K-SWISS T12 LAN 2 22-12X (ExcelFIX)_K-SWISS T01 30-1 (ExcelFIX)" xfId="800"/>
    <cellStyle name="_25-11x_GIAY LANH T12 CO T11 15-12X  CO T12 (ExcelFIX)-old_K-SWISS T12 LAN 2 22-12X (ExcelFIX)_K-SWISS T01 DAO LAM MY CAN BANG CHUA XUAT10-2X" xfId="801"/>
    <cellStyle name="_25-11x_GIAY LANH T12 CO T11 15-12X  CO T12 (ExcelFIX)-old_K-SWISS T12 LAN 2 22-12X (ExcelFIX)_K-SWISS T01 LAN 2 DOI XUAT WEAR 2-2X HC OK, M1 OK " xfId="802"/>
    <cellStyle name="_25-11x_GIAY LANH T12 CO T11 15-12X  CO T12 (ExcelFIX)-old_K-SWISS T12 LAN 2 22-12X (ExcelFIX)_K-SWISS-GIAY LANH T01 19-1X" xfId="803"/>
    <cellStyle name="_25-11x_GIAY LANH T12 CO T11 15-12X  CO T12 (ExcelFIX)-old_K-SWISS T12 LAN 2 22-12X (ExcelFIX)_PALLADIUM T01 XUAT 23.1 LAN 2 (ExcelFIX)" xfId="804"/>
    <cellStyle name="_25-11x_GIAY LANH T12 CO T11 15-12X  CO T12 (ExcelFIX)-old_K-SWISS T12 LAN 2 22-12X (ExcelFIX)_PALLADIUM T01 XUAT 8.2 (ExcelFIX)" xfId="805"/>
    <cellStyle name="_25-11x_GIAY LANH T12 CO T11 15-12X  CO T12 (ExcelFIX)-old_K-SWISS T12 LAN 2 22-12X (ExcelFIX)_PALLADIUM T01xuat 23.1 (ExcelFIX)" xfId="806"/>
    <cellStyle name="_25-11x_GIAY LANH T12 CO T11 15-12X  CO T12 (ExcelFIX)-old_K-SWISS T12 LAN 2 22-12X (ExcelFIX)_PALLADIUM T01xuat 23.1 LAN 1 (ExcelFIX)" xfId="807"/>
    <cellStyle name="_25-11x_GIAY LANH T12 CO T11 15-12X  CO T12 (ExcelFIX)-old_K-SWISS T12 LAN 2 22-12X (ExcelFIX)_PALLADIUM-CXXUAT 6.2" xfId="808"/>
    <cellStyle name="_25-11x_GIAY LANH T12 CO T11 15-12X  CO T12 (ExcelFIX)-old_K-SWISS T12 LAN 2 22-12X (ExcelFIX)_PALLADIUM-CXXUAT 9.2" xfId="809"/>
    <cellStyle name="_25-11x_GIAY LANH T12 CO T11 15-12X  CO T12 (ExcelFIX)-old_K-SWISS T12 LAN 2 22-12X (ExcelFIX)_PALLADIUM-CXXUAT CHUA CO NGAY XUAT" xfId="810"/>
    <cellStyle name="_25-11x_GIAY LANH T12 CO T11 15-12X  CO T12 (ExcelFIX)-old_K-SWISS T12 LAN 2 22-12X (ExcelFIX)_SD1502-053,054 XUAT 2.3 (ExcelFIX)" xfId="811"/>
    <cellStyle name="_25-11x_GIAY LANH T12 CO T11 15-12X  CO T12 (ExcelFIX)-old_K-SWISS T12 LAN 2 22-12X (ExcelFIX)_SWS1502-155,156,159~166 XUAT 6.3" xfId="812"/>
    <cellStyle name="_25-11x_GIAY LANH T12 CO T11 15-12X  CO T12 (ExcelFIX)-old_K-SWISS T12 LAN 2 22-12X (ExcelFIX)_SWS1502-167" xfId="813"/>
    <cellStyle name="_25-11x_GIAY LANH T12 LAN 1 22-24-12X (ExcelFIX)" xfId="814"/>
    <cellStyle name="_25-11x_GIAY LANH T12 LAN 1 22-24-12X DA OK GOI (ExcelFIX) (ExcelFIX)" xfId="815"/>
    <cellStyle name="_25-11x_GIAY LANH T12 LAN 1 22-24-12X DA OK GOI DAO (ExcelFIX)" xfId="816"/>
    <cellStyle name="_25-11x_GIAY LANH T12 LAN 2 XUAT 22-24-12  MAT 2 ROI CAN BANG" xfId="817"/>
    <cellStyle name="_25-11x_GIAY LANH T12-HAP" xfId="818"/>
    <cellStyle name="_25-11x_GIAY LANH T12-HAP 27-12X" xfId="819"/>
    <cellStyle name="_25-11x_K-SWISS T12 22-12X (ExcelFIX)" xfId="820"/>
    <cellStyle name="_25-11x_K-SWISS T12 25-12X" xfId="821"/>
    <cellStyle name="_25-11x_K-SWISS T12 25-12X_GIAY LANH T12-HAP 27-12X" xfId="822"/>
    <cellStyle name="_25-11x_K-SWISS T12 25-12X_GIAY LANH T12-HAP 27-12X_1PALLADIUM T01 XUAT 8.2 (ExcelFIX)" xfId="823"/>
    <cellStyle name="_25-11x_K-SWISS T12 25-12X_GIAY LANH T12-HAP 27-12X_1PALLADIUM T02 XUAT (ExcelFIX)" xfId="824"/>
    <cellStyle name="_25-11x_K-SWISS T12 25-12X_GIAY LANH T12-HAP 27-12X_6.2.15 XUAT" xfId="825"/>
    <cellStyle name="_25-11x_K-SWISS T12 25-12X_GIAY LANH T12-HAP 27-12X_6.2.15 XUAT_K-SWISS T01 30-1 (ExcelFIX)" xfId="826"/>
    <cellStyle name="_25-11x_K-SWISS T12 25-12X_GIAY LANH T12-HAP 27-12X_6.2.15 XUAT_K-SWISS T01 DAO LAM MY CAN BANG CHUA XUAT10-2X" xfId="827"/>
    <cellStyle name="_25-11x_K-SWISS T12 25-12X_GIAY LANH T12-HAP 27-12X_DM CHUA XUAT-23.1.15" xfId="828"/>
    <cellStyle name="_25-11x_K-SWISS T12 25-12X_GIAY LANH T12-HAP 27-12X_DM CHUA XUAT-23.1.15_K-SWISS T01 30-1 (ExcelFIX)" xfId="829"/>
    <cellStyle name="_25-11x_K-SWISS T12 25-12X_GIAY LANH T12-HAP 27-12X_DM CHUA XUAT-23.1.15_K-SWISS T01 DAO LAM MY CAN BANG CHUA XUAT10-2X" xfId="830"/>
    <cellStyle name="_25-11x_K-SWISS T12 25-12X_GIAY LANH T12-HAP 27-12X_KS 6-3X" xfId="831"/>
    <cellStyle name="_25-11x_K-SWISS T12 25-12X_GIAY LANH T12-HAP 27-12X_K-SWISS 30.1 XUAT" xfId="832"/>
    <cellStyle name="_25-11x_K-SWISS T12 25-12X_GIAY LANH T12-HAP 27-12X_K-SWISS T01 10-2X (ExcelFIX)" xfId="833"/>
    <cellStyle name="_25-11x_K-SWISS T12 25-12X_GIAY LANH T12-HAP 27-12X_K-SWISS T01 30-1 (ExcelFIX)" xfId="834"/>
    <cellStyle name="_25-11x_K-SWISS T12 25-12X_GIAY LANH T12-HAP 27-12X_K-SWISS T01 DAO LAM MY CAN BANG CHUA XUAT10-2X" xfId="835"/>
    <cellStyle name="_25-11x_K-SWISS T12 25-12X_GIAY LANH T12-HAP 27-12X_K-SWISS T01 LAN 2 DOI XUAT WEAR 2-2X HC OK, M1 OK " xfId="836"/>
    <cellStyle name="_25-11x_K-SWISS T12 25-12X_GIAY LANH T12-HAP 27-12X_K-SWISS-GIAY LANH T01 19-1X" xfId="837"/>
    <cellStyle name="_25-11x_K-SWISS T12 25-12X_GIAY LANH T12-HAP 27-12X_PALLADIUM T01 XUAT 23.1 LAN 2 (ExcelFIX)" xfId="838"/>
    <cellStyle name="_25-11x_K-SWISS T12 25-12X_GIAY LANH T12-HAP 27-12X_PALLADIUM T01 XUAT 8.2 (ExcelFIX)" xfId="839"/>
    <cellStyle name="_25-11x_K-SWISS T12 25-12X_GIAY LANH T12-HAP 27-12X_PALLADIUM T01xuat 23.1 (ExcelFIX)" xfId="840"/>
    <cellStyle name="_25-11x_K-SWISS T12 25-12X_GIAY LANH T12-HAP 27-12X_PALLADIUM T01xuat 23.1 LAN 1 (ExcelFIX)" xfId="841"/>
    <cellStyle name="_25-11x_K-SWISS T12 25-12X_GIAY LANH T12-HAP 27-12X_PALLADIUM-CXXUAT 6.2" xfId="842"/>
    <cellStyle name="_25-11x_K-SWISS T12 25-12X_GIAY LANH T12-HAP 27-12X_PALLADIUM-CXXUAT 9.2" xfId="843"/>
    <cellStyle name="_25-11x_K-SWISS T12 25-12X_GIAY LANH T12-HAP 27-12X_PALLADIUM-CXXUAT CHUA CO NGAY XUAT" xfId="844"/>
    <cellStyle name="_25-11x_K-SWISS T12 25-12X_GIAY LANH T12-HAP 27-12X_SD1502-053,054 XUAT 2.3 (ExcelFIX)" xfId="845"/>
    <cellStyle name="_25-11x_K-SWISS T12 25-12X_GIAY LANH T12-HAP 27-12X_SWS1502-155,156,159~166 XUAT 6.3" xfId="846"/>
    <cellStyle name="_25-11x_K-SWISS T12 25-12X_GIAY LANH T12-HAP 27-12X_SWS1502-167" xfId="847"/>
    <cellStyle name="_25-11x_K-SWISS T12 LAN 1" xfId="848"/>
    <cellStyle name="_25-11x_K-SWISS T12 LAN 1 (ExcelFIX)" xfId="849"/>
    <cellStyle name="_25-11x_K-SWISS T12 LAN 1 CO LENH CHUA LAM" xfId="850"/>
    <cellStyle name="_25-11x_K-SWISS T12 LAN 1_GIAY LANH T12-HAP 27-12X" xfId="851"/>
    <cellStyle name="_25-11x_K-SWISS T12 LAN 1_GIAY LANH T12-HAP 27-12X_1PALLADIUM T01 XUAT 8.2 (ExcelFIX)" xfId="852"/>
    <cellStyle name="_25-11x_K-SWISS T12 LAN 1_GIAY LANH T12-HAP 27-12X_1PALLADIUM T02 XUAT (ExcelFIX)" xfId="853"/>
    <cellStyle name="_25-11x_K-SWISS T12 LAN 1_GIAY LANH T12-HAP 27-12X_6.2.15 XUAT" xfId="854"/>
    <cellStyle name="_25-11x_K-SWISS T12 LAN 1_GIAY LANH T12-HAP 27-12X_6.2.15 XUAT_K-SWISS T01 30-1 (ExcelFIX)" xfId="855"/>
    <cellStyle name="_25-11x_K-SWISS T12 LAN 1_GIAY LANH T12-HAP 27-12X_6.2.15 XUAT_K-SWISS T01 DAO LAM MY CAN BANG CHUA XUAT10-2X" xfId="856"/>
    <cellStyle name="_25-11x_K-SWISS T12 LAN 1_GIAY LANH T12-HAP 27-12X_DM CHUA XUAT-23.1.15" xfId="857"/>
    <cellStyle name="_25-11x_K-SWISS T12 LAN 1_GIAY LANH T12-HAP 27-12X_DM CHUA XUAT-23.1.15_K-SWISS T01 30-1 (ExcelFIX)" xfId="858"/>
    <cellStyle name="_25-11x_K-SWISS T12 LAN 1_GIAY LANH T12-HAP 27-12X_DM CHUA XUAT-23.1.15_K-SWISS T01 DAO LAM MY CAN BANG CHUA XUAT10-2X" xfId="859"/>
    <cellStyle name="_25-11x_K-SWISS T12 LAN 1_GIAY LANH T12-HAP 27-12X_KS 6-3X" xfId="860"/>
    <cellStyle name="_25-11x_K-SWISS T12 LAN 1_GIAY LANH T12-HAP 27-12X_K-SWISS 30.1 XUAT" xfId="861"/>
    <cellStyle name="_25-11x_K-SWISS T12 LAN 1_GIAY LANH T12-HAP 27-12X_K-SWISS T01 10-2X (ExcelFIX)" xfId="862"/>
    <cellStyle name="_25-11x_K-SWISS T12 LAN 1_GIAY LANH T12-HAP 27-12X_K-SWISS T01 30-1 (ExcelFIX)" xfId="863"/>
    <cellStyle name="_25-11x_K-SWISS T12 LAN 1_GIAY LANH T12-HAP 27-12X_K-SWISS T01 DAO LAM MY CAN BANG CHUA XUAT10-2X" xfId="864"/>
    <cellStyle name="_25-11x_K-SWISS T12 LAN 1_GIAY LANH T12-HAP 27-12X_K-SWISS T01 LAN 2 DOI XUAT WEAR 2-2X HC OK, M1 OK " xfId="865"/>
    <cellStyle name="_25-11x_K-SWISS T12 LAN 1_GIAY LANH T12-HAP 27-12X_K-SWISS-GIAY LANH T01 19-1X" xfId="866"/>
    <cellStyle name="_25-11x_K-SWISS T12 LAN 1_GIAY LANH T12-HAP 27-12X_PALLADIUM T01 XUAT 23.1 LAN 2 (ExcelFIX)" xfId="867"/>
    <cellStyle name="_25-11x_K-SWISS T12 LAN 1_GIAY LANH T12-HAP 27-12X_PALLADIUM T01 XUAT 8.2 (ExcelFIX)" xfId="868"/>
    <cellStyle name="_25-11x_K-SWISS T12 LAN 1_GIAY LANH T12-HAP 27-12X_PALLADIUM T01xuat 23.1 (ExcelFIX)" xfId="869"/>
    <cellStyle name="_25-11x_K-SWISS T12 LAN 1_GIAY LANH T12-HAP 27-12X_PALLADIUM T01xuat 23.1 LAN 1 (ExcelFIX)" xfId="870"/>
    <cellStyle name="_25-11x_K-SWISS T12 LAN 1_GIAY LANH T12-HAP 27-12X_PALLADIUM-CXXUAT 6.2" xfId="871"/>
    <cellStyle name="_25-11x_K-SWISS T12 LAN 1_GIAY LANH T12-HAP 27-12X_PALLADIUM-CXXUAT 9.2" xfId="872"/>
    <cellStyle name="_25-11x_K-SWISS T12 LAN 1_GIAY LANH T12-HAP 27-12X_PALLADIUM-CXXUAT CHUA CO NGAY XUAT" xfId="873"/>
    <cellStyle name="_25-11x_K-SWISS T12 LAN 1_GIAY LANH T12-HAP 27-12X_SD1502-053,054 XUAT 2.3 (ExcelFIX)" xfId="874"/>
    <cellStyle name="_25-11x_K-SWISS T12 LAN 1_GIAY LANH T12-HAP 27-12X_SWS1502-155,156,159~166 XUAT 6.3" xfId="875"/>
    <cellStyle name="_25-11x_K-SWISS T12 LAN 1_GIAY LANH T12-HAP 27-12X_SWS1502-167" xfId="876"/>
    <cellStyle name="_25-11x_K-SWISS T12 LAN 1HC 20-12 X OK ROI(ExcelFIX)" xfId="877"/>
    <cellStyle name="_25-11x_SWS1501-129,133,403" xfId="878"/>
    <cellStyle name="_25-11x_SWS1501-129,133,403_K-SWISS T01 10-2X (ExcelFIX)" xfId="879"/>
    <cellStyle name="_25-11x_SWS1501-130,131,132" xfId="880"/>
    <cellStyle name="_25-11x_SWS1501-130,131,132_K-SWISS T01 10-2X (ExcelFIX)" xfId="881"/>
    <cellStyle name="_25-11x_SWS1501-135,125,126" xfId="882"/>
    <cellStyle name="_25-11x_SWS1501-135,125,126_K-SWISS T01 10-2X (ExcelFIX)" xfId="883"/>
    <cellStyle name="_April" xfId="884"/>
    <cellStyle name="_CTS 內銷 Order list- 0730" xfId="885"/>
    <cellStyle name="_CTS 內銷 Order list- 0730_CTS 內銷 Order list- 0917" xfId="886"/>
    <cellStyle name="_DM MAU 82455, 02455 " xfId="887"/>
    <cellStyle name="_DM MAU 82455, 02455 _6.2.15 XUAT" xfId="888"/>
    <cellStyle name="_DM MAU 82455, 02455 _6.2.15 XUAT_K-SWISS T01 30-1 (ExcelFIX)" xfId="889"/>
    <cellStyle name="_DM MAU 82455, 02455 _6.2.15 XUAT_K-SWISS T01 DAO LAM MY CAN BANG CHUA XUAT10-2X" xfId="890"/>
    <cellStyle name="_DM MAU 82455, 02455 _DM CHUA XUAT-23.1.15" xfId="891"/>
    <cellStyle name="_DM MAU 82455, 02455 _DM CHUA XUAT-23.1.15_K-SWISS T01 30-1 (ExcelFIX)" xfId="892"/>
    <cellStyle name="_DM MAU 82455, 02455 _DM CHUA XUAT-23.1.15_K-SWISS T01 DAO LAM MY CAN BANG CHUA XUAT10-2X" xfId="893"/>
    <cellStyle name="_DM MAU 82455, 02455 _KS 6-3X" xfId="894"/>
    <cellStyle name="_DM MAU 82455, 02455 _K-SWISS 30.1 XUAT" xfId="895"/>
    <cellStyle name="_DM MAU 82455, 02455 _K-SWISS T01 10-2X (ExcelFIX)" xfId="896"/>
    <cellStyle name="_DM MAU 82455, 02455 _K-SWISS T01 30-1 (ExcelFIX)" xfId="897"/>
    <cellStyle name="_DM MAU 82455, 02455 _K-SWISS T01 DAO LAM MY CAN BANG CHUA XUAT10-2X" xfId="898"/>
    <cellStyle name="_DM MAU 82455, 02455 _K-SWISS T01 LAN 2 DOI XUAT WEAR 2-2X HC OK, M1 OK " xfId="899"/>
    <cellStyle name="_DM MAU 82455, 02455 _K-SWISS-GIAY LANH T01 19-1X" xfId="900"/>
    <cellStyle name="_DM MAU 82455, 02455 _SD1502-053,054 XUAT 2.3 (ExcelFIX)" xfId="901"/>
    <cellStyle name="_DM MAU 82455, 02455 _SWS1502-155,156,159~166 XUAT 6.3" xfId="902"/>
    <cellStyle name="_DM MAU 82455, 02455 _SWS1502-167" xfId="903"/>
    <cellStyle name="_February" xfId="904"/>
    <cellStyle name="_February_05.20" xfId="905"/>
    <cellStyle name="_GIAY B 10-1X" xfId="906"/>
    <cellStyle name="_GIAY B 10-1X_KS 6-3X" xfId="907"/>
    <cellStyle name="_GIAY B 10-1X_K-SWISS T01 10-2X (ExcelFIX)" xfId="908"/>
    <cellStyle name="_GIAY B 10-1X_K-SWISS T01 30-1 (ExcelFIX)" xfId="909"/>
    <cellStyle name="_GIAY B 10-1X_K-SWISS T01 DAO LAM MY CAN BANG CHUA XUAT10-2X" xfId="910"/>
    <cellStyle name="_GIAY B 10-1X_K-SWISS T01 LAN 2 DOI XUAT WEAR 2-2X HC OK, M1 OK " xfId="911"/>
    <cellStyle name="_GIAY B 10-1X_K-SWISS-GIAY LANH T01 19-1X" xfId="912"/>
    <cellStyle name="_GIAY B 10-1X_SD1502-053,054 XUAT 2.3 (ExcelFIX)" xfId="913"/>
    <cellStyle name="_GIAY B 10-1X_SWS1502-155,156,159~166 XUAT 6.3" xfId="914"/>
    <cellStyle name="_GIAY B 10-1X_SWS1502-167" xfId="915"/>
    <cellStyle name="_GIAY LANH  T11 20-11X" xfId="916"/>
    <cellStyle name="_GIAY LANH T10 XUAT WEAR TINH HAO HC OK (ExcelFIX)" xfId="917"/>
    <cellStyle name="_GIAY LANH T10 XUAT WEAR TINH HAO HC OK (ExcelFIX)_1" xfId="918"/>
    <cellStyle name="_GIAY LANH T10 XUAT WEAR TINH HAO HC OK (ExcelFIX)_GIAY LANH +HAP T11 LAN 6 (ExcelFIX)" xfId="919"/>
    <cellStyle name="_GIAY LANH T10 XUAT WEAR TINH HAO HC OK (ExcelFIX)_GIAY LANH T11 +HAP T11 LAN 6 (ExcelFIX)" xfId="920"/>
    <cellStyle name="_GIAY LANH T10 XUAT WEAR TINH HAO HC OK (ExcelFIX)_GIAY LANH T11 +HAP T11 LAN 6 (ExcelFIX)_03334" xfId="921"/>
    <cellStyle name="_GIAY LANH T10 XUAT WEAR TINH HAO HC OK (ExcelFIX)_GIAY LANH T11 +HAP T11 LAN 6 (ExcelFIX)_DM" xfId="922"/>
    <cellStyle name="_GIAY LANH T10 XUAT WEAR TINH HAO HC OK (ExcelFIX)_GIAY LANH T11 +HAP T11 LAN 6 (ExcelFIX)_GIAY LANH T12 LAN 1 22-24-12X DA OK GOI (ExcelFIX) (ExcelFIX)" xfId="923"/>
    <cellStyle name="_GIAY LANH T10 XUAT WEAR TINH HAO HC OK (ExcelFIX)_GIAY LANH T11 +HAP T11 LAN 6 (ExcelFIX)_GIAY LANH T12 LAN 1 22-24-12X DA OK GOI DAO (ExcelFIX)" xfId="924"/>
    <cellStyle name="_GIAY LANH T10 XUAT WEAR TINH HAO HC OK (ExcelFIX)_GIAY LANH T11 +HAP T11 LAN 6 (ExcelFIX)_GIAY LANH T12 LAN 1 22-24-12X DA OK GOI DAO (ExcelFIX)_1PALLADIUM T01 XUAT 8.2 (ExcelFIX)" xfId="925"/>
    <cellStyle name="_GIAY LANH T10 XUAT WEAR TINH HAO HC OK (ExcelFIX)_GIAY LANH T11 +HAP T11 LAN 6 (ExcelFIX)_GIAY LANH T12 LAN 1 22-24-12X DA OK GOI DAO (ExcelFIX)_1PALLADIUM T02 XUAT (ExcelFIX)" xfId="926"/>
    <cellStyle name="_GIAY LANH T10 XUAT WEAR TINH HAO HC OK (ExcelFIX)_GIAY LANH T11 +HAP T11 LAN 6 (ExcelFIX)_GIAY LANH T12 LAN 1 22-24-12X DA OK GOI DAO (ExcelFIX)_6.2.15 XUAT" xfId="927"/>
    <cellStyle name="_GIAY LANH T10 XUAT WEAR TINH HAO HC OK (ExcelFIX)_GIAY LANH T11 +HAP T11 LAN 6 (ExcelFIX)_GIAY LANH T12 LAN 1 22-24-12X DA OK GOI DAO (ExcelFIX)_6.2.15 XUAT_K-SWISS T01 30-1 (ExcelFIX)" xfId="928"/>
    <cellStyle name="_GIAY LANH T10 XUAT WEAR TINH HAO HC OK (ExcelFIX)_GIAY LANH T11 +HAP T11 LAN 6 (ExcelFIX)_GIAY LANH T12 LAN 1 22-24-12X DA OK GOI DAO (ExcelFIX)_6.2.15 XUAT_K-SWISS T01 DAO LAM MY CAN BANG CHUA XUAT10-2X" xfId="929"/>
    <cellStyle name="_GIAY LANH T10 XUAT WEAR TINH HAO HC OK (ExcelFIX)_GIAY LANH T11 +HAP T11 LAN 6 (ExcelFIX)_GIAY LANH T12 LAN 1 22-24-12X DA OK GOI DAO (ExcelFIX)_DM CHUA XUAT-23.1.15" xfId="930"/>
    <cellStyle name="_GIAY LANH T10 XUAT WEAR TINH HAO HC OK (ExcelFIX)_GIAY LANH T11 +HAP T11 LAN 6 (ExcelFIX)_GIAY LANH T12 LAN 1 22-24-12X DA OK GOI DAO (ExcelFIX)_DM CHUA XUAT-23.1.15_K-SWISS T01 30-1 (ExcelFIX)" xfId="931"/>
    <cellStyle name="_GIAY LANH T10 XUAT WEAR TINH HAO HC OK (ExcelFIX)_GIAY LANH T11 +HAP T11 LAN 6 (ExcelFIX)_GIAY LANH T12 LAN 1 22-24-12X DA OK GOI DAO (ExcelFIX)_DM CHUA XUAT-23.1.15_K-SWISS T01 DAO LAM MY CAN BANG CHUA XUAT10-2X" xfId="932"/>
    <cellStyle name="_GIAY LANH T10 XUAT WEAR TINH HAO HC OK (ExcelFIX)_GIAY LANH T11 +HAP T11 LAN 6 (ExcelFIX)_GIAY LANH T12 LAN 1 22-24-12X DA OK GOI DAO (ExcelFIX)_KS 6-3X" xfId="933"/>
    <cellStyle name="_GIAY LANH T10 XUAT WEAR TINH HAO HC OK (ExcelFIX)_GIAY LANH T11 +HAP T11 LAN 6 (ExcelFIX)_GIAY LANH T12 LAN 1 22-24-12X DA OK GOI DAO (ExcelFIX)_K-SWISS 30.1 XUAT" xfId="934"/>
    <cellStyle name="_GIAY LANH T10 XUAT WEAR TINH HAO HC OK (ExcelFIX)_GIAY LANH T11 +HAP T11 LAN 6 (ExcelFIX)_GIAY LANH T12 LAN 1 22-24-12X DA OK GOI DAO (ExcelFIX)_K-SWISS T01 10-2X (ExcelFIX)" xfId="935"/>
    <cellStyle name="_GIAY LANH T10 XUAT WEAR TINH HAO HC OK (ExcelFIX)_GIAY LANH T11 +HAP T11 LAN 6 (ExcelFIX)_GIAY LANH T12 LAN 1 22-24-12X DA OK GOI DAO (ExcelFIX)_K-SWISS T01 30-1 (ExcelFIX)" xfId="936"/>
    <cellStyle name="_GIAY LANH T10 XUAT WEAR TINH HAO HC OK (ExcelFIX)_GIAY LANH T11 +HAP T11 LAN 6 (ExcelFIX)_GIAY LANH T12 LAN 1 22-24-12X DA OK GOI DAO (ExcelFIX)_K-SWISS T01 DAO LAM MY CAN BANG CHUA XUAT10-2X" xfId="937"/>
    <cellStyle name="_GIAY LANH T10 XUAT WEAR TINH HAO HC OK (ExcelFIX)_GIAY LANH T11 +HAP T11 LAN 6 (ExcelFIX)_GIAY LANH T12 LAN 1 22-24-12X DA OK GOI DAO (ExcelFIX)_K-SWISS T01 LAN 2 DOI XUAT WEAR 2-2X HC OK, M1 OK " xfId="938"/>
    <cellStyle name="_GIAY LANH T10 XUAT WEAR TINH HAO HC OK (ExcelFIX)_GIAY LANH T11 +HAP T11 LAN 6 (ExcelFIX)_GIAY LANH T12 LAN 1 22-24-12X DA OK GOI DAO (ExcelFIX)_K-SWISS-GIAY LANH T01 19-1X" xfId="939"/>
    <cellStyle name="_GIAY LANH T10 XUAT WEAR TINH HAO HC OK (ExcelFIX)_GIAY LANH T11 +HAP T11 LAN 6 (ExcelFIX)_GIAY LANH T12 LAN 1 22-24-12X DA OK GOI DAO (ExcelFIX)_PALLADIUM T01 XUAT 23.1 LAN 2 (ExcelFIX)" xfId="940"/>
    <cellStyle name="_GIAY LANH T10 XUAT WEAR TINH HAO HC OK (ExcelFIX)_GIAY LANH T11 +HAP T11 LAN 6 (ExcelFIX)_GIAY LANH T12 LAN 1 22-24-12X DA OK GOI DAO (ExcelFIX)_PALLADIUM T01 XUAT 8.2 (ExcelFIX)" xfId="941"/>
    <cellStyle name="_GIAY LANH T10 XUAT WEAR TINH HAO HC OK (ExcelFIX)_GIAY LANH T11 +HAP T11 LAN 6 (ExcelFIX)_GIAY LANH T12 LAN 1 22-24-12X DA OK GOI DAO (ExcelFIX)_PALLADIUM T01xuat 23.1 (ExcelFIX)" xfId="942"/>
    <cellStyle name="_GIAY LANH T10 XUAT WEAR TINH HAO HC OK (ExcelFIX)_GIAY LANH T11 +HAP T11 LAN 6 (ExcelFIX)_GIAY LANH T12 LAN 1 22-24-12X DA OK GOI DAO (ExcelFIX)_PALLADIUM T01xuat 23.1 LAN 1 (ExcelFIX)" xfId="943"/>
    <cellStyle name="_GIAY LANH T10 XUAT WEAR TINH HAO HC OK (ExcelFIX)_GIAY LANH T11 +HAP T11 LAN 6 (ExcelFIX)_GIAY LANH T12 LAN 1 22-24-12X DA OK GOI DAO (ExcelFIX)_PALLADIUM-CXXUAT 6.2" xfId="944"/>
    <cellStyle name="_GIAY LANH T10 XUAT WEAR TINH HAO HC OK (ExcelFIX)_GIAY LANH T11 +HAP T11 LAN 6 (ExcelFIX)_GIAY LANH T12 LAN 1 22-24-12X DA OK GOI DAO (ExcelFIX)_PALLADIUM-CXXUAT 9.2" xfId="945"/>
    <cellStyle name="_GIAY LANH T10 XUAT WEAR TINH HAO HC OK (ExcelFIX)_GIAY LANH T11 +HAP T11 LAN 6 (ExcelFIX)_GIAY LANH T12 LAN 1 22-24-12X DA OK GOI DAO (ExcelFIX)_PALLADIUM-CXXUAT CHUA CO NGAY XUAT" xfId="946"/>
    <cellStyle name="_GIAY LANH T10 XUAT WEAR TINH HAO HC OK (ExcelFIX)_GIAY LANH T11 +HAP T11 LAN 6 (ExcelFIX)_GIAY LANH T12 LAN 1 22-24-12X DA OK GOI DAO (ExcelFIX)_SD1502-053,054 XUAT 2.3 (ExcelFIX)" xfId="947"/>
    <cellStyle name="_GIAY LANH T10 XUAT WEAR TINH HAO HC OK (ExcelFIX)_GIAY LANH T11 +HAP T11 LAN 6 (ExcelFIX)_GIAY LANH T12 LAN 1 22-24-12X DA OK GOI DAO (ExcelFIX)_SWS1502-155,156,159~166 XUAT 6.3" xfId="948"/>
    <cellStyle name="_GIAY LANH T10 XUAT WEAR TINH HAO HC OK (ExcelFIX)_GIAY LANH T11 +HAP T11 LAN 6 (ExcelFIX)_GIAY LANH T12 LAN 1 22-24-12X DA OK GOI DAO (ExcelFIX)_SWS1502-167" xfId="949"/>
    <cellStyle name="_GIAY LANH T10 XUAT WEAR TINH HAO HC OK (ExcelFIX)_GIAY LANH T11 +HAP T11 LAN 6 (ExcelFIX)_GIAY LANH T12 LAN 3 XUAT co 78B  22-12" xfId="950"/>
    <cellStyle name="_GIAY LANH T10 XUAT WEAR TINH HAO HC OK (ExcelFIX)_GIAY LANH T11 +HAP T11 LAN 6 (ExcelFIX)_GIAY LANH T12 LAN 3 XUAT co 78B  22-12_6.2.15 XUAT" xfId="951"/>
    <cellStyle name="_GIAY LANH T10 XUAT WEAR TINH HAO HC OK (ExcelFIX)_GIAY LANH T11 +HAP T11 LAN 6 (ExcelFIX)_GIAY LANH T12 LAN 3 XUAT co 78B  22-12_6.2.15 XUAT_K-SWISS T01 30-1 (ExcelFIX)" xfId="952"/>
    <cellStyle name="_GIAY LANH T10 XUAT WEAR TINH HAO HC OK (ExcelFIX)_GIAY LANH T11 +HAP T11 LAN 6 (ExcelFIX)_GIAY LANH T12 LAN 3 XUAT co 78B  22-12_6.2.15 XUAT_K-SWISS T01 DAO LAM MY CAN BANG CHUA XUAT10-2X" xfId="953"/>
    <cellStyle name="_GIAY LANH T10 XUAT WEAR TINH HAO HC OK (ExcelFIX)_GIAY LANH T11 +HAP T11 LAN 6 (ExcelFIX)_GIAY LANH T12 LAN 3 XUAT co 78B  22-12_DM CHUA XUAT-23.1.15" xfId="954"/>
    <cellStyle name="_GIAY LANH T10 XUAT WEAR TINH HAO HC OK (ExcelFIX)_GIAY LANH T11 +HAP T11 LAN 6 (ExcelFIX)_GIAY LANH T12 LAN 3 XUAT co 78B  22-12_DM CHUA XUAT-23.1.15_K-SWISS T01 30-1 (ExcelFIX)" xfId="955"/>
    <cellStyle name="_GIAY LANH T10 XUAT WEAR TINH HAO HC OK (ExcelFIX)_GIAY LANH T11 +HAP T11 LAN 6 (ExcelFIX)_GIAY LANH T12 LAN 3 XUAT co 78B  22-12_DM CHUA XUAT-23.1.15_K-SWISS T01 DAO LAM MY CAN BANG CHUA XUAT10-2X" xfId="956"/>
    <cellStyle name="_GIAY LANH T10 XUAT WEAR TINH HAO HC OK (ExcelFIX)_GIAY LANH T11 +HAP T11 LAN 6 (ExcelFIX)_GIAY LANH T12 LAN 3 XUAT co 78B  22-12_KS 6-3X" xfId="957"/>
    <cellStyle name="_GIAY LANH T10 XUAT WEAR TINH HAO HC OK (ExcelFIX)_GIAY LANH T11 +HAP T11 LAN 6 (ExcelFIX)_GIAY LANH T12 LAN 3 XUAT co 78B  22-12_K-SWISS 30.1 XUAT" xfId="958"/>
    <cellStyle name="_GIAY LANH T10 XUAT WEAR TINH HAO HC OK (ExcelFIX)_GIAY LANH T11 +HAP T11 LAN 6 (ExcelFIX)_GIAY LANH T12 LAN 3 XUAT co 78B  22-12_K-SWISS T01 10-2X (ExcelFIX)" xfId="959"/>
    <cellStyle name="_GIAY LANH T10 XUAT WEAR TINH HAO HC OK (ExcelFIX)_GIAY LANH T11 +HAP T11 LAN 6 (ExcelFIX)_GIAY LANH T12 LAN 3 XUAT co 78B  22-12_K-SWISS T01 30-1 (ExcelFIX)" xfId="960"/>
    <cellStyle name="_GIAY LANH T10 XUAT WEAR TINH HAO HC OK (ExcelFIX)_GIAY LANH T11 +HAP T11 LAN 6 (ExcelFIX)_GIAY LANH T12 LAN 3 XUAT co 78B  22-12_K-SWISS T01 DAO LAM MY CAN BANG CHUA XUAT10-2X" xfId="961"/>
    <cellStyle name="_GIAY LANH T10 XUAT WEAR TINH HAO HC OK (ExcelFIX)_GIAY LANH T11 +HAP T11 LAN 6 (ExcelFIX)_GIAY LANH T12 LAN 3 XUAT co 78B  22-12_K-SWISS T01 LAN 2 DOI XUAT WEAR 2-2X HC OK, M1 OK " xfId="962"/>
    <cellStyle name="_GIAY LANH T10 XUAT WEAR TINH HAO HC OK (ExcelFIX)_GIAY LANH T11 +HAP T11 LAN 6 (ExcelFIX)_GIAY LANH T12 LAN 3 XUAT co 78B  22-12_K-SWISS-GIAY LANH T01 19-1X" xfId="963"/>
    <cellStyle name="_GIAY LANH T10 XUAT WEAR TINH HAO HC OK (ExcelFIX)_GIAY LANH T11 +HAP T11 LAN 6 (ExcelFIX)_GIAY LANH T12 LAN 3 XUAT co 78B  22-12_SD1502-053,054 XUAT 2.3 (ExcelFIX)" xfId="964"/>
    <cellStyle name="_GIAY LANH T10 XUAT WEAR TINH HAO HC OK (ExcelFIX)_GIAY LANH T11 +HAP T11 LAN 6 (ExcelFIX)_GIAY LANH T12 LAN 3 XUAT co 78B  22-12_SWS1502-155,156,159~166 XUAT 6.3" xfId="965"/>
    <cellStyle name="_GIAY LANH T10 XUAT WEAR TINH HAO HC OK (ExcelFIX)_GIAY LANH T11 +HAP T11 LAN 6 (ExcelFIX)_GIAY LANH T12 LAN 3 XUAT co 78B  22-12_SWS1502-167" xfId="966"/>
    <cellStyle name="_GIAY LANH T10 XUAT WEAR TINH HAO HC OK (ExcelFIX)_GIAY LANH T11 +HAP T11 LAN 6 (ExcelFIX)_GIAY LANH T12-HAP 27-12X" xfId="967"/>
    <cellStyle name="_GIAY LANH T10 XUAT WEAR TINH HAO HC OK (ExcelFIX)_GIAY LANH T11 +HAP T11 LAN 6 (ExcelFIX)_GIAY LANH T12-HAP 27-12X_1PALLADIUM T01 XUAT 8.2 (ExcelFIX)" xfId="968"/>
    <cellStyle name="_GIAY LANH T10 XUAT WEAR TINH HAO HC OK (ExcelFIX)_GIAY LANH T11 +HAP T11 LAN 6 (ExcelFIX)_GIAY LANH T12-HAP 27-12X_1PALLADIUM T02 XUAT (ExcelFIX)" xfId="969"/>
    <cellStyle name="_GIAY LANH T10 XUAT WEAR TINH HAO HC OK (ExcelFIX)_GIAY LANH T11 +HAP T11 LAN 6 (ExcelFIX)_GIAY LANH T12-HAP 27-12X_6.2.15 XUAT" xfId="970"/>
    <cellStyle name="_GIAY LANH T10 XUAT WEAR TINH HAO HC OK (ExcelFIX)_GIAY LANH T11 +HAP T11 LAN 6 (ExcelFIX)_GIAY LANH T12-HAP 27-12X_6.2.15 XUAT_K-SWISS T01 30-1 (ExcelFIX)" xfId="971"/>
    <cellStyle name="_GIAY LANH T10 XUAT WEAR TINH HAO HC OK (ExcelFIX)_GIAY LANH T11 +HAP T11 LAN 6 (ExcelFIX)_GIAY LANH T12-HAP 27-12X_6.2.15 XUAT_K-SWISS T01 DAO LAM MY CAN BANG CHUA XUAT10-2X" xfId="972"/>
    <cellStyle name="_GIAY LANH T10 XUAT WEAR TINH HAO HC OK (ExcelFIX)_GIAY LANH T11 +HAP T11 LAN 6 (ExcelFIX)_GIAY LANH T12-HAP 27-12X_DM CHUA XUAT-23.1.15" xfId="973"/>
    <cellStyle name="_GIAY LANH T10 XUAT WEAR TINH HAO HC OK (ExcelFIX)_GIAY LANH T11 +HAP T11 LAN 6 (ExcelFIX)_GIAY LANH T12-HAP 27-12X_DM CHUA XUAT-23.1.15_K-SWISS T01 30-1 (ExcelFIX)" xfId="974"/>
    <cellStyle name="_GIAY LANH T10 XUAT WEAR TINH HAO HC OK (ExcelFIX)_GIAY LANH T11 +HAP T11 LAN 6 (ExcelFIX)_GIAY LANH T12-HAP 27-12X_DM CHUA XUAT-23.1.15_K-SWISS T01 DAO LAM MY CAN BANG CHUA XUAT10-2X" xfId="975"/>
    <cellStyle name="_GIAY LANH T10 XUAT WEAR TINH HAO HC OK (ExcelFIX)_GIAY LANH T11 +HAP T11 LAN 6 (ExcelFIX)_GIAY LANH T12-HAP 27-12X_KS 6-3X" xfId="976"/>
    <cellStyle name="_GIAY LANH T10 XUAT WEAR TINH HAO HC OK (ExcelFIX)_GIAY LANH T11 +HAP T11 LAN 6 (ExcelFIX)_GIAY LANH T12-HAP 27-12X_K-SWISS 30.1 XUAT" xfId="977"/>
    <cellStyle name="_GIAY LANH T10 XUAT WEAR TINH HAO HC OK (ExcelFIX)_GIAY LANH T11 +HAP T11 LAN 6 (ExcelFIX)_GIAY LANH T12-HAP 27-12X_K-SWISS T01 10-2X (ExcelFIX)" xfId="978"/>
    <cellStyle name="_GIAY LANH T10 XUAT WEAR TINH HAO HC OK (ExcelFIX)_GIAY LANH T11 +HAP T11 LAN 6 (ExcelFIX)_GIAY LANH T12-HAP 27-12X_K-SWISS T01 30-1 (ExcelFIX)" xfId="979"/>
    <cellStyle name="_GIAY LANH T10 XUAT WEAR TINH HAO HC OK (ExcelFIX)_GIAY LANH T11 +HAP T11 LAN 6 (ExcelFIX)_GIAY LANH T12-HAP 27-12X_K-SWISS T01 DAO LAM MY CAN BANG CHUA XUAT10-2X" xfId="980"/>
    <cellStyle name="_GIAY LANH T10 XUAT WEAR TINH HAO HC OK (ExcelFIX)_GIAY LANH T11 +HAP T11 LAN 6 (ExcelFIX)_GIAY LANH T12-HAP 27-12X_K-SWISS T01 LAN 2 DOI XUAT WEAR 2-2X HC OK, M1 OK " xfId="981"/>
    <cellStyle name="_GIAY LANH T10 XUAT WEAR TINH HAO HC OK (ExcelFIX)_GIAY LANH T11 +HAP T11 LAN 6 (ExcelFIX)_GIAY LANH T12-HAP 27-12X_K-SWISS-GIAY LANH T01 19-1X" xfId="982"/>
    <cellStyle name="_GIAY LANH T10 XUAT WEAR TINH HAO HC OK (ExcelFIX)_GIAY LANH T11 +HAP T11 LAN 6 (ExcelFIX)_GIAY LANH T12-HAP 27-12X_PALLADIUM T01 XUAT 23.1 LAN 2 (ExcelFIX)" xfId="983"/>
    <cellStyle name="_GIAY LANH T10 XUAT WEAR TINH HAO HC OK (ExcelFIX)_GIAY LANH T11 +HAP T11 LAN 6 (ExcelFIX)_GIAY LANH T12-HAP 27-12X_PALLADIUM T01 XUAT 8.2 (ExcelFIX)" xfId="984"/>
    <cellStyle name="_GIAY LANH T10 XUAT WEAR TINH HAO HC OK (ExcelFIX)_GIAY LANH T11 +HAP T11 LAN 6 (ExcelFIX)_GIAY LANH T12-HAP 27-12X_PALLADIUM T01xuat 23.1 (ExcelFIX)" xfId="985"/>
    <cellStyle name="_GIAY LANH T10 XUAT WEAR TINH HAO HC OK (ExcelFIX)_GIAY LANH T11 +HAP T11 LAN 6 (ExcelFIX)_GIAY LANH T12-HAP 27-12X_PALLADIUM T01xuat 23.1 LAN 1 (ExcelFIX)" xfId="986"/>
    <cellStyle name="_GIAY LANH T10 XUAT WEAR TINH HAO HC OK (ExcelFIX)_GIAY LANH T11 +HAP T11 LAN 6 (ExcelFIX)_GIAY LANH T12-HAP 27-12X_PALLADIUM-CXXUAT 6.2" xfId="987"/>
    <cellStyle name="_GIAY LANH T10 XUAT WEAR TINH HAO HC OK (ExcelFIX)_GIAY LANH T11 +HAP T11 LAN 6 (ExcelFIX)_GIAY LANH T12-HAP 27-12X_PALLADIUM-CXXUAT 9.2" xfId="988"/>
    <cellStyle name="_GIAY LANH T10 XUAT WEAR TINH HAO HC OK (ExcelFIX)_GIAY LANH T11 +HAP T11 LAN 6 (ExcelFIX)_GIAY LANH T12-HAP 27-12X_PALLADIUM-CXXUAT CHUA CO NGAY XUAT" xfId="989"/>
    <cellStyle name="_GIAY LANH T10 XUAT WEAR TINH HAO HC OK (ExcelFIX)_GIAY LANH T11 +HAP T11 LAN 6 (ExcelFIX)_GIAY LANH T12-HAP 27-12X_SD1502-053,054 XUAT 2.3 (ExcelFIX)" xfId="990"/>
    <cellStyle name="_GIAY LANH T10 XUAT WEAR TINH HAO HC OK (ExcelFIX)_GIAY LANH T11 +HAP T11 LAN 6 (ExcelFIX)_GIAY LANH T12-HAP 27-12X_SWS1502-155,156,159~166 XUAT 6.3" xfId="991"/>
    <cellStyle name="_GIAY LANH T10 XUAT WEAR TINH HAO HC OK (ExcelFIX)_GIAY LANH T11 +HAP T11 LAN 6 (ExcelFIX)_GIAY LANH T12-HAP 27-12X_SWS1502-167" xfId="992"/>
    <cellStyle name="_GIAY LANH T10 XUAT WEAR TINH HAO HC OK (ExcelFIX)_GIAY LANH T11 +HAP T11 LAN 6 (ExcelFIX)_K-SWISS T12 LAN 2 22-12X (ExcelFIX)" xfId="993"/>
    <cellStyle name="_GIAY LANH T10 XUAT WEAR TINH HAO HC OK (ExcelFIX)_GIAY LANH T11 +HAP T11 LAN 6 (ExcelFIX)_K-SWISS T12 LAN 2 22-12X (ExcelFIX)_1PALLADIUM T01 XUAT 8.2 (ExcelFIX)" xfId="994"/>
    <cellStyle name="_GIAY LANH T10 XUAT WEAR TINH HAO HC OK (ExcelFIX)_GIAY LANH T11 +HAP T11 LAN 6 (ExcelFIX)_K-SWISS T12 LAN 2 22-12X (ExcelFIX)_1PALLADIUM T02 XUAT (ExcelFIX)" xfId="995"/>
    <cellStyle name="_GIAY LANH T10 XUAT WEAR TINH HAO HC OK (ExcelFIX)_GIAY LANH T11 +HAP T11 LAN 6 (ExcelFIX)_K-SWISS T12 LAN 2 22-12X (ExcelFIX)_6.2.15 XUAT" xfId="996"/>
    <cellStyle name="_GIAY LANH T10 XUAT WEAR TINH HAO HC OK (ExcelFIX)_GIAY LANH T11 +HAP T11 LAN 6 (ExcelFIX)_K-SWISS T12 LAN 2 22-12X (ExcelFIX)_6.2.15 XUAT_K-SWISS T01 30-1 (ExcelFIX)" xfId="997"/>
    <cellStyle name="_GIAY LANH T10 XUAT WEAR TINH HAO HC OK (ExcelFIX)_GIAY LANH T11 +HAP T11 LAN 6 (ExcelFIX)_K-SWISS T12 LAN 2 22-12X (ExcelFIX)_6.2.15 XUAT_K-SWISS T01 DAO LAM MY CAN BANG CHUA XUAT10-2X" xfId="998"/>
    <cellStyle name="_GIAY LANH T10 XUAT WEAR TINH HAO HC OK (ExcelFIX)_GIAY LANH T11 +HAP T11 LAN 6 (ExcelFIX)_K-SWISS T12 LAN 2 22-12X (ExcelFIX)_DM CHUA XUAT-23.1.15" xfId="999"/>
    <cellStyle name="_GIAY LANH T10 XUAT WEAR TINH HAO HC OK (ExcelFIX)_GIAY LANH T11 +HAP T11 LAN 6 (ExcelFIX)_K-SWISS T12 LAN 2 22-12X (ExcelFIX)_DM CHUA XUAT-23.1.15_K-SWISS T01 30-1 (ExcelFIX)" xfId="1000"/>
    <cellStyle name="_GIAY LANH T10 XUAT WEAR TINH HAO HC OK (ExcelFIX)_GIAY LANH T11 +HAP T11 LAN 6 (ExcelFIX)_K-SWISS T12 LAN 2 22-12X (ExcelFIX)_DM CHUA XUAT-23.1.15_K-SWISS T01 DAO LAM MY CAN BANG CHUA XUAT10-2X" xfId="1001"/>
    <cellStyle name="_GIAY LANH T10 XUAT WEAR TINH HAO HC OK (ExcelFIX)_GIAY LANH T11 +HAP T11 LAN 6 (ExcelFIX)_K-SWISS T12 LAN 2 22-12X (ExcelFIX)_KS 6-3X" xfId="1002"/>
    <cellStyle name="_GIAY LANH T10 XUAT WEAR TINH HAO HC OK (ExcelFIX)_GIAY LANH T11 +HAP T11 LAN 6 (ExcelFIX)_K-SWISS T12 LAN 2 22-12X (ExcelFIX)_K-SWISS 30.1 XUAT" xfId="1003"/>
    <cellStyle name="_GIAY LANH T10 XUAT WEAR TINH HAO HC OK (ExcelFIX)_GIAY LANH T11 +HAP T11 LAN 6 (ExcelFIX)_K-SWISS T12 LAN 2 22-12X (ExcelFIX)_K-SWISS T01 10-2X (ExcelFIX)" xfId="1004"/>
    <cellStyle name="_GIAY LANH T10 XUAT WEAR TINH HAO HC OK (ExcelFIX)_GIAY LANH T11 +HAP T11 LAN 6 (ExcelFIX)_K-SWISS T12 LAN 2 22-12X (ExcelFIX)_K-SWISS T01 30-1 (ExcelFIX)" xfId="1005"/>
    <cellStyle name="_GIAY LANH T10 XUAT WEAR TINH HAO HC OK (ExcelFIX)_GIAY LANH T11 +HAP T11 LAN 6 (ExcelFIX)_K-SWISS T12 LAN 2 22-12X (ExcelFIX)_K-SWISS T01 DAO LAM MY CAN BANG CHUA XUAT10-2X" xfId="1006"/>
    <cellStyle name="_GIAY LANH T10 XUAT WEAR TINH HAO HC OK (ExcelFIX)_GIAY LANH T11 +HAP T11 LAN 6 (ExcelFIX)_K-SWISS T12 LAN 2 22-12X (ExcelFIX)_K-SWISS T01 LAN 2 DOI XUAT WEAR 2-2X HC OK, M1 OK " xfId="1007"/>
    <cellStyle name="_GIAY LANH T10 XUAT WEAR TINH HAO HC OK (ExcelFIX)_GIAY LANH T11 +HAP T11 LAN 6 (ExcelFIX)_K-SWISS T12 LAN 2 22-12X (ExcelFIX)_K-SWISS-GIAY LANH T01 19-1X" xfId="1008"/>
    <cellStyle name="_GIAY LANH T10 XUAT WEAR TINH HAO HC OK (ExcelFIX)_GIAY LANH T11 +HAP T11 LAN 6 (ExcelFIX)_K-SWISS T12 LAN 2 22-12X (ExcelFIX)_PALLADIUM T01 XUAT 23.1 LAN 2 (ExcelFIX)" xfId="1009"/>
    <cellStyle name="_GIAY LANH T10 XUAT WEAR TINH HAO HC OK (ExcelFIX)_GIAY LANH T11 +HAP T11 LAN 6 (ExcelFIX)_K-SWISS T12 LAN 2 22-12X (ExcelFIX)_PALLADIUM T01 XUAT 8.2 (ExcelFIX)" xfId="1010"/>
    <cellStyle name="_GIAY LANH T10 XUAT WEAR TINH HAO HC OK (ExcelFIX)_GIAY LANH T11 +HAP T11 LAN 6 (ExcelFIX)_K-SWISS T12 LAN 2 22-12X (ExcelFIX)_PALLADIUM T01xuat 23.1 (ExcelFIX)" xfId="1011"/>
    <cellStyle name="_GIAY LANH T10 XUAT WEAR TINH HAO HC OK (ExcelFIX)_GIAY LANH T11 +HAP T11 LAN 6 (ExcelFIX)_K-SWISS T12 LAN 2 22-12X (ExcelFIX)_PALLADIUM T01xuat 23.1 LAN 1 (ExcelFIX)" xfId="1012"/>
    <cellStyle name="_GIAY LANH T10 XUAT WEAR TINH HAO HC OK (ExcelFIX)_GIAY LANH T11 +HAP T11 LAN 6 (ExcelFIX)_K-SWISS T12 LAN 2 22-12X (ExcelFIX)_PALLADIUM-CXXUAT 6.2" xfId="1013"/>
    <cellStyle name="_GIAY LANH T10 XUAT WEAR TINH HAO HC OK (ExcelFIX)_GIAY LANH T11 +HAP T11 LAN 6 (ExcelFIX)_K-SWISS T12 LAN 2 22-12X (ExcelFIX)_PALLADIUM-CXXUAT 9.2" xfId="1014"/>
    <cellStyle name="_GIAY LANH T10 XUAT WEAR TINH HAO HC OK (ExcelFIX)_GIAY LANH T11 +HAP T11 LAN 6 (ExcelFIX)_K-SWISS T12 LAN 2 22-12X (ExcelFIX)_PALLADIUM-CXXUAT CHUA CO NGAY XUAT" xfId="1015"/>
    <cellStyle name="_GIAY LANH T10 XUAT WEAR TINH HAO HC OK (ExcelFIX)_GIAY LANH T11 +HAP T11 LAN 6 (ExcelFIX)_K-SWISS T12 LAN 2 22-12X (ExcelFIX)_SD1502-053,054 XUAT 2.3 (ExcelFIX)" xfId="1016"/>
    <cellStyle name="_GIAY LANH T10 XUAT WEAR TINH HAO HC OK (ExcelFIX)_GIAY LANH T11 +HAP T11 LAN 6 (ExcelFIX)_K-SWISS T12 LAN 2 22-12X (ExcelFIX)_SWS1502-155,156,159~166 XUAT 6.3" xfId="1017"/>
    <cellStyle name="_GIAY LANH T10 XUAT WEAR TINH HAO HC OK (ExcelFIX)_GIAY LANH T11 +HAP T11 LAN 6 (ExcelFIX)_K-SWISS T12 LAN 2 22-12X (ExcelFIX)_SWS1502-167" xfId="1018"/>
    <cellStyle name="_GIAY LANH T10 XUAT WEAR TINH HAO HC OK (ExcelFIX)_GIAY LANH T11 +HAP T11 LAN 6 (ExcelFIX)_SWS1501-129,133,403" xfId="1019"/>
    <cellStyle name="_GIAY LANH T10 XUAT WEAR TINH HAO HC OK (ExcelFIX)_GIAY LANH T11 +HAP T11 LAN 6 (ExcelFIX)_SWS1501-129,133,403_K-SWISS T01 10-2X (ExcelFIX)" xfId="1020"/>
    <cellStyle name="_GIAY LANH T10 XUAT WEAR TINH HAO HC OK (ExcelFIX)_GIAY LANH T11 +HAP T11 LAN 6 (ExcelFIX)_SWS1501-130,131,132" xfId="1021"/>
    <cellStyle name="_GIAY LANH T10 XUAT WEAR TINH HAO HC OK (ExcelFIX)_GIAY LANH T11 +HAP T11 LAN 6 (ExcelFIX)_SWS1501-130,131,132_K-SWISS T01 10-2X (ExcelFIX)" xfId="1022"/>
    <cellStyle name="_GIAY LANH T10 XUAT WEAR TINH HAO HC OK (ExcelFIX)_GIAY LANH T11 +HAP T11 LAN 6 (ExcelFIX)_SWS1501-135,125,126" xfId="1023"/>
    <cellStyle name="_GIAY LANH T10 XUAT WEAR TINH HAO HC OK (ExcelFIX)_GIAY LANH T11 +HAP T11 LAN 6 (ExcelFIX)_SWS1501-135,125,126_K-SWISS T01 10-2X (ExcelFIX)" xfId="1024"/>
    <cellStyle name="_GIAY LANH T10 XUAT WEAR TINH HAO HC OK (ExcelFIX)_GIAY LANH T11 +HAP T12 (ExcelFIX)" xfId="1025"/>
    <cellStyle name="_GIAY LANH T10 XUAT WEAR TINH HAO HC OK (ExcelFIX)_GIAY LANH T11 +HAP T12 (ExcelFIX)_03334" xfId="1026"/>
    <cellStyle name="_GIAY LANH T10 XUAT WEAR TINH HAO HC OK (ExcelFIX)_GIAY LANH T11 +HAP T12 (ExcelFIX)_DM" xfId="1027"/>
    <cellStyle name="_GIAY LANH T10 XUAT WEAR TINH HAO HC OK (ExcelFIX)_GIAY LANH T11 +HAP T12 (ExcelFIX)_GIAY LANH T12 LAN 3 XUAT co 78B  22-12" xfId="1028"/>
    <cellStyle name="_GIAY LANH T10 XUAT WEAR TINH HAO HC OK (ExcelFIX)_GIAY LANH T11 +HAP T12 (ExcelFIX)_GIAY LANH T12 LAN 3 XUAT co 78B  22-12_6.2.15 XUAT" xfId="1029"/>
    <cellStyle name="_GIAY LANH T10 XUAT WEAR TINH HAO HC OK (ExcelFIX)_GIAY LANH T11 +HAP T12 (ExcelFIX)_GIAY LANH T12 LAN 3 XUAT co 78B  22-12_6.2.15 XUAT_K-SWISS T01 30-1 (ExcelFIX)" xfId="1030"/>
    <cellStyle name="_GIAY LANH T10 XUAT WEAR TINH HAO HC OK (ExcelFIX)_GIAY LANH T11 +HAP T12 (ExcelFIX)_GIAY LANH T12 LAN 3 XUAT co 78B  22-12_6.2.15 XUAT_K-SWISS T01 DAO LAM MY CAN BANG CHUA XUAT10-2X" xfId="1031"/>
    <cellStyle name="_GIAY LANH T10 XUAT WEAR TINH HAO HC OK (ExcelFIX)_GIAY LANH T11 +HAP T12 (ExcelFIX)_GIAY LANH T12 LAN 3 XUAT co 78B  22-12_DM CHUA XUAT-23.1.15" xfId="1032"/>
    <cellStyle name="_GIAY LANH T10 XUAT WEAR TINH HAO HC OK (ExcelFIX)_GIAY LANH T11 +HAP T12 (ExcelFIX)_GIAY LANH T12 LAN 3 XUAT co 78B  22-12_DM CHUA XUAT-23.1.15_K-SWISS T01 30-1 (ExcelFIX)" xfId="1033"/>
    <cellStyle name="_GIAY LANH T10 XUAT WEAR TINH HAO HC OK (ExcelFIX)_GIAY LANH T11 +HAP T12 (ExcelFIX)_GIAY LANH T12 LAN 3 XUAT co 78B  22-12_DM CHUA XUAT-23.1.15_K-SWISS T01 DAO LAM MY CAN BANG CHUA XUAT10-2X" xfId="1034"/>
    <cellStyle name="_GIAY LANH T10 XUAT WEAR TINH HAO HC OK (ExcelFIX)_GIAY LANH T11 +HAP T12 (ExcelFIX)_GIAY LANH T12 LAN 3 XUAT co 78B  22-12_KS 6-3X" xfId="1035"/>
    <cellStyle name="_GIAY LANH T10 XUAT WEAR TINH HAO HC OK (ExcelFIX)_GIAY LANH T11 +HAP T12 (ExcelFIX)_GIAY LANH T12 LAN 3 XUAT co 78B  22-12_K-SWISS 30.1 XUAT" xfId="1036"/>
    <cellStyle name="_GIAY LANH T10 XUAT WEAR TINH HAO HC OK (ExcelFIX)_GIAY LANH T11 +HAP T12 (ExcelFIX)_GIAY LANH T12 LAN 3 XUAT co 78B  22-12_K-SWISS T01 10-2X (ExcelFIX)" xfId="1037"/>
    <cellStyle name="_GIAY LANH T10 XUAT WEAR TINH HAO HC OK (ExcelFIX)_GIAY LANH T11 +HAP T12 (ExcelFIX)_GIAY LANH T12 LAN 3 XUAT co 78B  22-12_K-SWISS T01 30-1 (ExcelFIX)" xfId="1038"/>
    <cellStyle name="_GIAY LANH T10 XUAT WEAR TINH HAO HC OK (ExcelFIX)_GIAY LANH T11 +HAP T12 (ExcelFIX)_GIAY LANH T12 LAN 3 XUAT co 78B  22-12_K-SWISS T01 DAO LAM MY CAN BANG CHUA XUAT10-2X" xfId="1039"/>
    <cellStyle name="_GIAY LANH T10 XUAT WEAR TINH HAO HC OK (ExcelFIX)_GIAY LANH T11 +HAP T12 (ExcelFIX)_GIAY LANH T12 LAN 3 XUAT co 78B  22-12_K-SWISS T01 LAN 2 DOI XUAT WEAR 2-2X HC OK, M1 OK " xfId="1040"/>
    <cellStyle name="_GIAY LANH T10 XUAT WEAR TINH HAO HC OK (ExcelFIX)_GIAY LANH T11 +HAP T12 (ExcelFIX)_GIAY LANH T12 LAN 3 XUAT co 78B  22-12_K-SWISS-GIAY LANH T01 19-1X" xfId="1041"/>
    <cellStyle name="_GIAY LANH T10 XUAT WEAR TINH HAO HC OK (ExcelFIX)_GIAY LANH T11 +HAP T12 (ExcelFIX)_GIAY LANH T12 LAN 3 XUAT co 78B  22-12_SD1502-053,054 XUAT 2.3 (ExcelFIX)" xfId="1042"/>
    <cellStyle name="_GIAY LANH T10 XUAT WEAR TINH HAO HC OK (ExcelFIX)_GIAY LANH T11 +HAP T12 (ExcelFIX)_GIAY LANH T12 LAN 3 XUAT co 78B  22-12_SWS1502-155,156,159~166 XUAT 6.3" xfId="1043"/>
    <cellStyle name="_GIAY LANH T10 XUAT WEAR TINH HAO HC OK (ExcelFIX)_GIAY LANH T11 +HAP T12 (ExcelFIX)_GIAY LANH T12 LAN 3 XUAT co 78B  22-12_SWS1502-167" xfId="1044"/>
    <cellStyle name="_GIAY LANH T10 XUAT WEAR TINH HAO HC OK (ExcelFIX)_GIAY LANH T11 +HAP T12 (ExcelFIX)_GIAY LANH T12-HAP 27-12X" xfId="1045"/>
    <cellStyle name="_GIAY LANH T10 XUAT WEAR TINH HAO HC OK (ExcelFIX)_GIAY LANH T11 +HAP T12 (ExcelFIX)_GIAY LANH T12-HAP 27-12X_1PALLADIUM T01 XUAT 8.2 (ExcelFIX)" xfId="1046"/>
    <cellStyle name="_GIAY LANH T10 XUAT WEAR TINH HAO HC OK (ExcelFIX)_GIAY LANH T11 +HAP T12 (ExcelFIX)_GIAY LANH T12-HAP 27-12X_1PALLADIUM T02 XUAT (ExcelFIX)" xfId="1047"/>
    <cellStyle name="_GIAY LANH T10 XUAT WEAR TINH HAO HC OK (ExcelFIX)_GIAY LANH T11 +HAP T12 (ExcelFIX)_GIAY LANH T12-HAP 27-12X_6.2.15 XUAT" xfId="1048"/>
    <cellStyle name="_GIAY LANH T10 XUAT WEAR TINH HAO HC OK (ExcelFIX)_GIAY LANH T11 +HAP T12 (ExcelFIX)_GIAY LANH T12-HAP 27-12X_6.2.15 XUAT_K-SWISS T01 30-1 (ExcelFIX)" xfId="1049"/>
    <cellStyle name="_GIAY LANH T10 XUAT WEAR TINH HAO HC OK (ExcelFIX)_GIAY LANH T11 +HAP T12 (ExcelFIX)_GIAY LANH T12-HAP 27-12X_6.2.15 XUAT_K-SWISS T01 DAO LAM MY CAN BANG CHUA XUAT10-2X" xfId="1050"/>
    <cellStyle name="_GIAY LANH T10 XUAT WEAR TINH HAO HC OK (ExcelFIX)_GIAY LANH T11 +HAP T12 (ExcelFIX)_GIAY LANH T12-HAP 27-12X_DM CHUA XUAT-23.1.15" xfId="1051"/>
    <cellStyle name="_GIAY LANH T10 XUAT WEAR TINH HAO HC OK (ExcelFIX)_GIAY LANH T11 +HAP T12 (ExcelFIX)_GIAY LANH T12-HAP 27-12X_DM CHUA XUAT-23.1.15_K-SWISS T01 30-1 (ExcelFIX)" xfId="1052"/>
    <cellStyle name="_GIAY LANH T10 XUAT WEAR TINH HAO HC OK (ExcelFIX)_GIAY LANH T11 +HAP T12 (ExcelFIX)_GIAY LANH T12-HAP 27-12X_DM CHUA XUAT-23.1.15_K-SWISS T01 DAO LAM MY CAN BANG CHUA XUAT10-2X" xfId="1053"/>
    <cellStyle name="_GIAY LANH T10 XUAT WEAR TINH HAO HC OK (ExcelFIX)_GIAY LANH T11 +HAP T12 (ExcelFIX)_GIAY LANH T12-HAP 27-12X_KS 6-3X" xfId="1054"/>
    <cellStyle name="_GIAY LANH T10 XUAT WEAR TINH HAO HC OK (ExcelFIX)_GIAY LANH T11 +HAP T12 (ExcelFIX)_GIAY LANH T12-HAP 27-12X_K-SWISS 30.1 XUAT" xfId="1055"/>
    <cellStyle name="_GIAY LANH T10 XUAT WEAR TINH HAO HC OK (ExcelFIX)_GIAY LANH T11 +HAP T12 (ExcelFIX)_GIAY LANH T12-HAP 27-12X_K-SWISS T01 10-2X (ExcelFIX)" xfId="1056"/>
    <cellStyle name="_GIAY LANH T10 XUAT WEAR TINH HAO HC OK (ExcelFIX)_GIAY LANH T11 +HAP T12 (ExcelFIX)_GIAY LANH T12-HAP 27-12X_K-SWISS T01 30-1 (ExcelFIX)" xfId="1057"/>
    <cellStyle name="_GIAY LANH T10 XUAT WEAR TINH HAO HC OK (ExcelFIX)_GIAY LANH T11 +HAP T12 (ExcelFIX)_GIAY LANH T12-HAP 27-12X_K-SWISS T01 DAO LAM MY CAN BANG CHUA XUAT10-2X" xfId="1058"/>
    <cellStyle name="_GIAY LANH T10 XUAT WEAR TINH HAO HC OK (ExcelFIX)_GIAY LANH T11 +HAP T12 (ExcelFIX)_GIAY LANH T12-HAP 27-12X_K-SWISS T01 LAN 2 DOI XUAT WEAR 2-2X HC OK, M1 OK " xfId="1059"/>
    <cellStyle name="_GIAY LANH T10 XUAT WEAR TINH HAO HC OK (ExcelFIX)_GIAY LANH T11 +HAP T12 (ExcelFIX)_GIAY LANH T12-HAP 27-12X_K-SWISS-GIAY LANH T01 19-1X" xfId="1060"/>
    <cellStyle name="_GIAY LANH T10 XUAT WEAR TINH HAO HC OK (ExcelFIX)_GIAY LANH T11 +HAP T12 (ExcelFIX)_GIAY LANH T12-HAP 27-12X_PALLADIUM T01 XUAT 23.1 LAN 2 (ExcelFIX)" xfId="1061"/>
    <cellStyle name="_GIAY LANH T10 XUAT WEAR TINH HAO HC OK (ExcelFIX)_GIAY LANH T11 +HAP T12 (ExcelFIX)_GIAY LANH T12-HAP 27-12X_PALLADIUM T01 XUAT 8.2 (ExcelFIX)" xfId="1062"/>
    <cellStyle name="_GIAY LANH T10 XUAT WEAR TINH HAO HC OK (ExcelFIX)_GIAY LANH T11 +HAP T12 (ExcelFIX)_GIAY LANH T12-HAP 27-12X_PALLADIUM T01xuat 23.1 (ExcelFIX)" xfId="1063"/>
    <cellStyle name="_GIAY LANH T10 XUAT WEAR TINH HAO HC OK (ExcelFIX)_GIAY LANH T11 +HAP T12 (ExcelFIX)_GIAY LANH T12-HAP 27-12X_PALLADIUM T01xuat 23.1 LAN 1 (ExcelFIX)" xfId="1064"/>
    <cellStyle name="_GIAY LANH T10 XUAT WEAR TINH HAO HC OK (ExcelFIX)_GIAY LANH T11 +HAP T12 (ExcelFIX)_GIAY LANH T12-HAP 27-12X_PALLADIUM-CXXUAT 6.2" xfId="1065"/>
    <cellStyle name="_GIAY LANH T10 XUAT WEAR TINH HAO HC OK (ExcelFIX)_GIAY LANH T11 +HAP T12 (ExcelFIX)_GIAY LANH T12-HAP 27-12X_PALLADIUM-CXXUAT 9.2" xfId="1066"/>
    <cellStyle name="_GIAY LANH T10 XUAT WEAR TINH HAO HC OK (ExcelFIX)_GIAY LANH T11 +HAP T12 (ExcelFIX)_GIAY LANH T12-HAP 27-12X_PALLADIUM-CXXUAT CHUA CO NGAY XUAT" xfId="1067"/>
    <cellStyle name="_GIAY LANH T10 XUAT WEAR TINH HAO HC OK (ExcelFIX)_GIAY LANH T11 +HAP T12 (ExcelFIX)_GIAY LANH T12-HAP 27-12X_SD1502-053,054 XUAT 2.3 (ExcelFIX)" xfId="1068"/>
    <cellStyle name="_GIAY LANH T10 XUAT WEAR TINH HAO HC OK (ExcelFIX)_GIAY LANH T11 +HAP T12 (ExcelFIX)_GIAY LANH T12-HAP 27-12X_SWS1502-155,156,159~166 XUAT 6.3" xfId="1069"/>
    <cellStyle name="_GIAY LANH T10 XUAT WEAR TINH HAO HC OK (ExcelFIX)_GIAY LANH T11 +HAP T12 (ExcelFIX)_GIAY LANH T12-HAP 27-12X_SWS1502-167" xfId="1070"/>
    <cellStyle name="_GIAY LANH T10 XUAT WEAR TINH HAO HC OK (ExcelFIX)_GIAY LANH T11 +HAP T12 (ExcelFIX)_K-SWISS T12 LAN 2 22-12X (ExcelFIX)" xfId="1071"/>
    <cellStyle name="_GIAY LANH T10 XUAT WEAR TINH HAO HC OK (ExcelFIX)_GIAY LANH T11 +HAP T12 (ExcelFIX)_K-SWISS T12 LAN 2 22-12X (ExcelFIX)_1PALLADIUM T01 XUAT 8.2 (ExcelFIX)" xfId="1072"/>
    <cellStyle name="_GIAY LANH T10 XUAT WEAR TINH HAO HC OK (ExcelFIX)_GIAY LANH T11 +HAP T12 (ExcelFIX)_K-SWISS T12 LAN 2 22-12X (ExcelFIX)_1PALLADIUM T02 XUAT (ExcelFIX)" xfId="1073"/>
    <cellStyle name="_GIAY LANH T10 XUAT WEAR TINH HAO HC OK (ExcelFIX)_GIAY LANH T11 +HAP T12 (ExcelFIX)_K-SWISS T12 LAN 2 22-12X (ExcelFIX)_6.2.15 XUAT" xfId="1074"/>
    <cellStyle name="_GIAY LANH T10 XUAT WEAR TINH HAO HC OK (ExcelFIX)_GIAY LANH T11 +HAP T12 (ExcelFIX)_K-SWISS T12 LAN 2 22-12X (ExcelFIX)_6.2.15 XUAT_K-SWISS T01 30-1 (ExcelFIX)" xfId="1075"/>
    <cellStyle name="_GIAY LANH T10 XUAT WEAR TINH HAO HC OK (ExcelFIX)_GIAY LANH T11 +HAP T12 (ExcelFIX)_K-SWISS T12 LAN 2 22-12X (ExcelFIX)_6.2.15 XUAT_K-SWISS T01 DAO LAM MY CAN BANG CHUA XUAT10-2X" xfId="1076"/>
    <cellStyle name="_GIAY LANH T10 XUAT WEAR TINH HAO HC OK (ExcelFIX)_GIAY LANH T11 +HAP T12 (ExcelFIX)_K-SWISS T12 LAN 2 22-12X (ExcelFIX)_DM CHUA XUAT-23.1.15" xfId="1077"/>
    <cellStyle name="_GIAY LANH T10 XUAT WEAR TINH HAO HC OK (ExcelFIX)_GIAY LANH T11 +HAP T12 (ExcelFIX)_K-SWISS T12 LAN 2 22-12X (ExcelFIX)_DM CHUA XUAT-23.1.15_K-SWISS T01 30-1 (ExcelFIX)" xfId="1078"/>
    <cellStyle name="_GIAY LANH T10 XUAT WEAR TINH HAO HC OK (ExcelFIX)_GIAY LANH T11 +HAP T12 (ExcelFIX)_K-SWISS T12 LAN 2 22-12X (ExcelFIX)_DM CHUA XUAT-23.1.15_K-SWISS T01 DAO LAM MY CAN BANG CHUA XUAT10-2X" xfId="1079"/>
    <cellStyle name="_GIAY LANH T10 XUAT WEAR TINH HAO HC OK (ExcelFIX)_GIAY LANH T11 +HAP T12 (ExcelFIX)_K-SWISS T12 LAN 2 22-12X (ExcelFIX)_KS 6-3X" xfId="1080"/>
    <cellStyle name="_GIAY LANH T10 XUAT WEAR TINH HAO HC OK (ExcelFIX)_GIAY LANH T11 +HAP T12 (ExcelFIX)_K-SWISS T12 LAN 2 22-12X (ExcelFIX)_K-SWISS 30.1 XUAT" xfId="1081"/>
    <cellStyle name="_GIAY LANH T10 XUAT WEAR TINH HAO HC OK (ExcelFIX)_GIAY LANH T11 +HAP T12 (ExcelFIX)_K-SWISS T12 LAN 2 22-12X (ExcelFIX)_K-SWISS T01 10-2X (ExcelFIX)" xfId="1082"/>
    <cellStyle name="_GIAY LANH T10 XUAT WEAR TINH HAO HC OK (ExcelFIX)_GIAY LANH T11 +HAP T12 (ExcelFIX)_K-SWISS T12 LAN 2 22-12X (ExcelFIX)_K-SWISS T01 30-1 (ExcelFIX)" xfId="1083"/>
    <cellStyle name="_GIAY LANH T10 XUAT WEAR TINH HAO HC OK (ExcelFIX)_GIAY LANH T11 +HAP T12 (ExcelFIX)_K-SWISS T12 LAN 2 22-12X (ExcelFIX)_K-SWISS T01 DAO LAM MY CAN BANG CHUA XUAT10-2X" xfId="1084"/>
    <cellStyle name="_GIAY LANH T10 XUAT WEAR TINH HAO HC OK (ExcelFIX)_GIAY LANH T11 +HAP T12 (ExcelFIX)_K-SWISS T12 LAN 2 22-12X (ExcelFIX)_K-SWISS T01 LAN 2 DOI XUAT WEAR 2-2X HC OK, M1 OK " xfId="1085"/>
    <cellStyle name="_GIAY LANH T10 XUAT WEAR TINH HAO HC OK (ExcelFIX)_GIAY LANH T11 +HAP T12 (ExcelFIX)_K-SWISS T12 LAN 2 22-12X (ExcelFIX)_K-SWISS-GIAY LANH T01 19-1X" xfId="1086"/>
    <cellStyle name="_GIAY LANH T10 XUAT WEAR TINH HAO HC OK (ExcelFIX)_GIAY LANH T11 +HAP T12 (ExcelFIX)_K-SWISS T12 LAN 2 22-12X (ExcelFIX)_PALLADIUM T01 XUAT 23.1 LAN 2 (ExcelFIX)" xfId="1087"/>
    <cellStyle name="_GIAY LANH T10 XUAT WEAR TINH HAO HC OK (ExcelFIX)_GIAY LANH T11 +HAP T12 (ExcelFIX)_K-SWISS T12 LAN 2 22-12X (ExcelFIX)_PALLADIUM T01 XUAT 8.2 (ExcelFIX)" xfId="1088"/>
    <cellStyle name="_GIAY LANH T10 XUAT WEAR TINH HAO HC OK (ExcelFIX)_GIAY LANH T11 +HAP T12 (ExcelFIX)_K-SWISS T12 LAN 2 22-12X (ExcelFIX)_PALLADIUM T01xuat 23.1 (ExcelFIX)" xfId="1089"/>
    <cellStyle name="_GIAY LANH T10 XUAT WEAR TINH HAO HC OK (ExcelFIX)_GIAY LANH T11 +HAP T12 (ExcelFIX)_K-SWISS T12 LAN 2 22-12X (ExcelFIX)_PALLADIUM T01xuat 23.1 LAN 1 (ExcelFIX)" xfId="1090"/>
    <cellStyle name="_GIAY LANH T10 XUAT WEAR TINH HAO HC OK (ExcelFIX)_GIAY LANH T11 +HAP T12 (ExcelFIX)_K-SWISS T12 LAN 2 22-12X (ExcelFIX)_PALLADIUM-CXXUAT 6.2" xfId="1091"/>
    <cellStyle name="_GIAY LANH T10 XUAT WEAR TINH HAO HC OK (ExcelFIX)_GIAY LANH T11 +HAP T12 (ExcelFIX)_K-SWISS T12 LAN 2 22-12X (ExcelFIX)_PALLADIUM-CXXUAT 9.2" xfId="1092"/>
    <cellStyle name="_GIAY LANH T10 XUAT WEAR TINH HAO HC OK (ExcelFIX)_GIAY LANH T11 +HAP T12 (ExcelFIX)_K-SWISS T12 LAN 2 22-12X (ExcelFIX)_PALLADIUM-CXXUAT CHUA CO NGAY XUAT" xfId="1093"/>
    <cellStyle name="_GIAY LANH T10 XUAT WEAR TINH HAO HC OK (ExcelFIX)_GIAY LANH T11 +HAP T12 (ExcelFIX)_K-SWISS T12 LAN 2 22-12X (ExcelFIX)_SD1502-053,054 XUAT 2.3 (ExcelFIX)" xfId="1094"/>
    <cellStyle name="_GIAY LANH T10 XUAT WEAR TINH HAO HC OK (ExcelFIX)_GIAY LANH T11 +HAP T12 (ExcelFIX)_K-SWISS T12 LAN 2 22-12X (ExcelFIX)_SWS1502-155,156,159~166 XUAT 6.3" xfId="1095"/>
    <cellStyle name="_GIAY LANH T10 XUAT WEAR TINH HAO HC OK (ExcelFIX)_GIAY LANH T11 +HAP T12 (ExcelFIX)_K-SWISS T12 LAN 2 22-12X (ExcelFIX)_SWS1502-167" xfId="1096"/>
    <cellStyle name="_GIAY LANH T10 XUAT WEAR TINH HAO HC OK (ExcelFIX)_GIAY LANH T11 LAN 7 15-12X (ExcelFIX)" xfId="1097"/>
    <cellStyle name="_GIAY LANH T10 XUAT WEAR TINH HAO HC OK (ExcelFIX)_GIAY LANH T11 LAN 7 15-12X (ExcelFIX).xls~RFd5f08" xfId="1098"/>
    <cellStyle name="_GIAY LANH T10 XUAT WEAR TINH HAO HC OK (ExcelFIX)_GIAY LANH T12 CO T11 15-12X  CO T12 (ExcelFIX)-old" xfId="1099"/>
    <cellStyle name="_GIAY LANH T10 XUAT WEAR TINH HAO HC OK (ExcelFIX)_GIAY LANH T12 LAN 1 22-24-12X DA OK GOI DAO (ExcelFIX)" xfId="1100"/>
    <cellStyle name="_GIAY LANH T10 XUAT WEAR TINH HAO HC OK (ExcelFIX)_GIAY LANH T12 LAN 2 XUAT 22-24-12  MAT 2 ROI CAN BANG" xfId="1101"/>
    <cellStyle name="_GIAY LANH T10 XUAT WEAR TINH HAO HC OK (ExcelFIX)_SWS1501-129,133,403" xfId="1102"/>
    <cellStyle name="_GIAY LANH T10 XUAT WEAR TINH HAO HC OK (ExcelFIX)_SWS1501-129,133,403_K-SWISS T01 10-2X (ExcelFIX)" xfId="1103"/>
    <cellStyle name="_GIAY LANH T10 XUAT WEAR TINH HAO HC OK (ExcelFIX)_SWS1501-130,131,132" xfId="1104"/>
    <cellStyle name="_GIAY LANH T10 XUAT WEAR TINH HAO HC OK (ExcelFIX)_SWS1501-130,131,132_K-SWISS T01 10-2X (ExcelFIX)" xfId="1105"/>
    <cellStyle name="_GIAY LANH T10 XUAT WEAR TINH HAO HC OK (ExcelFIX)_SWS1501-135,125,126" xfId="1106"/>
    <cellStyle name="_GIAY LANH T10 XUAT WEAR TINH HAO HC OK (ExcelFIX)_SWS1501-135,125,126_K-SWISS T01 10-2X (ExcelFIX)" xfId="1107"/>
    <cellStyle name="_GIAY LANH T11 LAN 2  DK ROI (ExcelFIX)" xfId="1108"/>
    <cellStyle name="_GIAY LANH T11 LAN 2 CHUA DK (ExcelFIX)" xfId="1109"/>
    <cellStyle name="_January" xfId="1110"/>
    <cellStyle name="_January_05.20" xfId="1111"/>
    <cellStyle name="_K-SWISS T11 LAN 1 XUAT 20-11" xfId="1112"/>
    <cellStyle name="_K-SWISS T11 LAN 1 XUAT 20-11_1" xfId="1113"/>
    <cellStyle name="_K-SWISS T11 LAN 1 XUAT 20-11_1_03345" xfId="1114"/>
    <cellStyle name="_K-SWISS T11 LAN 1 XUAT 20-11_1_DM" xfId="1115"/>
    <cellStyle name="_K-SWISS T11 LAN 1 XUAT 20-11_1_GIAY LANH T12 LAN 1 22-24-12X (ExcelFIX)" xfId="1116"/>
    <cellStyle name="_K-SWISS T11 LAN 1 XUAT 20-11_1_GIAY LANH T12 LAN 1 22-24-12X DA OK GOI (ExcelFIX) (ExcelFIX)" xfId="1117"/>
    <cellStyle name="_K-SWISS T11 LAN 1 XUAT 20-11_1_GIAY LANH T12 LAN 1 22-24-12X DA OK GOI DAO (ExcelFIX)" xfId="1118"/>
    <cellStyle name="_K-SWISS T11 LAN 1 XUAT 20-11_1_GIAY LANH T12 LAN 2 XUAT 22-24-12  MAT 2 ROI CAN BANG" xfId="1119"/>
    <cellStyle name="_K-SWISS T11 LAN 1 XUAT 20-11_1_GIAY LANH T12 LAN 2 XUAT 22-24-12  MAT 2 ROI CAN BANG_1" xfId="1120"/>
    <cellStyle name="_K-SWISS T11 LAN 1 XUAT 20-11_1_GIAY LANH T12 LAN 2 XUAT 22-24-12  MAT 2 ROI CAN BANG_1_KS 6-3X" xfId="1121"/>
    <cellStyle name="_K-SWISS T11 LAN 1 XUAT 20-11_1_GIAY LANH T12 LAN 2 XUAT 22-24-12  MAT 2 ROI CAN BANG_1_K-SWISS T01 10-2X (ExcelFIX)" xfId="1122"/>
    <cellStyle name="_K-SWISS T11 LAN 1 XUAT 20-11_1_GIAY LANH T12 LAN 2 XUAT 22-24-12  MAT 2 ROI CAN BANG_1_K-SWISS T01 30-1 (ExcelFIX)" xfId="1123"/>
    <cellStyle name="_K-SWISS T11 LAN 1 XUAT 20-11_1_GIAY LANH T12 LAN 2 XUAT 22-24-12  MAT 2 ROI CAN BANG_1_K-SWISS T01 DAO LAM MY CAN BANG CHUA XUAT10-2X" xfId="1124"/>
    <cellStyle name="_K-SWISS T11 LAN 1 XUAT 20-11_1_GIAY LANH T12 LAN 2 XUAT 22-24-12  MAT 2 ROI CAN BANG_1_K-SWISS T01 LAN 2 DOI XUAT WEAR 2-2X HC OK, M1 OK " xfId="1125"/>
    <cellStyle name="_K-SWISS T11 LAN 1 XUAT 20-11_1_GIAY LANH T12 LAN 2 XUAT 22-24-12  MAT 2 ROI CAN BANG_1_SD1502-053,054 XUAT 2.3 (ExcelFIX)" xfId="1126"/>
    <cellStyle name="_K-SWISS T11 LAN 1 XUAT 20-11_1_GIAY LANH T12 LAN 2 XUAT 22-24-12  MAT 2 ROI CAN BANG_1_SWS1502-155,156,159~166 XUAT 6.3" xfId="1127"/>
    <cellStyle name="_K-SWISS T11 LAN 1 XUAT 20-11_1_GIAY LANH T12 LAN 2 XUAT 22-24-12  MAT 2 ROI CAN BANG_DM" xfId="1128"/>
    <cellStyle name="_K-SWISS T11 LAN 1 XUAT 20-11_1_GIAY LANH T12 LAN 2 XUAT 22-24-12  MAT 2 ROI CAN BANG_GIAY LANH T12-HAP 27-12X" xfId="1129"/>
    <cellStyle name="_K-SWISS T11 LAN 1 XUAT 20-11_1_GIAY LANH T12 LAN 2 XUAT 22-24-12  MAT 2 ROI CAN BANG_GIAY LANH T12-HAP 27-12X_1PALLADIUM T01 XUAT 8.2 (ExcelFIX)" xfId="1130"/>
    <cellStyle name="_K-SWISS T11 LAN 1 XUAT 20-11_1_GIAY LANH T12 LAN 2 XUAT 22-24-12  MAT 2 ROI CAN BANG_GIAY LANH T12-HAP 27-12X_1PALLADIUM T02 XUAT (ExcelFIX)" xfId="1131"/>
    <cellStyle name="_K-SWISS T11 LAN 1 XUAT 20-11_1_GIAY LANH T12 LAN 2 XUAT 22-24-12  MAT 2 ROI CAN BANG_GIAY LANH T12-HAP 27-12X_6.2.15 XUAT" xfId="1132"/>
    <cellStyle name="_K-SWISS T11 LAN 1 XUAT 20-11_1_GIAY LANH T12 LAN 2 XUAT 22-24-12  MAT 2 ROI CAN BANG_GIAY LANH T12-HAP 27-12X_6.2.15 XUAT_K-SWISS T01 30-1 (ExcelFIX)" xfId="1133"/>
    <cellStyle name="_K-SWISS T11 LAN 1 XUAT 20-11_1_GIAY LANH T12 LAN 2 XUAT 22-24-12  MAT 2 ROI CAN BANG_GIAY LANH T12-HAP 27-12X_6.2.15 XUAT_K-SWISS T01 DAO LAM MY CAN BANG CHUA XUAT10-2X" xfId="1134"/>
    <cellStyle name="_K-SWISS T11 LAN 1 XUAT 20-11_1_GIAY LANH T12 LAN 2 XUAT 22-24-12  MAT 2 ROI CAN BANG_GIAY LANH T12-HAP 27-12X_DM CHUA XUAT-23.1.15" xfId="1135"/>
    <cellStyle name="_K-SWISS T11 LAN 1 XUAT 20-11_1_GIAY LANH T12 LAN 2 XUAT 22-24-12  MAT 2 ROI CAN BANG_GIAY LANH T12-HAP 27-12X_DM CHUA XUAT-23.1.15_K-SWISS T01 30-1 (ExcelFIX)" xfId="1136"/>
    <cellStyle name="_K-SWISS T11 LAN 1 XUAT 20-11_1_GIAY LANH T12 LAN 2 XUAT 22-24-12  MAT 2 ROI CAN BANG_GIAY LANH T12-HAP 27-12X_DM CHUA XUAT-23.1.15_K-SWISS T01 DAO LAM MY CAN BANG CHUA XUAT10-2X" xfId="1137"/>
    <cellStyle name="_K-SWISS T11 LAN 1 XUAT 20-11_1_GIAY LANH T12 LAN 2 XUAT 22-24-12  MAT 2 ROI CAN BANG_GIAY LANH T12-HAP 27-12X_KS 6-3X" xfId="1138"/>
    <cellStyle name="_K-SWISS T11 LAN 1 XUAT 20-11_1_GIAY LANH T12 LAN 2 XUAT 22-24-12  MAT 2 ROI CAN BANG_GIAY LANH T12-HAP 27-12X_K-SWISS 30.1 XUAT" xfId="1139"/>
    <cellStyle name="_K-SWISS T11 LAN 1 XUAT 20-11_1_GIAY LANH T12 LAN 2 XUAT 22-24-12  MAT 2 ROI CAN BANG_GIAY LANH T12-HAP 27-12X_K-SWISS T01 10-2X (ExcelFIX)" xfId="1140"/>
    <cellStyle name="_K-SWISS T11 LAN 1 XUAT 20-11_1_GIAY LANH T12 LAN 2 XUAT 22-24-12  MAT 2 ROI CAN BANG_GIAY LANH T12-HAP 27-12X_K-SWISS T01 30-1 (ExcelFIX)" xfId="1141"/>
    <cellStyle name="_K-SWISS T11 LAN 1 XUAT 20-11_1_GIAY LANH T12 LAN 2 XUAT 22-24-12  MAT 2 ROI CAN BANG_GIAY LANH T12-HAP 27-12X_K-SWISS T01 DAO LAM MY CAN BANG CHUA XUAT10-2X" xfId="1142"/>
    <cellStyle name="_K-SWISS T11 LAN 1 XUAT 20-11_1_GIAY LANH T12 LAN 2 XUAT 22-24-12  MAT 2 ROI CAN BANG_GIAY LANH T12-HAP 27-12X_K-SWISS T01 LAN 2 DOI XUAT WEAR 2-2X HC OK, M1 OK " xfId="1143"/>
    <cellStyle name="_K-SWISS T11 LAN 1 XUAT 20-11_1_GIAY LANH T12 LAN 2 XUAT 22-24-12  MAT 2 ROI CAN BANG_GIAY LANH T12-HAP 27-12X_K-SWISS-GIAY LANH T01 19-1X" xfId="1144"/>
    <cellStyle name="_K-SWISS T11 LAN 1 XUAT 20-11_1_GIAY LANH T12 LAN 2 XUAT 22-24-12  MAT 2 ROI CAN BANG_GIAY LANH T12-HAP 27-12X_PALLADIUM T01 XUAT 23.1 LAN 2 (ExcelFIX)" xfId="1145"/>
    <cellStyle name="_K-SWISS T11 LAN 1 XUAT 20-11_1_GIAY LANH T12 LAN 2 XUAT 22-24-12  MAT 2 ROI CAN BANG_GIAY LANH T12-HAP 27-12X_PALLADIUM T01 XUAT 8.2 (ExcelFIX)" xfId="1146"/>
    <cellStyle name="_K-SWISS T11 LAN 1 XUAT 20-11_1_GIAY LANH T12 LAN 2 XUAT 22-24-12  MAT 2 ROI CAN BANG_GIAY LANH T12-HAP 27-12X_PALLADIUM T01xuat 23.1 (ExcelFIX)" xfId="1147"/>
    <cellStyle name="_K-SWISS T11 LAN 1 XUAT 20-11_1_GIAY LANH T12 LAN 2 XUAT 22-24-12  MAT 2 ROI CAN BANG_GIAY LANH T12-HAP 27-12X_PALLADIUM T01xuat 23.1 LAN 1 (ExcelFIX)" xfId="1148"/>
    <cellStyle name="_K-SWISS T11 LAN 1 XUAT 20-11_1_GIAY LANH T12 LAN 2 XUAT 22-24-12  MAT 2 ROI CAN BANG_GIAY LANH T12-HAP 27-12X_PALLADIUM-CXXUAT 6.2" xfId="1149"/>
    <cellStyle name="_K-SWISS T11 LAN 1 XUAT 20-11_1_GIAY LANH T12 LAN 2 XUAT 22-24-12  MAT 2 ROI CAN BANG_GIAY LANH T12-HAP 27-12X_PALLADIUM-CXXUAT 9.2" xfId="1150"/>
    <cellStyle name="_K-SWISS T11 LAN 1 XUAT 20-11_1_GIAY LANH T12 LAN 2 XUAT 22-24-12  MAT 2 ROI CAN BANG_GIAY LANH T12-HAP 27-12X_PALLADIUM-CXXUAT CHUA CO NGAY XUAT" xfId="1151"/>
    <cellStyle name="_K-SWISS T11 LAN 1 XUAT 20-11_1_GIAY LANH T12 LAN 2 XUAT 22-24-12  MAT 2 ROI CAN BANG_GIAY LANH T12-HAP 27-12X_SD1502-053,054 XUAT 2.3 (ExcelFIX)" xfId="1152"/>
    <cellStyle name="_K-SWISS T11 LAN 1 XUAT 20-11_1_GIAY LANH T12 LAN 2 XUAT 22-24-12  MAT 2 ROI CAN BANG_GIAY LANH T12-HAP 27-12X_SWS1502-155,156,159~166 XUAT 6.3" xfId="1153"/>
    <cellStyle name="_K-SWISS T11 LAN 1 XUAT 20-11_1_GIAY LANH T12 LAN 2 XUAT 22-24-12  MAT 2 ROI CAN BANG_GIAY LANH T12-HAP 27-12X_SWS1502-167" xfId="1154"/>
    <cellStyle name="_K-SWISS T11 LAN 1 XUAT 20-11_1_GIAY LANH T12 LAN 2 XUAT 22-24-12  MAT 2 ROI CAN BANG_K-SWISS T12 LAN 2 22-12X (ExcelFIX)" xfId="1155"/>
    <cellStyle name="_K-SWISS T11 LAN 1 XUAT 20-11_1_GIAY LANH T12 LAN 2 XUAT 22-24-12  MAT 2 ROI CAN BANG_K-SWISS T12 LAN 2 22-12X (ExcelFIX)_1PALLADIUM T01 XUAT 8.2 (ExcelFIX)" xfId="1156"/>
    <cellStyle name="_K-SWISS T11 LAN 1 XUAT 20-11_1_GIAY LANH T12 LAN 2 XUAT 22-24-12  MAT 2 ROI CAN BANG_K-SWISS T12 LAN 2 22-12X (ExcelFIX)_1PALLADIUM T02 XUAT (ExcelFIX)" xfId="1157"/>
    <cellStyle name="_K-SWISS T11 LAN 1 XUAT 20-11_1_GIAY LANH T12 LAN 2 XUAT 22-24-12  MAT 2 ROI CAN BANG_K-SWISS T12 LAN 2 22-12X (ExcelFIX)_6.2.15 XUAT" xfId="1158"/>
    <cellStyle name="_K-SWISS T11 LAN 1 XUAT 20-11_1_GIAY LANH T12 LAN 2 XUAT 22-24-12  MAT 2 ROI CAN BANG_K-SWISS T12 LAN 2 22-12X (ExcelFIX)_6.2.15 XUAT_K-SWISS T01 30-1 (ExcelFIX)" xfId="1159"/>
    <cellStyle name="_K-SWISS T11 LAN 1 XUAT 20-11_1_GIAY LANH T12 LAN 2 XUAT 22-24-12  MAT 2 ROI CAN BANG_K-SWISS T12 LAN 2 22-12X (ExcelFIX)_6.2.15 XUAT_K-SWISS T01 DAO LAM MY CAN BANG CHUA XUAT10-2X" xfId="1160"/>
    <cellStyle name="_K-SWISS T11 LAN 1 XUAT 20-11_1_GIAY LANH T12 LAN 2 XUAT 22-24-12  MAT 2 ROI CAN BANG_K-SWISS T12 LAN 2 22-12X (ExcelFIX)_DM CHUA XUAT-23.1.15" xfId="1161"/>
    <cellStyle name="_K-SWISS T11 LAN 1 XUAT 20-11_1_GIAY LANH T12 LAN 2 XUAT 22-24-12  MAT 2 ROI CAN BANG_K-SWISS T12 LAN 2 22-12X (ExcelFIX)_DM CHUA XUAT-23.1.15_K-SWISS T01 30-1 (ExcelFIX)" xfId="1162"/>
    <cellStyle name="_K-SWISS T11 LAN 1 XUAT 20-11_1_GIAY LANH T12 LAN 2 XUAT 22-24-12  MAT 2 ROI CAN BANG_K-SWISS T12 LAN 2 22-12X (ExcelFIX)_DM CHUA XUAT-23.1.15_K-SWISS T01 DAO LAM MY CAN BANG CHUA XUAT10-2X" xfId="1163"/>
    <cellStyle name="_K-SWISS T11 LAN 1 XUAT 20-11_1_GIAY LANH T12 LAN 2 XUAT 22-24-12  MAT 2 ROI CAN BANG_K-SWISS T12 LAN 2 22-12X (ExcelFIX)_KS 6-3X" xfId="1164"/>
    <cellStyle name="_K-SWISS T11 LAN 1 XUAT 20-11_1_GIAY LANH T12 LAN 2 XUAT 22-24-12  MAT 2 ROI CAN BANG_K-SWISS T12 LAN 2 22-12X (ExcelFIX)_K-SWISS 30.1 XUAT" xfId="1165"/>
    <cellStyle name="_K-SWISS T11 LAN 1 XUAT 20-11_1_GIAY LANH T12 LAN 2 XUAT 22-24-12  MAT 2 ROI CAN BANG_K-SWISS T12 LAN 2 22-12X (ExcelFIX)_K-SWISS T01 10-2X (ExcelFIX)" xfId="1166"/>
    <cellStyle name="_K-SWISS T11 LAN 1 XUAT 20-11_1_GIAY LANH T12 LAN 2 XUAT 22-24-12  MAT 2 ROI CAN BANG_K-SWISS T12 LAN 2 22-12X (ExcelFIX)_K-SWISS T01 30-1 (ExcelFIX)" xfId="1167"/>
    <cellStyle name="_K-SWISS T11 LAN 1 XUAT 20-11_1_GIAY LANH T12 LAN 2 XUAT 22-24-12  MAT 2 ROI CAN BANG_K-SWISS T12 LAN 2 22-12X (ExcelFIX)_K-SWISS T01 DAO LAM MY CAN BANG CHUA XUAT10-2X" xfId="1168"/>
    <cellStyle name="_K-SWISS T11 LAN 1 XUAT 20-11_1_GIAY LANH T12 LAN 2 XUAT 22-24-12  MAT 2 ROI CAN BANG_K-SWISS T12 LAN 2 22-12X (ExcelFIX)_K-SWISS T01 LAN 2 DOI XUAT WEAR 2-2X HC OK, M1 OK " xfId="1169"/>
    <cellStyle name="_K-SWISS T11 LAN 1 XUAT 20-11_1_GIAY LANH T12 LAN 2 XUAT 22-24-12  MAT 2 ROI CAN BANG_K-SWISS T12 LAN 2 22-12X (ExcelFIX)_K-SWISS-GIAY LANH T01 19-1X" xfId="1170"/>
    <cellStyle name="_K-SWISS T11 LAN 1 XUAT 20-11_1_GIAY LANH T12 LAN 2 XUAT 22-24-12  MAT 2 ROI CAN BANG_K-SWISS T12 LAN 2 22-12X (ExcelFIX)_PALLADIUM T01 XUAT 23.1 LAN 2 (ExcelFIX)" xfId="1171"/>
    <cellStyle name="_K-SWISS T11 LAN 1 XUAT 20-11_1_GIAY LANH T12 LAN 2 XUAT 22-24-12  MAT 2 ROI CAN BANG_K-SWISS T12 LAN 2 22-12X (ExcelFIX)_PALLADIUM T01 XUAT 8.2 (ExcelFIX)" xfId="1172"/>
    <cellStyle name="_K-SWISS T11 LAN 1 XUAT 20-11_1_GIAY LANH T12 LAN 2 XUAT 22-24-12  MAT 2 ROI CAN BANG_K-SWISS T12 LAN 2 22-12X (ExcelFIX)_PALLADIUM T01xuat 23.1 (ExcelFIX)" xfId="1173"/>
    <cellStyle name="_K-SWISS T11 LAN 1 XUAT 20-11_1_GIAY LANH T12 LAN 2 XUAT 22-24-12  MAT 2 ROI CAN BANG_K-SWISS T12 LAN 2 22-12X (ExcelFIX)_PALLADIUM T01xuat 23.1 LAN 1 (ExcelFIX)" xfId="1174"/>
    <cellStyle name="_K-SWISS T11 LAN 1 XUAT 20-11_1_GIAY LANH T12 LAN 2 XUAT 22-24-12  MAT 2 ROI CAN BANG_K-SWISS T12 LAN 2 22-12X (ExcelFIX)_PALLADIUM-CXXUAT 6.2" xfId="1175"/>
    <cellStyle name="_K-SWISS T11 LAN 1 XUAT 20-11_1_GIAY LANH T12 LAN 2 XUAT 22-24-12  MAT 2 ROI CAN BANG_K-SWISS T12 LAN 2 22-12X (ExcelFIX)_PALLADIUM-CXXUAT 9.2" xfId="1176"/>
    <cellStyle name="_K-SWISS T11 LAN 1 XUAT 20-11_1_GIAY LANH T12 LAN 2 XUAT 22-24-12  MAT 2 ROI CAN BANG_K-SWISS T12 LAN 2 22-12X (ExcelFIX)_PALLADIUM-CXXUAT CHUA CO NGAY XUAT" xfId="1177"/>
    <cellStyle name="_K-SWISS T11 LAN 1 XUAT 20-11_1_GIAY LANH T12 LAN 2 XUAT 22-24-12  MAT 2 ROI CAN BANG_K-SWISS T12 LAN 2 22-12X (ExcelFIX)_SD1502-053,054 XUAT 2.3 (ExcelFIX)" xfId="1178"/>
    <cellStyle name="_K-SWISS T11 LAN 1 XUAT 20-11_1_GIAY LANH T12 LAN 2 XUAT 22-24-12  MAT 2 ROI CAN BANG_K-SWISS T12 LAN 2 22-12X (ExcelFIX)_SWS1502-155,156,159~166 XUAT 6.3" xfId="1179"/>
    <cellStyle name="_K-SWISS T11 LAN 1 XUAT 20-11_1_GIAY LANH T12 LAN 2 XUAT 22-24-12  MAT 2 ROI CAN BANG_K-SWISS T12 LAN 2 22-12X (ExcelFIX)_SWS1502-167" xfId="1180"/>
    <cellStyle name="_K-SWISS T11 LAN 1 XUAT 20-11_1_GIAY LANH T12 LAN 2 XUAT 22-24-12  MAT 2 ROI CAN BANG_SWS1501-129,133,403" xfId="1181"/>
    <cellStyle name="_K-SWISS T11 LAN 1 XUAT 20-11_1_GIAY LANH T12 LAN 2 XUAT 22-24-12  MAT 2 ROI CAN BANG_SWS1501-129,133,403_K-SWISS T01 10-2X (ExcelFIX)" xfId="1182"/>
    <cellStyle name="_K-SWISS T11 LAN 1 XUAT 20-11_1_GIAY LANH T12 LAN 2 XUAT 22-24-12  MAT 2 ROI CAN BANG_SWS1501-130,131,132" xfId="1183"/>
    <cellStyle name="_K-SWISS T11 LAN 1 XUAT 20-11_1_GIAY LANH T12 LAN 2 XUAT 22-24-12  MAT 2 ROI CAN BANG_SWS1501-130,131,132_K-SWISS T01 10-2X (ExcelFIX)" xfId="1184"/>
    <cellStyle name="_K-SWISS T11 LAN 1 XUAT 20-11_1_GIAY LANH T12 LAN 2 XUAT 22-24-12  MAT 2 ROI CAN BANG_SWS1501-135,125,126" xfId="1185"/>
    <cellStyle name="_K-SWISS T11 LAN 1 XUAT 20-11_1_GIAY LANH T12 LAN 2 XUAT 22-24-12  MAT 2 ROI CAN BANG_SWS1501-135,125,126_K-SWISS T01 10-2X (ExcelFIX)" xfId="1186"/>
    <cellStyle name="_K-SWISS T11 LAN 1 XUAT 20-11_1_GIAY LANH T12 LAN 3 XUAT co 78B  22-12" xfId="1187"/>
    <cellStyle name="_K-SWISS T11 LAN 1 XUAT 20-11_1_GIAY LANH T12-HAP" xfId="1188"/>
    <cellStyle name="_K-SWISS T11 LAN 1 XUAT 20-11_1_GIAY LANH T12-HAP 27-12X" xfId="1189"/>
    <cellStyle name="_K-SWISS T11 LAN 1 XUAT 20-11_1_K-SWISS T12 LAN 2 22-12X (ExcelFIX)" xfId="1190"/>
    <cellStyle name="_K-SWISS T11 LAN 1 XUAT 20-11_1_K-SWISS T12 LAN 2 22-12X (ExcelFIX)_1" xfId="1191"/>
    <cellStyle name="_K-SWISS T11 LAN 1 XUAT 20-11_1_K-SWISS T12 LAN 2 22-12X (ExcelFIX)_1_1PALLADIUM T01 XUAT 8.2 (ExcelFIX)" xfId="1192"/>
    <cellStyle name="_K-SWISS T11 LAN 1 XUAT 20-11_1_K-SWISS T12 LAN 2 22-12X (ExcelFIX)_1_1PALLADIUM T02 XUAT (ExcelFIX)" xfId="1193"/>
    <cellStyle name="_K-SWISS T11 LAN 1 XUAT 20-11_1_K-SWISS T12 LAN 2 22-12X (ExcelFIX)_1_6.2.15 XUAT" xfId="1194"/>
    <cellStyle name="_K-SWISS T11 LAN 1 XUAT 20-11_1_K-SWISS T12 LAN 2 22-12X (ExcelFIX)_1_6.2.15 XUAT_K-SWISS T01 30-1 (ExcelFIX)" xfId="1195"/>
    <cellStyle name="_K-SWISS T11 LAN 1 XUAT 20-11_1_K-SWISS T12 LAN 2 22-12X (ExcelFIX)_1_6.2.15 XUAT_K-SWISS T01 DAO LAM MY CAN BANG CHUA XUAT10-2X" xfId="1196"/>
    <cellStyle name="_K-SWISS T11 LAN 1 XUAT 20-11_1_K-SWISS T12 LAN 2 22-12X (ExcelFIX)_1_DM CHUA XUAT-23.1.15" xfId="1197"/>
    <cellStyle name="_K-SWISS T11 LAN 1 XUAT 20-11_1_K-SWISS T12 LAN 2 22-12X (ExcelFIX)_1_DM CHUA XUAT-23.1.15_K-SWISS T01 30-1 (ExcelFIX)" xfId="1198"/>
    <cellStyle name="_K-SWISS T11 LAN 1 XUAT 20-11_1_K-SWISS T12 LAN 2 22-12X (ExcelFIX)_1_DM CHUA XUAT-23.1.15_K-SWISS T01 DAO LAM MY CAN BANG CHUA XUAT10-2X" xfId="1199"/>
    <cellStyle name="_K-SWISS T11 LAN 1 XUAT 20-11_1_K-SWISS T12 LAN 2 22-12X (ExcelFIX)_1_KS 6-3X" xfId="1200"/>
    <cellStyle name="_K-SWISS T11 LAN 1 XUAT 20-11_1_K-SWISS T12 LAN 2 22-12X (ExcelFIX)_1_K-SWISS 30.1 XUAT" xfId="1201"/>
    <cellStyle name="_K-SWISS T11 LAN 1 XUAT 20-11_1_K-SWISS T12 LAN 2 22-12X (ExcelFIX)_1_K-SWISS T01 10-2X (ExcelFIX)" xfId="1202"/>
    <cellStyle name="_K-SWISS T11 LAN 1 XUAT 20-11_1_K-SWISS T12 LAN 2 22-12X (ExcelFIX)_1_K-SWISS T01 30-1 (ExcelFIX)" xfId="1203"/>
    <cellStyle name="_K-SWISS T11 LAN 1 XUAT 20-11_1_K-SWISS T12 LAN 2 22-12X (ExcelFIX)_1_K-SWISS T01 DAO LAM MY CAN BANG CHUA XUAT10-2X" xfId="1204"/>
    <cellStyle name="_K-SWISS T11 LAN 1 XUAT 20-11_1_K-SWISS T12 LAN 2 22-12X (ExcelFIX)_1_K-SWISS T01 LAN 2 DOI XUAT WEAR 2-2X HC OK, M1 OK " xfId="1205"/>
    <cellStyle name="_K-SWISS T11 LAN 1 XUAT 20-11_1_K-SWISS T12 LAN 2 22-12X (ExcelFIX)_1_K-SWISS-GIAY LANH T01 19-1X" xfId="1206"/>
    <cellStyle name="_K-SWISS T11 LAN 1 XUAT 20-11_1_K-SWISS T12 LAN 2 22-12X (ExcelFIX)_1_PALLADIUM T01 XUAT 23.1 LAN 2 (ExcelFIX)" xfId="1207"/>
    <cellStyle name="_K-SWISS T11 LAN 1 XUAT 20-11_1_K-SWISS T12 LAN 2 22-12X (ExcelFIX)_1_PALLADIUM T01 XUAT 8.2 (ExcelFIX)" xfId="1208"/>
    <cellStyle name="_K-SWISS T11 LAN 1 XUAT 20-11_1_K-SWISS T12 LAN 2 22-12X (ExcelFIX)_1_PALLADIUM T01xuat 23.1 (ExcelFIX)" xfId="1209"/>
    <cellStyle name="_K-SWISS T11 LAN 1 XUAT 20-11_1_K-SWISS T12 LAN 2 22-12X (ExcelFIX)_1_PALLADIUM T01xuat 23.1 LAN 1 (ExcelFIX)" xfId="1210"/>
    <cellStyle name="_K-SWISS T11 LAN 1 XUAT 20-11_1_K-SWISS T12 LAN 2 22-12X (ExcelFIX)_1_PALLADIUM-CXXUAT 6.2" xfId="1211"/>
    <cellStyle name="_K-SWISS T11 LAN 1 XUAT 20-11_1_K-SWISS T12 LAN 2 22-12X (ExcelFIX)_1_PALLADIUM-CXXUAT 9.2" xfId="1212"/>
    <cellStyle name="_K-SWISS T11 LAN 1 XUAT 20-11_1_K-SWISS T12 LAN 2 22-12X (ExcelFIX)_1_PALLADIUM-CXXUAT CHUA CO NGAY XUAT" xfId="1213"/>
    <cellStyle name="_K-SWISS T11 LAN 1 XUAT 20-11_1_K-SWISS T12 LAN 2 22-12X (ExcelFIX)_1_SD1502-053,054 XUAT 2.3 (ExcelFIX)" xfId="1214"/>
    <cellStyle name="_K-SWISS T11 LAN 1 XUAT 20-11_1_K-SWISS T12 LAN 2 22-12X (ExcelFIX)_1_SWS1502-155,156,159~166 XUAT 6.3" xfId="1215"/>
    <cellStyle name="_K-SWISS T11 LAN 1 XUAT 20-11_1_K-SWISS T12 LAN 2 22-12X (ExcelFIX)_1_SWS1502-167" xfId="1216"/>
    <cellStyle name="_K-SWISS T11 LAN 1 XUAT 20-11_1_K-SWISS T12 LAN 2 22-12X (ExcelFIX)_GIAY LANH T12-HAP 27-12X" xfId="1217"/>
    <cellStyle name="_K-SWISS T11 LAN 1 XUAT 20-11_1_K-SWISS T12 LAN 2 22-12X (ExcelFIX)_GIAY LANH T12-HAP 27-12X_1PALLADIUM T01 XUAT 8.2 (ExcelFIX)" xfId="1218"/>
    <cellStyle name="_K-SWISS T11 LAN 1 XUAT 20-11_1_K-SWISS T12 LAN 2 22-12X (ExcelFIX)_GIAY LANH T12-HAP 27-12X_1PALLADIUM T02 XUAT (ExcelFIX)" xfId="1219"/>
    <cellStyle name="_K-SWISS T11 LAN 1 XUAT 20-11_1_K-SWISS T12 LAN 2 22-12X (ExcelFIX)_GIAY LANH T12-HAP 27-12X_6.2.15 XUAT" xfId="1220"/>
    <cellStyle name="_K-SWISS T11 LAN 1 XUAT 20-11_1_K-SWISS T12 LAN 2 22-12X (ExcelFIX)_GIAY LANH T12-HAP 27-12X_6.2.15 XUAT_K-SWISS T01 30-1 (ExcelFIX)" xfId="1221"/>
    <cellStyle name="_K-SWISS T11 LAN 1 XUAT 20-11_1_K-SWISS T12 LAN 2 22-12X (ExcelFIX)_GIAY LANH T12-HAP 27-12X_6.2.15 XUAT_K-SWISS T01 DAO LAM MY CAN BANG CHUA XUAT10-2X" xfId="1222"/>
    <cellStyle name="_K-SWISS T11 LAN 1 XUAT 20-11_1_K-SWISS T12 LAN 2 22-12X (ExcelFIX)_GIAY LANH T12-HAP 27-12X_DM CHUA XUAT-23.1.15" xfId="1223"/>
    <cellStyle name="_K-SWISS T11 LAN 1 XUAT 20-11_1_K-SWISS T12 LAN 2 22-12X (ExcelFIX)_GIAY LANH T12-HAP 27-12X_DM CHUA XUAT-23.1.15_K-SWISS T01 30-1 (ExcelFIX)" xfId="1224"/>
    <cellStyle name="_K-SWISS T11 LAN 1 XUAT 20-11_1_K-SWISS T12 LAN 2 22-12X (ExcelFIX)_GIAY LANH T12-HAP 27-12X_DM CHUA XUAT-23.1.15_K-SWISS T01 DAO LAM MY CAN BANG CHUA XUAT10-2X" xfId="1225"/>
    <cellStyle name="_K-SWISS T11 LAN 1 XUAT 20-11_1_K-SWISS T12 LAN 2 22-12X (ExcelFIX)_GIAY LANH T12-HAP 27-12X_KS 6-3X" xfId="1226"/>
    <cellStyle name="_K-SWISS T11 LAN 1 XUAT 20-11_1_K-SWISS T12 LAN 2 22-12X (ExcelFIX)_GIAY LANH T12-HAP 27-12X_K-SWISS 30.1 XUAT" xfId="1227"/>
    <cellStyle name="_K-SWISS T11 LAN 1 XUAT 20-11_1_K-SWISS T12 LAN 2 22-12X (ExcelFIX)_GIAY LANH T12-HAP 27-12X_K-SWISS T01 10-2X (ExcelFIX)" xfId="1228"/>
    <cellStyle name="_K-SWISS T11 LAN 1 XUAT 20-11_1_K-SWISS T12 LAN 2 22-12X (ExcelFIX)_GIAY LANH T12-HAP 27-12X_K-SWISS T01 30-1 (ExcelFIX)" xfId="1229"/>
    <cellStyle name="_K-SWISS T11 LAN 1 XUAT 20-11_1_K-SWISS T12 LAN 2 22-12X (ExcelFIX)_GIAY LANH T12-HAP 27-12X_K-SWISS T01 DAO LAM MY CAN BANG CHUA XUAT10-2X" xfId="1230"/>
    <cellStyle name="_K-SWISS T11 LAN 1 XUAT 20-11_1_K-SWISS T12 LAN 2 22-12X (ExcelFIX)_GIAY LANH T12-HAP 27-12X_K-SWISS T01 LAN 2 DOI XUAT WEAR 2-2X HC OK, M1 OK " xfId="1231"/>
    <cellStyle name="_K-SWISS T11 LAN 1 XUAT 20-11_1_K-SWISS T12 LAN 2 22-12X (ExcelFIX)_GIAY LANH T12-HAP 27-12X_K-SWISS-GIAY LANH T01 19-1X" xfId="1232"/>
    <cellStyle name="_K-SWISS T11 LAN 1 XUAT 20-11_1_K-SWISS T12 LAN 2 22-12X (ExcelFIX)_GIAY LANH T12-HAP 27-12X_PALLADIUM T01 XUAT 23.1 LAN 2 (ExcelFIX)" xfId="1233"/>
    <cellStyle name="_K-SWISS T11 LAN 1 XUAT 20-11_1_K-SWISS T12 LAN 2 22-12X (ExcelFIX)_GIAY LANH T12-HAP 27-12X_PALLADIUM T01 XUAT 8.2 (ExcelFIX)" xfId="1234"/>
    <cellStyle name="_K-SWISS T11 LAN 1 XUAT 20-11_1_K-SWISS T12 LAN 2 22-12X (ExcelFIX)_GIAY LANH T12-HAP 27-12X_PALLADIUM T01xuat 23.1 (ExcelFIX)" xfId="1235"/>
    <cellStyle name="_K-SWISS T11 LAN 1 XUAT 20-11_1_K-SWISS T12 LAN 2 22-12X (ExcelFIX)_GIAY LANH T12-HAP 27-12X_PALLADIUM T01xuat 23.1 LAN 1 (ExcelFIX)" xfId="1236"/>
    <cellStyle name="_K-SWISS T11 LAN 1 XUAT 20-11_1_K-SWISS T12 LAN 2 22-12X (ExcelFIX)_GIAY LANH T12-HAP 27-12X_PALLADIUM-CXXUAT 6.2" xfId="1237"/>
    <cellStyle name="_K-SWISS T11 LAN 1 XUAT 20-11_1_K-SWISS T12 LAN 2 22-12X (ExcelFIX)_GIAY LANH T12-HAP 27-12X_PALLADIUM-CXXUAT 9.2" xfId="1238"/>
    <cellStyle name="_K-SWISS T11 LAN 1 XUAT 20-11_1_K-SWISS T12 LAN 2 22-12X (ExcelFIX)_GIAY LANH T12-HAP 27-12X_PALLADIUM-CXXUAT CHUA CO NGAY XUAT" xfId="1239"/>
    <cellStyle name="_K-SWISS T11 LAN 1 XUAT 20-11_1_K-SWISS T12 LAN 2 22-12X (ExcelFIX)_GIAY LANH T12-HAP 27-12X_SD1502-053,054 XUAT 2.3 (ExcelFIX)" xfId="1240"/>
    <cellStyle name="_K-SWISS T11 LAN 1 XUAT 20-11_1_K-SWISS T12 LAN 2 22-12X (ExcelFIX)_GIAY LANH T12-HAP 27-12X_SWS1502-155,156,159~166 XUAT 6.3" xfId="1241"/>
    <cellStyle name="_K-SWISS T11 LAN 1 XUAT 20-11_1_K-SWISS T12 LAN 2 22-12X (ExcelFIX)_GIAY LANH T12-HAP 27-12X_SWS1502-167" xfId="1242"/>
    <cellStyle name="_K-SWISS T11 LAN 1 XUAT 20-11_GIAY LANH T12-HAP" xfId="1243"/>
    <cellStyle name="_K-SWISS T11 LAN 1 XUAT 20-11_K-SWISS T12 22-12X (ExcelFIX)" xfId="1244"/>
    <cellStyle name="_K-SWISS T11 LAN 3 chu" xfId="1245"/>
    <cellStyle name="_K-SWISS T11 XUAT 20-11" xfId="1246"/>
    <cellStyle name="_K-SWISS T11 XUAT 20-11_03345" xfId="1247"/>
    <cellStyle name="_K-SWISS T11 XUAT 20-11_GIAY LANH T11 LAN 2  DK ROI (ExcelFIX)" xfId="1248"/>
    <cellStyle name="_K-SWISS T11 XUAT 20-11_GIAY LANH T11 LAN 2  DK ROI (ExcelFIX)_1" xfId="1249"/>
    <cellStyle name="_K-SWISS T11 XUAT 20-11_GIAY LANH T11 LAN 2  DK ROI (ExcelFIX)_1_03334" xfId="1250"/>
    <cellStyle name="_K-SWISS T11 XUAT 20-11_GIAY LANH T11 LAN 2  DK ROI (ExcelFIX)_1_DM" xfId="1251"/>
    <cellStyle name="_K-SWISS T11 XUAT 20-11_GIAY LANH T11 LAN 2  DK ROI (ExcelFIX)_1_GIAY LANH T12 LAN 1 22-24-12X DA OK GOI (ExcelFIX) (ExcelFIX)" xfId="1252"/>
    <cellStyle name="_K-SWISS T11 XUAT 20-11_GIAY LANH T11 LAN 2  DK ROI (ExcelFIX)_1_GIAY LANH T12 LAN 1 22-24-12X DA OK GOI DAO (ExcelFIX)" xfId="1253"/>
    <cellStyle name="_K-SWISS T11 XUAT 20-11_GIAY LANH T11 LAN 2  DK ROI (ExcelFIX)_1_GIAY LANH T12 LAN 1 22-24-12X DA OK GOI DAO (ExcelFIX)_1PALLADIUM T01 XUAT 8.2 (ExcelFIX)" xfId="1254"/>
    <cellStyle name="_K-SWISS T11 XUAT 20-11_GIAY LANH T11 LAN 2  DK ROI (ExcelFIX)_1_GIAY LANH T12 LAN 1 22-24-12X DA OK GOI DAO (ExcelFIX)_1PALLADIUM T02 XUAT (ExcelFIX)" xfId="1255"/>
    <cellStyle name="_K-SWISS T11 XUAT 20-11_GIAY LANH T11 LAN 2  DK ROI (ExcelFIX)_1_GIAY LANH T12 LAN 1 22-24-12X DA OK GOI DAO (ExcelFIX)_6.2.15 XUAT" xfId="1256"/>
    <cellStyle name="_K-SWISS T11 XUAT 20-11_GIAY LANH T11 LAN 2  DK ROI (ExcelFIX)_1_GIAY LANH T12 LAN 1 22-24-12X DA OK GOI DAO (ExcelFIX)_6.2.15 XUAT_K-SWISS T01 30-1 (ExcelFIX)" xfId="1257"/>
    <cellStyle name="_K-SWISS T11 XUAT 20-11_GIAY LANH T11 LAN 2  DK ROI (ExcelFIX)_1_GIAY LANH T12 LAN 1 22-24-12X DA OK GOI DAO (ExcelFIX)_6.2.15 XUAT_K-SWISS T01 DAO LAM MY CAN BANG CHUA XUAT10-2X" xfId="1258"/>
    <cellStyle name="_K-SWISS T11 XUAT 20-11_GIAY LANH T11 LAN 2  DK ROI (ExcelFIX)_1_GIAY LANH T12 LAN 1 22-24-12X DA OK GOI DAO (ExcelFIX)_DM CHUA XUAT-23.1.15" xfId="1259"/>
    <cellStyle name="_K-SWISS T11 XUAT 20-11_GIAY LANH T11 LAN 2  DK ROI (ExcelFIX)_1_GIAY LANH T12 LAN 1 22-24-12X DA OK GOI DAO (ExcelFIX)_DM CHUA XUAT-23.1.15_K-SWISS T01 30-1 (ExcelFIX)" xfId="1260"/>
    <cellStyle name="_K-SWISS T11 XUAT 20-11_GIAY LANH T11 LAN 2  DK ROI (ExcelFIX)_1_GIAY LANH T12 LAN 1 22-24-12X DA OK GOI DAO (ExcelFIX)_DM CHUA XUAT-23.1.15_K-SWISS T01 DAO LAM MY CAN BANG CHUA XUAT10-2X" xfId="1261"/>
    <cellStyle name="_K-SWISS T11 XUAT 20-11_GIAY LANH T11 LAN 2  DK ROI (ExcelFIX)_1_GIAY LANH T12 LAN 1 22-24-12X DA OK GOI DAO (ExcelFIX)_KS 6-3X" xfId="1262"/>
    <cellStyle name="_K-SWISS T11 XUAT 20-11_GIAY LANH T11 LAN 2  DK ROI (ExcelFIX)_1_GIAY LANH T12 LAN 1 22-24-12X DA OK GOI DAO (ExcelFIX)_K-SWISS 30.1 XUAT" xfId="1263"/>
    <cellStyle name="_K-SWISS T11 XUAT 20-11_GIAY LANH T11 LAN 2  DK ROI (ExcelFIX)_1_GIAY LANH T12 LAN 1 22-24-12X DA OK GOI DAO (ExcelFIX)_K-SWISS T01 10-2X (ExcelFIX)" xfId="1264"/>
    <cellStyle name="_K-SWISS T11 XUAT 20-11_GIAY LANH T11 LAN 2  DK ROI (ExcelFIX)_1_GIAY LANH T12 LAN 1 22-24-12X DA OK GOI DAO (ExcelFIX)_K-SWISS T01 30-1 (ExcelFIX)" xfId="1265"/>
    <cellStyle name="_K-SWISS T11 XUAT 20-11_GIAY LANH T11 LAN 2  DK ROI (ExcelFIX)_1_GIAY LANH T12 LAN 1 22-24-12X DA OK GOI DAO (ExcelFIX)_K-SWISS T01 DAO LAM MY CAN BANG CHUA XUAT10-2X" xfId="1266"/>
    <cellStyle name="_K-SWISS T11 XUAT 20-11_GIAY LANH T11 LAN 2  DK ROI (ExcelFIX)_1_GIAY LANH T12 LAN 1 22-24-12X DA OK GOI DAO (ExcelFIX)_K-SWISS T01 LAN 2 DOI XUAT WEAR 2-2X HC OK, M1 OK " xfId="1267"/>
    <cellStyle name="_K-SWISS T11 XUAT 20-11_GIAY LANH T11 LAN 2  DK ROI (ExcelFIX)_1_GIAY LANH T12 LAN 1 22-24-12X DA OK GOI DAO (ExcelFIX)_K-SWISS-GIAY LANH T01 19-1X" xfId="1268"/>
    <cellStyle name="_K-SWISS T11 XUAT 20-11_GIAY LANH T11 LAN 2  DK ROI (ExcelFIX)_1_GIAY LANH T12 LAN 1 22-24-12X DA OK GOI DAO (ExcelFIX)_PALLADIUM T01 XUAT 23.1 LAN 2 (ExcelFIX)" xfId="1269"/>
    <cellStyle name="_K-SWISS T11 XUAT 20-11_GIAY LANH T11 LAN 2  DK ROI (ExcelFIX)_1_GIAY LANH T12 LAN 1 22-24-12X DA OK GOI DAO (ExcelFIX)_PALLADIUM T01 XUAT 8.2 (ExcelFIX)" xfId="1270"/>
    <cellStyle name="_K-SWISS T11 XUAT 20-11_GIAY LANH T11 LAN 2  DK ROI (ExcelFIX)_1_GIAY LANH T12 LAN 1 22-24-12X DA OK GOI DAO (ExcelFIX)_PALLADIUM T01xuat 23.1 (ExcelFIX)" xfId="1271"/>
    <cellStyle name="_K-SWISS T11 XUAT 20-11_GIAY LANH T11 LAN 2  DK ROI (ExcelFIX)_1_GIAY LANH T12 LAN 1 22-24-12X DA OK GOI DAO (ExcelFIX)_PALLADIUM T01xuat 23.1 LAN 1 (ExcelFIX)" xfId="1272"/>
    <cellStyle name="_K-SWISS T11 XUAT 20-11_GIAY LANH T11 LAN 2  DK ROI (ExcelFIX)_1_GIAY LANH T12 LAN 1 22-24-12X DA OK GOI DAO (ExcelFIX)_PALLADIUM-CXXUAT 6.2" xfId="1273"/>
    <cellStyle name="_K-SWISS T11 XUAT 20-11_GIAY LANH T11 LAN 2  DK ROI (ExcelFIX)_1_GIAY LANH T12 LAN 1 22-24-12X DA OK GOI DAO (ExcelFIX)_PALLADIUM-CXXUAT 9.2" xfId="1274"/>
    <cellStyle name="_K-SWISS T11 XUAT 20-11_GIAY LANH T11 LAN 2  DK ROI (ExcelFIX)_1_GIAY LANH T12 LAN 1 22-24-12X DA OK GOI DAO (ExcelFIX)_PALLADIUM-CXXUAT CHUA CO NGAY XUAT" xfId="1275"/>
    <cellStyle name="_K-SWISS T11 XUAT 20-11_GIAY LANH T11 LAN 2  DK ROI (ExcelFIX)_1_GIAY LANH T12 LAN 1 22-24-12X DA OK GOI DAO (ExcelFIX)_SD1502-053,054 XUAT 2.3 (ExcelFIX)" xfId="1276"/>
    <cellStyle name="_K-SWISS T11 XUAT 20-11_GIAY LANH T11 LAN 2  DK ROI (ExcelFIX)_1_GIAY LANH T12 LAN 1 22-24-12X DA OK GOI DAO (ExcelFIX)_SWS1502-155,156,159~166 XUAT 6.3" xfId="1277"/>
    <cellStyle name="_K-SWISS T11 XUAT 20-11_GIAY LANH T11 LAN 2  DK ROI (ExcelFIX)_1_GIAY LANH T12 LAN 1 22-24-12X DA OK GOI DAO (ExcelFIX)_SWS1502-167" xfId="1278"/>
    <cellStyle name="_K-SWISS T11 XUAT 20-11_GIAY LANH T11 LAN 2  DK ROI (ExcelFIX)_1_GIAY LANH T12 LAN 3 XUAT co 78B  22-12" xfId="1279"/>
    <cellStyle name="_K-SWISS T11 XUAT 20-11_GIAY LANH T11 LAN 2  DK ROI (ExcelFIX)_1_GIAY LANH T12 LAN 3 XUAT co 78B  22-12_6.2.15 XUAT" xfId="1280"/>
    <cellStyle name="_K-SWISS T11 XUAT 20-11_GIAY LANH T11 LAN 2  DK ROI (ExcelFIX)_1_GIAY LANH T12 LAN 3 XUAT co 78B  22-12_6.2.15 XUAT_K-SWISS T01 30-1 (ExcelFIX)" xfId="1281"/>
    <cellStyle name="_K-SWISS T11 XUAT 20-11_GIAY LANH T11 LAN 2  DK ROI (ExcelFIX)_1_GIAY LANH T12 LAN 3 XUAT co 78B  22-12_6.2.15 XUAT_K-SWISS T01 DAO LAM MY CAN BANG CHUA XUAT10-2X" xfId="1282"/>
    <cellStyle name="_K-SWISS T11 XUAT 20-11_GIAY LANH T11 LAN 2  DK ROI (ExcelFIX)_1_GIAY LANH T12 LAN 3 XUAT co 78B  22-12_DM CHUA XUAT-23.1.15" xfId="1283"/>
    <cellStyle name="_K-SWISS T11 XUAT 20-11_GIAY LANH T11 LAN 2  DK ROI (ExcelFIX)_1_GIAY LANH T12 LAN 3 XUAT co 78B  22-12_DM CHUA XUAT-23.1.15_K-SWISS T01 30-1 (ExcelFIX)" xfId="1284"/>
    <cellStyle name="_K-SWISS T11 XUAT 20-11_GIAY LANH T11 LAN 2  DK ROI (ExcelFIX)_1_GIAY LANH T12 LAN 3 XUAT co 78B  22-12_DM CHUA XUAT-23.1.15_K-SWISS T01 DAO LAM MY CAN BANG CHUA XUAT10-2X" xfId="1285"/>
    <cellStyle name="_K-SWISS T11 XUAT 20-11_GIAY LANH T11 LAN 2  DK ROI (ExcelFIX)_1_GIAY LANH T12 LAN 3 XUAT co 78B  22-12_KS 6-3X" xfId="1286"/>
    <cellStyle name="_K-SWISS T11 XUAT 20-11_GIAY LANH T11 LAN 2  DK ROI (ExcelFIX)_1_GIAY LANH T12 LAN 3 XUAT co 78B  22-12_K-SWISS 30.1 XUAT" xfId="1287"/>
    <cellStyle name="_K-SWISS T11 XUAT 20-11_GIAY LANH T11 LAN 2  DK ROI (ExcelFIX)_1_GIAY LANH T12 LAN 3 XUAT co 78B  22-12_K-SWISS T01 10-2X (ExcelFIX)" xfId="1288"/>
    <cellStyle name="_K-SWISS T11 XUAT 20-11_GIAY LANH T11 LAN 2  DK ROI (ExcelFIX)_1_GIAY LANH T12 LAN 3 XUAT co 78B  22-12_K-SWISS T01 30-1 (ExcelFIX)" xfId="1289"/>
    <cellStyle name="_K-SWISS T11 XUAT 20-11_GIAY LANH T11 LAN 2  DK ROI (ExcelFIX)_1_GIAY LANH T12 LAN 3 XUAT co 78B  22-12_K-SWISS T01 DAO LAM MY CAN BANG CHUA XUAT10-2X" xfId="1290"/>
    <cellStyle name="_K-SWISS T11 XUAT 20-11_GIAY LANH T11 LAN 2  DK ROI (ExcelFIX)_1_GIAY LANH T12 LAN 3 XUAT co 78B  22-12_K-SWISS T01 LAN 2 DOI XUAT WEAR 2-2X HC OK, M1 OK " xfId="1291"/>
    <cellStyle name="_K-SWISS T11 XUAT 20-11_GIAY LANH T11 LAN 2  DK ROI (ExcelFIX)_1_GIAY LANH T12 LAN 3 XUAT co 78B  22-12_K-SWISS-GIAY LANH T01 19-1X" xfId="1292"/>
    <cellStyle name="_K-SWISS T11 XUAT 20-11_GIAY LANH T11 LAN 2  DK ROI (ExcelFIX)_1_GIAY LANH T12 LAN 3 XUAT co 78B  22-12_SD1502-053,054 XUAT 2.3 (ExcelFIX)" xfId="1293"/>
    <cellStyle name="_K-SWISS T11 XUAT 20-11_GIAY LANH T11 LAN 2  DK ROI (ExcelFIX)_1_GIAY LANH T12 LAN 3 XUAT co 78B  22-12_SWS1502-155,156,159~166 XUAT 6.3" xfId="1294"/>
    <cellStyle name="_K-SWISS T11 XUAT 20-11_GIAY LANH T11 LAN 2  DK ROI (ExcelFIX)_1_GIAY LANH T12 LAN 3 XUAT co 78B  22-12_SWS1502-167" xfId="1295"/>
    <cellStyle name="_K-SWISS T11 XUAT 20-11_GIAY LANH T11 LAN 2  DK ROI (ExcelFIX)_1_GIAY LANH T12-HAP 27-12X" xfId="1296"/>
    <cellStyle name="_K-SWISS T11 XUAT 20-11_GIAY LANH T11 LAN 2  DK ROI (ExcelFIX)_1_GIAY LANH T12-HAP 27-12X_1PALLADIUM T01 XUAT 8.2 (ExcelFIX)" xfId="1297"/>
    <cellStyle name="_K-SWISS T11 XUAT 20-11_GIAY LANH T11 LAN 2  DK ROI (ExcelFIX)_1_GIAY LANH T12-HAP 27-12X_1PALLADIUM T02 XUAT (ExcelFIX)" xfId="1298"/>
    <cellStyle name="_K-SWISS T11 XUAT 20-11_GIAY LANH T11 LAN 2  DK ROI (ExcelFIX)_1_GIAY LANH T12-HAP 27-12X_6.2.15 XUAT" xfId="1299"/>
    <cellStyle name="_K-SWISS T11 XUAT 20-11_GIAY LANH T11 LAN 2  DK ROI (ExcelFIX)_1_GIAY LANH T12-HAP 27-12X_6.2.15 XUAT_K-SWISS T01 30-1 (ExcelFIX)" xfId="1300"/>
    <cellStyle name="_K-SWISS T11 XUAT 20-11_GIAY LANH T11 LAN 2  DK ROI (ExcelFIX)_1_GIAY LANH T12-HAP 27-12X_6.2.15 XUAT_K-SWISS T01 DAO LAM MY CAN BANG CHUA XUAT10-2X" xfId="1301"/>
    <cellStyle name="_K-SWISS T11 XUAT 20-11_GIAY LANH T11 LAN 2  DK ROI (ExcelFIX)_1_GIAY LANH T12-HAP 27-12X_DM CHUA XUAT-23.1.15" xfId="1302"/>
    <cellStyle name="_K-SWISS T11 XUAT 20-11_GIAY LANH T11 LAN 2  DK ROI (ExcelFIX)_1_GIAY LANH T12-HAP 27-12X_DM CHUA XUAT-23.1.15_K-SWISS T01 30-1 (ExcelFIX)" xfId="1303"/>
    <cellStyle name="_K-SWISS T11 XUAT 20-11_GIAY LANH T11 LAN 2  DK ROI (ExcelFIX)_1_GIAY LANH T12-HAP 27-12X_DM CHUA XUAT-23.1.15_K-SWISS T01 DAO LAM MY CAN BANG CHUA XUAT10-2X" xfId="1304"/>
    <cellStyle name="_K-SWISS T11 XUAT 20-11_GIAY LANH T11 LAN 2  DK ROI (ExcelFIX)_1_GIAY LANH T12-HAP 27-12X_KS 6-3X" xfId="1305"/>
    <cellStyle name="_K-SWISS T11 XUAT 20-11_GIAY LANH T11 LAN 2  DK ROI (ExcelFIX)_1_GIAY LANH T12-HAP 27-12X_K-SWISS 30.1 XUAT" xfId="1306"/>
    <cellStyle name="_K-SWISS T11 XUAT 20-11_GIAY LANH T11 LAN 2  DK ROI (ExcelFIX)_1_GIAY LANH T12-HAP 27-12X_K-SWISS T01 10-2X (ExcelFIX)" xfId="1307"/>
    <cellStyle name="_K-SWISS T11 XUAT 20-11_GIAY LANH T11 LAN 2  DK ROI (ExcelFIX)_1_GIAY LANH T12-HAP 27-12X_K-SWISS T01 30-1 (ExcelFIX)" xfId="1308"/>
    <cellStyle name="_K-SWISS T11 XUAT 20-11_GIAY LANH T11 LAN 2  DK ROI (ExcelFIX)_1_GIAY LANH T12-HAP 27-12X_K-SWISS T01 DAO LAM MY CAN BANG CHUA XUAT10-2X" xfId="1309"/>
    <cellStyle name="_K-SWISS T11 XUAT 20-11_GIAY LANH T11 LAN 2  DK ROI (ExcelFIX)_1_GIAY LANH T12-HAP 27-12X_K-SWISS T01 LAN 2 DOI XUAT WEAR 2-2X HC OK, M1 OK " xfId="1310"/>
    <cellStyle name="_K-SWISS T11 XUAT 20-11_GIAY LANH T11 LAN 2  DK ROI (ExcelFIX)_1_GIAY LANH T12-HAP 27-12X_K-SWISS-GIAY LANH T01 19-1X" xfId="1311"/>
    <cellStyle name="_K-SWISS T11 XUAT 20-11_GIAY LANH T11 LAN 2  DK ROI (ExcelFIX)_1_GIAY LANH T12-HAP 27-12X_PALLADIUM T01 XUAT 23.1 LAN 2 (ExcelFIX)" xfId="1312"/>
    <cellStyle name="_K-SWISS T11 XUAT 20-11_GIAY LANH T11 LAN 2  DK ROI (ExcelFIX)_1_GIAY LANH T12-HAP 27-12X_PALLADIUM T01 XUAT 8.2 (ExcelFIX)" xfId="1313"/>
    <cellStyle name="_K-SWISS T11 XUAT 20-11_GIAY LANH T11 LAN 2  DK ROI (ExcelFIX)_1_GIAY LANH T12-HAP 27-12X_PALLADIUM T01xuat 23.1 (ExcelFIX)" xfId="1314"/>
    <cellStyle name="_K-SWISS T11 XUAT 20-11_GIAY LANH T11 LAN 2  DK ROI (ExcelFIX)_1_GIAY LANH T12-HAP 27-12X_PALLADIUM T01xuat 23.1 LAN 1 (ExcelFIX)" xfId="1315"/>
    <cellStyle name="_K-SWISS T11 XUAT 20-11_GIAY LANH T11 LAN 2  DK ROI (ExcelFIX)_1_GIAY LANH T12-HAP 27-12X_PALLADIUM-CXXUAT 6.2" xfId="1316"/>
    <cellStyle name="_K-SWISS T11 XUAT 20-11_GIAY LANH T11 LAN 2  DK ROI (ExcelFIX)_1_GIAY LANH T12-HAP 27-12X_PALLADIUM-CXXUAT 9.2" xfId="1317"/>
    <cellStyle name="_K-SWISS T11 XUAT 20-11_GIAY LANH T11 LAN 2  DK ROI (ExcelFIX)_1_GIAY LANH T12-HAP 27-12X_PALLADIUM-CXXUAT CHUA CO NGAY XUAT" xfId="1318"/>
    <cellStyle name="_K-SWISS T11 XUAT 20-11_GIAY LANH T11 LAN 2  DK ROI (ExcelFIX)_1_GIAY LANH T12-HAP 27-12X_SD1502-053,054 XUAT 2.3 (ExcelFIX)" xfId="1319"/>
    <cellStyle name="_K-SWISS T11 XUAT 20-11_GIAY LANH T11 LAN 2  DK ROI (ExcelFIX)_1_GIAY LANH T12-HAP 27-12X_SWS1502-155,156,159~166 XUAT 6.3" xfId="1320"/>
    <cellStyle name="_K-SWISS T11 XUAT 20-11_GIAY LANH T11 LAN 2  DK ROI (ExcelFIX)_1_GIAY LANH T12-HAP 27-12X_SWS1502-167" xfId="1321"/>
    <cellStyle name="_K-SWISS T11 XUAT 20-11_GIAY LANH T11 LAN 2  DK ROI (ExcelFIX)_1_K-SWISS T12 LAN 2 22-12X (ExcelFIX)" xfId="1322"/>
    <cellStyle name="_K-SWISS T11 XUAT 20-11_GIAY LANH T11 LAN 2  DK ROI (ExcelFIX)_1_K-SWISS T12 LAN 2 22-12X (ExcelFIX)_1PALLADIUM T01 XUAT 8.2 (ExcelFIX)" xfId="1323"/>
    <cellStyle name="_K-SWISS T11 XUAT 20-11_GIAY LANH T11 LAN 2  DK ROI (ExcelFIX)_1_K-SWISS T12 LAN 2 22-12X (ExcelFIX)_1PALLADIUM T02 XUAT (ExcelFIX)" xfId="1324"/>
    <cellStyle name="_K-SWISS T11 XUAT 20-11_GIAY LANH T11 LAN 2  DK ROI (ExcelFIX)_1_K-SWISS T12 LAN 2 22-12X (ExcelFIX)_6.2.15 XUAT" xfId="1325"/>
    <cellStyle name="_K-SWISS T11 XUAT 20-11_GIAY LANH T11 LAN 2  DK ROI (ExcelFIX)_1_K-SWISS T12 LAN 2 22-12X (ExcelFIX)_6.2.15 XUAT_K-SWISS T01 30-1 (ExcelFIX)" xfId="1326"/>
    <cellStyle name="_K-SWISS T11 XUAT 20-11_GIAY LANH T11 LAN 2  DK ROI (ExcelFIX)_1_K-SWISS T12 LAN 2 22-12X (ExcelFIX)_6.2.15 XUAT_K-SWISS T01 DAO LAM MY CAN BANG CHUA XUAT10-2X" xfId="1327"/>
    <cellStyle name="_K-SWISS T11 XUAT 20-11_GIAY LANH T11 LAN 2  DK ROI (ExcelFIX)_1_K-SWISS T12 LAN 2 22-12X (ExcelFIX)_DM CHUA XUAT-23.1.15" xfId="1328"/>
    <cellStyle name="_K-SWISS T11 XUAT 20-11_GIAY LANH T11 LAN 2  DK ROI (ExcelFIX)_1_K-SWISS T12 LAN 2 22-12X (ExcelFIX)_DM CHUA XUAT-23.1.15_K-SWISS T01 30-1 (ExcelFIX)" xfId="1329"/>
    <cellStyle name="_K-SWISS T11 XUAT 20-11_GIAY LANH T11 LAN 2  DK ROI (ExcelFIX)_1_K-SWISS T12 LAN 2 22-12X (ExcelFIX)_DM CHUA XUAT-23.1.15_K-SWISS T01 DAO LAM MY CAN BANG CHUA XUAT10-2X" xfId="1330"/>
    <cellStyle name="_K-SWISS T11 XUAT 20-11_GIAY LANH T11 LAN 2  DK ROI (ExcelFIX)_1_K-SWISS T12 LAN 2 22-12X (ExcelFIX)_KS 6-3X" xfId="1331"/>
    <cellStyle name="_K-SWISS T11 XUAT 20-11_GIAY LANH T11 LAN 2  DK ROI (ExcelFIX)_1_K-SWISS T12 LAN 2 22-12X (ExcelFIX)_K-SWISS 30.1 XUAT" xfId="1332"/>
    <cellStyle name="_K-SWISS T11 XUAT 20-11_GIAY LANH T11 LAN 2  DK ROI (ExcelFIX)_1_K-SWISS T12 LAN 2 22-12X (ExcelFIX)_K-SWISS T01 10-2X (ExcelFIX)" xfId="1333"/>
    <cellStyle name="_K-SWISS T11 XUAT 20-11_GIAY LANH T11 LAN 2  DK ROI (ExcelFIX)_1_K-SWISS T12 LAN 2 22-12X (ExcelFIX)_K-SWISS T01 30-1 (ExcelFIX)" xfId="1334"/>
    <cellStyle name="_K-SWISS T11 XUAT 20-11_GIAY LANH T11 LAN 2  DK ROI (ExcelFIX)_1_K-SWISS T12 LAN 2 22-12X (ExcelFIX)_K-SWISS T01 DAO LAM MY CAN BANG CHUA XUAT10-2X" xfId="1335"/>
    <cellStyle name="_K-SWISS T11 XUAT 20-11_GIAY LANH T11 LAN 2  DK ROI (ExcelFIX)_1_K-SWISS T12 LAN 2 22-12X (ExcelFIX)_K-SWISS T01 LAN 2 DOI XUAT WEAR 2-2X HC OK, M1 OK " xfId="1336"/>
    <cellStyle name="_K-SWISS T11 XUAT 20-11_GIAY LANH T11 LAN 2  DK ROI (ExcelFIX)_1_K-SWISS T12 LAN 2 22-12X (ExcelFIX)_K-SWISS-GIAY LANH T01 19-1X" xfId="1337"/>
    <cellStyle name="_K-SWISS T11 XUAT 20-11_GIAY LANH T11 LAN 2  DK ROI (ExcelFIX)_1_K-SWISS T12 LAN 2 22-12X (ExcelFIX)_PALLADIUM T01 XUAT 23.1 LAN 2 (ExcelFIX)" xfId="1338"/>
    <cellStyle name="_K-SWISS T11 XUAT 20-11_GIAY LANH T11 LAN 2  DK ROI (ExcelFIX)_1_K-SWISS T12 LAN 2 22-12X (ExcelFIX)_PALLADIUM T01 XUAT 8.2 (ExcelFIX)" xfId="1339"/>
    <cellStyle name="_K-SWISS T11 XUAT 20-11_GIAY LANH T11 LAN 2  DK ROI (ExcelFIX)_1_K-SWISS T12 LAN 2 22-12X (ExcelFIX)_PALLADIUM T01xuat 23.1 (ExcelFIX)" xfId="1340"/>
    <cellStyle name="_K-SWISS T11 XUAT 20-11_GIAY LANH T11 LAN 2  DK ROI (ExcelFIX)_1_K-SWISS T12 LAN 2 22-12X (ExcelFIX)_PALLADIUM T01xuat 23.1 LAN 1 (ExcelFIX)" xfId="1341"/>
    <cellStyle name="_K-SWISS T11 XUAT 20-11_GIAY LANH T11 LAN 2  DK ROI (ExcelFIX)_1_K-SWISS T12 LAN 2 22-12X (ExcelFIX)_PALLADIUM-CXXUAT 6.2" xfId="1342"/>
    <cellStyle name="_K-SWISS T11 XUAT 20-11_GIAY LANH T11 LAN 2  DK ROI (ExcelFIX)_1_K-SWISS T12 LAN 2 22-12X (ExcelFIX)_PALLADIUM-CXXUAT 9.2" xfId="1343"/>
    <cellStyle name="_K-SWISS T11 XUAT 20-11_GIAY LANH T11 LAN 2  DK ROI (ExcelFIX)_1_K-SWISS T12 LAN 2 22-12X (ExcelFIX)_PALLADIUM-CXXUAT CHUA CO NGAY XUAT" xfId="1344"/>
    <cellStyle name="_K-SWISS T11 XUAT 20-11_GIAY LANH T11 LAN 2  DK ROI (ExcelFIX)_1_K-SWISS T12 LAN 2 22-12X (ExcelFIX)_SD1502-053,054 XUAT 2.3 (ExcelFIX)" xfId="1345"/>
    <cellStyle name="_K-SWISS T11 XUAT 20-11_GIAY LANH T11 LAN 2  DK ROI (ExcelFIX)_1_K-SWISS T12 LAN 2 22-12X (ExcelFIX)_SWS1502-155,156,159~166 XUAT 6.3" xfId="1346"/>
    <cellStyle name="_K-SWISS T11 XUAT 20-11_GIAY LANH T11 LAN 2  DK ROI (ExcelFIX)_1_K-SWISS T12 LAN 2 22-12X (ExcelFIX)_SWS1502-167" xfId="1347"/>
    <cellStyle name="_K-SWISS T11 XUAT 20-11_GIAY LANH T11 LAN 2  DK ROI (ExcelFIX)_1_SWS1501-129,133,403" xfId="1348"/>
    <cellStyle name="_K-SWISS T11 XUAT 20-11_GIAY LANH T11 LAN 2  DK ROI (ExcelFIX)_1_SWS1501-129,133,403_K-SWISS T01 10-2X (ExcelFIX)" xfId="1349"/>
    <cellStyle name="_K-SWISS T11 XUAT 20-11_GIAY LANH T11 LAN 2  DK ROI (ExcelFIX)_1_SWS1501-130,131,132" xfId="1350"/>
    <cellStyle name="_K-SWISS T11 XUAT 20-11_GIAY LANH T11 LAN 2  DK ROI (ExcelFIX)_1_SWS1501-130,131,132_K-SWISS T01 10-2X (ExcelFIX)" xfId="1351"/>
    <cellStyle name="_K-SWISS T11 XUAT 20-11_GIAY LANH T11 LAN 2  DK ROI (ExcelFIX)_1_SWS1501-135,125,126" xfId="1352"/>
    <cellStyle name="_K-SWISS T11 XUAT 20-11_GIAY LANH T11 LAN 2  DK ROI (ExcelFIX)_1_SWS1501-135,125,126_K-SWISS T01 10-2X (ExcelFIX)" xfId="1353"/>
    <cellStyle name="_K-SWISS T11 XUAT 20-11_GIAY LANH T11 LAN 2  DK ROI (ExcelFIX)_2" xfId="1354"/>
    <cellStyle name="_K-SWISS T11 XUAT 20-11_GIAY LANH T11 LAN 2  DK ROI (ExcelFIX)_2_6.2.15 XUAT" xfId="1355"/>
    <cellStyle name="_K-SWISS T11 XUAT 20-11_GIAY LANH T11 LAN 2  DK ROI (ExcelFIX)_2_6.2.15 XUAT_K-SWISS T01 30-1 (ExcelFIX)" xfId="1356"/>
    <cellStyle name="_K-SWISS T11 XUAT 20-11_GIAY LANH T11 LAN 2  DK ROI (ExcelFIX)_2_6.2.15 XUAT_K-SWISS T01 DAO LAM MY CAN BANG CHUA XUAT10-2X" xfId="1357"/>
    <cellStyle name="_K-SWISS T11 XUAT 20-11_GIAY LANH T11 LAN 2  DK ROI (ExcelFIX)_2_DM CHUA XUAT-23.1.15" xfId="1358"/>
    <cellStyle name="_K-SWISS T11 XUAT 20-11_GIAY LANH T11 LAN 2  DK ROI (ExcelFIX)_2_DM CHUA XUAT-23.1.15_K-SWISS T01 30-1 (ExcelFIX)" xfId="1359"/>
    <cellStyle name="_K-SWISS T11 XUAT 20-11_GIAY LANH T11 LAN 2  DK ROI (ExcelFIX)_2_DM CHUA XUAT-23.1.15_K-SWISS T01 DAO LAM MY CAN BANG CHUA XUAT10-2X" xfId="1360"/>
    <cellStyle name="_K-SWISS T11 XUAT 20-11_GIAY LANH T11 LAN 2  DK ROI (ExcelFIX)_2_KS 6-3X" xfId="1361"/>
    <cellStyle name="_K-SWISS T11 XUAT 20-11_GIAY LANH T11 LAN 2  DK ROI (ExcelFIX)_2_K-SWISS 30.1 XUAT" xfId="1362"/>
    <cellStyle name="_K-SWISS T11 XUAT 20-11_GIAY LANH T11 LAN 2  DK ROI (ExcelFIX)_2_K-SWISS T01 10-2X (ExcelFIX)" xfId="1363"/>
    <cellStyle name="_K-SWISS T11 XUAT 20-11_GIAY LANH T11 LAN 2  DK ROI (ExcelFIX)_2_K-SWISS T01 30-1 (ExcelFIX)" xfId="1364"/>
    <cellStyle name="_K-SWISS T11 XUAT 20-11_GIAY LANH T11 LAN 2  DK ROI (ExcelFIX)_2_K-SWISS T01 DAO LAM MY CAN BANG CHUA XUAT10-2X" xfId="1365"/>
    <cellStyle name="_K-SWISS T11 XUAT 20-11_GIAY LANH T11 LAN 2  DK ROI (ExcelFIX)_2_K-SWISS T01 LAN 2 DOI XUAT WEAR 2-2X HC OK, M1 OK " xfId="1366"/>
    <cellStyle name="_K-SWISS T11 XUAT 20-11_GIAY LANH T11 LAN 2  DK ROI (ExcelFIX)_2_K-SWISS-GIAY LANH T01 19-1X" xfId="1367"/>
    <cellStyle name="_K-SWISS T11 XUAT 20-11_GIAY LANH T11 LAN 2  DK ROI (ExcelFIX)_2_SD1502-053,054 XUAT 2.3 (ExcelFIX)" xfId="1368"/>
    <cellStyle name="_K-SWISS T11 XUAT 20-11_GIAY LANH T11 LAN 2  DK ROI (ExcelFIX)_2_SWS1502-155,156,159~166 XUAT 6.3" xfId="1369"/>
    <cellStyle name="_K-SWISS T11 XUAT 20-11_GIAY LANH T11 LAN 2  DK ROI (ExcelFIX)_2_SWS1502-167" xfId="1370"/>
    <cellStyle name="_K-SWISS T11 XUAT 20-11_GIAY LANH T11 LAN 2  DK ROI (ExcelFIX)_DM" xfId="1371"/>
    <cellStyle name="_K-SWISS T11 XUAT 20-11_GIAY LANH T11 LAN 2  DK ROI (ExcelFIX)_GIAY LANH T11 LAN 7 15-12X (ExcelFIX)." xfId="1372"/>
    <cellStyle name="_K-SWISS T11 XUAT 20-11_GIAY LANH T11 LAN 2  DK ROI (ExcelFIX)_GIAY LANH T11 LAN 7 15-12X (ExcelFIX)-old" xfId="1373"/>
    <cellStyle name="_K-SWISS T11 XUAT 20-11_GIAY LANH T11 LAN 2  DK ROI (ExcelFIX)_GIAY LANH T11 LAN 7 15-12X (ExcelFIX)-old_03334" xfId="1374"/>
    <cellStyle name="_K-SWISS T11 XUAT 20-11_GIAY LANH T11 LAN 2  DK ROI (ExcelFIX)_GIAY LANH T11 LAN 7 15-12X (ExcelFIX)-old_DM" xfId="1375"/>
    <cellStyle name="_K-SWISS T11 XUAT 20-11_GIAY LANH T11 LAN 2  DK ROI (ExcelFIX)_GIAY LANH T11 LAN 7 15-12X (ExcelFIX)-old_GIAY LANH T12 LAN 1 22-24-12X DA OK GOI (ExcelFIX) (ExcelFIX)" xfId="1376"/>
    <cellStyle name="_K-SWISS T11 XUAT 20-11_GIAY LANH T11 LAN 2  DK ROI (ExcelFIX)_GIAY LANH T11 LAN 7 15-12X (ExcelFIX)-old_GIAY LANH T12 LAN 1 22-24-12X DA OK GOI DAO (ExcelFIX)" xfId="1377"/>
    <cellStyle name="_K-SWISS T11 XUAT 20-11_GIAY LANH T11 LAN 2  DK ROI (ExcelFIX)_GIAY LANH T11 LAN 7 15-12X (ExcelFIX)-old_GIAY LANH T12 LAN 1 22-24-12X DA OK GOI DAO (ExcelFIX)_1PALLADIUM T01 XUAT 8.2 (ExcelFIX)" xfId="1378"/>
    <cellStyle name="_K-SWISS T11 XUAT 20-11_GIAY LANH T11 LAN 2  DK ROI (ExcelFIX)_GIAY LANH T11 LAN 7 15-12X (ExcelFIX)-old_GIAY LANH T12 LAN 1 22-24-12X DA OK GOI DAO (ExcelFIX)_1PALLADIUM T02 XUAT (ExcelFIX)" xfId="1379"/>
    <cellStyle name="_K-SWISS T11 XUAT 20-11_GIAY LANH T11 LAN 2  DK ROI (ExcelFIX)_GIAY LANH T11 LAN 7 15-12X (ExcelFIX)-old_GIAY LANH T12 LAN 1 22-24-12X DA OK GOI DAO (ExcelFIX)_6.2.15 XUAT" xfId="1380"/>
    <cellStyle name="_K-SWISS T11 XUAT 20-11_GIAY LANH T11 LAN 2  DK ROI (ExcelFIX)_GIAY LANH T11 LAN 7 15-12X (ExcelFIX)-old_GIAY LANH T12 LAN 1 22-24-12X DA OK GOI DAO (ExcelFIX)_6.2.15 XUAT_K-SWISS T01 30-1 (ExcelFIX)" xfId="1381"/>
    <cellStyle name="_K-SWISS T11 XUAT 20-11_GIAY LANH T11 LAN 2  DK ROI (ExcelFIX)_GIAY LANH T11 LAN 7 15-12X (ExcelFIX)-old_GIAY LANH T12 LAN 1 22-24-12X DA OK GOI DAO (ExcelFIX)_6.2.15 XUAT_K-SWISS T01 DAO LAM MY CAN BANG CHUA XUAT10-2X" xfId="1382"/>
    <cellStyle name="_K-SWISS T11 XUAT 20-11_GIAY LANH T11 LAN 2  DK ROI (ExcelFIX)_GIAY LANH T11 LAN 7 15-12X (ExcelFIX)-old_GIAY LANH T12 LAN 1 22-24-12X DA OK GOI DAO (ExcelFIX)_DM CHUA XUAT-23.1.15" xfId="1383"/>
    <cellStyle name="_K-SWISS T11 XUAT 20-11_GIAY LANH T11 LAN 2  DK ROI (ExcelFIX)_GIAY LANH T11 LAN 7 15-12X (ExcelFIX)-old_GIAY LANH T12 LAN 1 22-24-12X DA OK GOI DAO (ExcelFIX)_DM CHUA XUAT-23.1.15_K-SWISS T01 30-1 (ExcelFIX)" xfId="1384"/>
    <cellStyle name="_K-SWISS T11 XUAT 20-11_GIAY LANH T11 LAN 2  DK ROI (ExcelFIX)_GIAY LANH T11 LAN 7 15-12X (ExcelFIX)-old_GIAY LANH T12 LAN 1 22-24-12X DA OK GOI DAO (ExcelFIX)_DM CHUA XUAT-23.1.15_K-SWISS T01 DAO LAM MY CAN BANG CHUA XUAT10-2X" xfId="1385"/>
    <cellStyle name="_K-SWISS T11 XUAT 20-11_GIAY LANH T11 LAN 2  DK ROI (ExcelFIX)_GIAY LANH T11 LAN 7 15-12X (ExcelFIX)-old_GIAY LANH T12 LAN 1 22-24-12X DA OK GOI DAO (ExcelFIX)_KS 6-3X" xfId="1386"/>
    <cellStyle name="_K-SWISS T11 XUAT 20-11_GIAY LANH T11 LAN 2  DK ROI (ExcelFIX)_GIAY LANH T11 LAN 7 15-12X (ExcelFIX)-old_GIAY LANH T12 LAN 1 22-24-12X DA OK GOI DAO (ExcelFIX)_K-SWISS 30.1 XUAT" xfId="1387"/>
    <cellStyle name="_K-SWISS T11 XUAT 20-11_GIAY LANH T11 LAN 2  DK ROI (ExcelFIX)_GIAY LANH T11 LAN 7 15-12X (ExcelFIX)-old_GIAY LANH T12 LAN 1 22-24-12X DA OK GOI DAO (ExcelFIX)_K-SWISS T01 10-2X (ExcelFIX)" xfId="1388"/>
    <cellStyle name="_K-SWISS T11 XUAT 20-11_GIAY LANH T11 LAN 2  DK ROI (ExcelFIX)_GIAY LANH T11 LAN 7 15-12X (ExcelFIX)-old_GIAY LANH T12 LAN 1 22-24-12X DA OK GOI DAO (ExcelFIX)_K-SWISS T01 30-1 (ExcelFIX)" xfId="1389"/>
    <cellStyle name="_K-SWISS T11 XUAT 20-11_GIAY LANH T11 LAN 2  DK ROI (ExcelFIX)_GIAY LANH T11 LAN 7 15-12X (ExcelFIX)-old_GIAY LANH T12 LAN 1 22-24-12X DA OK GOI DAO (ExcelFIX)_K-SWISS T01 DAO LAM MY CAN BANG CHUA XUAT10-2X" xfId="1390"/>
    <cellStyle name="_K-SWISS T11 XUAT 20-11_GIAY LANH T11 LAN 2  DK ROI (ExcelFIX)_GIAY LANH T11 LAN 7 15-12X (ExcelFIX)-old_GIAY LANH T12 LAN 1 22-24-12X DA OK GOI DAO (ExcelFIX)_K-SWISS T01 LAN 2 DOI XUAT WEAR 2-2X HC OK, M1 OK " xfId="1391"/>
    <cellStyle name="_K-SWISS T11 XUAT 20-11_GIAY LANH T11 LAN 2  DK ROI (ExcelFIX)_GIAY LANH T11 LAN 7 15-12X (ExcelFIX)-old_GIAY LANH T12 LAN 1 22-24-12X DA OK GOI DAO (ExcelFIX)_K-SWISS-GIAY LANH T01 19-1X" xfId="1392"/>
    <cellStyle name="_K-SWISS T11 XUAT 20-11_GIAY LANH T11 LAN 2  DK ROI (ExcelFIX)_GIAY LANH T11 LAN 7 15-12X (ExcelFIX)-old_GIAY LANH T12 LAN 1 22-24-12X DA OK GOI DAO (ExcelFIX)_PALLADIUM T01 XUAT 23.1 LAN 2 (ExcelFIX)" xfId="1393"/>
    <cellStyle name="_K-SWISS T11 XUAT 20-11_GIAY LANH T11 LAN 2  DK ROI (ExcelFIX)_GIAY LANH T11 LAN 7 15-12X (ExcelFIX)-old_GIAY LANH T12 LAN 1 22-24-12X DA OK GOI DAO (ExcelFIX)_PALLADIUM T01 XUAT 8.2 (ExcelFIX)" xfId="1394"/>
    <cellStyle name="_K-SWISS T11 XUAT 20-11_GIAY LANH T11 LAN 2  DK ROI (ExcelFIX)_GIAY LANH T11 LAN 7 15-12X (ExcelFIX)-old_GIAY LANH T12 LAN 1 22-24-12X DA OK GOI DAO (ExcelFIX)_PALLADIUM T01xuat 23.1 (ExcelFIX)" xfId="1395"/>
    <cellStyle name="_K-SWISS T11 XUAT 20-11_GIAY LANH T11 LAN 2  DK ROI (ExcelFIX)_GIAY LANH T11 LAN 7 15-12X (ExcelFIX)-old_GIAY LANH T12 LAN 1 22-24-12X DA OK GOI DAO (ExcelFIX)_PALLADIUM T01xuat 23.1 LAN 1 (ExcelFIX)" xfId="1396"/>
    <cellStyle name="_K-SWISS T11 XUAT 20-11_GIAY LANH T11 LAN 2  DK ROI (ExcelFIX)_GIAY LANH T11 LAN 7 15-12X (ExcelFIX)-old_GIAY LANH T12 LAN 1 22-24-12X DA OK GOI DAO (ExcelFIX)_PALLADIUM-CXXUAT 6.2" xfId="1397"/>
    <cellStyle name="_K-SWISS T11 XUAT 20-11_GIAY LANH T11 LAN 2  DK ROI (ExcelFIX)_GIAY LANH T11 LAN 7 15-12X (ExcelFIX)-old_GIAY LANH T12 LAN 1 22-24-12X DA OK GOI DAO (ExcelFIX)_PALLADIUM-CXXUAT 9.2" xfId="1398"/>
    <cellStyle name="_K-SWISS T11 XUAT 20-11_GIAY LANH T11 LAN 2  DK ROI (ExcelFIX)_GIAY LANH T11 LAN 7 15-12X (ExcelFIX)-old_GIAY LANH T12 LAN 1 22-24-12X DA OK GOI DAO (ExcelFIX)_PALLADIUM-CXXUAT CHUA CO NGAY XUAT" xfId="1399"/>
    <cellStyle name="_K-SWISS T11 XUAT 20-11_GIAY LANH T11 LAN 2  DK ROI (ExcelFIX)_GIAY LANH T11 LAN 7 15-12X (ExcelFIX)-old_GIAY LANH T12 LAN 1 22-24-12X DA OK GOI DAO (ExcelFIX)_SD1502-053,054 XUAT 2.3 (ExcelFIX)" xfId="1400"/>
    <cellStyle name="_K-SWISS T11 XUAT 20-11_GIAY LANH T11 LAN 2  DK ROI (ExcelFIX)_GIAY LANH T11 LAN 7 15-12X (ExcelFIX)-old_GIAY LANH T12 LAN 1 22-24-12X DA OK GOI DAO (ExcelFIX)_SWS1502-155,156,159~166 XUAT 6.3" xfId="1401"/>
    <cellStyle name="_K-SWISS T11 XUAT 20-11_GIAY LANH T11 LAN 2  DK ROI (ExcelFIX)_GIAY LANH T11 LAN 7 15-12X (ExcelFIX)-old_GIAY LANH T12 LAN 1 22-24-12X DA OK GOI DAO (ExcelFIX)_SWS1502-167" xfId="1402"/>
    <cellStyle name="_K-SWISS T11 XUAT 20-11_GIAY LANH T11 LAN 2  DK ROI (ExcelFIX)_GIAY LANH T11 LAN 7 15-12X (ExcelFIX)-old_GIAY LANH T12 LAN 3 XUAT co 78B  22-12" xfId="1403"/>
    <cellStyle name="_K-SWISS T11 XUAT 20-11_GIAY LANH T11 LAN 2  DK ROI (ExcelFIX)_GIAY LANH T11 LAN 7 15-12X (ExcelFIX)-old_GIAY LANH T12 LAN 3 XUAT co 78B  22-12_6.2.15 XUAT" xfId="1404"/>
    <cellStyle name="_K-SWISS T11 XUAT 20-11_GIAY LANH T11 LAN 2  DK ROI (ExcelFIX)_GIAY LANH T11 LAN 7 15-12X (ExcelFIX)-old_GIAY LANH T12 LAN 3 XUAT co 78B  22-12_6.2.15 XUAT_K-SWISS T01 30-1 (ExcelFIX)" xfId="1405"/>
    <cellStyle name="_K-SWISS T11 XUAT 20-11_GIAY LANH T11 LAN 2  DK ROI (ExcelFIX)_GIAY LANH T11 LAN 7 15-12X (ExcelFIX)-old_GIAY LANH T12 LAN 3 XUAT co 78B  22-12_6.2.15 XUAT_K-SWISS T01 DAO LAM MY CAN BANG CHUA XUAT10-2X" xfId="1406"/>
    <cellStyle name="_K-SWISS T11 XUAT 20-11_GIAY LANH T11 LAN 2  DK ROI (ExcelFIX)_GIAY LANH T11 LAN 7 15-12X (ExcelFIX)-old_GIAY LANH T12 LAN 3 XUAT co 78B  22-12_DM CHUA XUAT-23.1.15" xfId="1407"/>
    <cellStyle name="_K-SWISS T11 XUAT 20-11_GIAY LANH T11 LAN 2  DK ROI (ExcelFIX)_GIAY LANH T11 LAN 7 15-12X (ExcelFIX)-old_GIAY LANH T12 LAN 3 XUAT co 78B  22-12_DM CHUA XUAT-23.1.15_K-SWISS T01 30-1 (ExcelFIX)" xfId="1408"/>
    <cellStyle name="_K-SWISS T11 XUAT 20-11_GIAY LANH T11 LAN 2  DK ROI (ExcelFIX)_GIAY LANH T11 LAN 7 15-12X (ExcelFIX)-old_GIAY LANH T12 LAN 3 XUAT co 78B  22-12_DM CHUA XUAT-23.1.15_K-SWISS T01 DAO LAM MY CAN BANG CHUA XUAT10-2X" xfId="1409"/>
    <cellStyle name="_K-SWISS T11 XUAT 20-11_GIAY LANH T11 LAN 2  DK ROI (ExcelFIX)_GIAY LANH T11 LAN 7 15-12X (ExcelFIX)-old_GIAY LANH T12 LAN 3 XUAT co 78B  22-12_KS 6-3X" xfId="1410"/>
    <cellStyle name="_K-SWISS T11 XUAT 20-11_GIAY LANH T11 LAN 2  DK ROI (ExcelFIX)_GIAY LANH T11 LAN 7 15-12X (ExcelFIX)-old_GIAY LANH T12 LAN 3 XUAT co 78B  22-12_K-SWISS 30.1 XUAT" xfId="1411"/>
    <cellStyle name="_K-SWISS T11 XUAT 20-11_GIAY LANH T11 LAN 2  DK ROI (ExcelFIX)_GIAY LANH T11 LAN 7 15-12X (ExcelFIX)-old_GIAY LANH T12 LAN 3 XUAT co 78B  22-12_K-SWISS T01 10-2X (ExcelFIX)" xfId="1412"/>
    <cellStyle name="_K-SWISS T11 XUAT 20-11_GIAY LANH T11 LAN 2  DK ROI (ExcelFIX)_GIAY LANH T11 LAN 7 15-12X (ExcelFIX)-old_GIAY LANH T12 LAN 3 XUAT co 78B  22-12_K-SWISS T01 30-1 (ExcelFIX)" xfId="1413"/>
    <cellStyle name="_K-SWISS T11 XUAT 20-11_GIAY LANH T11 LAN 2  DK ROI (ExcelFIX)_GIAY LANH T11 LAN 7 15-12X (ExcelFIX)-old_GIAY LANH T12 LAN 3 XUAT co 78B  22-12_K-SWISS T01 DAO LAM MY CAN BANG CHUA XUAT10-2X" xfId="1414"/>
    <cellStyle name="_K-SWISS T11 XUAT 20-11_GIAY LANH T11 LAN 2  DK ROI (ExcelFIX)_GIAY LANH T11 LAN 7 15-12X (ExcelFIX)-old_GIAY LANH T12 LAN 3 XUAT co 78B  22-12_K-SWISS T01 LAN 2 DOI XUAT WEAR 2-2X HC OK, M1 OK " xfId="1415"/>
    <cellStyle name="_K-SWISS T11 XUAT 20-11_GIAY LANH T11 LAN 2  DK ROI (ExcelFIX)_GIAY LANH T11 LAN 7 15-12X (ExcelFIX)-old_GIAY LANH T12 LAN 3 XUAT co 78B  22-12_K-SWISS-GIAY LANH T01 19-1X" xfId="1416"/>
    <cellStyle name="_K-SWISS T11 XUAT 20-11_GIAY LANH T11 LAN 2  DK ROI (ExcelFIX)_GIAY LANH T11 LAN 7 15-12X (ExcelFIX)-old_GIAY LANH T12 LAN 3 XUAT co 78B  22-12_SD1502-053,054 XUAT 2.3 (ExcelFIX)" xfId="1417"/>
    <cellStyle name="_K-SWISS T11 XUAT 20-11_GIAY LANH T11 LAN 2  DK ROI (ExcelFIX)_GIAY LANH T11 LAN 7 15-12X (ExcelFIX)-old_GIAY LANH T12 LAN 3 XUAT co 78B  22-12_SWS1502-155,156,159~166 XUAT 6.3" xfId="1418"/>
    <cellStyle name="_K-SWISS T11 XUAT 20-11_GIAY LANH T11 LAN 2  DK ROI (ExcelFIX)_GIAY LANH T11 LAN 7 15-12X (ExcelFIX)-old_GIAY LANH T12 LAN 3 XUAT co 78B  22-12_SWS1502-167" xfId="1419"/>
    <cellStyle name="_K-SWISS T11 XUAT 20-11_GIAY LANH T11 LAN 2  DK ROI (ExcelFIX)_GIAY LANH T11 LAN 7 15-12X (ExcelFIX)-old_GIAY LANH T12-HAP 27-12X" xfId="1420"/>
    <cellStyle name="_K-SWISS T11 XUAT 20-11_GIAY LANH T11 LAN 2  DK ROI (ExcelFIX)_GIAY LANH T11 LAN 7 15-12X (ExcelFIX)-old_GIAY LANH T12-HAP 27-12X_1PALLADIUM T01 XUAT 8.2 (ExcelFIX)" xfId="1421"/>
    <cellStyle name="_K-SWISS T11 XUAT 20-11_GIAY LANH T11 LAN 2  DK ROI (ExcelFIX)_GIAY LANH T11 LAN 7 15-12X (ExcelFIX)-old_GIAY LANH T12-HAP 27-12X_1PALLADIUM T02 XUAT (ExcelFIX)" xfId="1422"/>
    <cellStyle name="_K-SWISS T11 XUAT 20-11_GIAY LANH T11 LAN 2  DK ROI (ExcelFIX)_GIAY LANH T11 LAN 7 15-12X (ExcelFIX)-old_GIAY LANH T12-HAP 27-12X_6.2.15 XUAT" xfId="1423"/>
    <cellStyle name="_K-SWISS T11 XUAT 20-11_GIAY LANH T11 LAN 2  DK ROI (ExcelFIX)_GIAY LANH T11 LAN 7 15-12X (ExcelFIX)-old_GIAY LANH T12-HAP 27-12X_6.2.15 XUAT_K-SWISS T01 30-1 (ExcelFIX)" xfId="1424"/>
    <cellStyle name="_K-SWISS T11 XUAT 20-11_GIAY LANH T11 LAN 2  DK ROI (ExcelFIX)_GIAY LANH T11 LAN 7 15-12X (ExcelFIX)-old_GIAY LANH T12-HAP 27-12X_6.2.15 XUAT_K-SWISS T01 DAO LAM MY CAN BANG CHUA XUAT10-2X" xfId="1425"/>
    <cellStyle name="_K-SWISS T11 XUAT 20-11_GIAY LANH T11 LAN 2  DK ROI (ExcelFIX)_GIAY LANH T11 LAN 7 15-12X (ExcelFIX)-old_GIAY LANH T12-HAP 27-12X_DM CHUA XUAT-23.1.15" xfId="1426"/>
    <cellStyle name="_K-SWISS T11 XUAT 20-11_GIAY LANH T11 LAN 2  DK ROI (ExcelFIX)_GIAY LANH T11 LAN 7 15-12X (ExcelFIX)-old_GIAY LANH T12-HAP 27-12X_DM CHUA XUAT-23.1.15_K-SWISS T01 30-1 (ExcelFIX)" xfId="1427"/>
    <cellStyle name="_K-SWISS T11 XUAT 20-11_GIAY LANH T11 LAN 2  DK ROI (ExcelFIX)_GIAY LANH T11 LAN 7 15-12X (ExcelFIX)-old_GIAY LANH T12-HAP 27-12X_DM CHUA XUAT-23.1.15_K-SWISS T01 DAO LAM MY CAN BANG CHUA XUAT10-2X" xfId="1428"/>
    <cellStyle name="_K-SWISS T11 XUAT 20-11_GIAY LANH T11 LAN 2  DK ROI (ExcelFIX)_GIAY LANH T11 LAN 7 15-12X (ExcelFIX)-old_GIAY LANH T12-HAP 27-12X_KS 6-3X" xfId="1429"/>
    <cellStyle name="_K-SWISS T11 XUAT 20-11_GIAY LANH T11 LAN 2  DK ROI (ExcelFIX)_GIAY LANH T11 LAN 7 15-12X (ExcelFIX)-old_GIAY LANH T12-HAP 27-12X_K-SWISS 30.1 XUAT" xfId="1430"/>
    <cellStyle name="_K-SWISS T11 XUAT 20-11_GIAY LANH T11 LAN 2  DK ROI (ExcelFIX)_GIAY LANH T11 LAN 7 15-12X (ExcelFIX)-old_GIAY LANH T12-HAP 27-12X_K-SWISS T01 10-2X (ExcelFIX)" xfId="1431"/>
    <cellStyle name="_K-SWISS T11 XUAT 20-11_GIAY LANH T11 LAN 2  DK ROI (ExcelFIX)_GIAY LANH T11 LAN 7 15-12X (ExcelFIX)-old_GIAY LANH T12-HAP 27-12X_K-SWISS T01 30-1 (ExcelFIX)" xfId="1432"/>
    <cellStyle name="_K-SWISS T11 XUAT 20-11_GIAY LANH T11 LAN 2  DK ROI (ExcelFIX)_GIAY LANH T11 LAN 7 15-12X (ExcelFIX)-old_GIAY LANH T12-HAP 27-12X_K-SWISS T01 DAO LAM MY CAN BANG CHUA XUAT10-2X" xfId="1433"/>
    <cellStyle name="_K-SWISS T11 XUAT 20-11_GIAY LANH T11 LAN 2  DK ROI (ExcelFIX)_GIAY LANH T11 LAN 7 15-12X (ExcelFIX)-old_GIAY LANH T12-HAP 27-12X_K-SWISS T01 LAN 2 DOI XUAT WEAR 2-2X HC OK, M1 OK " xfId="1434"/>
    <cellStyle name="_K-SWISS T11 XUAT 20-11_GIAY LANH T11 LAN 2  DK ROI (ExcelFIX)_GIAY LANH T11 LAN 7 15-12X (ExcelFIX)-old_GIAY LANH T12-HAP 27-12X_K-SWISS-GIAY LANH T01 19-1X" xfId="1435"/>
    <cellStyle name="_K-SWISS T11 XUAT 20-11_GIAY LANH T11 LAN 2  DK ROI (ExcelFIX)_GIAY LANH T11 LAN 7 15-12X (ExcelFIX)-old_GIAY LANH T12-HAP 27-12X_PALLADIUM T01 XUAT 23.1 LAN 2 (ExcelFIX)" xfId="1436"/>
    <cellStyle name="_K-SWISS T11 XUAT 20-11_GIAY LANH T11 LAN 2  DK ROI (ExcelFIX)_GIAY LANH T11 LAN 7 15-12X (ExcelFIX)-old_GIAY LANH T12-HAP 27-12X_PALLADIUM T01 XUAT 8.2 (ExcelFIX)" xfId="1437"/>
    <cellStyle name="_K-SWISS T11 XUAT 20-11_GIAY LANH T11 LAN 2  DK ROI (ExcelFIX)_GIAY LANH T11 LAN 7 15-12X (ExcelFIX)-old_GIAY LANH T12-HAP 27-12X_PALLADIUM T01xuat 23.1 (ExcelFIX)" xfId="1438"/>
    <cellStyle name="_K-SWISS T11 XUAT 20-11_GIAY LANH T11 LAN 2  DK ROI (ExcelFIX)_GIAY LANH T11 LAN 7 15-12X (ExcelFIX)-old_GIAY LANH T12-HAP 27-12X_PALLADIUM T01xuat 23.1 LAN 1 (ExcelFIX)" xfId="1439"/>
    <cellStyle name="_K-SWISS T11 XUAT 20-11_GIAY LANH T11 LAN 2  DK ROI (ExcelFIX)_GIAY LANH T11 LAN 7 15-12X (ExcelFIX)-old_GIAY LANH T12-HAP 27-12X_PALLADIUM-CXXUAT 6.2" xfId="1440"/>
    <cellStyle name="_K-SWISS T11 XUAT 20-11_GIAY LANH T11 LAN 2  DK ROI (ExcelFIX)_GIAY LANH T11 LAN 7 15-12X (ExcelFIX)-old_GIAY LANH T12-HAP 27-12X_PALLADIUM-CXXUAT 9.2" xfId="1441"/>
    <cellStyle name="_K-SWISS T11 XUAT 20-11_GIAY LANH T11 LAN 2  DK ROI (ExcelFIX)_GIAY LANH T11 LAN 7 15-12X (ExcelFIX)-old_GIAY LANH T12-HAP 27-12X_PALLADIUM-CXXUAT CHUA CO NGAY XUAT" xfId="1442"/>
    <cellStyle name="_K-SWISS T11 XUAT 20-11_GIAY LANH T11 LAN 2  DK ROI (ExcelFIX)_GIAY LANH T11 LAN 7 15-12X (ExcelFIX)-old_GIAY LANH T12-HAP 27-12X_SD1502-053,054 XUAT 2.3 (ExcelFIX)" xfId="1443"/>
    <cellStyle name="_K-SWISS T11 XUAT 20-11_GIAY LANH T11 LAN 2  DK ROI (ExcelFIX)_GIAY LANH T11 LAN 7 15-12X (ExcelFIX)-old_GIAY LANH T12-HAP 27-12X_SWS1502-155,156,159~166 XUAT 6.3" xfId="1444"/>
    <cellStyle name="_K-SWISS T11 XUAT 20-11_GIAY LANH T11 LAN 2  DK ROI (ExcelFIX)_GIAY LANH T11 LAN 7 15-12X (ExcelFIX)-old_GIAY LANH T12-HAP 27-12X_SWS1502-167" xfId="1445"/>
    <cellStyle name="_K-SWISS T11 XUAT 20-11_GIAY LANH T11 LAN 2  DK ROI (ExcelFIX)_GIAY LANH T11 LAN 7 15-12X (ExcelFIX)-old_K-SWISS T12 LAN 2 22-12X (ExcelFIX)" xfId="1446"/>
    <cellStyle name="_K-SWISS T11 XUAT 20-11_GIAY LANH T11 LAN 2  DK ROI (ExcelFIX)_GIAY LANH T11 LAN 7 15-12X (ExcelFIX)-old_K-SWISS T12 LAN 2 22-12X (ExcelFIX)_1PALLADIUM T01 XUAT 8.2 (ExcelFIX)" xfId="1447"/>
    <cellStyle name="_K-SWISS T11 XUAT 20-11_GIAY LANH T11 LAN 2  DK ROI (ExcelFIX)_GIAY LANH T11 LAN 7 15-12X (ExcelFIX)-old_K-SWISS T12 LAN 2 22-12X (ExcelFIX)_1PALLADIUM T02 XUAT (ExcelFIX)" xfId="1448"/>
    <cellStyle name="_K-SWISS T11 XUAT 20-11_GIAY LANH T11 LAN 2  DK ROI (ExcelFIX)_GIAY LANH T11 LAN 7 15-12X (ExcelFIX)-old_K-SWISS T12 LAN 2 22-12X (ExcelFIX)_6.2.15 XUAT" xfId="1449"/>
    <cellStyle name="_K-SWISS T11 XUAT 20-11_GIAY LANH T11 LAN 2  DK ROI (ExcelFIX)_GIAY LANH T11 LAN 7 15-12X (ExcelFIX)-old_K-SWISS T12 LAN 2 22-12X (ExcelFIX)_6.2.15 XUAT_K-SWISS T01 30-1 (ExcelFIX)" xfId="1450"/>
    <cellStyle name="_K-SWISS T11 XUAT 20-11_GIAY LANH T11 LAN 2  DK ROI (ExcelFIX)_GIAY LANH T11 LAN 7 15-12X (ExcelFIX)-old_K-SWISS T12 LAN 2 22-12X (ExcelFIX)_6.2.15 XUAT_K-SWISS T01 DAO LAM MY CAN BANG CHUA XUAT10-2X" xfId="1451"/>
    <cellStyle name="_K-SWISS T11 XUAT 20-11_GIAY LANH T11 LAN 2  DK ROI (ExcelFIX)_GIAY LANH T11 LAN 7 15-12X (ExcelFIX)-old_K-SWISS T12 LAN 2 22-12X (ExcelFIX)_DM CHUA XUAT-23.1.15" xfId="1452"/>
    <cellStyle name="_K-SWISS T11 XUAT 20-11_GIAY LANH T11 LAN 2  DK ROI (ExcelFIX)_GIAY LANH T11 LAN 7 15-12X (ExcelFIX)-old_K-SWISS T12 LAN 2 22-12X (ExcelFIX)_DM CHUA XUAT-23.1.15_K-SWISS T01 30-1 (ExcelFIX)" xfId="1453"/>
    <cellStyle name="_K-SWISS T11 XUAT 20-11_GIAY LANH T11 LAN 2  DK ROI (ExcelFIX)_GIAY LANH T11 LAN 7 15-12X (ExcelFIX)-old_K-SWISS T12 LAN 2 22-12X (ExcelFIX)_DM CHUA XUAT-23.1.15_K-SWISS T01 DAO LAM MY CAN BANG CHUA XUAT10-2X" xfId="1454"/>
    <cellStyle name="_K-SWISS T11 XUAT 20-11_GIAY LANH T11 LAN 2  DK ROI (ExcelFIX)_GIAY LANH T11 LAN 7 15-12X (ExcelFIX)-old_K-SWISS T12 LAN 2 22-12X (ExcelFIX)_KS 6-3X" xfId="1455"/>
    <cellStyle name="_K-SWISS T11 XUAT 20-11_GIAY LANH T11 LAN 2  DK ROI (ExcelFIX)_GIAY LANH T11 LAN 7 15-12X (ExcelFIX)-old_K-SWISS T12 LAN 2 22-12X (ExcelFIX)_K-SWISS 30.1 XUAT" xfId="1456"/>
    <cellStyle name="_K-SWISS T11 XUAT 20-11_GIAY LANH T11 LAN 2  DK ROI (ExcelFIX)_GIAY LANH T11 LAN 7 15-12X (ExcelFIX)-old_K-SWISS T12 LAN 2 22-12X (ExcelFIX)_K-SWISS T01 10-2X (ExcelFIX)" xfId="1457"/>
    <cellStyle name="_K-SWISS T11 XUAT 20-11_GIAY LANH T11 LAN 2  DK ROI (ExcelFIX)_GIAY LANH T11 LAN 7 15-12X (ExcelFIX)-old_K-SWISS T12 LAN 2 22-12X (ExcelFIX)_K-SWISS T01 30-1 (ExcelFIX)" xfId="1458"/>
    <cellStyle name="_K-SWISS T11 XUAT 20-11_GIAY LANH T11 LAN 2  DK ROI (ExcelFIX)_GIAY LANH T11 LAN 7 15-12X (ExcelFIX)-old_K-SWISS T12 LAN 2 22-12X (ExcelFIX)_K-SWISS T01 DAO LAM MY CAN BANG CHUA XUAT10-2X" xfId="1459"/>
    <cellStyle name="_K-SWISS T11 XUAT 20-11_GIAY LANH T11 LAN 2  DK ROI (ExcelFIX)_GIAY LANH T11 LAN 7 15-12X (ExcelFIX)-old_K-SWISS T12 LAN 2 22-12X (ExcelFIX)_K-SWISS T01 LAN 2 DOI XUAT WEAR 2-2X HC OK, M1 OK " xfId="1460"/>
    <cellStyle name="_K-SWISS T11 XUAT 20-11_GIAY LANH T11 LAN 2  DK ROI (ExcelFIX)_GIAY LANH T11 LAN 7 15-12X (ExcelFIX)-old_K-SWISS T12 LAN 2 22-12X (ExcelFIX)_K-SWISS-GIAY LANH T01 19-1X" xfId="1461"/>
    <cellStyle name="_K-SWISS T11 XUAT 20-11_GIAY LANH T11 LAN 2  DK ROI (ExcelFIX)_GIAY LANH T11 LAN 7 15-12X (ExcelFIX)-old_K-SWISS T12 LAN 2 22-12X (ExcelFIX)_PALLADIUM T01 XUAT 23.1 LAN 2 (ExcelFIX)" xfId="1462"/>
    <cellStyle name="_K-SWISS T11 XUAT 20-11_GIAY LANH T11 LAN 2  DK ROI (ExcelFIX)_GIAY LANH T11 LAN 7 15-12X (ExcelFIX)-old_K-SWISS T12 LAN 2 22-12X (ExcelFIX)_PALLADIUM T01 XUAT 8.2 (ExcelFIX)" xfId="1463"/>
    <cellStyle name="_K-SWISS T11 XUAT 20-11_GIAY LANH T11 LAN 2  DK ROI (ExcelFIX)_GIAY LANH T11 LAN 7 15-12X (ExcelFIX)-old_K-SWISS T12 LAN 2 22-12X (ExcelFIX)_PALLADIUM T01xuat 23.1 (ExcelFIX)" xfId="1464"/>
    <cellStyle name="_K-SWISS T11 XUAT 20-11_GIAY LANH T11 LAN 2  DK ROI (ExcelFIX)_GIAY LANH T11 LAN 7 15-12X (ExcelFIX)-old_K-SWISS T12 LAN 2 22-12X (ExcelFIX)_PALLADIUM T01xuat 23.1 LAN 1 (ExcelFIX)" xfId="1465"/>
    <cellStyle name="_K-SWISS T11 XUAT 20-11_GIAY LANH T11 LAN 2  DK ROI (ExcelFIX)_GIAY LANH T11 LAN 7 15-12X (ExcelFIX)-old_K-SWISS T12 LAN 2 22-12X (ExcelFIX)_PALLADIUM-CXXUAT 6.2" xfId="1466"/>
    <cellStyle name="_K-SWISS T11 XUAT 20-11_GIAY LANH T11 LAN 2  DK ROI (ExcelFIX)_GIAY LANH T11 LAN 7 15-12X (ExcelFIX)-old_K-SWISS T12 LAN 2 22-12X (ExcelFIX)_PALLADIUM-CXXUAT 9.2" xfId="1467"/>
    <cellStyle name="_K-SWISS T11 XUAT 20-11_GIAY LANH T11 LAN 2  DK ROI (ExcelFIX)_GIAY LANH T11 LAN 7 15-12X (ExcelFIX)-old_K-SWISS T12 LAN 2 22-12X (ExcelFIX)_PALLADIUM-CXXUAT CHUA CO NGAY XUAT" xfId="1468"/>
    <cellStyle name="_K-SWISS T11 XUAT 20-11_GIAY LANH T11 LAN 2  DK ROI (ExcelFIX)_GIAY LANH T11 LAN 7 15-12X (ExcelFIX)-old_K-SWISS T12 LAN 2 22-12X (ExcelFIX)_SD1502-053,054 XUAT 2.3 (ExcelFIX)" xfId="1469"/>
    <cellStyle name="_K-SWISS T11 XUAT 20-11_GIAY LANH T11 LAN 2  DK ROI (ExcelFIX)_GIAY LANH T11 LAN 7 15-12X (ExcelFIX)-old_K-SWISS T12 LAN 2 22-12X (ExcelFIX)_SWS1502-155,156,159~166 XUAT 6.3" xfId="1470"/>
    <cellStyle name="_K-SWISS T11 XUAT 20-11_GIAY LANH T11 LAN 2  DK ROI (ExcelFIX)_GIAY LANH T11 LAN 7 15-12X (ExcelFIX)-old_K-SWISS T12 LAN 2 22-12X (ExcelFIX)_SWS1502-167" xfId="1471"/>
    <cellStyle name="_K-SWISS T11 XUAT 20-11_GIAY LANH T11 LAN 2  DK ROI (ExcelFIX)_GIAY LANH T11 LAN 7 15-12X (ExcelFIX)-old_SWS1501-129,133,403" xfId="1472"/>
    <cellStyle name="_K-SWISS T11 XUAT 20-11_GIAY LANH T11 LAN 2  DK ROI (ExcelFIX)_GIAY LANH T11 LAN 7 15-12X (ExcelFIX)-old_SWS1501-129,133,403_K-SWISS T01 10-2X (ExcelFIX)" xfId="1473"/>
    <cellStyle name="_K-SWISS T11 XUAT 20-11_GIAY LANH T11 LAN 2  DK ROI (ExcelFIX)_GIAY LANH T11 LAN 7 15-12X (ExcelFIX)-old_SWS1501-130,131,132" xfId="1474"/>
    <cellStyle name="_K-SWISS T11 XUAT 20-11_GIAY LANH T11 LAN 2  DK ROI (ExcelFIX)_GIAY LANH T11 LAN 7 15-12X (ExcelFIX)-old_SWS1501-130,131,132_K-SWISS T01 10-2X (ExcelFIX)" xfId="1475"/>
    <cellStyle name="_K-SWISS T11 XUAT 20-11_GIAY LANH T11 LAN 2  DK ROI (ExcelFIX)_GIAY LANH T11 LAN 7 15-12X (ExcelFIX)-old_SWS1501-135,125,126" xfId="1476"/>
    <cellStyle name="_K-SWISS T11 XUAT 20-11_GIAY LANH T11 LAN 2  DK ROI (ExcelFIX)_GIAY LANH T11 LAN 7 15-12X (ExcelFIX)-old_SWS1501-135,125,126_K-SWISS T01 10-2X (ExcelFIX)" xfId="1477"/>
    <cellStyle name="_K-SWISS T11 XUAT 20-11_GIAY LANH T11 LAN 2  DK ROI (ExcelFIX)_GIAY LANH T11 LAN 8 XUAT 13-12" xfId="1478"/>
    <cellStyle name="_K-SWISS T11 XUAT 20-11_GIAY LANH T11 LAN 2  DK ROI (ExcelFIX)_GIAY LANH T12 CO T11 15-12X  CO T12 (ExcelFIX)-old" xfId="1479"/>
    <cellStyle name="_K-SWISS T11 XUAT 20-11_GIAY LANH T11 LAN 2  DK ROI (ExcelFIX)_GIAY LANH T12 CO T11 15-12X  CO T12 (ExcelFIX)-old_1" xfId="1480"/>
    <cellStyle name="_K-SWISS T11 XUAT 20-11_GIAY LANH T11 LAN 2  DK ROI (ExcelFIX)_GIAY LANH T12 CO T11 15-12X  CO T12 (ExcelFIX)-old_1_6.2.15 XUAT" xfId="1481"/>
    <cellStyle name="_K-SWISS T11 XUAT 20-11_GIAY LANH T11 LAN 2  DK ROI (ExcelFIX)_GIAY LANH T12 CO T11 15-12X  CO T12 (ExcelFIX)-old_1_6.2.15 XUAT_K-SWISS T01 30-1 (ExcelFIX)" xfId="1482"/>
    <cellStyle name="_K-SWISS T11 XUAT 20-11_GIAY LANH T11 LAN 2  DK ROI (ExcelFIX)_GIAY LANH T12 CO T11 15-12X  CO T12 (ExcelFIX)-old_1_6.2.15 XUAT_K-SWISS T01 DAO LAM MY CAN BANG CHUA XUAT10-2X" xfId="1483"/>
    <cellStyle name="_K-SWISS T11 XUAT 20-11_GIAY LANH T11 LAN 2  DK ROI (ExcelFIX)_GIAY LANH T12 CO T11 15-12X  CO T12 (ExcelFIX)-old_1_DM CHUA XUAT-23.1.15" xfId="1484"/>
    <cellStyle name="_K-SWISS T11 XUAT 20-11_GIAY LANH T11 LAN 2  DK ROI (ExcelFIX)_GIAY LANH T12 CO T11 15-12X  CO T12 (ExcelFIX)-old_1_DM CHUA XUAT-23.1.15_K-SWISS T01 30-1 (ExcelFIX)" xfId="1485"/>
    <cellStyle name="_K-SWISS T11 XUAT 20-11_GIAY LANH T11 LAN 2  DK ROI (ExcelFIX)_GIAY LANH T12 CO T11 15-12X  CO T12 (ExcelFIX)-old_1_DM CHUA XUAT-23.1.15_K-SWISS T01 DAO LAM MY CAN BANG CHUA XUAT10-2X" xfId="1486"/>
    <cellStyle name="_K-SWISS T11 XUAT 20-11_GIAY LANH T11 LAN 2  DK ROI (ExcelFIX)_GIAY LANH T12 CO T11 15-12X  CO T12 (ExcelFIX)-old_1_KS 6-3X" xfId="1487"/>
    <cellStyle name="_K-SWISS T11 XUAT 20-11_GIAY LANH T11 LAN 2  DK ROI (ExcelFIX)_GIAY LANH T12 CO T11 15-12X  CO T12 (ExcelFIX)-old_1_K-SWISS 30.1 XUAT" xfId="1488"/>
    <cellStyle name="_K-SWISS T11 XUAT 20-11_GIAY LANH T11 LAN 2  DK ROI (ExcelFIX)_GIAY LANH T12 CO T11 15-12X  CO T12 (ExcelFIX)-old_1_K-SWISS T01 10-2X (ExcelFIX)" xfId="1489"/>
    <cellStyle name="_K-SWISS T11 XUAT 20-11_GIAY LANH T11 LAN 2  DK ROI (ExcelFIX)_GIAY LANH T12 CO T11 15-12X  CO T12 (ExcelFIX)-old_1_K-SWISS T01 30-1 (ExcelFIX)" xfId="1490"/>
    <cellStyle name="_K-SWISS T11 XUAT 20-11_GIAY LANH T11 LAN 2  DK ROI (ExcelFIX)_GIAY LANH T12 CO T11 15-12X  CO T12 (ExcelFIX)-old_1_K-SWISS T01 DAO LAM MY CAN BANG CHUA XUAT10-2X" xfId="1491"/>
    <cellStyle name="_K-SWISS T11 XUAT 20-11_GIAY LANH T11 LAN 2  DK ROI (ExcelFIX)_GIAY LANH T12 CO T11 15-12X  CO T12 (ExcelFIX)-old_1_K-SWISS T01 LAN 2 DOI XUAT WEAR 2-2X HC OK, M1 OK " xfId="1492"/>
    <cellStyle name="_K-SWISS T11 XUAT 20-11_GIAY LANH T11 LAN 2  DK ROI (ExcelFIX)_GIAY LANH T12 CO T11 15-12X  CO T12 (ExcelFIX)-old_1_K-SWISS-GIAY LANH T01 19-1X" xfId="1493"/>
    <cellStyle name="_K-SWISS T11 XUAT 20-11_GIAY LANH T11 LAN 2  DK ROI (ExcelFIX)_GIAY LANH T12 CO T11 15-12X  CO T12 (ExcelFIX)-old_1_SD1502-053,054 XUAT 2.3 (ExcelFIX)" xfId="1494"/>
    <cellStyle name="_K-SWISS T11 XUAT 20-11_GIAY LANH T11 LAN 2  DK ROI (ExcelFIX)_GIAY LANH T12 CO T11 15-12X  CO T12 (ExcelFIX)-old_1_SWS1502-155,156,159~166 XUAT 6.3" xfId="1495"/>
    <cellStyle name="_K-SWISS T11 XUAT 20-11_GIAY LANH T11 LAN 2  DK ROI (ExcelFIX)_GIAY LANH T12 CO T11 15-12X  CO T12 (ExcelFIX)-old_1_SWS1502-167" xfId="1496"/>
    <cellStyle name="_K-SWISS T11 XUAT 20-11_GIAY LANH T11 LAN 2  DK ROI (ExcelFIX)_GIAY LANH T12 CO T11 15-12X  CO T12 (ExcelFIX)-old_DM" xfId="1497"/>
    <cellStyle name="_K-SWISS T11 XUAT 20-11_GIAY LANH T11 LAN 2  DK ROI (ExcelFIX)_GIAY LANH T12 CO T11 15-12X  CO T12 (ExcelFIX)-old_GIAY LANH T12-HAP 27-12X" xfId="1498"/>
    <cellStyle name="_K-SWISS T11 XUAT 20-11_GIAY LANH T11 LAN 2  DK ROI (ExcelFIX)_GIAY LANH T12 CO T11 15-12X  CO T12 (ExcelFIX)-old_GIAY LANH T12-HAP 27-12X_1PALLADIUM T01 XUAT 8.2 (ExcelFIX)" xfId="1499"/>
    <cellStyle name="_K-SWISS T11 XUAT 20-11_GIAY LANH T11 LAN 2  DK ROI (ExcelFIX)_GIAY LANH T12 CO T11 15-12X  CO T12 (ExcelFIX)-old_GIAY LANH T12-HAP 27-12X_1PALLADIUM T02 XUAT (ExcelFIX)" xfId="1500"/>
    <cellStyle name="_K-SWISS T11 XUAT 20-11_GIAY LANH T11 LAN 2  DK ROI (ExcelFIX)_GIAY LANH T12 CO T11 15-12X  CO T12 (ExcelFIX)-old_GIAY LANH T12-HAP 27-12X_6.2.15 XUAT" xfId="1501"/>
    <cellStyle name="_K-SWISS T11 XUAT 20-11_GIAY LANH T11 LAN 2  DK ROI (ExcelFIX)_GIAY LANH T12 CO T11 15-12X  CO T12 (ExcelFIX)-old_GIAY LANH T12-HAP 27-12X_6.2.15 XUAT_K-SWISS T01 30-1 (ExcelFIX)" xfId="1502"/>
    <cellStyle name="_K-SWISS T11 XUAT 20-11_GIAY LANH T11 LAN 2  DK ROI (ExcelFIX)_GIAY LANH T12 CO T11 15-12X  CO T12 (ExcelFIX)-old_GIAY LANH T12-HAP 27-12X_6.2.15 XUAT_K-SWISS T01 DAO LAM MY CAN BANG CHUA XUAT10-2X" xfId="1503"/>
    <cellStyle name="_K-SWISS T11 XUAT 20-11_GIAY LANH T11 LAN 2  DK ROI (ExcelFIX)_GIAY LANH T12 CO T11 15-12X  CO T12 (ExcelFIX)-old_GIAY LANH T12-HAP 27-12X_DM CHUA XUAT-23.1.15" xfId="1504"/>
    <cellStyle name="_K-SWISS T11 XUAT 20-11_GIAY LANH T11 LAN 2  DK ROI (ExcelFIX)_GIAY LANH T12 CO T11 15-12X  CO T12 (ExcelFIX)-old_GIAY LANH T12-HAP 27-12X_DM CHUA XUAT-23.1.15_K-SWISS T01 30-1 (ExcelFIX)" xfId="1505"/>
    <cellStyle name="_K-SWISS T11 XUAT 20-11_GIAY LANH T11 LAN 2  DK ROI (ExcelFIX)_GIAY LANH T12 CO T11 15-12X  CO T12 (ExcelFIX)-old_GIAY LANH T12-HAP 27-12X_DM CHUA XUAT-23.1.15_K-SWISS T01 DAO LAM MY CAN BANG CHUA XUAT10-2X" xfId="1506"/>
    <cellStyle name="_K-SWISS T11 XUAT 20-11_GIAY LANH T11 LAN 2  DK ROI (ExcelFIX)_GIAY LANH T12 CO T11 15-12X  CO T12 (ExcelFIX)-old_GIAY LANH T12-HAP 27-12X_KS 6-3X" xfId="1507"/>
    <cellStyle name="_K-SWISS T11 XUAT 20-11_GIAY LANH T11 LAN 2  DK ROI (ExcelFIX)_GIAY LANH T12 CO T11 15-12X  CO T12 (ExcelFIX)-old_GIAY LANH T12-HAP 27-12X_K-SWISS 30.1 XUAT" xfId="1508"/>
    <cellStyle name="_K-SWISS T11 XUAT 20-11_GIAY LANH T11 LAN 2  DK ROI (ExcelFIX)_GIAY LANH T12 CO T11 15-12X  CO T12 (ExcelFIX)-old_GIAY LANH T12-HAP 27-12X_K-SWISS T01 10-2X (ExcelFIX)" xfId="1509"/>
    <cellStyle name="_K-SWISS T11 XUAT 20-11_GIAY LANH T11 LAN 2  DK ROI (ExcelFIX)_GIAY LANH T12 CO T11 15-12X  CO T12 (ExcelFIX)-old_GIAY LANH T12-HAP 27-12X_K-SWISS T01 30-1 (ExcelFIX)" xfId="1510"/>
    <cellStyle name="_K-SWISS T11 XUAT 20-11_GIAY LANH T11 LAN 2  DK ROI (ExcelFIX)_GIAY LANH T12 CO T11 15-12X  CO T12 (ExcelFIX)-old_GIAY LANH T12-HAP 27-12X_K-SWISS T01 DAO LAM MY CAN BANG CHUA XUAT10-2X" xfId="1511"/>
    <cellStyle name="_K-SWISS T11 XUAT 20-11_GIAY LANH T11 LAN 2  DK ROI (ExcelFIX)_GIAY LANH T12 CO T11 15-12X  CO T12 (ExcelFIX)-old_GIAY LANH T12-HAP 27-12X_K-SWISS T01 LAN 2 DOI XUAT WEAR 2-2X HC OK, M1 OK " xfId="1512"/>
    <cellStyle name="_K-SWISS T11 XUAT 20-11_GIAY LANH T11 LAN 2  DK ROI (ExcelFIX)_GIAY LANH T12 CO T11 15-12X  CO T12 (ExcelFIX)-old_GIAY LANH T12-HAP 27-12X_K-SWISS-GIAY LANH T01 19-1X" xfId="1513"/>
    <cellStyle name="_K-SWISS T11 XUAT 20-11_GIAY LANH T11 LAN 2  DK ROI (ExcelFIX)_GIAY LANH T12 CO T11 15-12X  CO T12 (ExcelFIX)-old_GIAY LANH T12-HAP 27-12X_PALLADIUM T01 XUAT 23.1 LAN 2 (ExcelFIX)" xfId="1514"/>
    <cellStyle name="_K-SWISS T11 XUAT 20-11_GIAY LANH T11 LAN 2  DK ROI (ExcelFIX)_GIAY LANH T12 CO T11 15-12X  CO T12 (ExcelFIX)-old_GIAY LANH T12-HAP 27-12X_PALLADIUM T01 XUAT 8.2 (ExcelFIX)" xfId="1515"/>
    <cellStyle name="_K-SWISS T11 XUAT 20-11_GIAY LANH T11 LAN 2  DK ROI (ExcelFIX)_GIAY LANH T12 CO T11 15-12X  CO T12 (ExcelFIX)-old_GIAY LANH T12-HAP 27-12X_PALLADIUM T01xuat 23.1 (ExcelFIX)" xfId="1516"/>
    <cellStyle name="_K-SWISS T11 XUAT 20-11_GIAY LANH T11 LAN 2  DK ROI (ExcelFIX)_GIAY LANH T12 CO T11 15-12X  CO T12 (ExcelFIX)-old_GIAY LANH T12-HAP 27-12X_PALLADIUM T01xuat 23.1 LAN 1 (ExcelFIX)" xfId="1517"/>
    <cellStyle name="_K-SWISS T11 XUAT 20-11_GIAY LANH T11 LAN 2  DK ROI (ExcelFIX)_GIAY LANH T12 CO T11 15-12X  CO T12 (ExcelFIX)-old_GIAY LANH T12-HAP 27-12X_PALLADIUM-CXXUAT 6.2" xfId="1518"/>
    <cellStyle name="_K-SWISS T11 XUAT 20-11_GIAY LANH T11 LAN 2  DK ROI (ExcelFIX)_GIAY LANH T12 CO T11 15-12X  CO T12 (ExcelFIX)-old_GIAY LANH T12-HAP 27-12X_PALLADIUM-CXXUAT 9.2" xfId="1519"/>
    <cellStyle name="_K-SWISS T11 XUAT 20-11_GIAY LANH T11 LAN 2  DK ROI (ExcelFIX)_GIAY LANH T12 CO T11 15-12X  CO T12 (ExcelFIX)-old_GIAY LANH T12-HAP 27-12X_PALLADIUM-CXXUAT CHUA CO NGAY XUAT" xfId="1520"/>
    <cellStyle name="_K-SWISS T11 XUAT 20-11_GIAY LANH T11 LAN 2  DK ROI (ExcelFIX)_GIAY LANH T12 CO T11 15-12X  CO T12 (ExcelFIX)-old_GIAY LANH T12-HAP 27-12X_SD1502-053,054 XUAT 2.3 (ExcelFIX)" xfId="1521"/>
    <cellStyle name="_K-SWISS T11 XUAT 20-11_GIAY LANH T11 LAN 2  DK ROI (ExcelFIX)_GIAY LANH T12 CO T11 15-12X  CO T12 (ExcelFIX)-old_GIAY LANH T12-HAP 27-12X_SWS1502-155,156,159~166 XUAT 6.3" xfId="1522"/>
    <cellStyle name="_K-SWISS T11 XUAT 20-11_GIAY LANH T11 LAN 2  DK ROI (ExcelFIX)_GIAY LANH T12 CO T11 15-12X  CO T12 (ExcelFIX)-old_GIAY LANH T12-HAP 27-12X_SWS1502-167" xfId="1523"/>
    <cellStyle name="_K-SWISS T11 XUAT 20-11_GIAY LANH T11 LAN 2  DK ROI (ExcelFIX)_GIAY LANH T12 CO T11 15-12X  CO T12 (ExcelFIX)-old_K-SWISS T12 LAN 2 22-12X (ExcelFIX)" xfId="1524"/>
    <cellStyle name="_K-SWISS T11 XUAT 20-11_GIAY LANH T11 LAN 2  DK ROI (ExcelFIX)_GIAY LANH T12 CO T11 15-12X  CO T12 (ExcelFIX)-old_K-SWISS T12 LAN 2 22-12X (ExcelFIX)_1PALLADIUM T01 XUAT 8.2 (ExcelFIX)" xfId="1525"/>
    <cellStyle name="_K-SWISS T11 XUAT 20-11_GIAY LANH T11 LAN 2  DK ROI (ExcelFIX)_GIAY LANH T12 CO T11 15-12X  CO T12 (ExcelFIX)-old_K-SWISS T12 LAN 2 22-12X (ExcelFIX)_1PALLADIUM T02 XUAT (ExcelFIX)" xfId="1526"/>
    <cellStyle name="_K-SWISS T11 XUAT 20-11_GIAY LANH T11 LAN 2  DK ROI (ExcelFIX)_GIAY LANH T12 CO T11 15-12X  CO T12 (ExcelFIX)-old_K-SWISS T12 LAN 2 22-12X (ExcelFIX)_6.2.15 XUAT" xfId="1527"/>
    <cellStyle name="_K-SWISS T11 XUAT 20-11_GIAY LANH T11 LAN 2  DK ROI (ExcelFIX)_GIAY LANH T12 CO T11 15-12X  CO T12 (ExcelFIX)-old_K-SWISS T12 LAN 2 22-12X (ExcelFIX)_6.2.15 XUAT_K-SWISS T01 30-1 (ExcelFIX)" xfId="1528"/>
    <cellStyle name="_K-SWISS T11 XUAT 20-11_GIAY LANH T11 LAN 2  DK ROI (ExcelFIX)_GIAY LANH T12 CO T11 15-12X  CO T12 (ExcelFIX)-old_K-SWISS T12 LAN 2 22-12X (ExcelFIX)_6.2.15 XUAT_K-SWISS T01 DAO LAM MY CAN BANG CHUA XUAT10-2X" xfId="1529"/>
    <cellStyle name="_K-SWISS T11 XUAT 20-11_GIAY LANH T11 LAN 2  DK ROI (ExcelFIX)_GIAY LANH T12 CO T11 15-12X  CO T12 (ExcelFIX)-old_K-SWISS T12 LAN 2 22-12X (ExcelFIX)_DM CHUA XUAT-23.1.15" xfId="1530"/>
    <cellStyle name="_K-SWISS T11 XUAT 20-11_GIAY LANH T11 LAN 2  DK ROI (ExcelFIX)_GIAY LANH T12 CO T11 15-12X  CO T12 (ExcelFIX)-old_K-SWISS T12 LAN 2 22-12X (ExcelFIX)_DM CHUA XUAT-23.1.15_K-SWISS T01 30-1 (ExcelFIX)" xfId="1531"/>
    <cellStyle name="_K-SWISS T11 XUAT 20-11_GIAY LANH T11 LAN 2  DK ROI (ExcelFIX)_GIAY LANH T12 CO T11 15-12X  CO T12 (ExcelFIX)-old_K-SWISS T12 LAN 2 22-12X (ExcelFIX)_DM CHUA XUAT-23.1.15_K-SWISS T01 DAO LAM MY CAN BANG CHUA XUAT10-2X" xfId="1532"/>
    <cellStyle name="_K-SWISS T11 XUAT 20-11_GIAY LANH T11 LAN 2  DK ROI (ExcelFIX)_GIAY LANH T12 CO T11 15-12X  CO T12 (ExcelFIX)-old_K-SWISS T12 LAN 2 22-12X (ExcelFIX)_KS 6-3X" xfId="1533"/>
    <cellStyle name="_K-SWISS T11 XUAT 20-11_GIAY LANH T11 LAN 2  DK ROI (ExcelFIX)_GIAY LANH T12 CO T11 15-12X  CO T12 (ExcelFIX)-old_K-SWISS T12 LAN 2 22-12X (ExcelFIX)_K-SWISS 30.1 XUAT" xfId="1534"/>
    <cellStyle name="_K-SWISS T11 XUAT 20-11_GIAY LANH T11 LAN 2  DK ROI (ExcelFIX)_GIAY LANH T12 CO T11 15-12X  CO T12 (ExcelFIX)-old_K-SWISS T12 LAN 2 22-12X (ExcelFIX)_K-SWISS T01 10-2X (ExcelFIX)" xfId="1535"/>
    <cellStyle name="_K-SWISS T11 XUAT 20-11_GIAY LANH T11 LAN 2  DK ROI (ExcelFIX)_GIAY LANH T12 CO T11 15-12X  CO T12 (ExcelFIX)-old_K-SWISS T12 LAN 2 22-12X (ExcelFIX)_K-SWISS T01 30-1 (ExcelFIX)" xfId="1536"/>
    <cellStyle name="_K-SWISS T11 XUAT 20-11_GIAY LANH T11 LAN 2  DK ROI (ExcelFIX)_GIAY LANH T12 CO T11 15-12X  CO T12 (ExcelFIX)-old_K-SWISS T12 LAN 2 22-12X (ExcelFIX)_K-SWISS T01 DAO LAM MY CAN BANG CHUA XUAT10-2X" xfId="1537"/>
    <cellStyle name="_K-SWISS T11 XUAT 20-11_GIAY LANH T11 LAN 2  DK ROI (ExcelFIX)_GIAY LANH T12 CO T11 15-12X  CO T12 (ExcelFIX)-old_K-SWISS T12 LAN 2 22-12X (ExcelFIX)_K-SWISS T01 LAN 2 DOI XUAT WEAR 2-2X HC OK, M1 OK " xfId="1538"/>
    <cellStyle name="_K-SWISS T11 XUAT 20-11_GIAY LANH T11 LAN 2  DK ROI (ExcelFIX)_GIAY LANH T12 CO T11 15-12X  CO T12 (ExcelFIX)-old_K-SWISS T12 LAN 2 22-12X (ExcelFIX)_K-SWISS-GIAY LANH T01 19-1X" xfId="1539"/>
    <cellStyle name="_K-SWISS T11 XUAT 20-11_GIAY LANH T11 LAN 2  DK ROI (ExcelFIX)_GIAY LANH T12 CO T11 15-12X  CO T12 (ExcelFIX)-old_K-SWISS T12 LAN 2 22-12X (ExcelFIX)_PALLADIUM T01 XUAT 23.1 LAN 2 (ExcelFIX)" xfId="1540"/>
    <cellStyle name="_K-SWISS T11 XUAT 20-11_GIAY LANH T11 LAN 2  DK ROI (ExcelFIX)_GIAY LANH T12 CO T11 15-12X  CO T12 (ExcelFIX)-old_K-SWISS T12 LAN 2 22-12X (ExcelFIX)_PALLADIUM T01 XUAT 8.2 (ExcelFIX)" xfId="1541"/>
    <cellStyle name="_K-SWISS T11 XUAT 20-11_GIAY LANH T11 LAN 2  DK ROI (ExcelFIX)_GIAY LANH T12 CO T11 15-12X  CO T12 (ExcelFIX)-old_K-SWISS T12 LAN 2 22-12X (ExcelFIX)_PALLADIUM T01xuat 23.1 (ExcelFIX)" xfId="1542"/>
    <cellStyle name="_K-SWISS T11 XUAT 20-11_GIAY LANH T11 LAN 2  DK ROI (ExcelFIX)_GIAY LANH T12 CO T11 15-12X  CO T12 (ExcelFIX)-old_K-SWISS T12 LAN 2 22-12X (ExcelFIX)_PALLADIUM T01xuat 23.1 LAN 1 (ExcelFIX)" xfId="1543"/>
    <cellStyle name="_K-SWISS T11 XUAT 20-11_GIAY LANH T11 LAN 2  DK ROI (ExcelFIX)_GIAY LANH T12 CO T11 15-12X  CO T12 (ExcelFIX)-old_K-SWISS T12 LAN 2 22-12X (ExcelFIX)_PALLADIUM-CXXUAT 6.2" xfId="1544"/>
    <cellStyle name="_K-SWISS T11 XUAT 20-11_GIAY LANH T11 LAN 2  DK ROI (ExcelFIX)_GIAY LANH T12 CO T11 15-12X  CO T12 (ExcelFIX)-old_K-SWISS T12 LAN 2 22-12X (ExcelFIX)_PALLADIUM-CXXUAT 9.2" xfId="1545"/>
    <cellStyle name="_K-SWISS T11 XUAT 20-11_GIAY LANH T11 LAN 2  DK ROI (ExcelFIX)_GIAY LANH T12 CO T11 15-12X  CO T12 (ExcelFIX)-old_K-SWISS T12 LAN 2 22-12X (ExcelFIX)_PALLADIUM-CXXUAT CHUA CO NGAY XUAT" xfId="1546"/>
    <cellStyle name="_K-SWISS T11 XUAT 20-11_GIAY LANH T11 LAN 2  DK ROI (ExcelFIX)_GIAY LANH T12 CO T11 15-12X  CO T12 (ExcelFIX)-old_K-SWISS T12 LAN 2 22-12X (ExcelFIX)_SD1502-053,054 XUAT 2.3 (ExcelFIX)" xfId="1547"/>
    <cellStyle name="_K-SWISS T11 XUAT 20-11_GIAY LANH T11 LAN 2  DK ROI (ExcelFIX)_GIAY LANH T12 CO T11 15-12X  CO T12 (ExcelFIX)-old_K-SWISS T12 LAN 2 22-12X (ExcelFIX)_SWS1502-155,156,159~166 XUAT 6.3" xfId="1548"/>
    <cellStyle name="_K-SWISS T11 XUAT 20-11_GIAY LANH T11 LAN 2  DK ROI (ExcelFIX)_GIAY LANH T12 CO T11 15-12X  CO T12 (ExcelFIX)-old_K-SWISS T12 LAN 2 22-12X (ExcelFIX)_SWS1502-167" xfId="1549"/>
    <cellStyle name="_K-SWISS T11 XUAT 20-11_GIAY LANH T11 LAN 2  DK ROI (ExcelFIX)_GIAY LANH T12 LAN 1 22-24-12X (ExcelFIX)" xfId="1550"/>
    <cellStyle name="_K-SWISS T11 XUAT 20-11_GIAY LANH T11 LAN 2  DK ROI (ExcelFIX)_GIAY LANH T12 LAN 1 22-24-12X DA OK GOI (ExcelFIX) (ExcelFIX)" xfId="1551"/>
    <cellStyle name="_K-SWISS T11 XUAT 20-11_GIAY LANH T11 LAN 2  DK ROI (ExcelFIX)_GIAY LANH T12 LAN 1 22-24-12X DA OK GOI DAO (ExcelFIX)" xfId="1552"/>
    <cellStyle name="_K-SWISS T11 XUAT 20-11_GIAY LANH T11 LAN 2  DK ROI (ExcelFIX)_GIAY LANH T12 LAN 2 XUAT 22-24-12  MAT 2 ROI CAN BANG" xfId="1553"/>
    <cellStyle name="_K-SWISS T11 XUAT 20-11_GIAY LANH T11 LAN 2  DK ROI (ExcelFIX)_GIAY LANH T12 LAN 3 XUAT co 78B  22-12" xfId="1554"/>
    <cellStyle name="_K-SWISS T11 XUAT 20-11_GIAY LANH T11 LAN 2  DK ROI (ExcelFIX)_GIAY LANH T12-HAP" xfId="1555"/>
    <cellStyle name="_K-SWISS T11 XUAT 20-11_GIAY LANH T11 LAN 2  DK ROI (ExcelFIX)_GIAY LANH T12-HAP 27-12X" xfId="1556"/>
    <cellStyle name="_K-SWISS T11 XUAT 20-11_GIAY LANH T11 LAN 2  DK ROI (ExcelFIX)_K-SWISS T12 25-12X" xfId="1557"/>
    <cellStyle name="_K-SWISS T11 XUAT 20-11_GIAY LANH T11 LAN 2  DK ROI (ExcelFIX)_K-SWISS T12 25-12X_GIAY LANH T12-HAP 27-12X" xfId="1558"/>
    <cellStyle name="_K-SWISS T11 XUAT 20-11_GIAY LANH T11 LAN 2  DK ROI (ExcelFIX)_K-SWISS T12 25-12X_GIAY LANH T12-HAP 27-12X_1PALLADIUM T01 XUAT 8.2 (ExcelFIX)" xfId="1559"/>
    <cellStyle name="_K-SWISS T11 XUAT 20-11_GIAY LANH T11 LAN 2  DK ROI (ExcelFIX)_K-SWISS T12 25-12X_GIAY LANH T12-HAP 27-12X_1PALLADIUM T02 XUAT (ExcelFIX)" xfId="1560"/>
    <cellStyle name="_K-SWISS T11 XUAT 20-11_GIAY LANH T11 LAN 2  DK ROI (ExcelFIX)_K-SWISS T12 25-12X_GIAY LANH T12-HAP 27-12X_6.2.15 XUAT" xfId="1561"/>
    <cellStyle name="_K-SWISS T11 XUAT 20-11_GIAY LANH T11 LAN 2  DK ROI (ExcelFIX)_K-SWISS T12 25-12X_GIAY LANH T12-HAP 27-12X_6.2.15 XUAT_K-SWISS T01 30-1 (ExcelFIX)" xfId="1562"/>
    <cellStyle name="_K-SWISS T11 XUAT 20-11_GIAY LANH T11 LAN 2  DK ROI (ExcelFIX)_K-SWISS T12 25-12X_GIAY LANH T12-HAP 27-12X_6.2.15 XUAT_K-SWISS T01 DAO LAM MY CAN BANG CHUA XUAT10-2X" xfId="1563"/>
    <cellStyle name="_K-SWISS T11 XUAT 20-11_GIAY LANH T11 LAN 2  DK ROI (ExcelFIX)_K-SWISS T12 25-12X_GIAY LANH T12-HAP 27-12X_DM CHUA XUAT-23.1.15" xfId="1564"/>
    <cellStyle name="_K-SWISS T11 XUAT 20-11_GIAY LANH T11 LAN 2  DK ROI (ExcelFIX)_K-SWISS T12 25-12X_GIAY LANH T12-HAP 27-12X_DM CHUA XUAT-23.1.15_K-SWISS T01 30-1 (ExcelFIX)" xfId="1565"/>
    <cellStyle name="_K-SWISS T11 XUAT 20-11_GIAY LANH T11 LAN 2  DK ROI (ExcelFIX)_K-SWISS T12 25-12X_GIAY LANH T12-HAP 27-12X_DM CHUA XUAT-23.1.15_K-SWISS T01 DAO LAM MY CAN BANG CHUA XUAT10-2X" xfId="1566"/>
    <cellStyle name="_K-SWISS T11 XUAT 20-11_GIAY LANH T11 LAN 2  DK ROI (ExcelFIX)_K-SWISS T12 25-12X_GIAY LANH T12-HAP 27-12X_KS 6-3X" xfId="1567"/>
    <cellStyle name="_K-SWISS T11 XUAT 20-11_GIAY LANH T11 LAN 2  DK ROI (ExcelFIX)_K-SWISS T12 25-12X_GIAY LANH T12-HAP 27-12X_K-SWISS 30.1 XUAT" xfId="1568"/>
    <cellStyle name="_K-SWISS T11 XUAT 20-11_GIAY LANH T11 LAN 2  DK ROI (ExcelFIX)_K-SWISS T12 25-12X_GIAY LANH T12-HAP 27-12X_K-SWISS T01 10-2X (ExcelFIX)" xfId="1569"/>
    <cellStyle name="_K-SWISS T11 XUAT 20-11_GIAY LANH T11 LAN 2  DK ROI (ExcelFIX)_K-SWISS T12 25-12X_GIAY LANH T12-HAP 27-12X_K-SWISS T01 30-1 (ExcelFIX)" xfId="1570"/>
    <cellStyle name="_K-SWISS T11 XUAT 20-11_GIAY LANH T11 LAN 2  DK ROI (ExcelFIX)_K-SWISS T12 25-12X_GIAY LANH T12-HAP 27-12X_K-SWISS T01 DAO LAM MY CAN BANG CHUA XUAT10-2X" xfId="1571"/>
    <cellStyle name="_K-SWISS T11 XUAT 20-11_GIAY LANH T11 LAN 2  DK ROI (ExcelFIX)_K-SWISS T12 25-12X_GIAY LANH T12-HAP 27-12X_K-SWISS T01 LAN 2 DOI XUAT WEAR 2-2X HC OK, M1 OK " xfId="1572"/>
    <cellStyle name="_K-SWISS T11 XUAT 20-11_GIAY LANH T11 LAN 2  DK ROI (ExcelFIX)_K-SWISS T12 25-12X_GIAY LANH T12-HAP 27-12X_K-SWISS-GIAY LANH T01 19-1X" xfId="1573"/>
    <cellStyle name="_K-SWISS T11 XUAT 20-11_GIAY LANH T11 LAN 2  DK ROI (ExcelFIX)_K-SWISS T12 25-12X_GIAY LANH T12-HAP 27-12X_PALLADIUM T01 XUAT 23.1 LAN 2 (ExcelFIX)" xfId="1574"/>
    <cellStyle name="_K-SWISS T11 XUAT 20-11_GIAY LANH T11 LAN 2  DK ROI (ExcelFIX)_K-SWISS T12 25-12X_GIAY LANH T12-HAP 27-12X_PALLADIUM T01 XUAT 8.2 (ExcelFIX)" xfId="1575"/>
    <cellStyle name="_K-SWISS T11 XUAT 20-11_GIAY LANH T11 LAN 2  DK ROI (ExcelFIX)_K-SWISS T12 25-12X_GIAY LANH T12-HAP 27-12X_PALLADIUM T01xuat 23.1 (ExcelFIX)" xfId="1576"/>
    <cellStyle name="_K-SWISS T11 XUAT 20-11_GIAY LANH T11 LAN 2  DK ROI (ExcelFIX)_K-SWISS T12 25-12X_GIAY LANH T12-HAP 27-12X_PALLADIUM T01xuat 23.1 LAN 1 (ExcelFIX)" xfId="1577"/>
    <cellStyle name="_K-SWISS T11 XUAT 20-11_GIAY LANH T11 LAN 2  DK ROI (ExcelFIX)_K-SWISS T12 25-12X_GIAY LANH T12-HAP 27-12X_PALLADIUM-CXXUAT 6.2" xfId="1578"/>
    <cellStyle name="_K-SWISS T11 XUAT 20-11_GIAY LANH T11 LAN 2  DK ROI (ExcelFIX)_K-SWISS T12 25-12X_GIAY LANH T12-HAP 27-12X_PALLADIUM-CXXUAT 9.2" xfId="1579"/>
    <cellStyle name="_K-SWISS T11 XUAT 20-11_GIAY LANH T11 LAN 2  DK ROI (ExcelFIX)_K-SWISS T12 25-12X_GIAY LANH T12-HAP 27-12X_PALLADIUM-CXXUAT CHUA CO NGAY XUAT" xfId="1580"/>
    <cellStyle name="_K-SWISS T11 XUAT 20-11_GIAY LANH T11 LAN 2  DK ROI (ExcelFIX)_K-SWISS T12 25-12X_GIAY LANH T12-HAP 27-12X_SD1502-053,054 XUAT 2.3 (ExcelFIX)" xfId="1581"/>
    <cellStyle name="_K-SWISS T11 XUAT 20-11_GIAY LANH T11 LAN 2  DK ROI (ExcelFIX)_K-SWISS T12 25-12X_GIAY LANH T12-HAP 27-12X_SWS1502-155,156,159~166 XUAT 6.3" xfId="1582"/>
    <cellStyle name="_K-SWISS T11 XUAT 20-11_GIAY LANH T11 LAN 2  DK ROI (ExcelFIX)_K-SWISS T12 25-12X_GIAY LANH T12-HAP 27-12X_SWS1502-167" xfId="1583"/>
    <cellStyle name="_K-SWISS T11 XUAT 20-11_GIAY LANH T11 LAN 2  DK ROI (ExcelFIX)_K-SWISS T12 LAN 1" xfId="1584"/>
    <cellStyle name="_K-SWISS T11 XUAT 20-11_GIAY LANH T11 LAN 2  DK ROI (ExcelFIX)_K-SWISS T12 LAN 1 (ExcelFIX)" xfId="1585"/>
    <cellStyle name="_K-SWISS T11 XUAT 20-11_GIAY LANH T11 LAN 2  DK ROI (ExcelFIX)_K-SWISS T12 LAN 1_GIAY LANH T12-HAP 27-12X" xfId="1586"/>
    <cellStyle name="_K-SWISS T11 XUAT 20-11_GIAY LANH T11 LAN 2  DK ROI (ExcelFIX)_K-SWISS T12 LAN 1_GIAY LANH T12-HAP 27-12X_1PALLADIUM T01 XUAT 8.2 (ExcelFIX)" xfId="1587"/>
    <cellStyle name="_K-SWISS T11 XUAT 20-11_GIAY LANH T11 LAN 2  DK ROI (ExcelFIX)_K-SWISS T12 LAN 1_GIAY LANH T12-HAP 27-12X_1PALLADIUM T02 XUAT (ExcelFIX)" xfId="1588"/>
    <cellStyle name="_K-SWISS T11 XUAT 20-11_GIAY LANH T11 LAN 2  DK ROI (ExcelFIX)_K-SWISS T12 LAN 1_GIAY LANH T12-HAP 27-12X_6.2.15 XUAT" xfId="1589"/>
    <cellStyle name="_K-SWISS T11 XUAT 20-11_GIAY LANH T11 LAN 2  DK ROI (ExcelFIX)_K-SWISS T12 LAN 1_GIAY LANH T12-HAP 27-12X_6.2.15 XUAT_K-SWISS T01 30-1 (ExcelFIX)" xfId="1590"/>
    <cellStyle name="_K-SWISS T11 XUAT 20-11_GIAY LANH T11 LAN 2  DK ROI (ExcelFIX)_K-SWISS T12 LAN 1_GIAY LANH T12-HAP 27-12X_6.2.15 XUAT_K-SWISS T01 DAO LAM MY CAN BANG CHUA XUAT10-2X" xfId="1591"/>
    <cellStyle name="_K-SWISS T11 XUAT 20-11_GIAY LANH T11 LAN 2  DK ROI (ExcelFIX)_K-SWISS T12 LAN 1_GIAY LANH T12-HAP 27-12X_DM CHUA XUAT-23.1.15" xfId="1592"/>
    <cellStyle name="_K-SWISS T11 XUAT 20-11_GIAY LANH T11 LAN 2  DK ROI (ExcelFIX)_K-SWISS T12 LAN 1_GIAY LANH T12-HAP 27-12X_DM CHUA XUAT-23.1.15_K-SWISS T01 30-1 (ExcelFIX)" xfId="1593"/>
    <cellStyle name="_K-SWISS T11 XUAT 20-11_GIAY LANH T11 LAN 2  DK ROI (ExcelFIX)_K-SWISS T12 LAN 1_GIAY LANH T12-HAP 27-12X_DM CHUA XUAT-23.1.15_K-SWISS T01 DAO LAM MY CAN BANG CHUA XUAT10-2X" xfId="1594"/>
    <cellStyle name="_K-SWISS T11 XUAT 20-11_GIAY LANH T11 LAN 2  DK ROI (ExcelFIX)_K-SWISS T12 LAN 1_GIAY LANH T12-HAP 27-12X_KS 6-3X" xfId="1595"/>
    <cellStyle name="_K-SWISS T11 XUAT 20-11_GIAY LANH T11 LAN 2  DK ROI (ExcelFIX)_K-SWISS T12 LAN 1_GIAY LANH T12-HAP 27-12X_K-SWISS 30.1 XUAT" xfId="1596"/>
    <cellStyle name="_K-SWISS T11 XUAT 20-11_GIAY LANH T11 LAN 2  DK ROI (ExcelFIX)_K-SWISS T12 LAN 1_GIAY LANH T12-HAP 27-12X_K-SWISS T01 10-2X (ExcelFIX)" xfId="1597"/>
    <cellStyle name="_K-SWISS T11 XUAT 20-11_GIAY LANH T11 LAN 2  DK ROI (ExcelFIX)_K-SWISS T12 LAN 1_GIAY LANH T12-HAP 27-12X_K-SWISS T01 30-1 (ExcelFIX)" xfId="1598"/>
    <cellStyle name="_K-SWISS T11 XUAT 20-11_GIAY LANH T11 LAN 2  DK ROI (ExcelFIX)_K-SWISS T12 LAN 1_GIAY LANH T12-HAP 27-12X_K-SWISS T01 DAO LAM MY CAN BANG CHUA XUAT10-2X" xfId="1599"/>
    <cellStyle name="_K-SWISS T11 XUAT 20-11_GIAY LANH T11 LAN 2  DK ROI (ExcelFIX)_K-SWISS T12 LAN 1_GIAY LANH T12-HAP 27-12X_K-SWISS T01 LAN 2 DOI XUAT WEAR 2-2X HC OK, M1 OK " xfId="1600"/>
    <cellStyle name="_K-SWISS T11 XUAT 20-11_GIAY LANH T11 LAN 2  DK ROI (ExcelFIX)_K-SWISS T12 LAN 1_GIAY LANH T12-HAP 27-12X_K-SWISS-GIAY LANH T01 19-1X" xfId="1601"/>
    <cellStyle name="_K-SWISS T11 XUAT 20-11_GIAY LANH T11 LAN 2  DK ROI (ExcelFIX)_K-SWISS T12 LAN 1_GIAY LANH T12-HAP 27-12X_PALLADIUM T01 XUAT 23.1 LAN 2 (ExcelFIX)" xfId="1602"/>
    <cellStyle name="_K-SWISS T11 XUAT 20-11_GIAY LANH T11 LAN 2  DK ROI (ExcelFIX)_K-SWISS T12 LAN 1_GIAY LANH T12-HAP 27-12X_PALLADIUM T01 XUAT 8.2 (ExcelFIX)" xfId="1603"/>
    <cellStyle name="_K-SWISS T11 XUAT 20-11_GIAY LANH T11 LAN 2  DK ROI (ExcelFIX)_K-SWISS T12 LAN 1_GIAY LANH T12-HAP 27-12X_PALLADIUM T01xuat 23.1 (ExcelFIX)" xfId="1604"/>
    <cellStyle name="_K-SWISS T11 XUAT 20-11_GIAY LANH T11 LAN 2  DK ROI (ExcelFIX)_K-SWISS T12 LAN 1_GIAY LANH T12-HAP 27-12X_PALLADIUM T01xuat 23.1 LAN 1 (ExcelFIX)" xfId="1605"/>
    <cellStyle name="_K-SWISS T11 XUAT 20-11_GIAY LANH T11 LAN 2  DK ROI (ExcelFIX)_K-SWISS T12 LAN 1_GIAY LANH T12-HAP 27-12X_PALLADIUM-CXXUAT 6.2" xfId="1606"/>
    <cellStyle name="_K-SWISS T11 XUAT 20-11_GIAY LANH T11 LAN 2  DK ROI (ExcelFIX)_K-SWISS T12 LAN 1_GIAY LANH T12-HAP 27-12X_PALLADIUM-CXXUAT 9.2" xfId="1607"/>
    <cellStyle name="_K-SWISS T11 XUAT 20-11_GIAY LANH T11 LAN 2  DK ROI (ExcelFIX)_K-SWISS T12 LAN 1_GIAY LANH T12-HAP 27-12X_PALLADIUM-CXXUAT CHUA CO NGAY XUAT" xfId="1608"/>
    <cellStyle name="_K-SWISS T11 XUAT 20-11_GIAY LANH T11 LAN 2  DK ROI (ExcelFIX)_K-SWISS T12 LAN 1_GIAY LANH T12-HAP 27-12X_SD1502-053,054 XUAT 2.3 (ExcelFIX)" xfId="1609"/>
    <cellStyle name="_K-SWISS T11 XUAT 20-11_GIAY LANH T11 LAN 2  DK ROI (ExcelFIX)_K-SWISS T12 LAN 1_GIAY LANH T12-HAP 27-12X_SWS1502-155,156,159~166 XUAT 6.3" xfId="1610"/>
    <cellStyle name="_K-SWISS T11 XUAT 20-11_GIAY LANH T11 LAN 2  DK ROI (ExcelFIX)_K-SWISS T12 LAN 1_GIAY LANH T12-HAP 27-12X_SWS1502-167" xfId="1611"/>
    <cellStyle name="_K-SWISS T11 XUAT 20-11_GIAY LANH T11 LAN 2  DK ROI (ExcelFIX)_K-SWISS T12 LAN 1HC 20-12 X OK ROI(ExcelFIX)" xfId="1612"/>
    <cellStyle name="_K-SWISS T11 XUAT 20-11_GIAY LANH T11 LAN 2  DK ROI (ExcelFIX)_K-SWISS T12 LAN 1HC 20-12 X OK ROI(ExcelFIX)CC" xfId="1613"/>
    <cellStyle name="_K-SWISS T11 XUAT 20-11_GIAY LANH T11 LAN 2  DK ROI (ExcelFIX)_K-SWISS T12 LAN 2 22-12X (ExcelFIX)" xfId="1614"/>
    <cellStyle name="_K-SWISS T11 XUAT 20-11_GIAY LANH T11 LAN 2  DK ROI (ExcelFIX)_K-SWISS T12 LAN 2 22-12X (ExcelFIX)_03345" xfId="1615"/>
    <cellStyle name="_K-SWISS T11 XUAT 20-11_GIAY LANH T11 LAN 2  DK ROI (ExcelFIX)_K-SWISS T12 LAN 2 22-12X (ExcelFIX)_1" xfId="1616"/>
    <cellStyle name="_K-SWISS T11 XUAT 20-11_GIAY LANH T11 LAN 2  DK ROI (ExcelFIX)_K-SWISS T12 LAN 2 22-12X (ExcelFIX)_1_1PALLADIUM T01 XUAT 8.2 (ExcelFIX)" xfId="1617"/>
    <cellStyle name="_K-SWISS T11 XUAT 20-11_GIAY LANH T11 LAN 2  DK ROI (ExcelFIX)_K-SWISS T12 LAN 2 22-12X (ExcelFIX)_1_1PALLADIUM T02 XUAT (ExcelFIX)" xfId="1618"/>
    <cellStyle name="_K-SWISS T11 XUAT 20-11_GIAY LANH T11 LAN 2  DK ROI (ExcelFIX)_K-SWISS T12 LAN 2 22-12X (ExcelFIX)_1_6.2.15 XUAT" xfId="1619"/>
    <cellStyle name="_K-SWISS T11 XUAT 20-11_GIAY LANH T11 LAN 2  DK ROI (ExcelFIX)_K-SWISS T12 LAN 2 22-12X (ExcelFIX)_1_6.2.15 XUAT_K-SWISS T01 30-1 (ExcelFIX)" xfId="1620"/>
    <cellStyle name="_K-SWISS T11 XUAT 20-11_GIAY LANH T11 LAN 2  DK ROI (ExcelFIX)_K-SWISS T12 LAN 2 22-12X (ExcelFIX)_1_6.2.15 XUAT_K-SWISS T01 DAO LAM MY CAN BANG CHUA XUAT10-2X" xfId="1621"/>
    <cellStyle name="_K-SWISS T11 XUAT 20-11_GIAY LANH T11 LAN 2  DK ROI (ExcelFIX)_K-SWISS T12 LAN 2 22-12X (ExcelFIX)_1_DM CHUA XUAT-23.1.15" xfId="1622"/>
    <cellStyle name="_K-SWISS T11 XUAT 20-11_GIAY LANH T11 LAN 2  DK ROI (ExcelFIX)_K-SWISS T12 LAN 2 22-12X (ExcelFIX)_1_DM CHUA XUAT-23.1.15_K-SWISS T01 30-1 (ExcelFIX)" xfId="1623"/>
    <cellStyle name="_K-SWISS T11 XUAT 20-11_GIAY LANH T11 LAN 2  DK ROI (ExcelFIX)_K-SWISS T12 LAN 2 22-12X (ExcelFIX)_1_DM CHUA XUAT-23.1.15_K-SWISS T01 DAO LAM MY CAN BANG CHUA XUAT10-2X" xfId="1624"/>
    <cellStyle name="_K-SWISS T11 XUAT 20-11_GIAY LANH T11 LAN 2  DK ROI (ExcelFIX)_K-SWISS T12 LAN 2 22-12X (ExcelFIX)_1_KS 6-3X" xfId="1625"/>
    <cellStyle name="_K-SWISS T11 XUAT 20-11_GIAY LANH T11 LAN 2  DK ROI (ExcelFIX)_K-SWISS T12 LAN 2 22-12X (ExcelFIX)_1_K-SWISS 30.1 XUAT" xfId="1626"/>
    <cellStyle name="_K-SWISS T11 XUAT 20-11_GIAY LANH T11 LAN 2  DK ROI (ExcelFIX)_K-SWISS T12 LAN 2 22-12X (ExcelFIX)_1_K-SWISS T01 10-2X (ExcelFIX)" xfId="1627"/>
    <cellStyle name="_K-SWISS T11 XUAT 20-11_GIAY LANH T11 LAN 2  DK ROI (ExcelFIX)_K-SWISS T12 LAN 2 22-12X (ExcelFIX)_1_K-SWISS T01 30-1 (ExcelFIX)" xfId="1628"/>
    <cellStyle name="_K-SWISS T11 XUAT 20-11_GIAY LANH T11 LAN 2  DK ROI (ExcelFIX)_K-SWISS T12 LAN 2 22-12X (ExcelFIX)_1_K-SWISS T01 DAO LAM MY CAN BANG CHUA XUAT10-2X" xfId="1629"/>
    <cellStyle name="_K-SWISS T11 XUAT 20-11_GIAY LANH T11 LAN 2  DK ROI (ExcelFIX)_K-SWISS T12 LAN 2 22-12X (ExcelFIX)_1_K-SWISS T01 LAN 2 DOI XUAT WEAR 2-2X HC OK, M1 OK " xfId="1630"/>
    <cellStyle name="_K-SWISS T11 XUAT 20-11_GIAY LANH T11 LAN 2  DK ROI (ExcelFIX)_K-SWISS T12 LAN 2 22-12X (ExcelFIX)_1_K-SWISS-GIAY LANH T01 19-1X" xfId="1631"/>
    <cellStyle name="_K-SWISS T11 XUAT 20-11_GIAY LANH T11 LAN 2  DK ROI (ExcelFIX)_K-SWISS T12 LAN 2 22-12X (ExcelFIX)_1_PALLADIUM T01 XUAT 23.1 LAN 2 (ExcelFIX)" xfId="1632"/>
    <cellStyle name="_K-SWISS T11 XUAT 20-11_GIAY LANH T11 LAN 2  DK ROI (ExcelFIX)_K-SWISS T12 LAN 2 22-12X (ExcelFIX)_1_PALLADIUM T01 XUAT 8.2 (ExcelFIX)" xfId="1633"/>
    <cellStyle name="_K-SWISS T11 XUAT 20-11_GIAY LANH T11 LAN 2  DK ROI (ExcelFIX)_K-SWISS T12 LAN 2 22-12X (ExcelFIX)_1_PALLADIUM T01xuat 23.1 (ExcelFIX)" xfId="1634"/>
    <cellStyle name="_K-SWISS T11 XUAT 20-11_GIAY LANH T11 LAN 2  DK ROI (ExcelFIX)_K-SWISS T12 LAN 2 22-12X (ExcelFIX)_1_PALLADIUM T01xuat 23.1 LAN 1 (ExcelFIX)" xfId="1635"/>
    <cellStyle name="_K-SWISS T11 XUAT 20-11_GIAY LANH T11 LAN 2  DK ROI (ExcelFIX)_K-SWISS T12 LAN 2 22-12X (ExcelFIX)_1_PALLADIUM-CXXUAT 6.2" xfId="1636"/>
    <cellStyle name="_K-SWISS T11 XUAT 20-11_GIAY LANH T11 LAN 2  DK ROI (ExcelFIX)_K-SWISS T12 LAN 2 22-12X (ExcelFIX)_1_PALLADIUM-CXXUAT 9.2" xfId="1637"/>
    <cellStyle name="_K-SWISS T11 XUAT 20-11_GIAY LANH T11 LAN 2  DK ROI (ExcelFIX)_K-SWISS T12 LAN 2 22-12X (ExcelFIX)_1_PALLADIUM-CXXUAT CHUA CO NGAY XUAT" xfId="1638"/>
    <cellStyle name="_K-SWISS T11 XUAT 20-11_GIAY LANH T11 LAN 2  DK ROI (ExcelFIX)_K-SWISS T12 LAN 2 22-12X (ExcelFIX)_1_SD1502-053,054 XUAT 2.3 (ExcelFIX)" xfId="1639"/>
    <cellStyle name="_K-SWISS T11 XUAT 20-11_GIAY LANH T11 LAN 2  DK ROI (ExcelFIX)_K-SWISS T12 LAN 2 22-12X (ExcelFIX)_1_SWS1502-155,156,159~166 XUAT 6.3" xfId="1640"/>
    <cellStyle name="_K-SWISS T11 XUAT 20-11_GIAY LANH T11 LAN 2  DK ROI (ExcelFIX)_K-SWISS T12 LAN 2 22-12X (ExcelFIX)_1_SWS1502-167" xfId="1641"/>
    <cellStyle name="_K-SWISS T11 XUAT 20-11_GIAY LANH T11 LAN 2  DK ROI (ExcelFIX)_K-SWISS T12 LAN 2 22-12X (ExcelFIX)_DM" xfId="1642"/>
    <cellStyle name="_K-SWISS T11 XUAT 20-11_GIAY LANH T11 LAN 2  DK ROI (ExcelFIX)_K-SWISS T12 LAN 2 22-12X (ExcelFIX)_GIAY LANH T12 LAN 2 XUAT 22-24-12  MAT 2 ROI CAN BANG" xfId="1643"/>
    <cellStyle name="_K-SWISS T11 XUAT 20-11_GIAY LANH T11 LAN 2  DK ROI (ExcelFIX)_K-SWISS T12 LAN 2 22-12X (ExcelFIX)_GIAY LANH T12 LAN 2 XUAT 22-24-12  MAT 2 ROI CAN BANG_KS 6-3X" xfId="1644"/>
    <cellStyle name="_K-SWISS T11 XUAT 20-11_GIAY LANH T11 LAN 2  DK ROI (ExcelFIX)_K-SWISS T12 LAN 2 22-12X (ExcelFIX)_GIAY LANH T12 LAN 2 XUAT 22-24-12  MAT 2 ROI CAN BANG_K-SWISS T01 10-2X (ExcelFIX)" xfId="1645"/>
    <cellStyle name="_K-SWISS T11 XUAT 20-11_GIAY LANH T11 LAN 2  DK ROI (ExcelFIX)_K-SWISS T12 LAN 2 22-12X (ExcelFIX)_GIAY LANH T12 LAN 2 XUAT 22-24-12  MAT 2 ROI CAN BANG_K-SWISS T01 30-1 (ExcelFIX)" xfId="1646"/>
    <cellStyle name="_K-SWISS T11 XUAT 20-11_GIAY LANH T11 LAN 2  DK ROI (ExcelFIX)_K-SWISS T12 LAN 2 22-12X (ExcelFIX)_GIAY LANH T12 LAN 2 XUAT 22-24-12  MAT 2 ROI CAN BANG_K-SWISS T01 DAO LAM MY CAN BANG CHUA XUAT10-2X" xfId="1647"/>
    <cellStyle name="_K-SWISS T11 XUAT 20-11_GIAY LANH T11 LAN 2  DK ROI (ExcelFIX)_K-SWISS T12 LAN 2 22-12X (ExcelFIX)_GIAY LANH T12 LAN 2 XUAT 22-24-12  MAT 2 ROI CAN BANG_K-SWISS T01 LAN 2 DOI XUAT WEAR 2-2X HC OK, M1 OK " xfId="1648"/>
    <cellStyle name="_K-SWISS T11 XUAT 20-11_GIAY LANH T11 LAN 2  DK ROI (ExcelFIX)_K-SWISS T12 LAN 2 22-12X (ExcelFIX)_GIAY LANH T12 LAN 2 XUAT 22-24-12  MAT 2 ROI CAN BANG_SD1502-053,054 XUAT 2.3 (ExcelFIX)" xfId="1649"/>
    <cellStyle name="_K-SWISS T11 XUAT 20-11_GIAY LANH T11 LAN 2  DK ROI (ExcelFIX)_K-SWISS T12 LAN 2 22-12X (ExcelFIX)_GIAY LANH T12 LAN 2 XUAT 22-24-12  MAT 2 ROI CAN BANG_SWS1502-155,156,159~166 XUAT 6.3" xfId="1650"/>
    <cellStyle name="_K-SWISS T11 XUAT 20-11_GIAY LANH T11 LAN 2  DK ROI (ExcelFIX)_K-SWISS T12 LAN 2 22-12X (ExcelFIX)_GIAY LANH T12-HAP 27-12X" xfId="1651"/>
    <cellStyle name="_K-SWISS T11 XUAT 20-11_GIAY LANH T11 LAN 2  DK ROI (ExcelFIX)_K-SWISS T12 LAN 2 22-12X (ExcelFIX)_GIAY LANH T12-HAP 27-12X_1PALLADIUM T01 XUAT 8.2 (ExcelFIX)" xfId="1652"/>
    <cellStyle name="_K-SWISS T11 XUAT 20-11_GIAY LANH T11 LAN 2  DK ROI (ExcelFIX)_K-SWISS T12 LAN 2 22-12X (ExcelFIX)_GIAY LANH T12-HAP 27-12X_1PALLADIUM T02 XUAT (ExcelFIX)" xfId="1653"/>
    <cellStyle name="_K-SWISS T11 XUAT 20-11_GIAY LANH T11 LAN 2  DK ROI (ExcelFIX)_K-SWISS T12 LAN 2 22-12X (ExcelFIX)_GIAY LANH T12-HAP 27-12X_6.2.15 XUAT" xfId="1654"/>
    <cellStyle name="_K-SWISS T11 XUAT 20-11_GIAY LANH T11 LAN 2  DK ROI (ExcelFIX)_K-SWISS T12 LAN 2 22-12X (ExcelFIX)_GIAY LANH T12-HAP 27-12X_6.2.15 XUAT_K-SWISS T01 30-1 (ExcelFIX)" xfId="1655"/>
    <cellStyle name="_K-SWISS T11 XUAT 20-11_GIAY LANH T11 LAN 2  DK ROI (ExcelFIX)_K-SWISS T12 LAN 2 22-12X (ExcelFIX)_GIAY LANH T12-HAP 27-12X_6.2.15 XUAT_K-SWISS T01 DAO LAM MY CAN BANG CHUA XUAT10-2X" xfId="1656"/>
    <cellStyle name="_K-SWISS T11 XUAT 20-11_GIAY LANH T11 LAN 2  DK ROI (ExcelFIX)_K-SWISS T12 LAN 2 22-12X (ExcelFIX)_GIAY LANH T12-HAP 27-12X_DM CHUA XUAT-23.1.15" xfId="1657"/>
    <cellStyle name="_K-SWISS T11 XUAT 20-11_GIAY LANH T11 LAN 2  DK ROI (ExcelFIX)_K-SWISS T12 LAN 2 22-12X (ExcelFIX)_GIAY LANH T12-HAP 27-12X_DM CHUA XUAT-23.1.15_K-SWISS T01 30-1 (ExcelFIX)" xfId="1658"/>
    <cellStyle name="_K-SWISS T11 XUAT 20-11_GIAY LANH T11 LAN 2  DK ROI (ExcelFIX)_K-SWISS T12 LAN 2 22-12X (ExcelFIX)_GIAY LANH T12-HAP 27-12X_DM CHUA XUAT-23.1.15_K-SWISS T01 DAO LAM MY CAN BANG CHUA XUAT10-2X" xfId="1659"/>
    <cellStyle name="_K-SWISS T11 XUAT 20-11_GIAY LANH T11 LAN 2  DK ROI (ExcelFIX)_K-SWISS T12 LAN 2 22-12X (ExcelFIX)_GIAY LANH T12-HAP 27-12X_KS 6-3X" xfId="1660"/>
    <cellStyle name="_K-SWISS T11 XUAT 20-11_GIAY LANH T11 LAN 2  DK ROI (ExcelFIX)_K-SWISS T12 LAN 2 22-12X (ExcelFIX)_GIAY LANH T12-HAP 27-12X_K-SWISS 30.1 XUAT" xfId="1661"/>
    <cellStyle name="_K-SWISS T11 XUAT 20-11_GIAY LANH T11 LAN 2  DK ROI (ExcelFIX)_K-SWISS T12 LAN 2 22-12X (ExcelFIX)_GIAY LANH T12-HAP 27-12X_K-SWISS T01 10-2X (ExcelFIX)" xfId="1662"/>
    <cellStyle name="_K-SWISS T11 XUAT 20-11_GIAY LANH T11 LAN 2  DK ROI (ExcelFIX)_K-SWISS T12 LAN 2 22-12X (ExcelFIX)_GIAY LANH T12-HAP 27-12X_K-SWISS T01 30-1 (ExcelFIX)" xfId="1663"/>
    <cellStyle name="_K-SWISS T11 XUAT 20-11_GIAY LANH T11 LAN 2  DK ROI (ExcelFIX)_K-SWISS T12 LAN 2 22-12X (ExcelFIX)_GIAY LANH T12-HAP 27-12X_K-SWISS T01 DAO LAM MY CAN BANG CHUA XUAT10-2X" xfId="1664"/>
    <cellStyle name="_K-SWISS T11 XUAT 20-11_GIAY LANH T11 LAN 2  DK ROI (ExcelFIX)_K-SWISS T12 LAN 2 22-12X (ExcelFIX)_GIAY LANH T12-HAP 27-12X_K-SWISS T01 LAN 2 DOI XUAT WEAR 2-2X HC OK, M1 OK " xfId="1665"/>
    <cellStyle name="_K-SWISS T11 XUAT 20-11_GIAY LANH T11 LAN 2  DK ROI (ExcelFIX)_K-SWISS T12 LAN 2 22-12X (ExcelFIX)_GIAY LANH T12-HAP 27-12X_K-SWISS-GIAY LANH T01 19-1X" xfId="1666"/>
    <cellStyle name="_K-SWISS T11 XUAT 20-11_GIAY LANH T11 LAN 2  DK ROI (ExcelFIX)_K-SWISS T12 LAN 2 22-12X (ExcelFIX)_GIAY LANH T12-HAP 27-12X_PALLADIUM T01 XUAT 23.1 LAN 2 (ExcelFIX)" xfId="1667"/>
    <cellStyle name="_K-SWISS T11 XUAT 20-11_GIAY LANH T11 LAN 2  DK ROI (ExcelFIX)_K-SWISS T12 LAN 2 22-12X (ExcelFIX)_GIAY LANH T12-HAP 27-12X_PALLADIUM T01 XUAT 8.2 (ExcelFIX)" xfId="1668"/>
    <cellStyle name="_K-SWISS T11 XUAT 20-11_GIAY LANH T11 LAN 2  DK ROI (ExcelFIX)_K-SWISS T12 LAN 2 22-12X (ExcelFIX)_GIAY LANH T12-HAP 27-12X_PALLADIUM T01xuat 23.1 (ExcelFIX)" xfId="1669"/>
    <cellStyle name="_K-SWISS T11 XUAT 20-11_GIAY LANH T11 LAN 2  DK ROI (ExcelFIX)_K-SWISS T12 LAN 2 22-12X (ExcelFIX)_GIAY LANH T12-HAP 27-12X_PALLADIUM T01xuat 23.1 LAN 1 (ExcelFIX)" xfId="1670"/>
    <cellStyle name="_K-SWISS T11 XUAT 20-11_GIAY LANH T11 LAN 2  DK ROI (ExcelFIX)_K-SWISS T12 LAN 2 22-12X (ExcelFIX)_GIAY LANH T12-HAP 27-12X_PALLADIUM-CXXUAT 6.2" xfId="1671"/>
    <cellStyle name="_K-SWISS T11 XUAT 20-11_GIAY LANH T11 LAN 2  DK ROI (ExcelFIX)_K-SWISS T12 LAN 2 22-12X (ExcelFIX)_GIAY LANH T12-HAP 27-12X_PALLADIUM-CXXUAT 9.2" xfId="1672"/>
    <cellStyle name="_K-SWISS T11 XUAT 20-11_GIAY LANH T11 LAN 2  DK ROI (ExcelFIX)_K-SWISS T12 LAN 2 22-12X (ExcelFIX)_GIAY LANH T12-HAP 27-12X_PALLADIUM-CXXUAT CHUA CO NGAY XUAT" xfId="1673"/>
    <cellStyle name="_K-SWISS T11 XUAT 20-11_GIAY LANH T11 LAN 2  DK ROI (ExcelFIX)_K-SWISS T12 LAN 2 22-12X (ExcelFIX)_GIAY LANH T12-HAP 27-12X_SD1502-053,054 XUAT 2.3 (ExcelFIX)" xfId="1674"/>
    <cellStyle name="_K-SWISS T11 XUAT 20-11_GIAY LANH T11 LAN 2  DK ROI (ExcelFIX)_K-SWISS T12 LAN 2 22-12X (ExcelFIX)_GIAY LANH T12-HAP 27-12X_SWS1502-155,156,159~166 XUAT 6.3" xfId="1675"/>
    <cellStyle name="_K-SWISS T11 XUAT 20-11_GIAY LANH T11 LAN 2  DK ROI (ExcelFIX)_K-SWISS T12 LAN 2 22-12X (ExcelFIX)_GIAY LANH T12-HAP 27-12X_SWS1502-167" xfId="1676"/>
    <cellStyle name="_K-SWISS T11 XUAT 20-11_GIAY LANH T11 LAN 2  DK ROI (ExcelFIX)_K-SWISS T12 LAN 2 22-12X (ExcelFIX)_K-SWISS T12 LAN 2 22-12X (ExcelFIX)" xfId="1677"/>
    <cellStyle name="_K-SWISS T11 XUAT 20-11_GIAY LANH T11 LAN 2  DK ROI (ExcelFIX)_K-SWISS T12 LAN 2 22-12X (ExcelFIX)_K-SWISS T12 LAN 2 22-12X (ExcelFIX)_1PALLADIUM T01 XUAT 8.2 (ExcelFIX)" xfId="1678"/>
    <cellStyle name="_K-SWISS T11 XUAT 20-11_GIAY LANH T11 LAN 2  DK ROI (ExcelFIX)_K-SWISS T12 LAN 2 22-12X (ExcelFIX)_K-SWISS T12 LAN 2 22-12X (ExcelFIX)_1PALLADIUM T02 XUAT (ExcelFIX)" xfId="1679"/>
    <cellStyle name="_K-SWISS T11 XUAT 20-11_GIAY LANH T11 LAN 2  DK ROI (ExcelFIX)_K-SWISS T12 LAN 2 22-12X (ExcelFIX)_K-SWISS T12 LAN 2 22-12X (ExcelFIX)_6.2.15 XUAT" xfId="1680"/>
    <cellStyle name="_K-SWISS T11 XUAT 20-11_GIAY LANH T11 LAN 2  DK ROI (ExcelFIX)_K-SWISS T12 LAN 2 22-12X (ExcelFIX)_K-SWISS T12 LAN 2 22-12X (ExcelFIX)_6.2.15 XUAT_K-SWISS T01 30-1 (ExcelFIX)" xfId="1681"/>
    <cellStyle name="_K-SWISS T11 XUAT 20-11_GIAY LANH T11 LAN 2  DK ROI (ExcelFIX)_K-SWISS T12 LAN 2 22-12X (ExcelFIX)_K-SWISS T12 LAN 2 22-12X (ExcelFIX)_6.2.15 XUAT_K-SWISS T01 DAO LAM MY CAN BANG CHUA XUAT10-2X" xfId="1682"/>
    <cellStyle name="_K-SWISS T11 XUAT 20-11_GIAY LANH T11 LAN 2  DK ROI (ExcelFIX)_K-SWISS T12 LAN 2 22-12X (ExcelFIX)_K-SWISS T12 LAN 2 22-12X (ExcelFIX)_DM CHUA XUAT-23.1.15" xfId="1683"/>
    <cellStyle name="_K-SWISS T11 XUAT 20-11_GIAY LANH T11 LAN 2  DK ROI (ExcelFIX)_K-SWISS T12 LAN 2 22-12X (ExcelFIX)_K-SWISS T12 LAN 2 22-12X (ExcelFIX)_DM CHUA XUAT-23.1.15_K-SWISS T01 30-1 (ExcelFIX)" xfId="1684"/>
    <cellStyle name="_K-SWISS T11 XUAT 20-11_GIAY LANH T11 LAN 2  DK ROI (ExcelFIX)_K-SWISS T12 LAN 2 22-12X (ExcelFIX)_K-SWISS T12 LAN 2 22-12X (ExcelFIX)_DM CHUA XUAT-23.1.15_K-SWISS T01 DAO LAM MY CAN BANG CHUA XUAT10-2X" xfId="1685"/>
    <cellStyle name="_K-SWISS T11 XUAT 20-11_GIAY LANH T11 LAN 2  DK ROI (ExcelFIX)_K-SWISS T12 LAN 2 22-12X (ExcelFIX)_K-SWISS T12 LAN 2 22-12X (ExcelFIX)_KS 6-3X" xfId="1686"/>
    <cellStyle name="_K-SWISS T11 XUAT 20-11_GIAY LANH T11 LAN 2  DK ROI (ExcelFIX)_K-SWISS T12 LAN 2 22-12X (ExcelFIX)_K-SWISS T12 LAN 2 22-12X (ExcelFIX)_K-SWISS 30.1 XUAT" xfId="1687"/>
    <cellStyle name="_K-SWISS T11 XUAT 20-11_GIAY LANH T11 LAN 2  DK ROI (ExcelFIX)_K-SWISS T12 LAN 2 22-12X (ExcelFIX)_K-SWISS T12 LAN 2 22-12X (ExcelFIX)_K-SWISS T01 10-2X (ExcelFIX)" xfId="1688"/>
    <cellStyle name="_K-SWISS T11 XUAT 20-11_GIAY LANH T11 LAN 2  DK ROI (ExcelFIX)_K-SWISS T12 LAN 2 22-12X (ExcelFIX)_K-SWISS T12 LAN 2 22-12X (ExcelFIX)_K-SWISS T01 30-1 (ExcelFIX)" xfId="1689"/>
    <cellStyle name="_K-SWISS T11 XUAT 20-11_GIAY LANH T11 LAN 2  DK ROI (ExcelFIX)_K-SWISS T12 LAN 2 22-12X (ExcelFIX)_K-SWISS T12 LAN 2 22-12X (ExcelFIX)_K-SWISS T01 DAO LAM MY CAN BANG CHUA XUAT10-2X" xfId="1690"/>
    <cellStyle name="_K-SWISS T11 XUAT 20-11_GIAY LANH T11 LAN 2  DK ROI (ExcelFIX)_K-SWISS T12 LAN 2 22-12X (ExcelFIX)_K-SWISS T12 LAN 2 22-12X (ExcelFIX)_K-SWISS T01 LAN 2 DOI XUAT WEAR 2-2X HC OK, M1 OK " xfId="1691"/>
    <cellStyle name="_K-SWISS T11 XUAT 20-11_GIAY LANH T11 LAN 2  DK ROI (ExcelFIX)_K-SWISS T12 LAN 2 22-12X (ExcelFIX)_K-SWISS T12 LAN 2 22-12X (ExcelFIX)_K-SWISS-GIAY LANH T01 19-1X" xfId="1692"/>
    <cellStyle name="_K-SWISS T11 XUAT 20-11_GIAY LANH T11 LAN 2  DK ROI (ExcelFIX)_K-SWISS T12 LAN 2 22-12X (ExcelFIX)_K-SWISS T12 LAN 2 22-12X (ExcelFIX)_PALLADIUM T01 XUAT 23.1 LAN 2 (ExcelFIX)" xfId="1693"/>
    <cellStyle name="_K-SWISS T11 XUAT 20-11_GIAY LANH T11 LAN 2  DK ROI (ExcelFIX)_K-SWISS T12 LAN 2 22-12X (ExcelFIX)_K-SWISS T12 LAN 2 22-12X (ExcelFIX)_PALLADIUM T01 XUAT 8.2 (ExcelFIX)" xfId="1694"/>
    <cellStyle name="_K-SWISS T11 XUAT 20-11_GIAY LANH T11 LAN 2  DK ROI (ExcelFIX)_K-SWISS T12 LAN 2 22-12X (ExcelFIX)_K-SWISS T12 LAN 2 22-12X (ExcelFIX)_PALLADIUM T01xuat 23.1 (ExcelFIX)" xfId="1695"/>
    <cellStyle name="_K-SWISS T11 XUAT 20-11_GIAY LANH T11 LAN 2  DK ROI (ExcelFIX)_K-SWISS T12 LAN 2 22-12X (ExcelFIX)_K-SWISS T12 LAN 2 22-12X (ExcelFIX)_PALLADIUM T01xuat 23.1 LAN 1 (ExcelFIX)" xfId="1696"/>
    <cellStyle name="_K-SWISS T11 XUAT 20-11_GIAY LANH T11 LAN 2  DK ROI (ExcelFIX)_K-SWISS T12 LAN 2 22-12X (ExcelFIX)_K-SWISS T12 LAN 2 22-12X (ExcelFIX)_PALLADIUM-CXXUAT 6.2" xfId="1697"/>
    <cellStyle name="_K-SWISS T11 XUAT 20-11_GIAY LANH T11 LAN 2  DK ROI (ExcelFIX)_K-SWISS T12 LAN 2 22-12X (ExcelFIX)_K-SWISS T12 LAN 2 22-12X (ExcelFIX)_PALLADIUM-CXXUAT 9.2" xfId="1698"/>
    <cellStyle name="_K-SWISS T11 XUAT 20-11_GIAY LANH T11 LAN 2  DK ROI (ExcelFIX)_K-SWISS T12 LAN 2 22-12X (ExcelFIX)_K-SWISS T12 LAN 2 22-12X (ExcelFIX)_PALLADIUM-CXXUAT CHUA CO NGAY XUAT" xfId="1699"/>
    <cellStyle name="_K-SWISS T11 XUAT 20-11_GIAY LANH T11 LAN 2  DK ROI (ExcelFIX)_K-SWISS T12 LAN 2 22-12X (ExcelFIX)_K-SWISS T12 LAN 2 22-12X (ExcelFIX)_SD1502-053,054 XUAT 2.3 (ExcelFIX)" xfId="1700"/>
    <cellStyle name="_K-SWISS T11 XUAT 20-11_GIAY LANH T11 LAN 2  DK ROI (ExcelFIX)_K-SWISS T12 LAN 2 22-12X (ExcelFIX)_K-SWISS T12 LAN 2 22-12X (ExcelFIX)_SWS1502-155,156,159~166 XUAT 6.3" xfId="1701"/>
    <cellStyle name="_K-SWISS T11 XUAT 20-11_GIAY LANH T11 LAN 2  DK ROI (ExcelFIX)_K-SWISS T12 LAN 2 22-12X (ExcelFIX)_K-SWISS T12 LAN 2 22-12X (ExcelFIX)_SWS1502-167" xfId="1702"/>
    <cellStyle name="_K-SWISS T11 XUAT 20-11_GIAY LANH T11 LAN 2  DK ROI (ExcelFIX)_K-SWISS T12 LAN 2 22-12X (ExcelFIX)_SWS1501-129,133,403" xfId="1703"/>
    <cellStyle name="_K-SWISS T11 XUAT 20-11_GIAY LANH T11 LAN 2  DK ROI (ExcelFIX)_K-SWISS T12 LAN 2 22-12X (ExcelFIX)_SWS1501-129,133,403_K-SWISS T01 10-2X (ExcelFIX)" xfId="1704"/>
    <cellStyle name="_K-SWISS T11 XUAT 20-11_GIAY LANH T11 LAN 2  DK ROI (ExcelFIX)_K-SWISS T12 LAN 2 22-12X (ExcelFIX)_SWS1501-130,131,132" xfId="1705"/>
    <cellStyle name="_K-SWISS T11 XUAT 20-11_GIAY LANH T11 LAN 2  DK ROI (ExcelFIX)_K-SWISS T12 LAN 2 22-12X (ExcelFIX)_SWS1501-130,131,132_K-SWISS T01 10-2X (ExcelFIX)" xfId="1706"/>
    <cellStyle name="_K-SWISS T11 XUAT 20-11_GIAY LANH T11 LAN 2  DK ROI (ExcelFIX)_K-SWISS T12 LAN 2 22-12X (ExcelFIX)_SWS1501-135,125,126" xfId="1707"/>
    <cellStyle name="_K-SWISS T11 XUAT 20-11_GIAY LANH T11 LAN 2  DK ROI (ExcelFIX)_K-SWISS T12 LAN 2 22-12X (ExcelFIX)_SWS1501-135,125,126_K-SWISS T01 10-2X (ExcelFIX)" xfId="1708"/>
    <cellStyle name="_K-SWISS T11 XUAT 20-11_GIAY LANH T11 LAN 2  DK ROI (ExcelFIX)_SWS1501-129,133,403" xfId="1709"/>
    <cellStyle name="_K-SWISS T11 XUAT 20-11_GIAY LANH T11 LAN 2  DK ROI (ExcelFIX)_SWS1501-129,133,403_K-SWISS T01 10-2X (ExcelFIX)" xfId="1710"/>
    <cellStyle name="_K-SWISS T11 XUAT 20-11_GIAY LANH T11 LAN 2  DK ROI (ExcelFIX)_SWS1501-130,131,132" xfId="1711"/>
    <cellStyle name="_K-SWISS T11 XUAT 20-11_GIAY LANH T11 LAN 2  DK ROI (ExcelFIX)_SWS1501-130,131,132_K-SWISS T01 10-2X (ExcelFIX)" xfId="1712"/>
    <cellStyle name="_K-SWISS T11 XUAT 20-11_GIAY LANH T11 LAN 2  DK ROI (ExcelFIX)_SWS1501-135,125,126" xfId="1713"/>
    <cellStyle name="_K-SWISS T11 XUAT 20-11_GIAY LANH T11 LAN 2  DK ROI (ExcelFIX)_SWS1501-135,125,126_K-SWISS T01 10-2X (ExcelFIX)" xfId="1714"/>
    <cellStyle name="_K-SWISS T11 XUAT 20-11_GIAY LANH T11 LAN 3" xfId="1715"/>
    <cellStyle name="_K-SWISS T11 XUAT 20-11_GIAY LANH T11 LAN 3_03345" xfId="1716"/>
    <cellStyle name="_K-SWISS T11 XUAT 20-11_GIAY LANH T11 LAN 3_DM" xfId="1717"/>
    <cellStyle name="_K-SWISS T11 XUAT 20-11_GIAY LANH T11 LAN 3_GIAY LANH T11 LAN 7 15-12X (ExcelFIX)-old" xfId="1718"/>
    <cellStyle name="_K-SWISS T11 XUAT 20-11_GIAY LANH T11 LAN 3_GIAY LANH T11 LAN 7 15-12X (ExcelFIX)-old_03334" xfId="1719"/>
    <cellStyle name="_K-SWISS T11 XUAT 20-11_GIAY LANH T11 LAN 3_GIAY LANH T11 LAN 7 15-12X (ExcelFIX)-old_DM" xfId="1720"/>
    <cellStyle name="_K-SWISS T11 XUAT 20-11_GIAY LANH T11 LAN 3_GIAY LANH T11 LAN 7 15-12X (ExcelFIX)-old_GIAY LANH T12 LAN 1 22-24-12X DA OK GOI (ExcelFIX) (ExcelFIX)" xfId="1721"/>
    <cellStyle name="_K-SWISS T11 XUAT 20-11_GIAY LANH T11 LAN 3_GIAY LANH T11 LAN 7 15-12X (ExcelFIX)-old_GIAY LANH T12 LAN 1 22-24-12X DA OK GOI DAO (ExcelFIX)" xfId="1722"/>
    <cellStyle name="_K-SWISS T11 XUAT 20-11_GIAY LANH T11 LAN 3_GIAY LANH T11 LAN 7 15-12X (ExcelFIX)-old_GIAY LANH T12 LAN 1 22-24-12X DA OK GOI DAO (ExcelFIX)_1PALLADIUM T01 XUAT 8.2 (ExcelFIX)" xfId="1723"/>
    <cellStyle name="_K-SWISS T11 XUAT 20-11_GIAY LANH T11 LAN 3_GIAY LANH T11 LAN 7 15-12X (ExcelFIX)-old_GIAY LANH T12 LAN 1 22-24-12X DA OK GOI DAO (ExcelFIX)_1PALLADIUM T02 XUAT (ExcelFIX)" xfId="1724"/>
    <cellStyle name="_K-SWISS T11 XUAT 20-11_GIAY LANH T11 LAN 3_GIAY LANH T11 LAN 7 15-12X (ExcelFIX)-old_GIAY LANH T12 LAN 1 22-24-12X DA OK GOI DAO (ExcelFIX)_6.2.15 XUAT" xfId="1725"/>
    <cellStyle name="_K-SWISS T11 XUAT 20-11_GIAY LANH T11 LAN 3_GIAY LANH T11 LAN 7 15-12X (ExcelFIX)-old_GIAY LANH T12 LAN 1 22-24-12X DA OK GOI DAO (ExcelFIX)_6.2.15 XUAT_K-SWISS T01 30-1 (ExcelFIX)" xfId="1726"/>
    <cellStyle name="_K-SWISS T11 XUAT 20-11_GIAY LANH T11 LAN 3_GIAY LANH T11 LAN 7 15-12X (ExcelFIX)-old_GIAY LANH T12 LAN 1 22-24-12X DA OK GOI DAO (ExcelFIX)_6.2.15 XUAT_K-SWISS T01 DAO LAM MY CAN BANG CHUA XUAT10-2X" xfId="1727"/>
    <cellStyle name="_K-SWISS T11 XUAT 20-11_GIAY LANH T11 LAN 3_GIAY LANH T11 LAN 7 15-12X (ExcelFIX)-old_GIAY LANH T12 LAN 1 22-24-12X DA OK GOI DAO (ExcelFIX)_DM CHUA XUAT-23.1.15" xfId="1728"/>
    <cellStyle name="_K-SWISS T11 XUAT 20-11_GIAY LANH T11 LAN 3_GIAY LANH T11 LAN 7 15-12X (ExcelFIX)-old_GIAY LANH T12 LAN 1 22-24-12X DA OK GOI DAO (ExcelFIX)_DM CHUA XUAT-23.1.15_K-SWISS T01 30-1 (ExcelFIX)" xfId="1729"/>
    <cellStyle name="_K-SWISS T11 XUAT 20-11_GIAY LANH T11 LAN 3_GIAY LANH T11 LAN 7 15-12X (ExcelFIX)-old_GIAY LANH T12 LAN 1 22-24-12X DA OK GOI DAO (ExcelFIX)_DM CHUA XUAT-23.1.15_K-SWISS T01 DAO LAM MY CAN BANG CHUA XUAT10-2X" xfId="1730"/>
    <cellStyle name="_K-SWISS T11 XUAT 20-11_GIAY LANH T11 LAN 3_GIAY LANH T11 LAN 7 15-12X (ExcelFIX)-old_GIAY LANH T12 LAN 1 22-24-12X DA OK GOI DAO (ExcelFIX)_KS 6-3X" xfId="1731"/>
    <cellStyle name="_K-SWISS T11 XUAT 20-11_GIAY LANH T11 LAN 3_GIAY LANH T11 LAN 7 15-12X (ExcelFIX)-old_GIAY LANH T12 LAN 1 22-24-12X DA OK GOI DAO (ExcelFIX)_K-SWISS 30.1 XUAT" xfId="1732"/>
    <cellStyle name="_K-SWISS T11 XUAT 20-11_GIAY LANH T11 LAN 3_GIAY LANH T11 LAN 7 15-12X (ExcelFIX)-old_GIAY LANH T12 LAN 1 22-24-12X DA OK GOI DAO (ExcelFIX)_K-SWISS T01 10-2X (ExcelFIX)" xfId="1733"/>
    <cellStyle name="_K-SWISS T11 XUAT 20-11_GIAY LANH T11 LAN 3_GIAY LANH T11 LAN 7 15-12X (ExcelFIX)-old_GIAY LANH T12 LAN 1 22-24-12X DA OK GOI DAO (ExcelFIX)_K-SWISS T01 30-1 (ExcelFIX)" xfId="1734"/>
    <cellStyle name="_K-SWISS T11 XUAT 20-11_GIAY LANH T11 LAN 3_GIAY LANH T11 LAN 7 15-12X (ExcelFIX)-old_GIAY LANH T12 LAN 1 22-24-12X DA OK GOI DAO (ExcelFIX)_K-SWISS T01 DAO LAM MY CAN BANG CHUA XUAT10-2X" xfId="1735"/>
    <cellStyle name="_K-SWISS T11 XUAT 20-11_GIAY LANH T11 LAN 3_GIAY LANH T11 LAN 7 15-12X (ExcelFIX)-old_GIAY LANH T12 LAN 1 22-24-12X DA OK GOI DAO (ExcelFIX)_K-SWISS T01 LAN 2 DOI XUAT WEAR 2-2X HC OK, M1 OK " xfId="1736"/>
    <cellStyle name="_K-SWISS T11 XUAT 20-11_GIAY LANH T11 LAN 3_GIAY LANH T11 LAN 7 15-12X (ExcelFIX)-old_GIAY LANH T12 LAN 1 22-24-12X DA OK GOI DAO (ExcelFIX)_K-SWISS-GIAY LANH T01 19-1X" xfId="1737"/>
    <cellStyle name="_K-SWISS T11 XUAT 20-11_GIAY LANH T11 LAN 3_GIAY LANH T11 LAN 7 15-12X (ExcelFIX)-old_GIAY LANH T12 LAN 1 22-24-12X DA OK GOI DAO (ExcelFIX)_PALLADIUM T01 XUAT 23.1 LAN 2 (ExcelFIX)" xfId="1738"/>
    <cellStyle name="_K-SWISS T11 XUAT 20-11_GIAY LANH T11 LAN 3_GIAY LANH T11 LAN 7 15-12X (ExcelFIX)-old_GIAY LANH T12 LAN 1 22-24-12X DA OK GOI DAO (ExcelFIX)_PALLADIUM T01 XUAT 8.2 (ExcelFIX)" xfId="1739"/>
    <cellStyle name="_K-SWISS T11 XUAT 20-11_GIAY LANH T11 LAN 3_GIAY LANH T11 LAN 7 15-12X (ExcelFIX)-old_GIAY LANH T12 LAN 1 22-24-12X DA OK GOI DAO (ExcelFIX)_PALLADIUM T01xuat 23.1 (ExcelFIX)" xfId="1740"/>
    <cellStyle name="_K-SWISS T11 XUAT 20-11_GIAY LANH T11 LAN 3_GIAY LANH T11 LAN 7 15-12X (ExcelFIX)-old_GIAY LANH T12 LAN 1 22-24-12X DA OK GOI DAO (ExcelFIX)_PALLADIUM T01xuat 23.1 LAN 1 (ExcelFIX)" xfId="1741"/>
    <cellStyle name="_K-SWISS T11 XUAT 20-11_GIAY LANH T11 LAN 3_GIAY LANH T11 LAN 7 15-12X (ExcelFIX)-old_GIAY LANH T12 LAN 1 22-24-12X DA OK GOI DAO (ExcelFIX)_PALLADIUM-CXXUAT 6.2" xfId="1742"/>
    <cellStyle name="_K-SWISS T11 XUAT 20-11_GIAY LANH T11 LAN 3_GIAY LANH T11 LAN 7 15-12X (ExcelFIX)-old_GIAY LANH T12 LAN 1 22-24-12X DA OK GOI DAO (ExcelFIX)_PALLADIUM-CXXUAT 9.2" xfId="1743"/>
    <cellStyle name="_K-SWISS T11 XUAT 20-11_GIAY LANH T11 LAN 3_GIAY LANH T11 LAN 7 15-12X (ExcelFIX)-old_GIAY LANH T12 LAN 1 22-24-12X DA OK GOI DAO (ExcelFIX)_PALLADIUM-CXXUAT CHUA CO NGAY XUAT" xfId="1744"/>
    <cellStyle name="_K-SWISS T11 XUAT 20-11_GIAY LANH T11 LAN 3_GIAY LANH T11 LAN 7 15-12X (ExcelFIX)-old_GIAY LANH T12 LAN 1 22-24-12X DA OK GOI DAO (ExcelFIX)_SD1502-053,054 XUAT 2.3 (ExcelFIX)" xfId="1745"/>
    <cellStyle name="_K-SWISS T11 XUAT 20-11_GIAY LANH T11 LAN 3_GIAY LANH T11 LAN 7 15-12X (ExcelFIX)-old_GIAY LANH T12 LAN 1 22-24-12X DA OK GOI DAO (ExcelFIX)_SWS1502-155,156,159~166 XUAT 6.3" xfId="1746"/>
    <cellStyle name="_K-SWISS T11 XUAT 20-11_GIAY LANH T11 LAN 3_GIAY LANH T11 LAN 7 15-12X (ExcelFIX)-old_GIAY LANH T12 LAN 1 22-24-12X DA OK GOI DAO (ExcelFIX)_SWS1502-167" xfId="1747"/>
    <cellStyle name="_K-SWISS T11 XUAT 20-11_GIAY LANH T11 LAN 3_GIAY LANH T11 LAN 7 15-12X (ExcelFIX)-old_GIAY LANH T12 LAN 3 XUAT co 78B  22-12" xfId="1748"/>
    <cellStyle name="_K-SWISS T11 XUAT 20-11_GIAY LANH T11 LAN 3_GIAY LANH T11 LAN 7 15-12X (ExcelFIX)-old_GIAY LANH T12 LAN 3 XUAT co 78B  22-12_6.2.15 XUAT" xfId="1749"/>
    <cellStyle name="_K-SWISS T11 XUAT 20-11_GIAY LANH T11 LAN 3_GIAY LANH T11 LAN 7 15-12X (ExcelFIX)-old_GIAY LANH T12 LAN 3 XUAT co 78B  22-12_6.2.15 XUAT_K-SWISS T01 30-1 (ExcelFIX)" xfId="1750"/>
    <cellStyle name="_K-SWISS T11 XUAT 20-11_GIAY LANH T11 LAN 3_GIAY LANH T11 LAN 7 15-12X (ExcelFIX)-old_GIAY LANH T12 LAN 3 XUAT co 78B  22-12_6.2.15 XUAT_K-SWISS T01 DAO LAM MY CAN BANG CHUA XUAT10-2X" xfId="1751"/>
    <cellStyle name="_K-SWISS T11 XUAT 20-11_GIAY LANH T11 LAN 3_GIAY LANH T11 LAN 7 15-12X (ExcelFIX)-old_GIAY LANH T12 LAN 3 XUAT co 78B  22-12_DM CHUA XUAT-23.1.15" xfId="1752"/>
    <cellStyle name="_K-SWISS T11 XUAT 20-11_GIAY LANH T11 LAN 3_GIAY LANH T11 LAN 7 15-12X (ExcelFIX)-old_GIAY LANH T12 LAN 3 XUAT co 78B  22-12_DM CHUA XUAT-23.1.15_K-SWISS T01 30-1 (ExcelFIX)" xfId="1753"/>
    <cellStyle name="_K-SWISS T11 XUAT 20-11_GIAY LANH T11 LAN 3_GIAY LANH T11 LAN 7 15-12X (ExcelFIX)-old_GIAY LANH T12 LAN 3 XUAT co 78B  22-12_DM CHUA XUAT-23.1.15_K-SWISS T01 DAO LAM MY CAN BANG CHUA XUAT10-2X" xfId="1754"/>
    <cellStyle name="_K-SWISS T11 XUAT 20-11_GIAY LANH T11 LAN 3_GIAY LANH T11 LAN 7 15-12X (ExcelFIX)-old_GIAY LANH T12 LAN 3 XUAT co 78B  22-12_KS 6-3X" xfId="1755"/>
    <cellStyle name="_K-SWISS T11 XUAT 20-11_GIAY LANH T11 LAN 3_GIAY LANH T11 LAN 7 15-12X (ExcelFIX)-old_GIAY LANH T12 LAN 3 XUAT co 78B  22-12_K-SWISS 30.1 XUAT" xfId="1756"/>
    <cellStyle name="_K-SWISS T11 XUAT 20-11_GIAY LANH T11 LAN 3_GIAY LANH T11 LAN 7 15-12X (ExcelFIX)-old_GIAY LANH T12 LAN 3 XUAT co 78B  22-12_K-SWISS T01 10-2X (ExcelFIX)" xfId="1757"/>
    <cellStyle name="_K-SWISS T11 XUAT 20-11_GIAY LANH T11 LAN 3_GIAY LANH T11 LAN 7 15-12X (ExcelFIX)-old_GIAY LANH T12 LAN 3 XUAT co 78B  22-12_K-SWISS T01 30-1 (ExcelFIX)" xfId="1758"/>
    <cellStyle name="_K-SWISS T11 XUAT 20-11_GIAY LANH T11 LAN 3_GIAY LANH T11 LAN 7 15-12X (ExcelFIX)-old_GIAY LANH T12 LAN 3 XUAT co 78B  22-12_K-SWISS T01 DAO LAM MY CAN BANG CHUA XUAT10-2X" xfId="1759"/>
    <cellStyle name="_K-SWISS T11 XUAT 20-11_GIAY LANH T11 LAN 3_GIAY LANH T11 LAN 7 15-12X (ExcelFIX)-old_GIAY LANH T12 LAN 3 XUAT co 78B  22-12_K-SWISS T01 LAN 2 DOI XUAT WEAR 2-2X HC OK, M1 OK " xfId="1760"/>
    <cellStyle name="_K-SWISS T11 XUAT 20-11_GIAY LANH T11 LAN 3_GIAY LANH T11 LAN 7 15-12X (ExcelFIX)-old_GIAY LANH T12 LAN 3 XUAT co 78B  22-12_K-SWISS-GIAY LANH T01 19-1X" xfId="1761"/>
    <cellStyle name="_K-SWISS T11 XUAT 20-11_GIAY LANH T11 LAN 3_GIAY LANH T11 LAN 7 15-12X (ExcelFIX)-old_GIAY LANH T12 LAN 3 XUAT co 78B  22-12_SD1502-053,054 XUAT 2.3 (ExcelFIX)" xfId="1762"/>
    <cellStyle name="_K-SWISS T11 XUAT 20-11_GIAY LANH T11 LAN 3_GIAY LANH T11 LAN 7 15-12X (ExcelFIX)-old_GIAY LANH T12 LAN 3 XUAT co 78B  22-12_SWS1502-155,156,159~166 XUAT 6.3" xfId="1763"/>
    <cellStyle name="_K-SWISS T11 XUAT 20-11_GIAY LANH T11 LAN 3_GIAY LANH T11 LAN 7 15-12X (ExcelFIX)-old_GIAY LANH T12 LAN 3 XUAT co 78B  22-12_SWS1502-167" xfId="1764"/>
    <cellStyle name="_K-SWISS T11 XUAT 20-11_GIAY LANH T11 LAN 3_GIAY LANH T11 LAN 7 15-12X (ExcelFIX)-old_GIAY LANH T12-HAP 27-12X" xfId="1765"/>
    <cellStyle name="_K-SWISS T11 XUAT 20-11_GIAY LANH T11 LAN 3_GIAY LANH T11 LAN 7 15-12X (ExcelFIX)-old_GIAY LANH T12-HAP 27-12X_1PALLADIUM T01 XUAT 8.2 (ExcelFIX)" xfId="1766"/>
    <cellStyle name="_K-SWISS T11 XUAT 20-11_GIAY LANH T11 LAN 3_GIAY LANH T11 LAN 7 15-12X (ExcelFIX)-old_GIAY LANH T12-HAP 27-12X_1PALLADIUM T02 XUAT (ExcelFIX)" xfId="1767"/>
    <cellStyle name="_K-SWISS T11 XUAT 20-11_GIAY LANH T11 LAN 3_GIAY LANH T11 LAN 7 15-12X (ExcelFIX)-old_GIAY LANH T12-HAP 27-12X_6.2.15 XUAT" xfId="1768"/>
    <cellStyle name="_K-SWISS T11 XUAT 20-11_GIAY LANH T11 LAN 3_GIAY LANH T11 LAN 7 15-12X (ExcelFIX)-old_GIAY LANH T12-HAP 27-12X_6.2.15 XUAT_K-SWISS T01 30-1 (ExcelFIX)" xfId="1769"/>
    <cellStyle name="_K-SWISS T11 XUAT 20-11_GIAY LANH T11 LAN 3_GIAY LANH T11 LAN 7 15-12X (ExcelFIX)-old_GIAY LANH T12-HAP 27-12X_6.2.15 XUAT_K-SWISS T01 DAO LAM MY CAN BANG CHUA XUAT10-2X" xfId="1770"/>
    <cellStyle name="_K-SWISS T11 XUAT 20-11_GIAY LANH T11 LAN 3_GIAY LANH T11 LAN 7 15-12X (ExcelFIX)-old_GIAY LANH T12-HAP 27-12X_DM CHUA XUAT-23.1.15" xfId="1771"/>
    <cellStyle name="_K-SWISS T11 XUAT 20-11_GIAY LANH T11 LAN 3_GIAY LANH T11 LAN 7 15-12X (ExcelFIX)-old_GIAY LANH T12-HAP 27-12X_DM CHUA XUAT-23.1.15_K-SWISS T01 30-1 (ExcelFIX)" xfId="1772"/>
    <cellStyle name="_K-SWISS T11 XUAT 20-11_GIAY LANH T11 LAN 3_GIAY LANH T11 LAN 7 15-12X (ExcelFIX)-old_GIAY LANH T12-HAP 27-12X_DM CHUA XUAT-23.1.15_K-SWISS T01 DAO LAM MY CAN BANG CHUA XUAT10-2X" xfId="1773"/>
    <cellStyle name="_K-SWISS T11 XUAT 20-11_GIAY LANH T11 LAN 3_GIAY LANH T11 LAN 7 15-12X (ExcelFIX)-old_GIAY LANH T12-HAP 27-12X_KS 6-3X" xfId="1774"/>
    <cellStyle name="_K-SWISS T11 XUAT 20-11_GIAY LANH T11 LAN 3_GIAY LANH T11 LAN 7 15-12X (ExcelFIX)-old_GIAY LANH T12-HAP 27-12X_K-SWISS 30.1 XUAT" xfId="1775"/>
    <cellStyle name="_K-SWISS T11 XUAT 20-11_GIAY LANH T11 LAN 3_GIAY LANH T11 LAN 7 15-12X (ExcelFIX)-old_GIAY LANH T12-HAP 27-12X_K-SWISS T01 10-2X (ExcelFIX)" xfId="1776"/>
    <cellStyle name="_K-SWISS T11 XUAT 20-11_GIAY LANH T11 LAN 3_GIAY LANH T11 LAN 7 15-12X (ExcelFIX)-old_GIAY LANH T12-HAP 27-12X_K-SWISS T01 30-1 (ExcelFIX)" xfId="1777"/>
    <cellStyle name="_K-SWISS T11 XUAT 20-11_GIAY LANH T11 LAN 3_GIAY LANH T11 LAN 7 15-12X (ExcelFIX)-old_GIAY LANH T12-HAP 27-12X_K-SWISS T01 DAO LAM MY CAN BANG CHUA XUAT10-2X" xfId="1778"/>
    <cellStyle name="_K-SWISS T11 XUAT 20-11_GIAY LANH T11 LAN 3_GIAY LANH T11 LAN 7 15-12X (ExcelFIX)-old_GIAY LANH T12-HAP 27-12X_K-SWISS T01 LAN 2 DOI XUAT WEAR 2-2X HC OK, M1 OK " xfId="1779"/>
    <cellStyle name="_K-SWISS T11 XUAT 20-11_GIAY LANH T11 LAN 3_GIAY LANH T11 LAN 7 15-12X (ExcelFIX)-old_GIAY LANH T12-HAP 27-12X_K-SWISS-GIAY LANH T01 19-1X" xfId="1780"/>
    <cellStyle name="_K-SWISS T11 XUAT 20-11_GIAY LANH T11 LAN 3_GIAY LANH T11 LAN 7 15-12X (ExcelFIX)-old_GIAY LANH T12-HAP 27-12X_PALLADIUM T01 XUAT 23.1 LAN 2 (ExcelFIX)" xfId="1781"/>
    <cellStyle name="_K-SWISS T11 XUAT 20-11_GIAY LANH T11 LAN 3_GIAY LANH T11 LAN 7 15-12X (ExcelFIX)-old_GIAY LANH T12-HAP 27-12X_PALLADIUM T01 XUAT 8.2 (ExcelFIX)" xfId="1782"/>
    <cellStyle name="_K-SWISS T11 XUAT 20-11_GIAY LANH T11 LAN 3_GIAY LANH T11 LAN 7 15-12X (ExcelFIX)-old_GIAY LANH T12-HAP 27-12X_PALLADIUM T01xuat 23.1 (ExcelFIX)" xfId="1783"/>
    <cellStyle name="_K-SWISS T11 XUAT 20-11_GIAY LANH T11 LAN 3_GIAY LANH T11 LAN 7 15-12X (ExcelFIX)-old_GIAY LANH T12-HAP 27-12X_PALLADIUM T01xuat 23.1 LAN 1 (ExcelFIX)" xfId="1784"/>
    <cellStyle name="_K-SWISS T11 XUAT 20-11_GIAY LANH T11 LAN 3_GIAY LANH T11 LAN 7 15-12X (ExcelFIX)-old_GIAY LANH T12-HAP 27-12X_PALLADIUM-CXXUAT 6.2" xfId="1785"/>
    <cellStyle name="_K-SWISS T11 XUAT 20-11_GIAY LANH T11 LAN 3_GIAY LANH T11 LAN 7 15-12X (ExcelFIX)-old_GIAY LANH T12-HAP 27-12X_PALLADIUM-CXXUAT 9.2" xfId="1786"/>
    <cellStyle name="_K-SWISS T11 XUAT 20-11_GIAY LANH T11 LAN 3_GIAY LANH T11 LAN 7 15-12X (ExcelFIX)-old_GIAY LANH T12-HAP 27-12X_PALLADIUM-CXXUAT CHUA CO NGAY XUAT" xfId="1787"/>
    <cellStyle name="_K-SWISS T11 XUAT 20-11_GIAY LANH T11 LAN 3_GIAY LANH T11 LAN 7 15-12X (ExcelFIX)-old_GIAY LANH T12-HAP 27-12X_SD1502-053,054 XUAT 2.3 (ExcelFIX)" xfId="1788"/>
    <cellStyle name="_K-SWISS T11 XUAT 20-11_GIAY LANH T11 LAN 3_GIAY LANH T11 LAN 7 15-12X (ExcelFIX)-old_GIAY LANH T12-HAP 27-12X_SWS1502-155,156,159~166 XUAT 6.3" xfId="1789"/>
    <cellStyle name="_K-SWISS T11 XUAT 20-11_GIAY LANH T11 LAN 3_GIAY LANH T11 LAN 7 15-12X (ExcelFIX)-old_GIAY LANH T12-HAP 27-12X_SWS1502-167" xfId="1790"/>
    <cellStyle name="_K-SWISS T11 XUAT 20-11_GIAY LANH T11 LAN 3_GIAY LANH T11 LAN 7 15-12X (ExcelFIX)-old_K-SWISS T12 LAN 2 22-12X (ExcelFIX)" xfId="1791"/>
    <cellStyle name="_K-SWISS T11 XUAT 20-11_GIAY LANH T11 LAN 3_GIAY LANH T11 LAN 7 15-12X (ExcelFIX)-old_K-SWISS T12 LAN 2 22-12X (ExcelFIX)_1PALLADIUM T01 XUAT 8.2 (ExcelFIX)" xfId="1792"/>
    <cellStyle name="_K-SWISS T11 XUAT 20-11_GIAY LANH T11 LAN 3_GIAY LANH T11 LAN 7 15-12X (ExcelFIX)-old_K-SWISS T12 LAN 2 22-12X (ExcelFIX)_1PALLADIUM T02 XUAT (ExcelFIX)" xfId="1793"/>
    <cellStyle name="_K-SWISS T11 XUAT 20-11_GIAY LANH T11 LAN 3_GIAY LANH T11 LAN 7 15-12X (ExcelFIX)-old_K-SWISS T12 LAN 2 22-12X (ExcelFIX)_6.2.15 XUAT" xfId="1794"/>
    <cellStyle name="_K-SWISS T11 XUAT 20-11_GIAY LANH T11 LAN 3_GIAY LANH T11 LAN 7 15-12X (ExcelFIX)-old_K-SWISS T12 LAN 2 22-12X (ExcelFIX)_6.2.15 XUAT_K-SWISS T01 30-1 (ExcelFIX)" xfId="1795"/>
    <cellStyle name="_K-SWISS T11 XUAT 20-11_GIAY LANH T11 LAN 3_GIAY LANH T11 LAN 7 15-12X (ExcelFIX)-old_K-SWISS T12 LAN 2 22-12X (ExcelFIX)_6.2.15 XUAT_K-SWISS T01 DAO LAM MY CAN BANG CHUA XUAT10-2X" xfId="1796"/>
    <cellStyle name="_K-SWISS T11 XUAT 20-11_GIAY LANH T11 LAN 3_GIAY LANH T11 LAN 7 15-12X (ExcelFIX)-old_K-SWISS T12 LAN 2 22-12X (ExcelFIX)_DM CHUA XUAT-23.1.15" xfId="1797"/>
    <cellStyle name="_K-SWISS T11 XUAT 20-11_GIAY LANH T11 LAN 3_GIAY LANH T11 LAN 7 15-12X (ExcelFIX)-old_K-SWISS T12 LAN 2 22-12X (ExcelFIX)_DM CHUA XUAT-23.1.15_K-SWISS T01 30-1 (ExcelFIX)" xfId="1798"/>
    <cellStyle name="_K-SWISS T11 XUAT 20-11_GIAY LANH T11 LAN 3_GIAY LANH T11 LAN 7 15-12X (ExcelFIX)-old_K-SWISS T12 LAN 2 22-12X (ExcelFIX)_DM CHUA XUAT-23.1.15_K-SWISS T01 DAO LAM MY CAN BANG CHUA XUAT10-2X" xfId="1799"/>
    <cellStyle name="_K-SWISS T11 XUAT 20-11_GIAY LANH T11 LAN 3_GIAY LANH T11 LAN 7 15-12X (ExcelFIX)-old_K-SWISS T12 LAN 2 22-12X (ExcelFIX)_KS 6-3X" xfId="1800"/>
    <cellStyle name="_K-SWISS T11 XUAT 20-11_GIAY LANH T11 LAN 3_GIAY LANH T11 LAN 7 15-12X (ExcelFIX)-old_K-SWISS T12 LAN 2 22-12X (ExcelFIX)_K-SWISS 30.1 XUAT" xfId="1801"/>
    <cellStyle name="_K-SWISS T11 XUAT 20-11_GIAY LANH T11 LAN 3_GIAY LANH T11 LAN 7 15-12X (ExcelFIX)-old_K-SWISS T12 LAN 2 22-12X (ExcelFIX)_K-SWISS T01 10-2X (ExcelFIX)" xfId="1802"/>
    <cellStyle name="_K-SWISS T11 XUAT 20-11_GIAY LANH T11 LAN 3_GIAY LANH T11 LAN 7 15-12X (ExcelFIX)-old_K-SWISS T12 LAN 2 22-12X (ExcelFIX)_K-SWISS T01 30-1 (ExcelFIX)" xfId="1803"/>
    <cellStyle name="_K-SWISS T11 XUAT 20-11_GIAY LANH T11 LAN 3_GIAY LANH T11 LAN 7 15-12X (ExcelFIX)-old_K-SWISS T12 LAN 2 22-12X (ExcelFIX)_K-SWISS T01 DAO LAM MY CAN BANG CHUA XUAT10-2X" xfId="1804"/>
    <cellStyle name="_K-SWISS T11 XUAT 20-11_GIAY LANH T11 LAN 3_GIAY LANH T11 LAN 7 15-12X (ExcelFIX)-old_K-SWISS T12 LAN 2 22-12X (ExcelFIX)_K-SWISS T01 LAN 2 DOI XUAT WEAR 2-2X HC OK, M1 OK " xfId="1805"/>
    <cellStyle name="_K-SWISS T11 XUAT 20-11_GIAY LANH T11 LAN 3_GIAY LANH T11 LAN 7 15-12X (ExcelFIX)-old_K-SWISS T12 LAN 2 22-12X (ExcelFIX)_K-SWISS-GIAY LANH T01 19-1X" xfId="1806"/>
    <cellStyle name="_K-SWISS T11 XUAT 20-11_GIAY LANH T11 LAN 3_GIAY LANH T11 LAN 7 15-12X (ExcelFIX)-old_K-SWISS T12 LAN 2 22-12X (ExcelFIX)_PALLADIUM T01 XUAT 23.1 LAN 2 (ExcelFIX)" xfId="1807"/>
    <cellStyle name="_K-SWISS T11 XUAT 20-11_GIAY LANH T11 LAN 3_GIAY LANH T11 LAN 7 15-12X (ExcelFIX)-old_K-SWISS T12 LAN 2 22-12X (ExcelFIX)_PALLADIUM T01 XUAT 8.2 (ExcelFIX)" xfId="1808"/>
    <cellStyle name="_K-SWISS T11 XUAT 20-11_GIAY LANH T11 LAN 3_GIAY LANH T11 LAN 7 15-12X (ExcelFIX)-old_K-SWISS T12 LAN 2 22-12X (ExcelFIX)_PALLADIUM T01xuat 23.1 (ExcelFIX)" xfId="1809"/>
    <cellStyle name="_K-SWISS T11 XUAT 20-11_GIAY LANH T11 LAN 3_GIAY LANH T11 LAN 7 15-12X (ExcelFIX)-old_K-SWISS T12 LAN 2 22-12X (ExcelFIX)_PALLADIUM T01xuat 23.1 LAN 1 (ExcelFIX)" xfId="1810"/>
    <cellStyle name="_K-SWISS T11 XUAT 20-11_GIAY LANH T11 LAN 3_GIAY LANH T11 LAN 7 15-12X (ExcelFIX)-old_K-SWISS T12 LAN 2 22-12X (ExcelFIX)_PALLADIUM-CXXUAT 6.2" xfId="1811"/>
    <cellStyle name="_K-SWISS T11 XUAT 20-11_GIAY LANH T11 LAN 3_GIAY LANH T11 LAN 7 15-12X (ExcelFIX)-old_K-SWISS T12 LAN 2 22-12X (ExcelFIX)_PALLADIUM-CXXUAT 9.2" xfId="1812"/>
    <cellStyle name="_K-SWISS T11 XUAT 20-11_GIAY LANH T11 LAN 3_GIAY LANH T11 LAN 7 15-12X (ExcelFIX)-old_K-SWISS T12 LAN 2 22-12X (ExcelFIX)_PALLADIUM-CXXUAT CHUA CO NGAY XUAT" xfId="1813"/>
    <cellStyle name="_K-SWISS T11 XUAT 20-11_GIAY LANH T11 LAN 3_GIAY LANH T11 LAN 7 15-12X (ExcelFIX)-old_K-SWISS T12 LAN 2 22-12X (ExcelFIX)_SD1502-053,054 XUAT 2.3 (ExcelFIX)" xfId="1814"/>
    <cellStyle name="_K-SWISS T11 XUAT 20-11_GIAY LANH T11 LAN 3_GIAY LANH T11 LAN 7 15-12X (ExcelFIX)-old_K-SWISS T12 LAN 2 22-12X (ExcelFIX)_SWS1502-155,156,159~166 XUAT 6.3" xfId="1815"/>
    <cellStyle name="_K-SWISS T11 XUAT 20-11_GIAY LANH T11 LAN 3_GIAY LANH T11 LAN 7 15-12X (ExcelFIX)-old_K-SWISS T12 LAN 2 22-12X (ExcelFIX)_SWS1502-167" xfId="1816"/>
    <cellStyle name="_K-SWISS T11 XUAT 20-11_GIAY LANH T11 LAN 3_GIAY LANH T11 LAN 7 15-12X (ExcelFIX)-old_SWS1501-129,133,403" xfId="1817"/>
    <cellStyle name="_K-SWISS T11 XUAT 20-11_GIAY LANH T11 LAN 3_GIAY LANH T11 LAN 7 15-12X (ExcelFIX)-old_SWS1501-129,133,403_K-SWISS T01 10-2X (ExcelFIX)" xfId="1818"/>
    <cellStyle name="_K-SWISS T11 XUAT 20-11_GIAY LANH T11 LAN 3_GIAY LANH T11 LAN 7 15-12X (ExcelFIX)-old_SWS1501-130,131,132" xfId="1819"/>
    <cellStyle name="_K-SWISS T11 XUAT 20-11_GIAY LANH T11 LAN 3_GIAY LANH T11 LAN 7 15-12X (ExcelFIX)-old_SWS1501-130,131,132_K-SWISS T01 10-2X (ExcelFIX)" xfId="1820"/>
    <cellStyle name="_K-SWISS T11 XUAT 20-11_GIAY LANH T11 LAN 3_GIAY LANH T11 LAN 7 15-12X (ExcelFIX)-old_SWS1501-135,125,126" xfId="1821"/>
    <cellStyle name="_K-SWISS T11 XUAT 20-11_GIAY LANH T11 LAN 3_GIAY LANH T11 LAN 7 15-12X (ExcelFIX)-old_SWS1501-135,125,126_K-SWISS T01 10-2X (ExcelFIX)" xfId="1822"/>
    <cellStyle name="_K-SWISS T11 XUAT 20-11_GIAY LANH T11 LAN 3_GIAY LANH T12 CO T11 15-12X  CO T12 (ExcelFIX)-old" xfId="1823"/>
    <cellStyle name="_K-SWISS T11 XUAT 20-11_GIAY LANH T11 LAN 3_GIAY LANH T12 CO T11 15-12X  CO T12 (ExcelFIX)-old_1" xfId="1824"/>
    <cellStyle name="_K-SWISS T11 XUAT 20-11_GIAY LANH T11 LAN 3_GIAY LANH T12 CO T11 15-12X  CO T12 (ExcelFIX)-old_1_6.2.15 XUAT" xfId="1825"/>
    <cellStyle name="_K-SWISS T11 XUAT 20-11_GIAY LANH T11 LAN 3_GIAY LANH T12 CO T11 15-12X  CO T12 (ExcelFIX)-old_1_6.2.15 XUAT_K-SWISS T01 30-1 (ExcelFIX)" xfId="1826"/>
    <cellStyle name="_K-SWISS T11 XUAT 20-11_GIAY LANH T11 LAN 3_GIAY LANH T12 CO T11 15-12X  CO T12 (ExcelFIX)-old_1_6.2.15 XUAT_K-SWISS T01 DAO LAM MY CAN BANG CHUA XUAT10-2X" xfId="1827"/>
    <cellStyle name="_K-SWISS T11 XUAT 20-11_GIAY LANH T11 LAN 3_GIAY LANH T12 CO T11 15-12X  CO T12 (ExcelFIX)-old_1_DM CHUA XUAT-23.1.15" xfId="1828"/>
    <cellStyle name="_K-SWISS T11 XUAT 20-11_GIAY LANH T11 LAN 3_GIAY LANH T12 CO T11 15-12X  CO T12 (ExcelFIX)-old_1_DM CHUA XUAT-23.1.15_K-SWISS T01 30-1 (ExcelFIX)" xfId="1829"/>
    <cellStyle name="_K-SWISS T11 XUAT 20-11_GIAY LANH T11 LAN 3_GIAY LANH T12 CO T11 15-12X  CO T12 (ExcelFIX)-old_1_DM CHUA XUAT-23.1.15_K-SWISS T01 DAO LAM MY CAN BANG CHUA XUAT10-2X" xfId="1830"/>
    <cellStyle name="_K-SWISS T11 XUAT 20-11_GIAY LANH T11 LAN 3_GIAY LANH T12 CO T11 15-12X  CO T12 (ExcelFIX)-old_1_KS 6-3X" xfId="1831"/>
    <cellStyle name="_K-SWISS T11 XUAT 20-11_GIAY LANH T11 LAN 3_GIAY LANH T12 CO T11 15-12X  CO T12 (ExcelFIX)-old_1_K-SWISS 30.1 XUAT" xfId="1832"/>
    <cellStyle name="_K-SWISS T11 XUAT 20-11_GIAY LANH T11 LAN 3_GIAY LANH T12 CO T11 15-12X  CO T12 (ExcelFIX)-old_1_K-SWISS T01 10-2X (ExcelFIX)" xfId="1833"/>
    <cellStyle name="_K-SWISS T11 XUAT 20-11_GIAY LANH T11 LAN 3_GIAY LANH T12 CO T11 15-12X  CO T12 (ExcelFIX)-old_1_K-SWISS T01 30-1 (ExcelFIX)" xfId="1834"/>
    <cellStyle name="_K-SWISS T11 XUAT 20-11_GIAY LANH T11 LAN 3_GIAY LANH T12 CO T11 15-12X  CO T12 (ExcelFIX)-old_1_K-SWISS T01 DAO LAM MY CAN BANG CHUA XUAT10-2X" xfId="1835"/>
    <cellStyle name="_K-SWISS T11 XUAT 20-11_GIAY LANH T11 LAN 3_GIAY LANH T12 CO T11 15-12X  CO T12 (ExcelFIX)-old_1_K-SWISS T01 LAN 2 DOI XUAT WEAR 2-2X HC OK, M1 OK " xfId="1836"/>
    <cellStyle name="_K-SWISS T11 XUAT 20-11_GIAY LANH T11 LAN 3_GIAY LANH T12 CO T11 15-12X  CO T12 (ExcelFIX)-old_1_K-SWISS-GIAY LANH T01 19-1X" xfId="1837"/>
    <cellStyle name="_K-SWISS T11 XUAT 20-11_GIAY LANH T11 LAN 3_GIAY LANH T12 CO T11 15-12X  CO T12 (ExcelFIX)-old_1_SD1502-053,054 XUAT 2.3 (ExcelFIX)" xfId="1838"/>
    <cellStyle name="_K-SWISS T11 XUAT 20-11_GIAY LANH T11 LAN 3_GIAY LANH T12 CO T11 15-12X  CO T12 (ExcelFIX)-old_1_SWS1502-155,156,159~166 XUAT 6.3" xfId="1839"/>
    <cellStyle name="_K-SWISS T11 XUAT 20-11_GIAY LANH T11 LAN 3_GIAY LANH T12 CO T11 15-12X  CO T12 (ExcelFIX)-old_1_SWS1502-167" xfId="1840"/>
    <cellStyle name="_K-SWISS T11 XUAT 20-11_GIAY LANH T11 LAN 3_GIAY LANH T12 CO T11 15-12X  CO T12 (ExcelFIX)-old_DM" xfId="1841"/>
    <cellStyle name="_K-SWISS T11 XUAT 20-11_GIAY LANH T11 LAN 3_GIAY LANH T12 CO T11 15-12X  CO T12 (ExcelFIX)-old_GIAY LANH T12-HAP 27-12X" xfId="1842"/>
    <cellStyle name="_K-SWISS T11 XUAT 20-11_GIAY LANH T11 LAN 3_GIAY LANH T12 CO T11 15-12X  CO T12 (ExcelFIX)-old_GIAY LANH T12-HAP 27-12X_1PALLADIUM T01 XUAT 8.2 (ExcelFIX)" xfId="1843"/>
    <cellStyle name="_K-SWISS T11 XUAT 20-11_GIAY LANH T11 LAN 3_GIAY LANH T12 CO T11 15-12X  CO T12 (ExcelFIX)-old_GIAY LANH T12-HAP 27-12X_1PALLADIUM T02 XUAT (ExcelFIX)" xfId="1844"/>
    <cellStyle name="_K-SWISS T11 XUAT 20-11_GIAY LANH T11 LAN 3_GIAY LANH T12 CO T11 15-12X  CO T12 (ExcelFIX)-old_GIAY LANH T12-HAP 27-12X_6.2.15 XUAT" xfId="1845"/>
    <cellStyle name="_K-SWISS T11 XUAT 20-11_GIAY LANH T11 LAN 3_GIAY LANH T12 CO T11 15-12X  CO T12 (ExcelFIX)-old_GIAY LANH T12-HAP 27-12X_6.2.15 XUAT_K-SWISS T01 30-1 (ExcelFIX)" xfId="1846"/>
    <cellStyle name="_K-SWISS T11 XUAT 20-11_GIAY LANH T11 LAN 3_GIAY LANH T12 CO T11 15-12X  CO T12 (ExcelFIX)-old_GIAY LANH T12-HAP 27-12X_6.2.15 XUAT_K-SWISS T01 DAO LAM MY CAN BANG CHUA XUAT10-2X" xfId="1847"/>
    <cellStyle name="_K-SWISS T11 XUAT 20-11_GIAY LANH T11 LAN 3_GIAY LANH T12 CO T11 15-12X  CO T12 (ExcelFIX)-old_GIAY LANH T12-HAP 27-12X_DM CHUA XUAT-23.1.15" xfId="1848"/>
    <cellStyle name="_K-SWISS T11 XUAT 20-11_GIAY LANH T11 LAN 3_GIAY LANH T12 CO T11 15-12X  CO T12 (ExcelFIX)-old_GIAY LANH T12-HAP 27-12X_DM CHUA XUAT-23.1.15_K-SWISS T01 30-1 (ExcelFIX)" xfId="1849"/>
    <cellStyle name="_K-SWISS T11 XUAT 20-11_GIAY LANH T11 LAN 3_GIAY LANH T12 CO T11 15-12X  CO T12 (ExcelFIX)-old_GIAY LANH T12-HAP 27-12X_DM CHUA XUAT-23.1.15_K-SWISS T01 DAO LAM MY CAN BANG CHUA XUAT10-2X" xfId="1850"/>
    <cellStyle name="_K-SWISS T11 XUAT 20-11_GIAY LANH T11 LAN 3_GIAY LANH T12 CO T11 15-12X  CO T12 (ExcelFIX)-old_GIAY LANH T12-HAP 27-12X_KS 6-3X" xfId="1851"/>
    <cellStyle name="_K-SWISS T11 XUAT 20-11_GIAY LANH T11 LAN 3_GIAY LANH T12 CO T11 15-12X  CO T12 (ExcelFIX)-old_GIAY LANH T12-HAP 27-12X_K-SWISS 30.1 XUAT" xfId="1852"/>
    <cellStyle name="_K-SWISS T11 XUAT 20-11_GIAY LANH T11 LAN 3_GIAY LANH T12 CO T11 15-12X  CO T12 (ExcelFIX)-old_GIAY LANH T12-HAP 27-12X_K-SWISS T01 10-2X (ExcelFIX)" xfId="1853"/>
    <cellStyle name="_K-SWISS T11 XUAT 20-11_GIAY LANH T11 LAN 3_GIAY LANH T12 CO T11 15-12X  CO T12 (ExcelFIX)-old_GIAY LANH T12-HAP 27-12X_K-SWISS T01 30-1 (ExcelFIX)" xfId="1854"/>
    <cellStyle name="_K-SWISS T11 XUAT 20-11_GIAY LANH T11 LAN 3_GIAY LANH T12 CO T11 15-12X  CO T12 (ExcelFIX)-old_GIAY LANH T12-HAP 27-12X_K-SWISS T01 DAO LAM MY CAN BANG CHUA XUAT10-2X" xfId="1855"/>
    <cellStyle name="_K-SWISS T11 XUAT 20-11_GIAY LANH T11 LAN 3_GIAY LANH T12 CO T11 15-12X  CO T12 (ExcelFIX)-old_GIAY LANH T12-HAP 27-12X_K-SWISS T01 LAN 2 DOI XUAT WEAR 2-2X HC OK, M1 OK " xfId="1856"/>
    <cellStyle name="_K-SWISS T11 XUAT 20-11_GIAY LANH T11 LAN 3_GIAY LANH T12 CO T11 15-12X  CO T12 (ExcelFIX)-old_GIAY LANH T12-HAP 27-12X_K-SWISS-GIAY LANH T01 19-1X" xfId="1857"/>
    <cellStyle name="_K-SWISS T11 XUAT 20-11_GIAY LANH T11 LAN 3_GIAY LANH T12 CO T11 15-12X  CO T12 (ExcelFIX)-old_GIAY LANH T12-HAP 27-12X_PALLADIUM T01 XUAT 23.1 LAN 2 (ExcelFIX)" xfId="1858"/>
    <cellStyle name="_K-SWISS T11 XUAT 20-11_GIAY LANH T11 LAN 3_GIAY LANH T12 CO T11 15-12X  CO T12 (ExcelFIX)-old_GIAY LANH T12-HAP 27-12X_PALLADIUM T01 XUAT 8.2 (ExcelFIX)" xfId="1859"/>
    <cellStyle name="_K-SWISS T11 XUAT 20-11_GIAY LANH T11 LAN 3_GIAY LANH T12 CO T11 15-12X  CO T12 (ExcelFIX)-old_GIAY LANH T12-HAP 27-12X_PALLADIUM T01xuat 23.1 (ExcelFIX)" xfId="1860"/>
    <cellStyle name="_K-SWISS T11 XUAT 20-11_GIAY LANH T11 LAN 3_GIAY LANH T12 CO T11 15-12X  CO T12 (ExcelFIX)-old_GIAY LANH T12-HAP 27-12X_PALLADIUM T01xuat 23.1 LAN 1 (ExcelFIX)" xfId="1861"/>
    <cellStyle name="_K-SWISS T11 XUAT 20-11_GIAY LANH T11 LAN 3_GIAY LANH T12 CO T11 15-12X  CO T12 (ExcelFIX)-old_GIAY LANH T12-HAP 27-12X_PALLADIUM-CXXUAT 6.2" xfId="1862"/>
    <cellStyle name="_K-SWISS T11 XUAT 20-11_GIAY LANH T11 LAN 3_GIAY LANH T12 CO T11 15-12X  CO T12 (ExcelFIX)-old_GIAY LANH T12-HAP 27-12X_PALLADIUM-CXXUAT 9.2" xfId="1863"/>
    <cellStyle name="_K-SWISS T11 XUAT 20-11_GIAY LANH T11 LAN 3_GIAY LANH T12 CO T11 15-12X  CO T12 (ExcelFIX)-old_GIAY LANH T12-HAP 27-12X_PALLADIUM-CXXUAT CHUA CO NGAY XUAT" xfId="1864"/>
    <cellStyle name="_K-SWISS T11 XUAT 20-11_GIAY LANH T11 LAN 3_GIAY LANH T12 CO T11 15-12X  CO T12 (ExcelFIX)-old_GIAY LANH T12-HAP 27-12X_SD1502-053,054 XUAT 2.3 (ExcelFIX)" xfId="1865"/>
    <cellStyle name="_K-SWISS T11 XUAT 20-11_GIAY LANH T11 LAN 3_GIAY LANH T12 CO T11 15-12X  CO T12 (ExcelFIX)-old_GIAY LANH T12-HAP 27-12X_SWS1502-155,156,159~166 XUAT 6.3" xfId="1866"/>
    <cellStyle name="_K-SWISS T11 XUAT 20-11_GIAY LANH T11 LAN 3_GIAY LANH T12 CO T11 15-12X  CO T12 (ExcelFIX)-old_GIAY LANH T12-HAP 27-12X_SWS1502-167" xfId="1867"/>
    <cellStyle name="_K-SWISS T11 XUAT 20-11_GIAY LANH T11 LAN 3_GIAY LANH T12 CO T11 15-12X  CO T12 (ExcelFIX)-old_K-SWISS T12 LAN 2 22-12X (ExcelFIX)" xfId="1868"/>
    <cellStyle name="_K-SWISS T11 XUAT 20-11_GIAY LANH T11 LAN 3_GIAY LANH T12 CO T11 15-12X  CO T12 (ExcelFIX)-old_K-SWISS T12 LAN 2 22-12X (ExcelFIX)_1PALLADIUM T01 XUAT 8.2 (ExcelFIX)" xfId="1869"/>
    <cellStyle name="_K-SWISS T11 XUAT 20-11_GIAY LANH T11 LAN 3_GIAY LANH T12 CO T11 15-12X  CO T12 (ExcelFIX)-old_K-SWISS T12 LAN 2 22-12X (ExcelFIX)_1PALLADIUM T02 XUAT (ExcelFIX)" xfId="1870"/>
    <cellStyle name="_K-SWISS T11 XUAT 20-11_GIAY LANH T11 LAN 3_GIAY LANH T12 CO T11 15-12X  CO T12 (ExcelFIX)-old_K-SWISS T12 LAN 2 22-12X (ExcelFIX)_6.2.15 XUAT" xfId="1871"/>
    <cellStyle name="_K-SWISS T11 XUAT 20-11_GIAY LANH T11 LAN 3_GIAY LANH T12 CO T11 15-12X  CO T12 (ExcelFIX)-old_K-SWISS T12 LAN 2 22-12X (ExcelFIX)_6.2.15 XUAT_K-SWISS T01 30-1 (ExcelFIX)" xfId="1872"/>
    <cellStyle name="_K-SWISS T11 XUAT 20-11_GIAY LANH T11 LAN 3_GIAY LANH T12 CO T11 15-12X  CO T12 (ExcelFIX)-old_K-SWISS T12 LAN 2 22-12X (ExcelFIX)_6.2.15 XUAT_K-SWISS T01 DAO LAM MY CAN BANG CHUA XUAT10-2X" xfId="1873"/>
    <cellStyle name="_K-SWISS T11 XUAT 20-11_GIAY LANH T11 LAN 3_GIAY LANH T12 CO T11 15-12X  CO T12 (ExcelFIX)-old_K-SWISS T12 LAN 2 22-12X (ExcelFIX)_DM CHUA XUAT-23.1.15" xfId="1874"/>
    <cellStyle name="_K-SWISS T11 XUAT 20-11_GIAY LANH T11 LAN 3_GIAY LANH T12 CO T11 15-12X  CO T12 (ExcelFIX)-old_K-SWISS T12 LAN 2 22-12X (ExcelFIX)_DM CHUA XUAT-23.1.15_K-SWISS T01 30-1 (ExcelFIX)" xfId="1875"/>
    <cellStyle name="_K-SWISS T11 XUAT 20-11_GIAY LANH T11 LAN 3_GIAY LANH T12 CO T11 15-12X  CO T12 (ExcelFIX)-old_K-SWISS T12 LAN 2 22-12X (ExcelFIX)_DM CHUA XUAT-23.1.15_K-SWISS T01 DAO LAM MY CAN BANG CHUA XUAT10-2X" xfId="1876"/>
    <cellStyle name="_K-SWISS T11 XUAT 20-11_GIAY LANH T11 LAN 3_GIAY LANH T12 CO T11 15-12X  CO T12 (ExcelFIX)-old_K-SWISS T12 LAN 2 22-12X (ExcelFIX)_KS 6-3X" xfId="1877"/>
    <cellStyle name="_K-SWISS T11 XUAT 20-11_GIAY LANH T11 LAN 3_GIAY LANH T12 CO T11 15-12X  CO T12 (ExcelFIX)-old_K-SWISS T12 LAN 2 22-12X (ExcelFIX)_K-SWISS 30.1 XUAT" xfId="1878"/>
    <cellStyle name="_K-SWISS T11 XUAT 20-11_GIAY LANH T11 LAN 3_GIAY LANH T12 CO T11 15-12X  CO T12 (ExcelFIX)-old_K-SWISS T12 LAN 2 22-12X (ExcelFIX)_K-SWISS T01 10-2X (ExcelFIX)" xfId="1879"/>
    <cellStyle name="_K-SWISS T11 XUAT 20-11_GIAY LANH T11 LAN 3_GIAY LANH T12 CO T11 15-12X  CO T12 (ExcelFIX)-old_K-SWISS T12 LAN 2 22-12X (ExcelFIX)_K-SWISS T01 30-1 (ExcelFIX)" xfId="1880"/>
    <cellStyle name="_K-SWISS T11 XUAT 20-11_GIAY LANH T11 LAN 3_GIAY LANH T12 CO T11 15-12X  CO T12 (ExcelFIX)-old_K-SWISS T12 LAN 2 22-12X (ExcelFIX)_K-SWISS T01 DAO LAM MY CAN BANG CHUA XUAT10-2X" xfId="1881"/>
    <cellStyle name="_K-SWISS T11 XUAT 20-11_GIAY LANH T11 LAN 3_GIAY LANH T12 CO T11 15-12X  CO T12 (ExcelFIX)-old_K-SWISS T12 LAN 2 22-12X (ExcelFIX)_K-SWISS T01 LAN 2 DOI XUAT WEAR 2-2X HC OK, M1 OK " xfId="1882"/>
    <cellStyle name="_K-SWISS T11 XUAT 20-11_GIAY LANH T11 LAN 3_GIAY LANH T12 CO T11 15-12X  CO T12 (ExcelFIX)-old_K-SWISS T12 LAN 2 22-12X (ExcelFIX)_K-SWISS-GIAY LANH T01 19-1X" xfId="1883"/>
    <cellStyle name="_K-SWISS T11 XUAT 20-11_GIAY LANH T11 LAN 3_GIAY LANH T12 CO T11 15-12X  CO T12 (ExcelFIX)-old_K-SWISS T12 LAN 2 22-12X (ExcelFIX)_PALLADIUM T01 XUAT 23.1 LAN 2 (ExcelFIX)" xfId="1884"/>
    <cellStyle name="_K-SWISS T11 XUAT 20-11_GIAY LANH T11 LAN 3_GIAY LANH T12 CO T11 15-12X  CO T12 (ExcelFIX)-old_K-SWISS T12 LAN 2 22-12X (ExcelFIX)_PALLADIUM T01 XUAT 8.2 (ExcelFIX)" xfId="1885"/>
    <cellStyle name="_K-SWISS T11 XUAT 20-11_GIAY LANH T11 LAN 3_GIAY LANH T12 CO T11 15-12X  CO T12 (ExcelFIX)-old_K-SWISS T12 LAN 2 22-12X (ExcelFIX)_PALLADIUM T01xuat 23.1 (ExcelFIX)" xfId="1886"/>
    <cellStyle name="_K-SWISS T11 XUAT 20-11_GIAY LANH T11 LAN 3_GIAY LANH T12 CO T11 15-12X  CO T12 (ExcelFIX)-old_K-SWISS T12 LAN 2 22-12X (ExcelFIX)_PALLADIUM T01xuat 23.1 LAN 1 (ExcelFIX)" xfId="1887"/>
    <cellStyle name="_K-SWISS T11 XUAT 20-11_GIAY LANH T11 LAN 3_GIAY LANH T12 CO T11 15-12X  CO T12 (ExcelFIX)-old_K-SWISS T12 LAN 2 22-12X (ExcelFIX)_PALLADIUM-CXXUAT 6.2" xfId="1888"/>
    <cellStyle name="_K-SWISS T11 XUAT 20-11_GIAY LANH T11 LAN 3_GIAY LANH T12 CO T11 15-12X  CO T12 (ExcelFIX)-old_K-SWISS T12 LAN 2 22-12X (ExcelFIX)_PALLADIUM-CXXUAT 9.2" xfId="1889"/>
    <cellStyle name="_K-SWISS T11 XUAT 20-11_GIAY LANH T11 LAN 3_GIAY LANH T12 CO T11 15-12X  CO T12 (ExcelFIX)-old_K-SWISS T12 LAN 2 22-12X (ExcelFIX)_PALLADIUM-CXXUAT CHUA CO NGAY XUAT" xfId="1890"/>
    <cellStyle name="_K-SWISS T11 XUAT 20-11_GIAY LANH T11 LAN 3_GIAY LANH T12 CO T11 15-12X  CO T12 (ExcelFIX)-old_K-SWISS T12 LAN 2 22-12X (ExcelFIX)_SD1502-053,054 XUAT 2.3 (ExcelFIX)" xfId="1891"/>
    <cellStyle name="_K-SWISS T11 XUAT 20-11_GIAY LANH T11 LAN 3_GIAY LANH T12 CO T11 15-12X  CO T12 (ExcelFIX)-old_K-SWISS T12 LAN 2 22-12X (ExcelFIX)_SWS1502-155,156,159~166 XUAT 6.3" xfId="1892"/>
    <cellStyle name="_K-SWISS T11 XUAT 20-11_GIAY LANH T11 LAN 3_GIAY LANH T12 CO T11 15-12X  CO T12 (ExcelFIX)-old_K-SWISS T12 LAN 2 22-12X (ExcelFIX)_SWS1502-167" xfId="1893"/>
    <cellStyle name="_K-SWISS T11 XUAT 20-11_GIAY LANH T11 LAN 3_GIAY LANH T12 LAN 1 22-24-12X (ExcelFIX)" xfId="1894"/>
    <cellStyle name="_K-SWISS T11 XUAT 20-11_GIAY LANH T11 LAN 3_GIAY LANH T12 LAN 1 22-24-12X DA OK GOI (ExcelFIX) (ExcelFIX)" xfId="1895"/>
    <cellStyle name="_K-SWISS T11 XUAT 20-11_GIAY LANH T11 LAN 3_GIAY LANH T12 LAN 1 22-24-12X DA OK GOI DAO (ExcelFIX)" xfId="1896"/>
    <cellStyle name="_K-SWISS T11 XUAT 20-11_GIAY LANH T11 LAN 3_GIAY LANH T12 LAN 2 XUAT 22-24-12  MAT 2 ROI CAN BANG" xfId="1897"/>
    <cellStyle name="_K-SWISS T11 XUAT 20-11_GIAY LANH T11 LAN 3_GIAY LANH T12 LAN 2 XUAT 22-24-12  MAT 2 ROI CAN BANG_1" xfId="1898"/>
    <cellStyle name="_K-SWISS T11 XUAT 20-11_GIAY LANH T11 LAN 3_GIAY LANH T12 LAN 2 XUAT 22-24-12  MAT 2 ROI CAN BANG_1_KS 6-3X" xfId="1899"/>
    <cellStyle name="_K-SWISS T11 XUAT 20-11_GIAY LANH T11 LAN 3_GIAY LANH T12 LAN 2 XUAT 22-24-12  MAT 2 ROI CAN BANG_1_K-SWISS T01 10-2X (ExcelFIX)" xfId="1900"/>
    <cellStyle name="_K-SWISS T11 XUAT 20-11_GIAY LANH T11 LAN 3_GIAY LANH T12 LAN 2 XUAT 22-24-12  MAT 2 ROI CAN BANG_1_K-SWISS T01 30-1 (ExcelFIX)" xfId="1901"/>
    <cellStyle name="_K-SWISS T11 XUAT 20-11_GIAY LANH T11 LAN 3_GIAY LANH T12 LAN 2 XUAT 22-24-12  MAT 2 ROI CAN BANG_1_K-SWISS T01 DAO LAM MY CAN BANG CHUA XUAT10-2X" xfId="1902"/>
    <cellStyle name="_K-SWISS T11 XUAT 20-11_GIAY LANH T11 LAN 3_GIAY LANH T12 LAN 2 XUAT 22-24-12  MAT 2 ROI CAN BANG_1_K-SWISS T01 LAN 2 DOI XUAT WEAR 2-2X HC OK, M1 OK " xfId="1903"/>
    <cellStyle name="_K-SWISS T11 XUAT 20-11_GIAY LANH T11 LAN 3_GIAY LANH T12 LAN 2 XUAT 22-24-12  MAT 2 ROI CAN BANG_1_SD1502-053,054 XUAT 2.3 (ExcelFIX)" xfId="1904"/>
    <cellStyle name="_K-SWISS T11 XUAT 20-11_GIAY LANH T11 LAN 3_GIAY LANH T12 LAN 2 XUAT 22-24-12  MAT 2 ROI CAN BANG_1_SWS1502-155,156,159~166 XUAT 6.3" xfId="1905"/>
    <cellStyle name="_K-SWISS T11 XUAT 20-11_GIAY LANH T11 LAN 3_GIAY LANH T12 LAN 2 XUAT 22-24-12  MAT 2 ROI CAN BANG_DM" xfId="1906"/>
    <cellStyle name="_K-SWISS T11 XUAT 20-11_GIAY LANH T11 LAN 3_GIAY LANH T12 LAN 2 XUAT 22-24-12  MAT 2 ROI CAN BANG_GIAY LANH T12-HAP 27-12X" xfId="1907"/>
    <cellStyle name="_K-SWISS T11 XUAT 20-11_GIAY LANH T11 LAN 3_GIAY LANH T12 LAN 2 XUAT 22-24-12  MAT 2 ROI CAN BANG_GIAY LANH T12-HAP 27-12X_1PALLADIUM T01 XUAT 8.2 (ExcelFIX)" xfId="1908"/>
    <cellStyle name="_K-SWISS T11 XUAT 20-11_GIAY LANH T11 LAN 3_GIAY LANH T12 LAN 2 XUAT 22-24-12  MAT 2 ROI CAN BANG_GIAY LANH T12-HAP 27-12X_1PALLADIUM T02 XUAT (ExcelFIX)" xfId="1909"/>
    <cellStyle name="_K-SWISS T11 XUAT 20-11_GIAY LANH T11 LAN 3_GIAY LANH T12 LAN 2 XUAT 22-24-12  MAT 2 ROI CAN BANG_GIAY LANH T12-HAP 27-12X_6.2.15 XUAT" xfId="1910"/>
    <cellStyle name="_K-SWISS T11 XUAT 20-11_GIAY LANH T11 LAN 3_GIAY LANH T12 LAN 2 XUAT 22-24-12  MAT 2 ROI CAN BANG_GIAY LANH T12-HAP 27-12X_6.2.15 XUAT_K-SWISS T01 30-1 (ExcelFIX)" xfId="1911"/>
    <cellStyle name="_K-SWISS T11 XUAT 20-11_GIAY LANH T11 LAN 3_GIAY LANH T12 LAN 2 XUAT 22-24-12  MAT 2 ROI CAN BANG_GIAY LANH T12-HAP 27-12X_6.2.15 XUAT_K-SWISS T01 DAO LAM MY CAN BANG CHUA XUAT10-2X" xfId="1912"/>
    <cellStyle name="_K-SWISS T11 XUAT 20-11_GIAY LANH T11 LAN 3_GIAY LANH T12 LAN 2 XUAT 22-24-12  MAT 2 ROI CAN BANG_GIAY LANH T12-HAP 27-12X_DM CHUA XUAT-23.1.15" xfId="1913"/>
    <cellStyle name="_K-SWISS T11 XUAT 20-11_GIAY LANH T11 LAN 3_GIAY LANH T12 LAN 2 XUAT 22-24-12  MAT 2 ROI CAN BANG_GIAY LANH T12-HAP 27-12X_DM CHUA XUAT-23.1.15_K-SWISS T01 30-1 (ExcelFIX)" xfId="1914"/>
    <cellStyle name="_K-SWISS T11 XUAT 20-11_GIAY LANH T11 LAN 3_GIAY LANH T12 LAN 2 XUAT 22-24-12  MAT 2 ROI CAN BANG_GIAY LANH T12-HAP 27-12X_DM CHUA XUAT-23.1.15_K-SWISS T01 DAO LAM MY CAN BANG CHUA XUAT10-2X" xfId="1915"/>
    <cellStyle name="_K-SWISS T11 XUAT 20-11_GIAY LANH T11 LAN 3_GIAY LANH T12 LAN 2 XUAT 22-24-12  MAT 2 ROI CAN BANG_GIAY LANH T12-HAP 27-12X_KS 6-3X" xfId="1916"/>
    <cellStyle name="_K-SWISS T11 XUAT 20-11_GIAY LANH T11 LAN 3_GIAY LANH T12 LAN 2 XUAT 22-24-12  MAT 2 ROI CAN BANG_GIAY LANH T12-HAP 27-12X_K-SWISS 30.1 XUAT" xfId="1917"/>
    <cellStyle name="_K-SWISS T11 XUAT 20-11_GIAY LANH T11 LAN 3_GIAY LANH T12 LAN 2 XUAT 22-24-12  MAT 2 ROI CAN BANG_GIAY LANH T12-HAP 27-12X_K-SWISS T01 10-2X (ExcelFIX)" xfId="1918"/>
    <cellStyle name="_K-SWISS T11 XUAT 20-11_GIAY LANH T11 LAN 3_GIAY LANH T12 LAN 2 XUAT 22-24-12  MAT 2 ROI CAN BANG_GIAY LANH T12-HAP 27-12X_K-SWISS T01 30-1 (ExcelFIX)" xfId="1919"/>
    <cellStyle name="_K-SWISS T11 XUAT 20-11_GIAY LANH T11 LAN 3_GIAY LANH T12 LAN 2 XUAT 22-24-12  MAT 2 ROI CAN BANG_GIAY LANH T12-HAP 27-12X_K-SWISS T01 DAO LAM MY CAN BANG CHUA XUAT10-2X" xfId="1920"/>
    <cellStyle name="_K-SWISS T11 XUAT 20-11_GIAY LANH T11 LAN 3_GIAY LANH T12 LAN 2 XUAT 22-24-12  MAT 2 ROI CAN BANG_GIAY LANH T12-HAP 27-12X_K-SWISS T01 LAN 2 DOI XUAT WEAR 2-2X HC OK, M1 OK " xfId="1921"/>
    <cellStyle name="_K-SWISS T11 XUAT 20-11_GIAY LANH T11 LAN 3_GIAY LANH T12 LAN 2 XUAT 22-24-12  MAT 2 ROI CAN BANG_GIAY LANH T12-HAP 27-12X_K-SWISS-GIAY LANH T01 19-1X" xfId="1922"/>
    <cellStyle name="_K-SWISS T11 XUAT 20-11_GIAY LANH T11 LAN 3_GIAY LANH T12 LAN 2 XUAT 22-24-12  MAT 2 ROI CAN BANG_GIAY LANH T12-HAP 27-12X_PALLADIUM T01 XUAT 23.1 LAN 2 (ExcelFIX)" xfId="1923"/>
    <cellStyle name="_K-SWISS T11 XUAT 20-11_GIAY LANH T11 LAN 3_GIAY LANH T12 LAN 2 XUAT 22-24-12  MAT 2 ROI CAN BANG_GIAY LANH T12-HAP 27-12X_PALLADIUM T01 XUAT 8.2 (ExcelFIX)" xfId="1924"/>
    <cellStyle name="_K-SWISS T11 XUAT 20-11_GIAY LANH T11 LAN 3_GIAY LANH T12 LAN 2 XUAT 22-24-12  MAT 2 ROI CAN BANG_GIAY LANH T12-HAP 27-12X_PALLADIUM T01xuat 23.1 (ExcelFIX)" xfId="1925"/>
    <cellStyle name="_K-SWISS T11 XUAT 20-11_GIAY LANH T11 LAN 3_GIAY LANH T12 LAN 2 XUAT 22-24-12  MAT 2 ROI CAN BANG_GIAY LANH T12-HAP 27-12X_PALLADIUM T01xuat 23.1 LAN 1 (ExcelFIX)" xfId="1926"/>
    <cellStyle name="_K-SWISS T11 XUAT 20-11_GIAY LANH T11 LAN 3_GIAY LANH T12 LAN 2 XUAT 22-24-12  MAT 2 ROI CAN BANG_GIAY LANH T12-HAP 27-12X_PALLADIUM-CXXUAT 6.2" xfId="1927"/>
    <cellStyle name="_K-SWISS T11 XUAT 20-11_GIAY LANH T11 LAN 3_GIAY LANH T12 LAN 2 XUAT 22-24-12  MAT 2 ROI CAN BANG_GIAY LANH T12-HAP 27-12X_PALLADIUM-CXXUAT 9.2" xfId="1928"/>
    <cellStyle name="_K-SWISS T11 XUAT 20-11_GIAY LANH T11 LAN 3_GIAY LANH T12 LAN 2 XUAT 22-24-12  MAT 2 ROI CAN BANG_GIAY LANH T12-HAP 27-12X_PALLADIUM-CXXUAT CHUA CO NGAY XUAT" xfId="1929"/>
    <cellStyle name="_K-SWISS T11 XUAT 20-11_GIAY LANH T11 LAN 3_GIAY LANH T12 LAN 2 XUAT 22-24-12  MAT 2 ROI CAN BANG_GIAY LANH T12-HAP 27-12X_SD1502-053,054 XUAT 2.3 (ExcelFIX)" xfId="1930"/>
    <cellStyle name="_K-SWISS T11 XUAT 20-11_GIAY LANH T11 LAN 3_GIAY LANH T12 LAN 2 XUAT 22-24-12  MAT 2 ROI CAN BANG_GIAY LANH T12-HAP 27-12X_SWS1502-155,156,159~166 XUAT 6.3" xfId="1931"/>
    <cellStyle name="_K-SWISS T11 XUAT 20-11_GIAY LANH T11 LAN 3_GIAY LANH T12 LAN 2 XUAT 22-24-12  MAT 2 ROI CAN BANG_GIAY LANH T12-HAP 27-12X_SWS1502-167" xfId="1932"/>
    <cellStyle name="_K-SWISS T11 XUAT 20-11_GIAY LANH T11 LAN 3_GIAY LANH T12 LAN 2 XUAT 22-24-12  MAT 2 ROI CAN BANG_K-SWISS T12 LAN 2 22-12X (ExcelFIX)" xfId="1933"/>
    <cellStyle name="_K-SWISS T11 XUAT 20-11_GIAY LANH T11 LAN 3_GIAY LANH T12 LAN 2 XUAT 22-24-12  MAT 2 ROI CAN BANG_K-SWISS T12 LAN 2 22-12X (ExcelFIX)_1PALLADIUM T01 XUAT 8.2 (ExcelFIX)" xfId="1934"/>
    <cellStyle name="_K-SWISS T11 XUAT 20-11_GIAY LANH T11 LAN 3_GIAY LANH T12 LAN 2 XUAT 22-24-12  MAT 2 ROI CAN BANG_K-SWISS T12 LAN 2 22-12X (ExcelFIX)_1PALLADIUM T02 XUAT (ExcelFIX)" xfId="1935"/>
    <cellStyle name="_K-SWISS T11 XUAT 20-11_GIAY LANH T11 LAN 3_GIAY LANH T12 LAN 2 XUAT 22-24-12  MAT 2 ROI CAN BANG_K-SWISS T12 LAN 2 22-12X (ExcelFIX)_6.2.15 XUAT" xfId="1936"/>
    <cellStyle name="_K-SWISS T11 XUAT 20-11_GIAY LANH T11 LAN 3_GIAY LANH T12 LAN 2 XUAT 22-24-12  MAT 2 ROI CAN BANG_K-SWISS T12 LAN 2 22-12X (ExcelFIX)_6.2.15 XUAT_K-SWISS T01 30-1 (ExcelFIX)" xfId="1937"/>
    <cellStyle name="_K-SWISS T11 XUAT 20-11_GIAY LANH T11 LAN 3_GIAY LANH T12 LAN 2 XUAT 22-24-12  MAT 2 ROI CAN BANG_K-SWISS T12 LAN 2 22-12X (ExcelFIX)_6.2.15 XUAT_K-SWISS T01 DAO LAM MY CAN BANG CHUA XUAT10-2X" xfId="1938"/>
    <cellStyle name="_K-SWISS T11 XUAT 20-11_GIAY LANH T11 LAN 3_GIAY LANH T12 LAN 2 XUAT 22-24-12  MAT 2 ROI CAN BANG_K-SWISS T12 LAN 2 22-12X (ExcelFIX)_DM CHUA XUAT-23.1.15" xfId="1939"/>
    <cellStyle name="_K-SWISS T11 XUAT 20-11_GIAY LANH T11 LAN 3_GIAY LANH T12 LAN 2 XUAT 22-24-12  MAT 2 ROI CAN BANG_K-SWISS T12 LAN 2 22-12X (ExcelFIX)_DM CHUA XUAT-23.1.15_K-SWISS T01 30-1 (ExcelFIX)" xfId="1940"/>
    <cellStyle name="_K-SWISS T11 XUAT 20-11_GIAY LANH T11 LAN 3_GIAY LANH T12 LAN 2 XUAT 22-24-12  MAT 2 ROI CAN BANG_K-SWISS T12 LAN 2 22-12X (ExcelFIX)_DM CHUA XUAT-23.1.15_K-SWISS T01 DAO LAM MY CAN BANG CHUA XUAT10-2X" xfId="1941"/>
    <cellStyle name="_K-SWISS T11 XUAT 20-11_GIAY LANH T11 LAN 3_GIAY LANH T12 LAN 2 XUAT 22-24-12  MAT 2 ROI CAN BANG_K-SWISS T12 LAN 2 22-12X (ExcelFIX)_KS 6-3X" xfId="1942"/>
    <cellStyle name="_K-SWISS T11 XUAT 20-11_GIAY LANH T11 LAN 3_GIAY LANH T12 LAN 2 XUAT 22-24-12  MAT 2 ROI CAN BANG_K-SWISS T12 LAN 2 22-12X (ExcelFIX)_K-SWISS 30.1 XUAT" xfId="1943"/>
    <cellStyle name="_K-SWISS T11 XUAT 20-11_GIAY LANH T11 LAN 3_GIAY LANH T12 LAN 2 XUAT 22-24-12  MAT 2 ROI CAN BANG_K-SWISS T12 LAN 2 22-12X (ExcelFIX)_K-SWISS T01 10-2X (ExcelFIX)" xfId="1944"/>
    <cellStyle name="_K-SWISS T11 XUAT 20-11_GIAY LANH T11 LAN 3_GIAY LANH T12 LAN 2 XUAT 22-24-12  MAT 2 ROI CAN BANG_K-SWISS T12 LAN 2 22-12X (ExcelFIX)_K-SWISS T01 30-1 (ExcelFIX)" xfId="1945"/>
    <cellStyle name="_K-SWISS T11 XUAT 20-11_GIAY LANH T11 LAN 3_GIAY LANH T12 LAN 2 XUAT 22-24-12  MAT 2 ROI CAN BANG_K-SWISS T12 LAN 2 22-12X (ExcelFIX)_K-SWISS T01 DAO LAM MY CAN BANG CHUA XUAT10-2X" xfId="1946"/>
    <cellStyle name="_K-SWISS T11 XUAT 20-11_GIAY LANH T11 LAN 3_GIAY LANH T12 LAN 2 XUAT 22-24-12  MAT 2 ROI CAN BANG_K-SWISS T12 LAN 2 22-12X (ExcelFIX)_K-SWISS T01 LAN 2 DOI XUAT WEAR 2-2X HC OK, M1 OK " xfId="1947"/>
    <cellStyle name="_K-SWISS T11 XUAT 20-11_GIAY LANH T11 LAN 3_GIAY LANH T12 LAN 2 XUAT 22-24-12  MAT 2 ROI CAN BANG_K-SWISS T12 LAN 2 22-12X (ExcelFIX)_K-SWISS-GIAY LANH T01 19-1X" xfId="1948"/>
    <cellStyle name="_K-SWISS T11 XUAT 20-11_GIAY LANH T11 LAN 3_GIAY LANH T12 LAN 2 XUAT 22-24-12  MAT 2 ROI CAN BANG_K-SWISS T12 LAN 2 22-12X (ExcelFIX)_PALLADIUM T01 XUAT 23.1 LAN 2 (ExcelFIX)" xfId="1949"/>
    <cellStyle name="_K-SWISS T11 XUAT 20-11_GIAY LANH T11 LAN 3_GIAY LANH T12 LAN 2 XUAT 22-24-12  MAT 2 ROI CAN BANG_K-SWISS T12 LAN 2 22-12X (ExcelFIX)_PALLADIUM T01 XUAT 8.2 (ExcelFIX)" xfId="1950"/>
    <cellStyle name="_K-SWISS T11 XUAT 20-11_GIAY LANH T11 LAN 3_GIAY LANH T12 LAN 2 XUAT 22-24-12  MAT 2 ROI CAN BANG_K-SWISS T12 LAN 2 22-12X (ExcelFIX)_PALLADIUM T01xuat 23.1 (ExcelFIX)" xfId="1951"/>
    <cellStyle name="_K-SWISS T11 XUAT 20-11_GIAY LANH T11 LAN 3_GIAY LANH T12 LAN 2 XUAT 22-24-12  MAT 2 ROI CAN BANG_K-SWISS T12 LAN 2 22-12X (ExcelFIX)_PALLADIUM T01xuat 23.1 LAN 1 (ExcelFIX)" xfId="1952"/>
    <cellStyle name="_K-SWISS T11 XUAT 20-11_GIAY LANH T11 LAN 3_GIAY LANH T12 LAN 2 XUAT 22-24-12  MAT 2 ROI CAN BANG_K-SWISS T12 LAN 2 22-12X (ExcelFIX)_PALLADIUM-CXXUAT 6.2" xfId="1953"/>
    <cellStyle name="_K-SWISS T11 XUAT 20-11_GIAY LANH T11 LAN 3_GIAY LANH T12 LAN 2 XUAT 22-24-12  MAT 2 ROI CAN BANG_K-SWISS T12 LAN 2 22-12X (ExcelFIX)_PALLADIUM-CXXUAT 9.2" xfId="1954"/>
    <cellStyle name="_K-SWISS T11 XUAT 20-11_GIAY LANH T11 LAN 3_GIAY LANH T12 LAN 2 XUAT 22-24-12  MAT 2 ROI CAN BANG_K-SWISS T12 LAN 2 22-12X (ExcelFIX)_PALLADIUM-CXXUAT CHUA CO NGAY XUAT" xfId="1955"/>
    <cellStyle name="_K-SWISS T11 XUAT 20-11_GIAY LANH T11 LAN 3_GIAY LANH T12 LAN 2 XUAT 22-24-12  MAT 2 ROI CAN BANG_K-SWISS T12 LAN 2 22-12X (ExcelFIX)_SD1502-053,054 XUAT 2.3 (ExcelFIX)" xfId="1956"/>
    <cellStyle name="_K-SWISS T11 XUAT 20-11_GIAY LANH T11 LAN 3_GIAY LANH T12 LAN 2 XUAT 22-24-12  MAT 2 ROI CAN BANG_K-SWISS T12 LAN 2 22-12X (ExcelFIX)_SWS1502-155,156,159~166 XUAT 6.3" xfId="1957"/>
    <cellStyle name="_K-SWISS T11 XUAT 20-11_GIAY LANH T11 LAN 3_GIAY LANH T12 LAN 2 XUAT 22-24-12  MAT 2 ROI CAN BANG_K-SWISS T12 LAN 2 22-12X (ExcelFIX)_SWS1502-167" xfId="1958"/>
    <cellStyle name="_K-SWISS T11 XUAT 20-11_GIAY LANH T11 LAN 3_GIAY LANH T12 LAN 3 XUAT co 78B  22-12" xfId="1959"/>
    <cellStyle name="_K-SWISS T11 XUAT 20-11_GIAY LANH T11 LAN 3_GIAY LANH T12-HAP" xfId="1960"/>
    <cellStyle name="_K-SWISS T11 XUAT 20-11_GIAY LANH T11 LAN 3_GIAY LANH T12-HAP 27-12X" xfId="1961"/>
    <cellStyle name="_K-SWISS T11 XUAT 20-11_GIAY LANH T11 LAN 3_K-SWISS T12 25-12X" xfId="1962"/>
    <cellStyle name="_K-SWISS T11 XUAT 20-11_GIAY LANH T11 LAN 3_K-SWISS T12 25-12X_GIAY LANH T12-HAP 27-12X" xfId="1963"/>
    <cellStyle name="_K-SWISS T11 XUAT 20-11_GIAY LANH T11 LAN 3_K-SWISS T12 25-12X_GIAY LANH T12-HAP 27-12X_1PALLADIUM T01 XUAT 8.2 (ExcelFIX)" xfId="1964"/>
    <cellStyle name="_K-SWISS T11 XUAT 20-11_GIAY LANH T11 LAN 3_K-SWISS T12 25-12X_GIAY LANH T12-HAP 27-12X_1PALLADIUM T02 XUAT (ExcelFIX)" xfId="1965"/>
    <cellStyle name="_K-SWISS T11 XUAT 20-11_GIAY LANH T11 LAN 3_K-SWISS T12 25-12X_GIAY LANH T12-HAP 27-12X_6.2.15 XUAT" xfId="1966"/>
    <cellStyle name="_K-SWISS T11 XUAT 20-11_GIAY LANH T11 LAN 3_K-SWISS T12 25-12X_GIAY LANH T12-HAP 27-12X_6.2.15 XUAT_K-SWISS T01 30-1 (ExcelFIX)" xfId="1967"/>
    <cellStyle name="_K-SWISS T11 XUAT 20-11_GIAY LANH T11 LAN 3_K-SWISS T12 25-12X_GIAY LANH T12-HAP 27-12X_6.2.15 XUAT_K-SWISS T01 DAO LAM MY CAN BANG CHUA XUAT10-2X" xfId="1968"/>
    <cellStyle name="_K-SWISS T11 XUAT 20-11_GIAY LANH T11 LAN 3_K-SWISS T12 25-12X_GIAY LANH T12-HAP 27-12X_DM CHUA XUAT-23.1.15" xfId="1969"/>
    <cellStyle name="_K-SWISS T11 XUAT 20-11_GIAY LANH T11 LAN 3_K-SWISS T12 25-12X_GIAY LANH T12-HAP 27-12X_DM CHUA XUAT-23.1.15_K-SWISS T01 30-1 (ExcelFIX)" xfId="1970"/>
    <cellStyle name="_K-SWISS T11 XUAT 20-11_GIAY LANH T11 LAN 3_K-SWISS T12 25-12X_GIAY LANH T12-HAP 27-12X_DM CHUA XUAT-23.1.15_K-SWISS T01 DAO LAM MY CAN BANG CHUA XUAT10-2X" xfId="1971"/>
    <cellStyle name="_K-SWISS T11 XUAT 20-11_GIAY LANH T11 LAN 3_K-SWISS T12 25-12X_GIAY LANH T12-HAP 27-12X_KS 6-3X" xfId="1972"/>
    <cellStyle name="_K-SWISS T11 XUAT 20-11_GIAY LANH T11 LAN 3_K-SWISS T12 25-12X_GIAY LANH T12-HAP 27-12X_K-SWISS 30.1 XUAT" xfId="1973"/>
    <cellStyle name="_K-SWISS T11 XUAT 20-11_GIAY LANH T11 LAN 3_K-SWISS T12 25-12X_GIAY LANH T12-HAP 27-12X_K-SWISS T01 10-2X (ExcelFIX)" xfId="1974"/>
    <cellStyle name="_K-SWISS T11 XUAT 20-11_GIAY LANH T11 LAN 3_K-SWISS T12 25-12X_GIAY LANH T12-HAP 27-12X_K-SWISS T01 30-1 (ExcelFIX)" xfId="1975"/>
    <cellStyle name="_K-SWISS T11 XUAT 20-11_GIAY LANH T11 LAN 3_K-SWISS T12 25-12X_GIAY LANH T12-HAP 27-12X_K-SWISS T01 DAO LAM MY CAN BANG CHUA XUAT10-2X" xfId="1976"/>
    <cellStyle name="_K-SWISS T11 XUAT 20-11_GIAY LANH T11 LAN 3_K-SWISS T12 25-12X_GIAY LANH T12-HAP 27-12X_K-SWISS T01 LAN 2 DOI XUAT WEAR 2-2X HC OK, M1 OK " xfId="1977"/>
    <cellStyle name="_K-SWISS T11 XUAT 20-11_GIAY LANH T11 LAN 3_K-SWISS T12 25-12X_GIAY LANH T12-HAP 27-12X_K-SWISS-GIAY LANH T01 19-1X" xfId="1978"/>
    <cellStyle name="_K-SWISS T11 XUAT 20-11_GIAY LANH T11 LAN 3_K-SWISS T12 25-12X_GIAY LANH T12-HAP 27-12X_PALLADIUM T01 XUAT 23.1 LAN 2 (ExcelFIX)" xfId="1979"/>
    <cellStyle name="_K-SWISS T11 XUAT 20-11_GIAY LANH T11 LAN 3_K-SWISS T12 25-12X_GIAY LANH T12-HAP 27-12X_PALLADIUM T01 XUAT 8.2 (ExcelFIX)" xfId="1980"/>
    <cellStyle name="_K-SWISS T11 XUAT 20-11_GIAY LANH T11 LAN 3_K-SWISS T12 25-12X_GIAY LANH T12-HAP 27-12X_PALLADIUM T01xuat 23.1 (ExcelFIX)" xfId="1981"/>
    <cellStyle name="_K-SWISS T11 XUAT 20-11_GIAY LANH T11 LAN 3_K-SWISS T12 25-12X_GIAY LANH T12-HAP 27-12X_PALLADIUM T01xuat 23.1 LAN 1 (ExcelFIX)" xfId="1982"/>
    <cellStyle name="_K-SWISS T11 XUAT 20-11_GIAY LANH T11 LAN 3_K-SWISS T12 25-12X_GIAY LANH T12-HAP 27-12X_PALLADIUM-CXXUAT 6.2" xfId="1983"/>
    <cellStyle name="_K-SWISS T11 XUAT 20-11_GIAY LANH T11 LAN 3_K-SWISS T12 25-12X_GIAY LANH T12-HAP 27-12X_PALLADIUM-CXXUAT 9.2" xfId="1984"/>
    <cellStyle name="_K-SWISS T11 XUAT 20-11_GIAY LANH T11 LAN 3_K-SWISS T12 25-12X_GIAY LANH T12-HAP 27-12X_PALLADIUM-CXXUAT CHUA CO NGAY XUAT" xfId="1985"/>
    <cellStyle name="_K-SWISS T11 XUAT 20-11_GIAY LANH T11 LAN 3_K-SWISS T12 25-12X_GIAY LANH T12-HAP 27-12X_SD1502-053,054 XUAT 2.3 (ExcelFIX)" xfId="1986"/>
    <cellStyle name="_K-SWISS T11 XUAT 20-11_GIAY LANH T11 LAN 3_K-SWISS T12 25-12X_GIAY LANH T12-HAP 27-12X_SWS1502-155,156,159~166 XUAT 6.3" xfId="1987"/>
    <cellStyle name="_K-SWISS T11 XUAT 20-11_GIAY LANH T11 LAN 3_K-SWISS T12 25-12X_GIAY LANH T12-HAP 27-12X_SWS1502-167" xfId="1988"/>
    <cellStyle name="_K-SWISS T11 XUAT 20-11_GIAY LANH T11 LAN 3_K-SWISS T12 LAN 1" xfId="1989"/>
    <cellStyle name="_K-SWISS T11 XUAT 20-11_GIAY LANH T11 LAN 3_K-SWISS T12 LAN 1 (ExcelFIX)" xfId="1990"/>
    <cellStyle name="_K-SWISS T11 XUAT 20-11_GIAY LANH T11 LAN 3_K-SWISS T12 LAN 1_GIAY LANH T12-HAP 27-12X" xfId="1991"/>
    <cellStyle name="_K-SWISS T11 XUAT 20-11_GIAY LANH T11 LAN 3_K-SWISS T12 LAN 1_GIAY LANH T12-HAP 27-12X_1PALLADIUM T01 XUAT 8.2 (ExcelFIX)" xfId="1992"/>
    <cellStyle name="_K-SWISS T11 XUAT 20-11_GIAY LANH T11 LAN 3_K-SWISS T12 LAN 1_GIAY LANH T12-HAP 27-12X_1PALLADIUM T02 XUAT (ExcelFIX)" xfId="1993"/>
    <cellStyle name="_K-SWISS T11 XUAT 20-11_GIAY LANH T11 LAN 3_K-SWISS T12 LAN 1_GIAY LANH T12-HAP 27-12X_6.2.15 XUAT" xfId="1994"/>
    <cellStyle name="_K-SWISS T11 XUAT 20-11_GIAY LANH T11 LAN 3_K-SWISS T12 LAN 1_GIAY LANH T12-HAP 27-12X_6.2.15 XUAT_K-SWISS T01 30-1 (ExcelFIX)" xfId="1995"/>
    <cellStyle name="_K-SWISS T11 XUAT 20-11_GIAY LANH T11 LAN 3_K-SWISS T12 LAN 1_GIAY LANH T12-HAP 27-12X_6.2.15 XUAT_K-SWISS T01 DAO LAM MY CAN BANG CHUA XUAT10-2X" xfId="1996"/>
    <cellStyle name="_K-SWISS T11 XUAT 20-11_GIAY LANH T11 LAN 3_K-SWISS T12 LAN 1_GIAY LANH T12-HAP 27-12X_DM CHUA XUAT-23.1.15" xfId="1997"/>
    <cellStyle name="_K-SWISS T11 XUAT 20-11_GIAY LANH T11 LAN 3_K-SWISS T12 LAN 1_GIAY LANH T12-HAP 27-12X_DM CHUA XUAT-23.1.15_K-SWISS T01 30-1 (ExcelFIX)" xfId="1998"/>
    <cellStyle name="_K-SWISS T11 XUAT 20-11_GIAY LANH T11 LAN 3_K-SWISS T12 LAN 1_GIAY LANH T12-HAP 27-12X_DM CHUA XUAT-23.1.15_K-SWISS T01 DAO LAM MY CAN BANG CHUA XUAT10-2X" xfId="1999"/>
    <cellStyle name="_K-SWISS T11 XUAT 20-11_GIAY LANH T11 LAN 3_K-SWISS T12 LAN 1_GIAY LANH T12-HAP 27-12X_KS 6-3X" xfId="2000"/>
    <cellStyle name="_K-SWISS T11 XUAT 20-11_GIAY LANH T11 LAN 3_K-SWISS T12 LAN 1_GIAY LANH T12-HAP 27-12X_K-SWISS 30.1 XUAT" xfId="2001"/>
    <cellStyle name="_K-SWISS T11 XUAT 20-11_GIAY LANH T11 LAN 3_K-SWISS T12 LAN 1_GIAY LANH T12-HAP 27-12X_K-SWISS T01 10-2X (ExcelFIX)" xfId="2002"/>
    <cellStyle name="_K-SWISS T11 XUAT 20-11_GIAY LANH T11 LAN 3_K-SWISS T12 LAN 1_GIAY LANH T12-HAP 27-12X_K-SWISS T01 30-1 (ExcelFIX)" xfId="2003"/>
    <cellStyle name="_K-SWISS T11 XUAT 20-11_GIAY LANH T11 LAN 3_K-SWISS T12 LAN 1_GIAY LANH T12-HAP 27-12X_K-SWISS T01 DAO LAM MY CAN BANG CHUA XUAT10-2X" xfId="2004"/>
    <cellStyle name="_K-SWISS T11 XUAT 20-11_GIAY LANH T11 LAN 3_K-SWISS T12 LAN 1_GIAY LANH T12-HAP 27-12X_K-SWISS T01 LAN 2 DOI XUAT WEAR 2-2X HC OK, M1 OK " xfId="2005"/>
    <cellStyle name="_K-SWISS T11 XUAT 20-11_GIAY LANH T11 LAN 3_K-SWISS T12 LAN 1_GIAY LANH T12-HAP 27-12X_K-SWISS-GIAY LANH T01 19-1X" xfId="2006"/>
    <cellStyle name="_K-SWISS T11 XUAT 20-11_GIAY LANH T11 LAN 3_K-SWISS T12 LAN 1_GIAY LANH T12-HAP 27-12X_PALLADIUM T01 XUAT 23.1 LAN 2 (ExcelFIX)" xfId="2007"/>
    <cellStyle name="_K-SWISS T11 XUAT 20-11_GIAY LANH T11 LAN 3_K-SWISS T12 LAN 1_GIAY LANH T12-HAP 27-12X_PALLADIUM T01 XUAT 8.2 (ExcelFIX)" xfId="2008"/>
    <cellStyle name="_K-SWISS T11 XUAT 20-11_GIAY LANH T11 LAN 3_K-SWISS T12 LAN 1_GIAY LANH T12-HAP 27-12X_PALLADIUM T01xuat 23.1 (ExcelFIX)" xfId="2009"/>
    <cellStyle name="_K-SWISS T11 XUAT 20-11_GIAY LANH T11 LAN 3_K-SWISS T12 LAN 1_GIAY LANH T12-HAP 27-12X_PALLADIUM T01xuat 23.1 LAN 1 (ExcelFIX)" xfId="2010"/>
    <cellStyle name="_K-SWISS T11 XUAT 20-11_GIAY LANH T11 LAN 3_K-SWISS T12 LAN 1_GIAY LANH T12-HAP 27-12X_PALLADIUM-CXXUAT 6.2" xfId="2011"/>
    <cellStyle name="_K-SWISS T11 XUAT 20-11_GIAY LANH T11 LAN 3_K-SWISS T12 LAN 1_GIAY LANH T12-HAP 27-12X_PALLADIUM-CXXUAT 9.2" xfId="2012"/>
    <cellStyle name="_K-SWISS T11 XUAT 20-11_GIAY LANH T11 LAN 3_K-SWISS T12 LAN 1_GIAY LANH T12-HAP 27-12X_PALLADIUM-CXXUAT CHUA CO NGAY XUAT" xfId="2013"/>
    <cellStyle name="_K-SWISS T11 XUAT 20-11_GIAY LANH T11 LAN 3_K-SWISS T12 LAN 1_GIAY LANH T12-HAP 27-12X_SD1502-053,054 XUAT 2.3 (ExcelFIX)" xfId="2014"/>
    <cellStyle name="_K-SWISS T11 XUAT 20-11_GIAY LANH T11 LAN 3_K-SWISS T12 LAN 1_GIAY LANH T12-HAP 27-12X_SWS1502-155,156,159~166 XUAT 6.3" xfId="2015"/>
    <cellStyle name="_K-SWISS T11 XUAT 20-11_GIAY LANH T11 LAN 3_K-SWISS T12 LAN 1_GIAY LANH T12-HAP 27-12X_SWS1502-167" xfId="2016"/>
    <cellStyle name="_K-SWISS T11 XUAT 20-11_GIAY LANH T11 LAN 3_K-SWISS T12 LAN 1HC 20-12 X OK ROI(ExcelFIX)" xfId="2017"/>
    <cellStyle name="_K-SWISS T11 XUAT 20-11_GIAY LANH T11 LAN 3_K-SWISS T12 LAN 1HC 20-12 X OK ROI(ExcelFIX)CC" xfId="2018"/>
    <cellStyle name="_K-SWISS T11 XUAT 20-11_GIAY LANH T11 LAN 3_K-SWISS T12 LAN 2 22-12X (ExcelFIX)" xfId="2019"/>
    <cellStyle name="_K-SWISS T11 XUAT 20-11_GIAY LANH T11 LAN 3_K-SWISS T12 LAN 2 22-12X (ExcelFIX)_1" xfId="2020"/>
    <cellStyle name="_K-SWISS T11 XUAT 20-11_GIAY LANH T11 LAN 3_K-SWISS T12 LAN 2 22-12X (ExcelFIX)_1_1PALLADIUM T01 XUAT 8.2 (ExcelFIX)" xfId="2021"/>
    <cellStyle name="_K-SWISS T11 XUAT 20-11_GIAY LANH T11 LAN 3_K-SWISS T12 LAN 2 22-12X (ExcelFIX)_1_1PALLADIUM T02 XUAT (ExcelFIX)" xfId="2022"/>
    <cellStyle name="_K-SWISS T11 XUAT 20-11_GIAY LANH T11 LAN 3_K-SWISS T12 LAN 2 22-12X (ExcelFIX)_1_6.2.15 XUAT" xfId="2023"/>
    <cellStyle name="_K-SWISS T11 XUAT 20-11_GIAY LANH T11 LAN 3_K-SWISS T12 LAN 2 22-12X (ExcelFIX)_1_6.2.15 XUAT_K-SWISS T01 30-1 (ExcelFIX)" xfId="2024"/>
    <cellStyle name="_K-SWISS T11 XUAT 20-11_GIAY LANH T11 LAN 3_K-SWISS T12 LAN 2 22-12X (ExcelFIX)_1_6.2.15 XUAT_K-SWISS T01 DAO LAM MY CAN BANG CHUA XUAT10-2X" xfId="2025"/>
    <cellStyle name="_K-SWISS T11 XUAT 20-11_GIAY LANH T11 LAN 3_K-SWISS T12 LAN 2 22-12X (ExcelFIX)_1_DM CHUA XUAT-23.1.15" xfId="2026"/>
    <cellStyle name="_K-SWISS T11 XUAT 20-11_GIAY LANH T11 LAN 3_K-SWISS T12 LAN 2 22-12X (ExcelFIX)_1_DM CHUA XUAT-23.1.15_K-SWISS T01 30-1 (ExcelFIX)" xfId="2027"/>
    <cellStyle name="_K-SWISS T11 XUAT 20-11_GIAY LANH T11 LAN 3_K-SWISS T12 LAN 2 22-12X (ExcelFIX)_1_DM CHUA XUAT-23.1.15_K-SWISS T01 DAO LAM MY CAN BANG CHUA XUAT10-2X" xfId="2028"/>
    <cellStyle name="_K-SWISS T11 XUAT 20-11_GIAY LANH T11 LAN 3_K-SWISS T12 LAN 2 22-12X (ExcelFIX)_1_KS 6-3X" xfId="2029"/>
    <cellStyle name="_K-SWISS T11 XUAT 20-11_GIAY LANH T11 LAN 3_K-SWISS T12 LAN 2 22-12X (ExcelFIX)_1_K-SWISS 30.1 XUAT" xfId="2030"/>
    <cellStyle name="_K-SWISS T11 XUAT 20-11_GIAY LANH T11 LAN 3_K-SWISS T12 LAN 2 22-12X (ExcelFIX)_1_K-SWISS T01 10-2X (ExcelFIX)" xfId="2031"/>
    <cellStyle name="_K-SWISS T11 XUAT 20-11_GIAY LANH T11 LAN 3_K-SWISS T12 LAN 2 22-12X (ExcelFIX)_1_K-SWISS T01 30-1 (ExcelFIX)" xfId="2032"/>
    <cellStyle name="_K-SWISS T11 XUAT 20-11_GIAY LANH T11 LAN 3_K-SWISS T12 LAN 2 22-12X (ExcelFIX)_1_K-SWISS T01 DAO LAM MY CAN BANG CHUA XUAT10-2X" xfId="2033"/>
    <cellStyle name="_K-SWISS T11 XUAT 20-11_GIAY LANH T11 LAN 3_K-SWISS T12 LAN 2 22-12X (ExcelFIX)_1_K-SWISS T01 LAN 2 DOI XUAT WEAR 2-2X HC OK, M1 OK " xfId="2034"/>
    <cellStyle name="_K-SWISS T11 XUAT 20-11_GIAY LANH T11 LAN 3_K-SWISS T12 LAN 2 22-12X (ExcelFIX)_1_K-SWISS-GIAY LANH T01 19-1X" xfId="2035"/>
    <cellStyle name="_K-SWISS T11 XUAT 20-11_GIAY LANH T11 LAN 3_K-SWISS T12 LAN 2 22-12X (ExcelFIX)_1_PALLADIUM T01 XUAT 23.1 LAN 2 (ExcelFIX)" xfId="2036"/>
    <cellStyle name="_K-SWISS T11 XUAT 20-11_GIAY LANH T11 LAN 3_K-SWISS T12 LAN 2 22-12X (ExcelFIX)_1_PALLADIUM T01 XUAT 8.2 (ExcelFIX)" xfId="2037"/>
    <cellStyle name="_K-SWISS T11 XUAT 20-11_GIAY LANH T11 LAN 3_K-SWISS T12 LAN 2 22-12X (ExcelFIX)_1_PALLADIUM T01xuat 23.1 (ExcelFIX)" xfId="2038"/>
    <cellStyle name="_K-SWISS T11 XUAT 20-11_GIAY LANH T11 LAN 3_K-SWISS T12 LAN 2 22-12X (ExcelFIX)_1_PALLADIUM T01xuat 23.1 LAN 1 (ExcelFIX)" xfId="2039"/>
    <cellStyle name="_K-SWISS T11 XUAT 20-11_GIAY LANH T11 LAN 3_K-SWISS T12 LAN 2 22-12X (ExcelFIX)_1_PALLADIUM-CXXUAT 6.2" xfId="2040"/>
    <cellStyle name="_K-SWISS T11 XUAT 20-11_GIAY LANH T11 LAN 3_K-SWISS T12 LAN 2 22-12X (ExcelFIX)_1_PALLADIUM-CXXUAT 9.2" xfId="2041"/>
    <cellStyle name="_K-SWISS T11 XUAT 20-11_GIAY LANH T11 LAN 3_K-SWISS T12 LAN 2 22-12X (ExcelFIX)_1_PALLADIUM-CXXUAT CHUA CO NGAY XUAT" xfId="2042"/>
    <cellStyle name="_K-SWISS T11 XUAT 20-11_GIAY LANH T11 LAN 3_K-SWISS T12 LAN 2 22-12X (ExcelFIX)_1_SD1502-053,054 XUAT 2.3 (ExcelFIX)" xfId="2043"/>
    <cellStyle name="_K-SWISS T11 XUAT 20-11_GIAY LANH T11 LAN 3_K-SWISS T12 LAN 2 22-12X (ExcelFIX)_1_SWS1502-155,156,159~166 XUAT 6.3" xfId="2044"/>
    <cellStyle name="_K-SWISS T11 XUAT 20-11_GIAY LANH T11 LAN 3_K-SWISS T12 LAN 2 22-12X (ExcelFIX)_1_SWS1502-167" xfId="2045"/>
    <cellStyle name="_K-SWISS T11 XUAT 20-11_GIAY LANH T11 LAN 3_K-SWISS T12 LAN 2 22-12X (ExcelFIX)_GIAY LANH T12-HAP 27-12X" xfId="2046"/>
    <cellStyle name="_K-SWISS T11 XUAT 20-11_GIAY LANH T11 LAN 3_K-SWISS T12 LAN 2 22-12X (ExcelFIX)_GIAY LANH T12-HAP 27-12X_1PALLADIUM T01 XUAT 8.2 (ExcelFIX)" xfId="2047"/>
    <cellStyle name="_K-SWISS T11 XUAT 20-11_GIAY LANH T11 LAN 3_K-SWISS T12 LAN 2 22-12X (ExcelFIX)_GIAY LANH T12-HAP 27-12X_1PALLADIUM T02 XUAT (ExcelFIX)" xfId="2048"/>
    <cellStyle name="_K-SWISS T11 XUAT 20-11_GIAY LANH T11 LAN 3_K-SWISS T12 LAN 2 22-12X (ExcelFIX)_GIAY LANH T12-HAP 27-12X_6.2.15 XUAT" xfId="2049"/>
    <cellStyle name="_K-SWISS T11 XUAT 20-11_GIAY LANH T11 LAN 3_K-SWISS T12 LAN 2 22-12X (ExcelFIX)_GIAY LANH T12-HAP 27-12X_6.2.15 XUAT_K-SWISS T01 30-1 (ExcelFIX)" xfId="2050"/>
    <cellStyle name="_K-SWISS T11 XUAT 20-11_GIAY LANH T11 LAN 3_K-SWISS T12 LAN 2 22-12X (ExcelFIX)_GIAY LANH T12-HAP 27-12X_6.2.15 XUAT_K-SWISS T01 DAO LAM MY CAN BANG CHUA XUAT10-2X" xfId="2051"/>
    <cellStyle name="_K-SWISS T11 XUAT 20-11_GIAY LANH T11 LAN 3_K-SWISS T12 LAN 2 22-12X (ExcelFIX)_GIAY LANH T12-HAP 27-12X_DM CHUA XUAT-23.1.15" xfId="2052"/>
    <cellStyle name="_K-SWISS T11 XUAT 20-11_GIAY LANH T11 LAN 3_K-SWISS T12 LAN 2 22-12X (ExcelFIX)_GIAY LANH T12-HAP 27-12X_DM CHUA XUAT-23.1.15_K-SWISS T01 30-1 (ExcelFIX)" xfId="2053"/>
    <cellStyle name="_K-SWISS T11 XUAT 20-11_GIAY LANH T11 LAN 3_K-SWISS T12 LAN 2 22-12X (ExcelFIX)_GIAY LANH T12-HAP 27-12X_DM CHUA XUAT-23.1.15_K-SWISS T01 DAO LAM MY CAN BANG CHUA XUAT10-2X" xfId="2054"/>
    <cellStyle name="_K-SWISS T11 XUAT 20-11_GIAY LANH T11 LAN 3_K-SWISS T12 LAN 2 22-12X (ExcelFIX)_GIAY LANH T12-HAP 27-12X_KS 6-3X" xfId="2055"/>
    <cellStyle name="_K-SWISS T11 XUAT 20-11_GIAY LANH T11 LAN 3_K-SWISS T12 LAN 2 22-12X (ExcelFIX)_GIAY LANH T12-HAP 27-12X_K-SWISS 30.1 XUAT" xfId="2056"/>
    <cellStyle name="_K-SWISS T11 XUAT 20-11_GIAY LANH T11 LAN 3_K-SWISS T12 LAN 2 22-12X (ExcelFIX)_GIAY LANH T12-HAP 27-12X_K-SWISS T01 10-2X (ExcelFIX)" xfId="2057"/>
    <cellStyle name="_K-SWISS T11 XUAT 20-11_GIAY LANH T11 LAN 3_K-SWISS T12 LAN 2 22-12X (ExcelFIX)_GIAY LANH T12-HAP 27-12X_K-SWISS T01 30-1 (ExcelFIX)" xfId="2058"/>
    <cellStyle name="_K-SWISS T11 XUAT 20-11_GIAY LANH T11 LAN 3_K-SWISS T12 LAN 2 22-12X (ExcelFIX)_GIAY LANH T12-HAP 27-12X_K-SWISS T01 DAO LAM MY CAN BANG CHUA XUAT10-2X" xfId="2059"/>
    <cellStyle name="_K-SWISS T11 XUAT 20-11_GIAY LANH T11 LAN 3_K-SWISS T12 LAN 2 22-12X (ExcelFIX)_GIAY LANH T12-HAP 27-12X_K-SWISS T01 LAN 2 DOI XUAT WEAR 2-2X HC OK, M1 OK " xfId="2060"/>
    <cellStyle name="_K-SWISS T11 XUAT 20-11_GIAY LANH T11 LAN 3_K-SWISS T12 LAN 2 22-12X (ExcelFIX)_GIAY LANH T12-HAP 27-12X_K-SWISS-GIAY LANH T01 19-1X" xfId="2061"/>
    <cellStyle name="_K-SWISS T11 XUAT 20-11_GIAY LANH T11 LAN 3_K-SWISS T12 LAN 2 22-12X (ExcelFIX)_GIAY LANH T12-HAP 27-12X_PALLADIUM T01 XUAT 23.1 LAN 2 (ExcelFIX)" xfId="2062"/>
    <cellStyle name="_K-SWISS T11 XUAT 20-11_GIAY LANH T11 LAN 3_K-SWISS T12 LAN 2 22-12X (ExcelFIX)_GIAY LANH T12-HAP 27-12X_PALLADIUM T01 XUAT 8.2 (ExcelFIX)" xfId="2063"/>
    <cellStyle name="_K-SWISS T11 XUAT 20-11_GIAY LANH T11 LAN 3_K-SWISS T12 LAN 2 22-12X (ExcelFIX)_GIAY LANH T12-HAP 27-12X_PALLADIUM T01xuat 23.1 (ExcelFIX)" xfId="2064"/>
    <cellStyle name="_K-SWISS T11 XUAT 20-11_GIAY LANH T11 LAN 3_K-SWISS T12 LAN 2 22-12X (ExcelFIX)_GIAY LANH T12-HAP 27-12X_PALLADIUM T01xuat 23.1 LAN 1 (ExcelFIX)" xfId="2065"/>
    <cellStyle name="_K-SWISS T11 XUAT 20-11_GIAY LANH T11 LAN 3_K-SWISS T12 LAN 2 22-12X (ExcelFIX)_GIAY LANH T12-HAP 27-12X_PALLADIUM-CXXUAT 6.2" xfId="2066"/>
    <cellStyle name="_K-SWISS T11 XUAT 20-11_GIAY LANH T11 LAN 3_K-SWISS T12 LAN 2 22-12X (ExcelFIX)_GIAY LANH T12-HAP 27-12X_PALLADIUM-CXXUAT 9.2" xfId="2067"/>
    <cellStyle name="_K-SWISS T11 XUAT 20-11_GIAY LANH T11 LAN 3_K-SWISS T12 LAN 2 22-12X (ExcelFIX)_GIAY LANH T12-HAP 27-12X_PALLADIUM-CXXUAT CHUA CO NGAY XUAT" xfId="2068"/>
    <cellStyle name="_K-SWISS T11 XUAT 20-11_GIAY LANH T11 LAN 3_K-SWISS T12 LAN 2 22-12X (ExcelFIX)_GIAY LANH T12-HAP 27-12X_SD1502-053,054 XUAT 2.3 (ExcelFIX)" xfId="2069"/>
    <cellStyle name="_K-SWISS T11 XUAT 20-11_GIAY LANH T11 LAN 3_K-SWISS T12 LAN 2 22-12X (ExcelFIX)_GIAY LANH T12-HAP 27-12X_SWS1502-155,156,159~166 XUAT 6.3" xfId="2070"/>
    <cellStyle name="_K-SWISS T11 XUAT 20-11_GIAY LANH T11 LAN 3_K-SWISS T12 LAN 2 22-12X (ExcelFIX)_GIAY LANH T12-HAP 27-12X_SWS1502-167" xfId="2071"/>
    <cellStyle name="_K-SWISS T11 XUAT 20-11_GIAY LANH T11 LAN 3_SWS1501-129,133,403" xfId="2072"/>
    <cellStyle name="_K-SWISS T11 XUAT 20-11_GIAY LANH T11 LAN 3_SWS1501-129,133,403_K-SWISS T01 10-2X (ExcelFIX)" xfId="2073"/>
    <cellStyle name="_K-SWISS T11 XUAT 20-11_GIAY LANH T11 LAN 3_SWS1501-130,131,132" xfId="2074"/>
    <cellStyle name="_K-SWISS T11 XUAT 20-11_GIAY LANH T11 LAN 3_SWS1501-130,131,132_K-SWISS T01 10-2X (ExcelFIX)" xfId="2075"/>
    <cellStyle name="_K-SWISS T11 XUAT 20-11_GIAY LANH T11 LAN 3_SWS1501-135,125,126" xfId="2076"/>
    <cellStyle name="_K-SWISS T11 XUAT 20-11_GIAY LANH T11 LAN 3_SWS1501-135,125,126_K-SWISS T01 10-2X (ExcelFIX)" xfId="2077"/>
    <cellStyle name="_K-SWISS T11 XUAT 20-11_GIAY LANH T11 LAN 4 1-12X" xfId="2078"/>
    <cellStyle name="_K-SWISS T11 XUAT 20-11_GIAY LANH T11 LAN 4 1-12X CO LENH CHUA" xfId="2079"/>
    <cellStyle name="_K-SWISS T11 XUAT 20-11_GIAY LANH T11 LAN 4 1-12X CO LENH CHUA_1" xfId="2080"/>
    <cellStyle name="_K-SWISS T11 XUAT 20-11_GIAY LANH T11 LAN 4 1-12X CO LENH CHUA_1_DM" xfId="2081"/>
    <cellStyle name="_K-SWISS T11 XUAT 20-11_GIAY LANH T11 LAN 4 1-12X CO LENH CHUA_1_GIAY LANH T11 LAN 7 15-12X (ExcelFIX)." xfId="2082"/>
    <cellStyle name="_K-SWISS T11 XUAT 20-11_GIAY LANH T11 LAN 4 1-12X CO LENH CHUA_1_GIAY LANH T11 LAN 7 15-12X (ExcelFIX)-old" xfId="2083"/>
    <cellStyle name="_K-SWISS T11 XUAT 20-11_GIAY LANH T11 LAN 4 1-12X CO LENH CHUA_1_GIAY LANH T11 LAN 7 15-12X (ExcelFIX)-old_03334" xfId="2084"/>
    <cellStyle name="_K-SWISS T11 XUAT 20-11_GIAY LANH T11 LAN 4 1-12X CO LENH CHUA_1_GIAY LANH T11 LAN 7 15-12X (ExcelFIX)-old_DM" xfId="2085"/>
    <cellStyle name="_K-SWISS T11 XUAT 20-11_GIAY LANH T11 LAN 4 1-12X CO LENH CHUA_1_GIAY LANH T11 LAN 7 15-12X (ExcelFIX)-old_GIAY LANH T12 LAN 1 22-24-12X DA OK GOI (ExcelFIX) (ExcelFIX)" xfId="2086"/>
    <cellStyle name="_K-SWISS T11 XUAT 20-11_GIAY LANH T11 LAN 4 1-12X CO LENH CHUA_1_GIAY LANH T11 LAN 7 15-12X (ExcelFIX)-old_GIAY LANH T12 LAN 1 22-24-12X DA OK GOI DAO (ExcelFIX)" xfId="2087"/>
    <cellStyle name="_K-SWISS T11 XUAT 20-11_GIAY LANH T11 LAN 4 1-12X CO LENH CHUA_1_GIAY LANH T11 LAN 7 15-12X (ExcelFIX)-old_GIAY LANH T12 LAN 1 22-24-12X DA OK GOI DAO (ExcelFIX)_1PALLADIUM T01 XUAT 8.2 (ExcelFIX)" xfId="2088"/>
    <cellStyle name="_K-SWISS T11 XUAT 20-11_GIAY LANH T11 LAN 4 1-12X CO LENH CHUA_1_GIAY LANH T11 LAN 7 15-12X (ExcelFIX)-old_GIAY LANH T12 LAN 1 22-24-12X DA OK GOI DAO (ExcelFIX)_1PALLADIUM T02 XUAT (ExcelFIX)" xfId="2089"/>
    <cellStyle name="_K-SWISS T11 XUAT 20-11_GIAY LANH T11 LAN 4 1-12X CO LENH CHUA_1_GIAY LANH T11 LAN 7 15-12X (ExcelFIX)-old_GIAY LANH T12 LAN 1 22-24-12X DA OK GOI DAO (ExcelFIX)_6.2.15 XUAT" xfId="2090"/>
    <cellStyle name="_K-SWISS T11 XUAT 20-11_GIAY LANH T11 LAN 4 1-12X CO LENH CHUA_1_GIAY LANH T11 LAN 7 15-12X (ExcelFIX)-old_GIAY LANH T12 LAN 1 22-24-12X DA OK GOI DAO (ExcelFIX)_6.2.15 XUAT_K-SWISS T01 30-1 (ExcelFIX)" xfId="2091"/>
    <cellStyle name="_K-SWISS T11 XUAT 20-11_GIAY LANH T11 LAN 4 1-12X CO LENH CHUA_1_GIAY LANH T11 LAN 7 15-12X (ExcelFIX)-old_GIAY LANH T12 LAN 1 22-24-12X DA OK GOI DAO (ExcelFIX)_6.2.15 XUAT_K-SWISS T01 DAO LAM MY CAN BANG CHUA XUAT10-2X" xfId="2092"/>
    <cellStyle name="_K-SWISS T11 XUAT 20-11_GIAY LANH T11 LAN 4 1-12X CO LENH CHUA_1_GIAY LANH T11 LAN 7 15-12X (ExcelFIX)-old_GIAY LANH T12 LAN 1 22-24-12X DA OK GOI DAO (ExcelFIX)_DM CHUA XUAT-23.1.15" xfId="2093"/>
    <cellStyle name="_K-SWISS T11 XUAT 20-11_GIAY LANH T11 LAN 4 1-12X CO LENH CHUA_1_GIAY LANH T11 LAN 7 15-12X (ExcelFIX)-old_GIAY LANH T12 LAN 1 22-24-12X DA OK GOI DAO (ExcelFIX)_DM CHUA XUAT-23.1.15_K-SWISS T01 30-1 (ExcelFIX)" xfId="2094"/>
    <cellStyle name="_K-SWISS T11 XUAT 20-11_GIAY LANH T11 LAN 4 1-12X CO LENH CHUA_1_GIAY LANH T11 LAN 7 15-12X (ExcelFIX)-old_GIAY LANH T12 LAN 1 22-24-12X DA OK GOI DAO (ExcelFIX)_DM CHUA XUAT-23.1.15_K-SWISS T01 DAO LAM MY CAN BANG CHUA XUAT10-2X" xfId="2095"/>
    <cellStyle name="_K-SWISS T11 XUAT 20-11_GIAY LANH T11 LAN 4 1-12X CO LENH CHUA_1_GIAY LANH T11 LAN 7 15-12X (ExcelFIX)-old_GIAY LANH T12 LAN 1 22-24-12X DA OK GOI DAO (ExcelFIX)_KS 6-3X" xfId="2096"/>
    <cellStyle name="_K-SWISS T11 XUAT 20-11_GIAY LANH T11 LAN 4 1-12X CO LENH CHUA_1_GIAY LANH T11 LAN 7 15-12X (ExcelFIX)-old_GIAY LANH T12 LAN 1 22-24-12X DA OK GOI DAO (ExcelFIX)_K-SWISS 30.1 XUAT" xfId="2097"/>
    <cellStyle name="_K-SWISS T11 XUAT 20-11_GIAY LANH T11 LAN 4 1-12X CO LENH CHUA_1_GIAY LANH T11 LAN 7 15-12X (ExcelFIX)-old_GIAY LANH T12 LAN 1 22-24-12X DA OK GOI DAO (ExcelFIX)_K-SWISS T01 10-2X (ExcelFIX)" xfId="2098"/>
    <cellStyle name="_K-SWISS T11 XUAT 20-11_GIAY LANH T11 LAN 4 1-12X CO LENH CHUA_1_GIAY LANH T11 LAN 7 15-12X (ExcelFIX)-old_GIAY LANH T12 LAN 1 22-24-12X DA OK GOI DAO (ExcelFIX)_K-SWISS T01 30-1 (ExcelFIX)" xfId="2099"/>
    <cellStyle name="_K-SWISS T11 XUAT 20-11_GIAY LANH T11 LAN 4 1-12X CO LENH CHUA_1_GIAY LANH T11 LAN 7 15-12X (ExcelFIX)-old_GIAY LANH T12 LAN 1 22-24-12X DA OK GOI DAO (ExcelFIX)_K-SWISS T01 DAO LAM MY CAN BANG CHUA XUAT10-2X" xfId="2100"/>
    <cellStyle name="_K-SWISS T11 XUAT 20-11_GIAY LANH T11 LAN 4 1-12X CO LENH CHUA_1_GIAY LANH T11 LAN 7 15-12X (ExcelFIX)-old_GIAY LANH T12 LAN 1 22-24-12X DA OK GOI DAO (ExcelFIX)_K-SWISS T01 LAN 2 DOI XUAT WEAR 2-2X HC OK, M1 OK " xfId="2101"/>
    <cellStyle name="_K-SWISS T11 XUAT 20-11_GIAY LANH T11 LAN 4 1-12X CO LENH CHUA_1_GIAY LANH T11 LAN 7 15-12X (ExcelFIX)-old_GIAY LANH T12 LAN 1 22-24-12X DA OK GOI DAO (ExcelFIX)_K-SWISS-GIAY LANH T01 19-1X" xfId="2102"/>
    <cellStyle name="_K-SWISS T11 XUAT 20-11_GIAY LANH T11 LAN 4 1-12X CO LENH CHUA_1_GIAY LANH T11 LAN 7 15-12X (ExcelFIX)-old_GIAY LANH T12 LAN 1 22-24-12X DA OK GOI DAO (ExcelFIX)_PALLADIUM T01 XUAT 23.1 LAN 2 (ExcelFIX)" xfId="2103"/>
    <cellStyle name="_K-SWISS T11 XUAT 20-11_GIAY LANH T11 LAN 4 1-12X CO LENH CHUA_1_GIAY LANH T11 LAN 7 15-12X (ExcelFIX)-old_GIAY LANH T12 LAN 1 22-24-12X DA OK GOI DAO (ExcelFIX)_PALLADIUM T01 XUAT 8.2 (ExcelFIX)" xfId="2104"/>
    <cellStyle name="_K-SWISS T11 XUAT 20-11_GIAY LANH T11 LAN 4 1-12X CO LENH CHUA_1_GIAY LANH T11 LAN 7 15-12X (ExcelFIX)-old_GIAY LANH T12 LAN 1 22-24-12X DA OK GOI DAO (ExcelFIX)_PALLADIUM T01xuat 23.1 (ExcelFIX)" xfId="2105"/>
    <cellStyle name="_K-SWISS T11 XUAT 20-11_GIAY LANH T11 LAN 4 1-12X CO LENH CHUA_1_GIAY LANH T11 LAN 7 15-12X (ExcelFIX)-old_GIAY LANH T12 LAN 1 22-24-12X DA OK GOI DAO (ExcelFIX)_PALLADIUM T01xuat 23.1 LAN 1 (ExcelFIX)" xfId="2106"/>
    <cellStyle name="_K-SWISS T11 XUAT 20-11_GIAY LANH T11 LAN 4 1-12X CO LENH CHUA_1_GIAY LANH T11 LAN 7 15-12X (ExcelFIX)-old_GIAY LANH T12 LAN 1 22-24-12X DA OK GOI DAO (ExcelFIX)_PALLADIUM-CXXUAT 6.2" xfId="2107"/>
    <cellStyle name="_K-SWISS T11 XUAT 20-11_GIAY LANH T11 LAN 4 1-12X CO LENH CHUA_1_GIAY LANH T11 LAN 7 15-12X (ExcelFIX)-old_GIAY LANH T12 LAN 1 22-24-12X DA OK GOI DAO (ExcelFIX)_PALLADIUM-CXXUAT 9.2" xfId="2108"/>
    <cellStyle name="_K-SWISS T11 XUAT 20-11_GIAY LANH T11 LAN 4 1-12X CO LENH CHUA_1_GIAY LANH T11 LAN 7 15-12X (ExcelFIX)-old_GIAY LANH T12 LAN 1 22-24-12X DA OK GOI DAO (ExcelFIX)_PALLADIUM-CXXUAT CHUA CO NGAY XUAT" xfId="2109"/>
    <cellStyle name="_K-SWISS T11 XUAT 20-11_GIAY LANH T11 LAN 4 1-12X CO LENH CHUA_1_GIAY LANH T11 LAN 7 15-12X (ExcelFIX)-old_GIAY LANH T12 LAN 1 22-24-12X DA OK GOI DAO (ExcelFIX)_SD1502-053,054 XUAT 2.3 (ExcelFIX)" xfId="2110"/>
    <cellStyle name="_K-SWISS T11 XUAT 20-11_GIAY LANH T11 LAN 4 1-12X CO LENH CHUA_1_GIAY LANH T11 LAN 7 15-12X (ExcelFIX)-old_GIAY LANH T12 LAN 1 22-24-12X DA OK GOI DAO (ExcelFIX)_SWS1502-155,156,159~166 XUAT 6.3" xfId="2111"/>
    <cellStyle name="_K-SWISS T11 XUAT 20-11_GIAY LANH T11 LAN 4 1-12X CO LENH CHUA_1_GIAY LANH T11 LAN 7 15-12X (ExcelFIX)-old_GIAY LANH T12 LAN 1 22-24-12X DA OK GOI DAO (ExcelFIX)_SWS1502-167" xfId="2112"/>
    <cellStyle name="_K-SWISS T11 XUAT 20-11_GIAY LANH T11 LAN 4 1-12X CO LENH CHUA_1_GIAY LANH T11 LAN 7 15-12X (ExcelFIX)-old_GIAY LANH T12 LAN 3 XUAT co 78B  22-12" xfId="2113"/>
    <cellStyle name="_K-SWISS T11 XUAT 20-11_GIAY LANH T11 LAN 4 1-12X CO LENH CHUA_1_GIAY LANH T11 LAN 7 15-12X (ExcelFIX)-old_GIAY LANH T12 LAN 3 XUAT co 78B  22-12_6.2.15 XUAT" xfId="2114"/>
    <cellStyle name="_K-SWISS T11 XUAT 20-11_GIAY LANH T11 LAN 4 1-12X CO LENH CHUA_1_GIAY LANH T11 LAN 7 15-12X (ExcelFIX)-old_GIAY LANH T12 LAN 3 XUAT co 78B  22-12_6.2.15 XUAT_K-SWISS T01 30-1 (ExcelFIX)" xfId="2115"/>
    <cellStyle name="_K-SWISS T11 XUAT 20-11_GIAY LANH T11 LAN 4 1-12X CO LENH CHUA_1_GIAY LANH T11 LAN 7 15-12X (ExcelFIX)-old_GIAY LANH T12 LAN 3 XUAT co 78B  22-12_6.2.15 XUAT_K-SWISS T01 DAO LAM MY CAN BANG CHUA XUAT10-2X" xfId="2116"/>
    <cellStyle name="_K-SWISS T11 XUAT 20-11_GIAY LANH T11 LAN 4 1-12X CO LENH CHUA_1_GIAY LANH T11 LAN 7 15-12X (ExcelFIX)-old_GIAY LANH T12 LAN 3 XUAT co 78B  22-12_DM CHUA XUAT-23.1.15" xfId="2117"/>
    <cellStyle name="_K-SWISS T11 XUAT 20-11_GIAY LANH T11 LAN 4 1-12X CO LENH CHUA_1_GIAY LANH T11 LAN 7 15-12X (ExcelFIX)-old_GIAY LANH T12 LAN 3 XUAT co 78B  22-12_DM CHUA XUAT-23.1.15_K-SWISS T01 30-1 (ExcelFIX)" xfId="2118"/>
    <cellStyle name="_K-SWISS T11 XUAT 20-11_GIAY LANH T11 LAN 4 1-12X CO LENH CHUA_1_GIAY LANH T11 LAN 7 15-12X (ExcelFIX)-old_GIAY LANH T12 LAN 3 XUAT co 78B  22-12_DM CHUA XUAT-23.1.15_K-SWISS T01 DAO LAM MY CAN BANG CHUA XUAT10-2X" xfId="2119"/>
    <cellStyle name="_K-SWISS T11 XUAT 20-11_GIAY LANH T11 LAN 4 1-12X CO LENH CHUA_1_GIAY LANH T11 LAN 7 15-12X (ExcelFIX)-old_GIAY LANH T12 LAN 3 XUAT co 78B  22-12_KS 6-3X" xfId="2120"/>
    <cellStyle name="_K-SWISS T11 XUAT 20-11_GIAY LANH T11 LAN 4 1-12X CO LENH CHUA_1_GIAY LANH T11 LAN 7 15-12X (ExcelFIX)-old_GIAY LANH T12 LAN 3 XUAT co 78B  22-12_K-SWISS 30.1 XUAT" xfId="2121"/>
    <cellStyle name="_K-SWISS T11 XUAT 20-11_GIAY LANH T11 LAN 4 1-12X CO LENH CHUA_1_GIAY LANH T11 LAN 7 15-12X (ExcelFIX)-old_GIAY LANH T12 LAN 3 XUAT co 78B  22-12_K-SWISS T01 10-2X (ExcelFIX)" xfId="2122"/>
    <cellStyle name="_K-SWISS T11 XUAT 20-11_GIAY LANH T11 LAN 4 1-12X CO LENH CHUA_1_GIAY LANH T11 LAN 7 15-12X (ExcelFIX)-old_GIAY LANH T12 LAN 3 XUAT co 78B  22-12_K-SWISS T01 30-1 (ExcelFIX)" xfId="2123"/>
    <cellStyle name="_K-SWISS T11 XUAT 20-11_GIAY LANH T11 LAN 4 1-12X CO LENH CHUA_1_GIAY LANH T11 LAN 7 15-12X (ExcelFIX)-old_GIAY LANH T12 LAN 3 XUAT co 78B  22-12_K-SWISS T01 DAO LAM MY CAN BANG CHUA XUAT10-2X" xfId="2124"/>
    <cellStyle name="_K-SWISS T11 XUAT 20-11_GIAY LANH T11 LAN 4 1-12X CO LENH CHUA_1_GIAY LANH T11 LAN 7 15-12X (ExcelFIX)-old_GIAY LANH T12 LAN 3 XUAT co 78B  22-12_K-SWISS T01 LAN 2 DOI XUAT WEAR 2-2X HC OK, M1 OK " xfId="2125"/>
    <cellStyle name="_K-SWISS T11 XUAT 20-11_GIAY LANH T11 LAN 4 1-12X CO LENH CHUA_1_GIAY LANH T11 LAN 7 15-12X (ExcelFIX)-old_GIAY LANH T12 LAN 3 XUAT co 78B  22-12_K-SWISS-GIAY LANH T01 19-1X" xfId="2126"/>
    <cellStyle name="_K-SWISS T11 XUAT 20-11_GIAY LANH T11 LAN 4 1-12X CO LENH CHUA_1_GIAY LANH T11 LAN 7 15-12X (ExcelFIX)-old_GIAY LANH T12 LAN 3 XUAT co 78B  22-12_SD1502-053,054 XUAT 2.3 (ExcelFIX)" xfId="2127"/>
    <cellStyle name="_K-SWISS T11 XUAT 20-11_GIAY LANH T11 LAN 4 1-12X CO LENH CHUA_1_GIAY LANH T11 LAN 7 15-12X (ExcelFIX)-old_GIAY LANH T12 LAN 3 XUAT co 78B  22-12_SWS1502-155,156,159~166 XUAT 6.3" xfId="2128"/>
    <cellStyle name="_K-SWISS T11 XUAT 20-11_GIAY LANH T11 LAN 4 1-12X CO LENH CHUA_1_GIAY LANH T11 LAN 7 15-12X (ExcelFIX)-old_GIAY LANH T12 LAN 3 XUAT co 78B  22-12_SWS1502-167" xfId="2129"/>
    <cellStyle name="_K-SWISS T11 XUAT 20-11_GIAY LANH T11 LAN 4 1-12X CO LENH CHUA_1_GIAY LANH T11 LAN 7 15-12X (ExcelFIX)-old_GIAY LANH T12-HAP 27-12X" xfId="2130"/>
    <cellStyle name="_K-SWISS T11 XUAT 20-11_GIAY LANH T11 LAN 4 1-12X CO LENH CHUA_1_GIAY LANH T11 LAN 7 15-12X (ExcelFIX)-old_GIAY LANH T12-HAP 27-12X_1PALLADIUM T01 XUAT 8.2 (ExcelFIX)" xfId="2131"/>
    <cellStyle name="_K-SWISS T11 XUAT 20-11_GIAY LANH T11 LAN 4 1-12X CO LENH CHUA_1_GIAY LANH T11 LAN 7 15-12X (ExcelFIX)-old_GIAY LANH T12-HAP 27-12X_1PALLADIUM T02 XUAT (ExcelFIX)" xfId="2132"/>
    <cellStyle name="_K-SWISS T11 XUAT 20-11_GIAY LANH T11 LAN 4 1-12X CO LENH CHUA_1_GIAY LANH T11 LAN 7 15-12X (ExcelFIX)-old_GIAY LANH T12-HAP 27-12X_6.2.15 XUAT" xfId="2133"/>
    <cellStyle name="_K-SWISS T11 XUAT 20-11_GIAY LANH T11 LAN 4 1-12X CO LENH CHUA_1_GIAY LANH T11 LAN 7 15-12X (ExcelFIX)-old_GIAY LANH T12-HAP 27-12X_6.2.15 XUAT_K-SWISS T01 30-1 (ExcelFIX)" xfId="2134"/>
    <cellStyle name="_thang 01" xfId="2135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20% - 輔色1" xfId="2136"/>
    <cellStyle name="20% - 輔色2" xfId="2137"/>
    <cellStyle name="20% - 輔色3" xfId="2138"/>
    <cellStyle name="20% - 輔色4" xfId="2139"/>
    <cellStyle name="20% - 輔色5" xfId="2140"/>
    <cellStyle name="20% - 輔色6" xfId="2141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40% - 輔色1" xfId="2142"/>
    <cellStyle name="40% - 輔色2" xfId="2143"/>
    <cellStyle name="40% - 輔色3" xfId="2144"/>
    <cellStyle name="40% - 輔色4" xfId="2145"/>
    <cellStyle name="40% - 輔色5" xfId="2146"/>
    <cellStyle name="40% - 輔色6" xfId="2147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60% - 輔色1" xfId="2148"/>
    <cellStyle name="60% - 輔色2" xfId="2149"/>
    <cellStyle name="60% - 輔色3" xfId="2150"/>
    <cellStyle name="60% - 輔色4" xfId="2151"/>
    <cellStyle name="60% - 輔色5" xfId="2152"/>
    <cellStyle name="60% - 輔色6" xfId="2153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omma 10" xfId="2154"/>
    <cellStyle name="Comma 10 2" xfId="2155"/>
    <cellStyle name="Comma 10 2 2" xfId="2156"/>
    <cellStyle name="Comma 10 2 2 2" xfId="2157"/>
    <cellStyle name="Comma 10 2 2 2 2" xfId="2158"/>
    <cellStyle name="Comma 10 2 2 3" xfId="2159"/>
    <cellStyle name="Comma 10 2 3" xfId="2160"/>
    <cellStyle name="Comma 10 2 3 2" xfId="2161"/>
    <cellStyle name="Comma 10 2 4" xfId="2162"/>
    <cellStyle name="Comma 10 3" xfId="2163"/>
    <cellStyle name="Comma 10 3 2" xfId="2164"/>
    <cellStyle name="Comma 10 3 2 2" xfId="2165"/>
    <cellStyle name="Comma 10 3 3" xfId="2166"/>
    <cellStyle name="Comma 10 4" xfId="2167"/>
    <cellStyle name="Comma 10 4 2" xfId="2168"/>
    <cellStyle name="Comma 10 5" xfId="2169"/>
    <cellStyle name="Comma 10 5 2" xfId="2170"/>
    <cellStyle name="Comma 10 6" xfId="2171"/>
    <cellStyle name="Comma 11" xfId="2172"/>
    <cellStyle name="Comma 11 2" xfId="2173"/>
    <cellStyle name="Comma 11 2 2" xfId="2174"/>
    <cellStyle name="Comma 11 2 2 2" xfId="2175"/>
    <cellStyle name="Comma 11 2 2 2 2" xfId="2176"/>
    <cellStyle name="Comma 11 2 2 3" xfId="2177"/>
    <cellStyle name="Comma 11 2 3" xfId="2178"/>
    <cellStyle name="Comma 11 2 3 2" xfId="2179"/>
    <cellStyle name="Comma 11 2 4" xfId="2180"/>
    <cellStyle name="Comma 11 3" xfId="2181"/>
    <cellStyle name="Comma 11 3 2" xfId="2182"/>
    <cellStyle name="Comma 11 3 2 2" xfId="2183"/>
    <cellStyle name="Comma 11 3 3" xfId="2184"/>
    <cellStyle name="Comma 11 4" xfId="2185"/>
    <cellStyle name="Comma 11 4 2" xfId="2186"/>
    <cellStyle name="Comma 11 5" xfId="2187"/>
    <cellStyle name="Comma 12" xfId="2188"/>
    <cellStyle name="Comma 12 2" xfId="2189"/>
    <cellStyle name="Comma 12 2 2" xfId="2190"/>
    <cellStyle name="Comma 12 2 2 2" xfId="2191"/>
    <cellStyle name="Comma 12 2 2 2 2" xfId="2192"/>
    <cellStyle name="Comma 12 2 2 3" xfId="2193"/>
    <cellStyle name="Comma 12 2 3" xfId="2194"/>
    <cellStyle name="Comma 12 2 3 2" xfId="2195"/>
    <cellStyle name="Comma 12 2 4" xfId="2196"/>
    <cellStyle name="Comma 12 3" xfId="2197"/>
    <cellStyle name="Comma 12 3 2" xfId="2198"/>
    <cellStyle name="Comma 12 3 2 2" xfId="2199"/>
    <cellStyle name="Comma 12 3 3" xfId="2200"/>
    <cellStyle name="Comma 12 4" xfId="2201"/>
    <cellStyle name="Comma 12 4 2" xfId="2202"/>
    <cellStyle name="Comma 12 5" xfId="2203"/>
    <cellStyle name="Comma 13" xfId="2204"/>
    <cellStyle name="Comma 13 2" xfId="2205"/>
    <cellStyle name="Comma 13 2 2" xfId="2206"/>
    <cellStyle name="Comma 13 2 2 2" xfId="2207"/>
    <cellStyle name="Comma 13 2 2 2 2" xfId="2208"/>
    <cellStyle name="Comma 13 2 2 3" xfId="2209"/>
    <cellStyle name="Comma 13 2 3" xfId="2210"/>
    <cellStyle name="Comma 13 2 3 2" xfId="2211"/>
    <cellStyle name="Comma 13 2 4" xfId="2212"/>
    <cellStyle name="Comma 13 3" xfId="2213"/>
    <cellStyle name="Comma 13 3 2" xfId="2214"/>
    <cellStyle name="Comma 13 3 2 2" xfId="2215"/>
    <cellStyle name="Comma 13 3 3" xfId="2216"/>
    <cellStyle name="Comma 13 4" xfId="2217"/>
    <cellStyle name="Comma 13 4 2" xfId="2218"/>
    <cellStyle name="Comma 13 5" xfId="2219"/>
    <cellStyle name="Comma 14" xfId="2220"/>
    <cellStyle name="Comma 14 2" xfId="2221"/>
    <cellStyle name="Comma 14 2 2" xfId="2222"/>
    <cellStyle name="Comma 14 2 2 2" xfId="2223"/>
    <cellStyle name="Comma 14 2 2 2 2" xfId="2224"/>
    <cellStyle name="Comma 14 2 2 2 2 2" xfId="2225"/>
    <cellStyle name="Comma 14 2 2 2 3" xfId="2226"/>
    <cellStyle name="Comma 14 2 2 3" xfId="2227"/>
    <cellStyle name="Comma 14 2 2 3 2" xfId="2228"/>
    <cellStyle name="Comma 14 2 2 4" xfId="2229"/>
    <cellStyle name="Comma 14 2 3" xfId="2230"/>
    <cellStyle name="Comma 14 2 3 2" xfId="2231"/>
    <cellStyle name="Comma 14 2 3 2 2" xfId="2232"/>
    <cellStyle name="Comma 14 2 3 3" xfId="2233"/>
    <cellStyle name="Comma 14 2 4" xfId="2234"/>
    <cellStyle name="Comma 14 2 4 2" xfId="2235"/>
    <cellStyle name="Comma 14 2 5" xfId="2236"/>
    <cellStyle name="Comma 14 3" xfId="2237"/>
    <cellStyle name="Comma 14 3 2" xfId="2238"/>
    <cellStyle name="Comma 14 3 2 2" xfId="2239"/>
    <cellStyle name="Comma 14 3 2 2 2" xfId="2240"/>
    <cellStyle name="Comma 14 3 2 3" xfId="2241"/>
    <cellStyle name="Comma 14 3 3" xfId="2242"/>
    <cellStyle name="Comma 14 3 3 2" xfId="2243"/>
    <cellStyle name="Comma 14 3 4" xfId="2244"/>
    <cellStyle name="Comma 14 4" xfId="2245"/>
    <cellStyle name="Comma 14 4 2" xfId="2246"/>
    <cellStyle name="Comma 14 4 2 2" xfId="2247"/>
    <cellStyle name="Comma 14 4 3" xfId="2248"/>
    <cellStyle name="Comma 14 5" xfId="2249"/>
    <cellStyle name="Comma 14 5 2" xfId="2250"/>
    <cellStyle name="Comma 14 6" xfId="2251"/>
    <cellStyle name="Comma 14 6 2" xfId="2252"/>
    <cellStyle name="Comma 14 7" xfId="2253"/>
    <cellStyle name="Comma 14 7 2" xfId="2254"/>
    <cellStyle name="Comma 14 8" xfId="2255"/>
    <cellStyle name="Comma 15" xfId="2256"/>
    <cellStyle name="Comma 15 2" xfId="2257"/>
    <cellStyle name="Comma 15 2 2" xfId="2258"/>
    <cellStyle name="Comma 15 2 2 2" xfId="2259"/>
    <cellStyle name="Comma 15 2 3" xfId="2260"/>
    <cellStyle name="Comma 15 3" xfId="2261"/>
    <cellStyle name="Comma 15 3 2" xfId="2262"/>
    <cellStyle name="Comma 15 4" xfId="2263"/>
    <cellStyle name="Comma 16" xfId="2264"/>
    <cellStyle name="Comma 17" xfId="28"/>
    <cellStyle name="Comma 17 2" xfId="2265"/>
    <cellStyle name="Comma 18" xfId="2266"/>
    <cellStyle name="Comma 18 2" xfId="2267"/>
    <cellStyle name="Comma 2" xfId="29"/>
    <cellStyle name="Comma 2 2" xfId="95"/>
    <cellStyle name="Comma 2 3" xfId="30"/>
    <cellStyle name="Comma 3" xfId="2268"/>
    <cellStyle name="Comma 3 2" xfId="96"/>
    <cellStyle name="Comma 4" xfId="2269"/>
    <cellStyle name="Comma 4 2" xfId="2270"/>
    <cellStyle name="Comma 5" xfId="2271"/>
    <cellStyle name="Comma 6" xfId="2272"/>
    <cellStyle name="Comma 7" xfId="83"/>
    <cellStyle name="Comma 7 2" xfId="2273"/>
    <cellStyle name="Comma 7 3" xfId="2274"/>
    <cellStyle name="Comma 8" xfId="2275"/>
    <cellStyle name="Comma 8 2" xfId="2276"/>
    <cellStyle name="Comma 8 2 2" xfId="2277"/>
    <cellStyle name="Comma 8 2 2 2" xfId="2278"/>
    <cellStyle name="Comma 8 2 2 2 2" xfId="2279"/>
    <cellStyle name="Comma 8 2 2 3" xfId="2280"/>
    <cellStyle name="Comma 8 2 3" xfId="2281"/>
    <cellStyle name="Comma 8 2 3 2" xfId="2282"/>
    <cellStyle name="Comma 8 2 4" xfId="2283"/>
    <cellStyle name="Comma 8 3" xfId="2284"/>
    <cellStyle name="Comma 8 3 2" xfId="2285"/>
    <cellStyle name="Comma 8 3 2 2" xfId="2286"/>
    <cellStyle name="Comma 8 3 3" xfId="2287"/>
    <cellStyle name="Comma 8 4" xfId="2288"/>
    <cellStyle name="Comma 8 4 2" xfId="2289"/>
    <cellStyle name="Comma 8 5" xfId="2290"/>
    <cellStyle name="Comma 9" xfId="2291"/>
    <cellStyle name="Comma 9 2" xfId="2292"/>
    <cellStyle name="Comma 9 2 2" xfId="2293"/>
    <cellStyle name="Comma 9 2 2 2" xfId="2294"/>
    <cellStyle name="Comma 9 2 2 2 2" xfId="2295"/>
    <cellStyle name="Comma 9 2 2 3" xfId="2296"/>
    <cellStyle name="Comma 9 2 3" xfId="2297"/>
    <cellStyle name="Comma 9 2 3 2" xfId="2298"/>
    <cellStyle name="Comma 9 2 4" xfId="2299"/>
    <cellStyle name="Comma 9 3" xfId="2300"/>
    <cellStyle name="Comma 9 3 2" xfId="2301"/>
    <cellStyle name="Comma 9 3 2 2" xfId="2302"/>
    <cellStyle name="Comma 9 3 3" xfId="2303"/>
    <cellStyle name="Comma 9 4" xfId="2304"/>
    <cellStyle name="Comma 9 4 2" xfId="2305"/>
    <cellStyle name="Comma 9 5" xfId="2306"/>
    <cellStyle name="Currency 2" xfId="2307"/>
    <cellStyle name="Currency 2 2" xfId="2308"/>
    <cellStyle name="Currency 2 3" xfId="2309"/>
    <cellStyle name="Check Cell 2" xfId="27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1" xfId="40"/>
    <cellStyle name="Normal 10" xfId="2310"/>
    <cellStyle name="Normal 100" xfId="2311"/>
    <cellStyle name="Normal 101" xfId="2312"/>
    <cellStyle name="Normal 102" xfId="2313"/>
    <cellStyle name="Normal 103" xfId="2314"/>
    <cellStyle name="Normal 104" xfId="2315"/>
    <cellStyle name="Normal 105" xfId="2316"/>
    <cellStyle name="Normal 106" xfId="2317"/>
    <cellStyle name="Normal 107" xfId="2318"/>
    <cellStyle name="Normal 108" xfId="2319"/>
    <cellStyle name="Normal 109" xfId="2320"/>
    <cellStyle name="Normal 11" xfId="2321"/>
    <cellStyle name="Normal 110" xfId="2322"/>
    <cellStyle name="Normal 111" xfId="2323"/>
    <cellStyle name="Normal 112" xfId="2324"/>
    <cellStyle name="Normal 113" xfId="2325"/>
    <cellStyle name="Normal 114" xfId="2326"/>
    <cellStyle name="Normal 115" xfId="2327"/>
    <cellStyle name="Normal 116" xfId="2328"/>
    <cellStyle name="Normal 117" xfId="2329"/>
    <cellStyle name="Normal 118" xfId="2330"/>
    <cellStyle name="Normal 119" xfId="2331"/>
    <cellStyle name="Normal 12" xfId="2332"/>
    <cellStyle name="Normal 12 2" xfId="41"/>
    <cellStyle name="Normal 12 4" xfId="42"/>
    <cellStyle name="Normal 120" xfId="2333"/>
    <cellStyle name="Normal 121" xfId="2334"/>
    <cellStyle name="Normal 122" xfId="84"/>
    <cellStyle name="Normal 123" xfId="2335"/>
    <cellStyle name="Normal 124" xfId="2336"/>
    <cellStyle name="Normal 125" xfId="2337"/>
    <cellStyle name="Normal 126" xfId="2338"/>
    <cellStyle name="Normal 127" xfId="2339"/>
    <cellStyle name="Normal 128" xfId="2340"/>
    <cellStyle name="Normal 129" xfId="2341"/>
    <cellStyle name="Normal 13" xfId="2342"/>
    <cellStyle name="Normal 130" xfId="2343"/>
    <cellStyle name="Normal 131" xfId="2344"/>
    <cellStyle name="Normal 132" xfId="2345"/>
    <cellStyle name="Normal 133" xfId="2346"/>
    <cellStyle name="Normal 134" xfId="2347"/>
    <cellStyle name="Normal 135" xfId="2348"/>
    <cellStyle name="Normal 136" xfId="2349"/>
    <cellStyle name="Normal 137" xfId="2350"/>
    <cellStyle name="Normal 138" xfId="2351"/>
    <cellStyle name="Normal 139" xfId="2352"/>
    <cellStyle name="Normal 14" xfId="2353"/>
    <cellStyle name="Normal 140" xfId="2354"/>
    <cellStyle name="Normal 141" xfId="2355"/>
    <cellStyle name="Normal 142" xfId="2356"/>
    <cellStyle name="Normal 143" xfId="2357"/>
    <cellStyle name="Normal 144" xfId="2358"/>
    <cellStyle name="Normal 145" xfId="2359"/>
    <cellStyle name="Normal 146" xfId="2360"/>
    <cellStyle name="Normal 147" xfId="2361"/>
    <cellStyle name="Normal 148" xfId="2362"/>
    <cellStyle name="Normal 149" xfId="2363"/>
    <cellStyle name="Normal 15" xfId="2364"/>
    <cellStyle name="Normal 150" xfId="2365"/>
    <cellStyle name="Normal 151" xfId="2366"/>
    <cellStyle name="Normal 152" xfId="2367"/>
    <cellStyle name="Normal 153" xfId="2368"/>
    <cellStyle name="Normal 154" xfId="2369"/>
    <cellStyle name="Normal 155" xfId="2370"/>
    <cellStyle name="Normal 156" xfId="2371"/>
    <cellStyle name="Normal 157" xfId="2372"/>
    <cellStyle name="Normal 158" xfId="2373"/>
    <cellStyle name="Normal 159" xfId="2374"/>
    <cellStyle name="Normal 16" xfId="2375"/>
    <cellStyle name="Normal 160" xfId="2376"/>
    <cellStyle name="Normal 161" xfId="2377"/>
    <cellStyle name="Normal 162" xfId="2378"/>
    <cellStyle name="Normal 163" xfId="2379"/>
    <cellStyle name="Normal 164" xfId="2380"/>
    <cellStyle name="Normal 165" xfId="2381"/>
    <cellStyle name="Normal 166" xfId="2382"/>
    <cellStyle name="Normal 167" xfId="2383"/>
    <cellStyle name="Normal 168" xfId="2384"/>
    <cellStyle name="Normal 169" xfId="2385"/>
    <cellStyle name="Normal 17" xfId="2386"/>
    <cellStyle name="Normal 170" xfId="2387"/>
    <cellStyle name="Normal 171" xfId="2388"/>
    <cellStyle name="Normal 172" xfId="2389"/>
    <cellStyle name="Normal 173" xfId="2390"/>
    <cellStyle name="Normal 174" xfId="2391"/>
    <cellStyle name="Normal 175" xfId="2392"/>
    <cellStyle name="Normal 176" xfId="2393"/>
    <cellStyle name="Normal 177" xfId="2394"/>
    <cellStyle name="Normal 178" xfId="2395"/>
    <cellStyle name="Normal 179" xfId="2396"/>
    <cellStyle name="Normal 18" xfId="2397"/>
    <cellStyle name="Normal 18 12" xfId="43"/>
    <cellStyle name="Normal 18 13" xfId="44"/>
    <cellStyle name="Normal 180" xfId="2398"/>
    <cellStyle name="Normal 181" xfId="2399"/>
    <cellStyle name="Normal 182" xfId="2400"/>
    <cellStyle name="Normal 183" xfId="2401"/>
    <cellStyle name="Normal 184" xfId="2402"/>
    <cellStyle name="Normal 185" xfId="2403"/>
    <cellStyle name="Normal 186" xfId="2404"/>
    <cellStyle name="Normal 187" xfId="2405"/>
    <cellStyle name="Normal 188" xfId="2406"/>
    <cellStyle name="Normal 189" xfId="2407"/>
    <cellStyle name="Normal 19" xfId="2408"/>
    <cellStyle name="Normal 190" xfId="2409"/>
    <cellStyle name="Normal 191" xfId="2410"/>
    <cellStyle name="Normal 192" xfId="2411"/>
    <cellStyle name="Normal 193" xfId="2412"/>
    <cellStyle name="Normal 194" xfId="2413"/>
    <cellStyle name="Normal 195" xfId="2414"/>
    <cellStyle name="Normal 196" xfId="2415"/>
    <cellStyle name="Normal 197" xfId="2416"/>
    <cellStyle name="Normal 198" xfId="2417"/>
    <cellStyle name="Normal 199" xfId="2418"/>
    <cellStyle name="Normal 2" xfId="45"/>
    <cellStyle name="Normal 2 2" xfId="82"/>
    <cellStyle name="Normal 2_153892C" xfId="2419"/>
    <cellStyle name="Normal 20" xfId="2420"/>
    <cellStyle name="Normal 200" xfId="2421"/>
    <cellStyle name="Normal 201" xfId="2422"/>
    <cellStyle name="Normal 202" xfId="2423"/>
    <cellStyle name="Normal 203" xfId="2424"/>
    <cellStyle name="Normal 204" xfId="2425"/>
    <cellStyle name="Normal 205" xfId="2426"/>
    <cellStyle name="Normal 206" xfId="2427"/>
    <cellStyle name="Normal 207" xfId="2428"/>
    <cellStyle name="Normal 208" xfId="2429"/>
    <cellStyle name="Normal 209" xfId="2430"/>
    <cellStyle name="Normal 21" xfId="2431"/>
    <cellStyle name="Normal 210" xfId="2432"/>
    <cellStyle name="Normal 211" xfId="2433"/>
    <cellStyle name="Normal 212" xfId="2434"/>
    <cellStyle name="Normal 213" xfId="2435"/>
    <cellStyle name="Normal 214" xfId="2436"/>
    <cellStyle name="Normal 215" xfId="2437"/>
    <cellStyle name="Normal 216" xfId="2438"/>
    <cellStyle name="Normal 217" xfId="2439"/>
    <cellStyle name="Normal 218" xfId="2440"/>
    <cellStyle name="Normal 219" xfId="2441"/>
    <cellStyle name="Normal 22" xfId="2442"/>
    <cellStyle name="Normal 220" xfId="2443"/>
    <cellStyle name="Normal 221" xfId="2444"/>
    <cellStyle name="Normal 222" xfId="2445"/>
    <cellStyle name="Normal 223" xfId="2446"/>
    <cellStyle name="Normal 224" xfId="2447"/>
    <cellStyle name="Normal 225" xfId="2448"/>
    <cellStyle name="Normal 226" xfId="2449"/>
    <cellStyle name="Normal 227" xfId="2450"/>
    <cellStyle name="Normal 228" xfId="2451"/>
    <cellStyle name="Normal 229" xfId="2452"/>
    <cellStyle name="Normal 23" xfId="2453"/>
    <cellStyle name="Normal 230" xfId="2454"/>
    <cellStyle name="Normal 231" xfId="2455"/>
    <cellStyle name="Normal 232" xfId="2456"/>
    <cellStyle name="Normal 233" xfId="2457"/>
    <cellStyle name="Normal 234" xfId="2458"/>
    <cellStyle name="Normal 235" xfId="2459"/>
    <cellStyle name="Normal 236" xfId="2460"/>
    <cellStyle name="Normal 237" xfId="2461"/>
    <cellStyle name="Normal 238" xfId="2462"/>
    <cellStyle name="Normal 239" xfId="2463"/>
    <cellStyle name="Normal 24" xfId="2464"/>
    <cellStyle name="Normal 240" xfId="2465"/>
    <cellStyle name="Normal 241" xfId="2466"/>
    <cellStyle name="Normal 242" xfId="2467"/>
    <cellStyle name="Normal 243" xfId="2468"/>
    <cellStyle name="Normal 244" xfId="2469"/>
    <cellStyle name="Normal 245" xfId="2470"/>
    <cellStyle name="Normal 246" xfId="2471"/>
    <cellStyle name="Normal 247" xfId="2472"/>
    <cellStyle name="Normal 248" xfId="2473"/>
    <cellStyle name="Normal 249" xfId="2474"/>
    <cellStyle name="Normal 25" xfId="2475"/>
    <cellStyle name="Normal 250" xfId="2476"/>
    <cellStyle name="Normal 251" xfId="2477"/>
    <cellStyle name="Normal 252" xfId="2478"/>
    <cellStyle name="Normal 253" xfId="2479"/>
    <cellStyle name="Normal 254" xfId="2480"/>
    <cellStyle name="Normal 255" xfId="2481"/>
    <cellStyle name="Normal 256" xfId="2482"/>
    <cellStyle name="Normal 257" xfId="2483"/>
    <cellStyle name="Normal 257 2" xfId="2484"/>
    <cellStyle name="Normal 257 2 2" xfId="2485"/>
    <cellStyle name="Normal 257 2 2 2" xfId="2486"/>
    <cellStyle name="Normal 257 2 2 2 2" xfId="2487"/>
    <cellStyle name="Normal 257 2 2 2 2 2" xfId="2488"/>
    <cellStyle name="Normal 257 2 2 2 3" xfId="2489"/>
    <cellStyle name="Normal 257 2 2 3" xfId="2490"/>
    <cellStyle name="Normal 257 2 2 3 2" xfId="2491"/>
    <cellStyle name="Normal 257 2 2 4" xfId="2492"/>
    <cellStyle name="Normal 257 2 3" xfId="2493"/>
    <cellStyle name="Normal 257 2 3 2" xfId="2494"/>
    <cellStyle name="Normal 257 2 3 2 2" xfId="2495"/>
    <cellStyle name="Normal 257 2 3 3" xfId="2496"/>
    <cellStyle name="Normal 257 2 4" xfId="2497"/>
    <cellStyle name="Normal 257 2 4 2" xfId="2498"/>
    <cellStyle name="Normal 257 2 5" xfId="2499"/>
    <cellStyle name="Normal 257 3" xfId="2500"/>
    <cellStyle name="Normal 257 3 2" xfId="2501"/>
    <cellStyle name="Normal 257 3 2 2" xfId="2502"/>
    <cellStyle name="Normal 257 3 2 2 2" xfId="2503"/>
    <cellStyle name="Normal 257 3 2 2 2 2" xfId="2504"/>
    <cellStyle name="Normal 257 3 2 2 3" xfId="2505"/>
    <cellStyle name="Normal 257 3 2 3" xfId="2506"/>
    <cellStyle name="Normal 257 3 2 3 2" xfId="2507"/>
    <cellStyle name="Normal 257 3 2 4" xfId="2508"/>
    <cellStyle name="Normal 257 3 3" xfId="2509"/>
    <cellStyle name="Normal 257 3 3 2" xfId="2510"/>
    <cellStyle name="Normal 257 3 3 2 2" xfId="2511"/>
    <cellStyle name="Normal 257 3 3 3" xfId="2512"/>
    <cellStyle name="Normal 257 3 4" xfId="2513"/>
    <cellStyle name="Normal 257 3 4 2" xfId="2514"/>
    <cellStyle name="Normal 257 3 5" xfId="2515"/>
    <cellStyle name="Normal 257 4" xfId="2516"/>
    <cellStyle name="Normal 257 4 2" xfId="2517"/>
    <cellStyle name="Normal 257 4 2 2" xfId="2518"/>
    <cellStyle name="Normal 257 4 2 2 2" xfId="2519"/>
    <cellStyle name="Normal 257 4 2 3" xfId="2520"/>
    <cellStyle name="Normal 257 4 3" xfId="2521"/>
    <cellStyle name="Normal 257 4 3 2" xfId="2522"/>
    <cellStyle name="Normal 257 4 4" xfId="2523"/>
    <cellStyle name="Normal 257 5" xfId="2524"/>
    <cellStyle name="Normal 257 5 2" xfId="2525"/>
    <cellStyle name="Normal 257 5 2 2" xfId="2526"/>
    <cellStyle name="Normal 257 5 3" xfId="2527"/>
    <cellStyle name="Normal 257 6" xfId="2528"/>
    <cellStyle name="Normal 257 6 2" xfId="2529"/>
    <cellStyle name="Normal 257 7" xfId="2530"/>
    <cellStyle name="Normal 257_153892C" xfId="2531"/>
    <cellStyle name="Normal 258" xfId="2532"/>
    <cellStyle name="Normal 258 2" xfId="2533"/>
    <cellStyle name="Normal 258 2 2" xfId="2534"/>
    <cellStyle name="Normal 258 2 2 2" xfId="2535"/>
    <cellStyle name="Normal 258 2 2 2 2" xfId="2536"/>
    <cellStyle name="Normal 258 2 2 2 2 2" xfId="2537"/>
    <cellStyle name="Normal 258 2 2 2 3" xfId="2538"/>
    <cellStyle name="Normal 258 2 2 3" xfId="2539"/>
    <cellStyle name="Normal 258 2 2 3 2" xfId="2540"/>
    <cellStyle name="Normal 258 2 2 4" xfId="2541"/>
    <cellStyle name="Normal 258 2 3" xfId="2542"/>
    <cellStyle name="Normal 258 2 3 2" xfId="2543"/>
    <cellStyle name="Normal 258 2 3 2 2" xfId="2544"/>
    <cellStyle name="Normal 258 2 3 3" xfId="2545"/>
    <cellStyle name="Normal 258 2 4" xfId="2546"/>
    <cellStyle name="Normal 258 2 4 2" xfId="2547"/>
    <cellStyle name="Normal 258 2 5" xfId="2548"/>
    <cellStyle name="Normal 258 3" xfId="2549"/>
    <cellStyle name="Normal 258 3 2" xfId="2550"/>
    <cellStyle name="Normal 258 3 2 2" xfId="2551"/>
    <cellStyle name="Normal 258 3 2 2 2" xfId="2552"/>
    <cellStyle name="Normal 258 3 2 2 2 2" xfId="2553"/>
    <cellStyle name="Normal 258 3 2 2 2 2 2" xfId="2554"/>
    <cellStyle name="Normal 258 3 2 2 2 3" xfId="2555"/>
    <cellStyle name="Normal 258 3 2 2 3" xfId="2556"/>
    <cellStyle name="Normal 258 3 2 2 3 2" xfId="2557"/>
    <cellStyle name="Normal 258 3 2 2 4" xfId="2558"/>
    <cellStyle name="Normal 258 3 2 3" xfId="2559"/>
    <cellStyle name="Normal 258 3 2 3 2" xfId="2560"/>
    <cellStyle name="Normal 258 3 2 3 2 2" xfId="2561"/>
    <cellStyle name="Normal 258 3 2 3 3" xfId="2562"/>
    <cellStyle name="Normal 258 3 2 4" xfId="2563"/>
    <cellStyle name="Normal 258 3 2 4 2" xfId="2564"/>
    <cellStyle name="Normal 258 3 2 5" xfId="2565"/>
    <cellStyle name="Normal 258 3 3" xfId="2566"/>
    <cellStyle name="Normal 258 3 3 2" xfId="2567"/>
    <cellStyle name="Normal 258 3 3 2 2" xfId="2568"/>
    <cellStyle name="Normal 258 3 3 2 2 2" xfId="2569"/>
    <cellStyle name="Normal 258 3 3 2 3" xfId="2570"/>
    <cellStyle name="Normal 258 3 3 3" xfId="2571"/>
    <cellStyle name="Normal 258 3 3 3 2" xfId="2572"/>
    <cellStyle name="Normal 258 3 3 4" xfId="2573"/>
    <cellStyle name="Normal 258 3 4" xfId="2574"/>
    <cellStyle name="Normal 258 3 4 2" xfId="2575"/>
    <cellStyle name="Normal 258 3 4 2 2" xfId="2576"/>
    <cellStyle name="Normal 258 3 4 3" xfId="2577"/>
    <cellStyle name="Normal 258 3 5" xfId="2578"/>
    <cellStyle name="Normal 258 3 5 2" xfId="2579"/>
    <cellStyle name="Normal 258 3 6" xfId="2580"/>
    <cellStyle name="Normal 258 3_153892C" xfId="2581"/>
    <cellStyle name="Normal 258 4" xfId="2582"/>
    <cellStyle name="Normal 258 4 2" xfId="2583"/>
    <cellStyle name="Normal 258 4 2 2" xfId="2584"/>
    <cellStyle name="Normal 258 4 2 2 2" xfId="2585"/>
    <cellStyle name="Normal 258 4 2 3" xfId="2586"/>
    <cellStyle name="Normal 258 4 3" xfId="2587"/>
    <cellStyle name="Normal 258 4 3 2" xfId="2588"/>
    <cellStyle name="Normal 258 4 4" xfId="2589"/>
    <cellStyle name="Normal 258 5" xfId="2590"/>
    <cellStyle name="Normal 258 5 2" xfId="2591"/>
    <cellStyle name="Normal 258 5 2 2" xfId="2592"/>
    <cellStyle name="Normal 258 5 3" xfId="2593"/>
    <cellStyle name="Normal 258 6" xfId="2594"/>
    <cellStyle name="Normal 258 6 2" xfId="2595"/>
    <cellStyle name="Normal 258 7" xfId="2596"/>
    <cellStyle name="Normal 258_153892C" xfId="2597"/>
    <cellStyle name="Normal 259" xfId="2598"/>
    <cellStyle name="Normal 259 2" xfId="2599"/>
    <cellStyle name="Normal 259 2 2" xfId="2600"/>
    <cellStyle name="Normal 259 2 2 2" xfId="2601"/>
    <cellStyle name="Normal 259 2 2 2 2" xfId="2602"/>
    <cellStyle name="Normal 259 2 2 2 2 2" xfId="2603"/>
    <cellStyle name="Normal 259 2 2 2 2 2 2" xfId="2604"/>
    <cellStyle name="Normal 259 2 2 2 2 3" xfId="2605"/>
    <cellStyle name="Normal 259 2 2 2 3" xfId="2606"/>
    <cellStyle name="Normal 259 2 2 2 3 2" xfId="2607"/>
    <cellStyle name="Normal 259 2 2 2 4" xfId="2608"/>
    <cellStyle name="Normal 259 2 2 3" xfId="2609"/>
    <cellStyle name="Normal 259 2 2 3 2" xfId="2610"/>
    <cellStyle name="Normal 259 2 2 3 2 2" xfId="2611"/>
    <cellStyle name="Normal 259 2 2 3 3" xfId="2612"/>
    <cellStyle name="Normal 259 2 2 4" xfId="2613"/>
    <cellStyle name="Normal 259 2 2 4 2" xfId="2614"/>
    <cellStyle name="Normal 259 2 2 5" xfId="2615"/>
    <cellStyle name="Normal 259 2 3" xfId="2616"/>
    <cellStyle name="Normal 259 2 3 2" xfId="2617"/>
    <cellStyle name="Normal 259 2 3 2 2" xfId="2618"/>
    <cellStyle name="Normal 259 2 3 2 2 2" xfId="2619"/>
    <cellStyle name="Normal 259 2 3 2 2 2 2" xfId="2620"/>
    <cellStyle name="Normal 259 2 3 2 2 3" xfId="2621"/>
    <cellStyle name="Normal 259 2 3 2 3" xfId="2622"/>
    <cellStyle name="Normal 259 2 3 2 3 2" xfId="2623"/>
    <cellStyle name="Normal 259 2 3 2 4" xfId="2624"/>
    <cellStyle name="Normal 259 2 3 3" xfId="2625"/>
    <cellStyle name="Normal 259 2 3 3 2" xfId="2626"/>
    <cellStyle name="Normal 259 2 3 3 2 2" xfId="2627"/>
    <cellStyle name="Normal 259 2 3 3 3" xfId="2628"/>
    <cellStyle name="Normal 259 2 3 4" xfId="2629"/>
    <cellStyle name="Normal 259 2 3 4 2" xfId="2630"/>
    <cellStyle name="Normal 259 2 3 5" xfId="2631"/>
    <cellStyle name="Normal 259 2 4" xfId="2632"/>
    <cellStyle name="Normal 259 2 4 2" xfId="2633"/>
    <cellStyle name="Normal 259 2 4 2 2" xfId="2634"/>
    <cellStyle name="Normal 259 2 4 2 2 2" xfId="2635"/>
    <cellStyle name="Normal 259 2 4 2 3" xfId="2636"/>
    <cellStyle name="Normal 259 2 4 3" xfId="2637"/>
    <cellStyle name="Normal 259 2 4 3 2" xfId="2638"/>
    <cellStyle name="Normal 259 2 4 4" xfId="2639"/>
    <cellStyle name="Normal 259 2 5" xfId="2640"/>
    <cellStyle name="Normal 259 2 5 2" xfId="2641"/>
    <cellStyle name="Normal 259 2 5 2 2" xfId="2642"/>
    <cellStyle name="Normal 259 2 5 3" xfId="2643"/>
    <cellStyle name="Normal 259 2 6" xfId="2644"/>
    <cellStyle name="Normal 259 2 6 2" xfId="2645"/>
    <cellStyle name="Normal 259 2 7" xfId="2646"/>
    <cellStyle name="Normal 259 2_153892C" xfId="2647"/>
    <cellStyle name="Normal 259 3" xfId="2648"/>
    <cellStyle name="Normal 259 3 2" xfId="2649"/>
    <cellStyle name="Normal 259 3 2 2" xfId="2650"/>
    <cellStyle name="Normal 259 3 2 2 2" xfId="2651"/>
    <cellStyle name="Normal 259 3 2 3" xfId="2652"/>
    <cellStyle name="Normal 259 3 3" xfId="2653"/>
    <cellStyle name="Normal 259 3 3 2" xfId="2654"/>
    <cellStyle name="Normal 259 3 4" xfId="2655"/>
    <cellStyle name="Normal 259 4" xfId="2656"/>
    <cellStyle name="Normal 259 4 2" xfId="2657"/>
    <cellStyle name="Normal 259 4 2 2" xfId="2658"/>
    <cellStyle name="Normal 259 4 3" xfId="2659"/>
    <cellStyle name="Normal 259 5" xfId="2660"/>
    <cellStyle name="Normal 259 5 2" xfId="2661"/>
    <cellStyle name="Normal 259 6" xfId="2662"/>
    <cellStyle name="Normal 259_153892C" xfId="2663"/>
    <cellStyle name="Normal 26" xfId="2664"/>
    <cellStyle name="Normal 260" xfId="2665"/>
    <cellStyle name="Normal 260 2" xfId="2666"/>
    <cellStyle name="Normal 260 2 2" xfId="2667"/>
    <cellStyle name="Normal 260 2 2 2" xfId="2668"/>
    <cellStyle name="Normal 260 2 2 2 2" xfId="2669"/>
    <cellStyle name="Normal 260 2 2 3" xfId="2670"/>
    <cellStyle name="Normal 260 2 3" xfId="2671"/>
    <cellStyle name="Normal 260 2 3 2" xfId="2672"/>
    <cellStyle name="Normal 260 2 4" xfId="2673"/>
    <cellStyle name="Normal 260 3" xfId="2674"/>
    <cellStyle name="Normal 260 3 2" xfId="2675"/>
    <cellStyle name="Normal 260 3 2 2" xfId="2676"/>
    <cellStyle name="Normal 260 3 3" xfId="2677"/>
    <cellStyle name="Normal 260 4" xfId="2678"/>
    <cellStyle name="Normal 260 4 2" xfId="2679"/>
    <cellStyle name="Normal 260 5" xfId="2680"/>
    <cellStyle name="Normal 261" xfId="2681"/>
    <cellStyle name="Normal 261 2" xfId="2682"/>
    <cellStyle name="Normal 261 2 2" xfId="2683"/>
    <cellStyle name="Normal 261 2 2 2" xfId="2684"/>
    <cellStyle name="Normal 261 2 2 2 2" xfId="2685"/>
    <cellStyle name="Normal 261 2 2 3" xfId="2686"/>
    <cellStyle name="Normal 261 2 3" xfId="2687"/>
    <cellStyle name="Normal 261 2 3 2" xfId="2688"/>
    <cellStyle name="Normal 261 2 4" xfId="2689"/>
    <cellStyle name="Normal 261 3" xfId="2690"/>
    <cellStyle name="Normal 261 3 2" xfId="2691"/>
    <cellStyle name="Normal 261 3 2 2" xfId="2692"/>
    <cellStyle name="Normal 261 3 3" xfId="2693"/>
    <cellStyle name="Normal 261 4" xfId="2694"/>
    <cellStyle name="Normal 261 4 2" xfId="2695"/>
    <cellStyle name="Normal 261 5" xfId="2696"/>
    <cellStyle name="Normal 262" xfId="2697"/>
    <cellStyle name="Normal 262 2" xfId="2698"/>
    <cellStyle name="Normal 262 2 2" xfId="2699"/>
    <cellStyle name="Normal 262 2 2 2" xfId="2700"/>
    <cellStyle name="Normal 262 2 2 2 2" xfId="2701"/>
    <cellStyle name="Normal 262 2 2 2 2 2" xfId="2702"/>
    <cellStyle name="Normal 262 2 2 2 2 2 2" xfId="2703"/>
    <cellStyle name="Normal 262 2 2 2 2 2 2 2" xfId="2704"/>
    <cellStyle name="Normal 262 2 2 2 2 2 3" xfId="2705"/>
    <cellStyle name="Normal 262 2 2 2 2 3" xfId="2706"/>
    <cellStyle name="Normal 262 2 2 2 2 3 2" xfId="2707"/>
    <cellStyle name="Normal 262 2 2 2 2 4" xfId="2708"/>
    <cellStyle name="Normal 262 2 2 2 3" xfId="2709"/>
    <cellStyle name="Normal 262 2 2 2 3 2" xfId="2710"/>
    <cellStyle name="Normal 262 2 2 2 3 2 2" xfId="2711"/>
    <cellStyle name="Normal 262 2 2 2 3 3" xfId="2712"/>
    <cellStyle name="Normal 262 2 2 2 4" xfId="2713"/>
    <cellStyle name="Normal 262 2 2 2 4 2" xfId="2714"/>
    <cellStyle name="Normal 262 2 2 2 5" xfId="2715"/>
    <cellStyle name="Normal 262 2 2 3" xfId="2716"/>
    <cellStyle name="Normal 262 2 2 3 2" xfId="2717"/>
    <cellStyle name="Normal 262 2 2 3 2 2" xfId="2718"/>
    <cellStyle name="Normal 262 2 2 3 2 2 2" xfId="2719"/>
    <cellStyle name="Normal 262 2 2 3 2 3" xfId="2720"/>
    <cellStyle name="Normal 262 2 2 3 3" xfId="2721"/>
    <cellStyle name="Normal 262 2 2 3 3 2" xfId="2722"/>
    <cellStyle name="Normal 262 2 2 3 4" xfId="2723"/>
    <cellStyle name="Normal 262 2 2 4" xfId="2724"/>
    <cellStyle name="Normal 262 2 2 4 2" xfId="2725"/>
    <cellStyle name="Normal 262 2 2 4 2 2" xfId="2726"/>
    <cellStyle name="Normal 262 2 2 4 3" xfId="2727"/>
    <cellStyle name="Normal 262 2 2 5" xfId="2728"/>
    <cellStyle name="Normal 262 2 2 5 2" xfId="2729"/>
    <cellStyle name="Normal 262 2 2 6" xfId="2730"/>
    <cellStyle name="Normal 262 2 2_153892C" xfId="2731"/>
    <cellStyle name="Normal 262 2 3" xfId="2732"/>
    <cellStyle name="Normal 262 2 3 2" xfId="2733"/>
    <cellStyle name="Normal 262 2 3 2 2" xfId="2734"/>
    <cellStyle name="Normal 262 2 3 2 2 2" xfId="2735"/>
    <cellStyle name="Normal 262 2 3 2 3" xfId="2736"/>
    <cellStyle name="Normal 262 2 3 3" xfId="2737"/>
    <cellStyle name="Normal 262 2 3 3 2" xfId="2738"/>
    <cellStyle name="Normal 262 2 3 4" xfId="2739"/>
    <cellStyle name="Normal 262 2 4" xfId="2740"/>
    <cellStyle name="Normal 262 2 4 2" xfId="2741"/>
    <cellStyle name="Normal 262 2 4 2 2" xfId="2742"/>
    <cellStyle name="Normal 262 2 4 3" xfId="2743"/>
    <cellStyle name="Normal 262 2 5" xfId="2744"/>
    <cellStyle name="Normal 262 2 5 2" xfId="2745"/>
    <cellStyle name="Normal 262 2 6" xfId="2746"/>
    <cellStyle name="Normal 262 2_153892C" xfId="2747"/>
    <cellStyle name="Normal 262 3" xfId="2748"/>
    <cellStyle name="Normal 262 3 2" xfId="2749"/>
    <cellStyle name="Normal 262 3 2 2" xfId="2750"/>
    <cellStyle name="Normal 262 3 2 2 2" xfId="2751"/>
    <cellStyle name="Normal 262 3 2 3" xfId="2752"/>
    <cellStyle name="Normal 262 3 3" xfId="2753"/>
    <cellStyle name="Normal 262 3 3 2" xfId="2754"/>
    <cellStyle name="Normal 262 3 4" xfId="2755"/>
    <cellStyle name="Normal 262 4" xfId="2756"/>
    <cellStyle name="Normal 262 4 2" xfId="2757"/>
    <cellStyle name="Normal 262 4 2 2" xfId="2758"/>
    <cellStyle name="Normal 262 4 3" xfId="2759"/>
    <cellStyle name="Normal 262 5" xfId="2760"/>
    <cellStyle name="Normal 262 5 2" xfId="2761"/>
    <cellStyle name="Normal 262 6" xfId="2762"/>
    <cellStyle name="Normal 262_153892C" xfId="2763"/>
    <cellStyle name="Normal 263" xfId="2764"/>
    <cellStyle name="Normal 263 2" xfId="2765"/>
    <cellStyle name="Normal 263 2 2" xfId="2766"/>
    <cellStyle name="Normal 263 2 2 2" xfId="2767"/>
    <cellStyle name="Normal 263 2 2 2 2" xfId="2768"/>
    <cellStyle name="Normal 263 2 2 2 2 2" xfId="2769"/>
    <cellStyle name="Normal 263 2 2 2 3" xfId="2770"/>
    <cellStyle name="Normal 263 2 2 3" xfId="2771"/>
    <cellStyle name="Normal 263 2 2 3 2" xfId="2772"/>
    <cellStyle name="Normal 263 2 2 4" xfId="2773"/>
    <cellStyle name="Normal 263 2 3" xfId="2774"/>
    <cellStyle name="Normal 263 2 3 2" xfId="2775"/>
    <cellStyle name="Normal 263 2 3 2 2" xfId="2776"/>
    <cellStyle name="Normal 263 2 3 3" xfId="2777"/>
    <cellStyle name="Normal 263 2 4" xfId="2778"/>
    <cellStyle name="Normal 263 2 4 2" xfId="2779"/>
    <cellStyle name="Normal 263 2 5" xfId="2780"/>
    <cellStyle name="Normal 263 3" xfId="2781"/>
    <cellStyle name="Normal 263 3 2" xfId="2782"/>
    <cellStyle name="Normal 263 3 2 2" xfId="2783"/>
    <cellStyle name="Normal 263 3 2 2 2" xfId="2784"/>
    <cellStyle name="Normal 263 3 2 3" xfId="2785"/>
    <cellStyle name="Normal 263 3 3" xfId="2786"/>
    <cellStyle name="Normal 263 3 3 2" xfId="2787"/>
    <cellStyle name="Normal 263 3 4" xfId="2788"/>
    <cellStyle name="Normal 263 4" xfId="2789"/>
    <cellStyle name="Normal 263 4 2" xfId="2790"/>
    <cellStyle name="Normal 263 4 2 2" xfId="2791"/>
    <cellStyle name="Normal 263 4 3" xfId="2792"/>
    <cellStyle name="Normal 263 5" xfId="2793"/>
    <cellStyle name="Normal 263 5 2" xfId="2794"/>
    <cellStyle name="Normal 263 6" xfId="2795"/>
    <cellStyle name="Normal 263_153892C" xfId="2796"/>
    <cellStyle name="Normal 264" xfId="2797"/>
    <cellStyle name="Normal 264 2" xfId="2798"/>
    <cellStyle name="Normal 264 2 2" xfId="2799"/>
    <cellStyle name="Normal 264 2 2 2" xfId="2800"/>
    <cellStyle name="Normal 264 2 2 2 2" xfId="2801"/>
    <cellStyle name="Normal 264 2 2 2 2 2" xfId="2802"/>
    <cellStyle name="Normal 264 2 2 2 3" xfId="2803"/>
    <cellStyle name="Normal 264 2 2 3" xfId="2804"/>
    <cellStyle name="Normal 264 2 2 3 2" xfId="2805"/>
    <cellStyle name="Normal 264 2 2 4" xfId="2806"/>
    <cellStyle name="Normal 264 2 3" xfId="2807"/>
    <cellStyle name="Normal 264 2 3 2" xfId="2808"/>
    <cellStyle name="Normal 264 2 3 2 2" xfId="2809"/>
    <cellStyle name="Normal 264 2 3 3" xfId="2810"/>
    <cellStyle name="Normal 264 2 4" xfId="2811"/>
    <cellStyle name="Normal 264 2 4 2" xfId="2812"/>
    <cellStyle name="Normal 264 2 5" xfId="2813"/>
    <cellStyle name="Normal 264 3" xfId="2814"/>
    <cellStyle name="Normal 264 3 2" xfId="2815"/>
    <cellStyle name="Normal 264 3 2 2" xfId="2816"/>
    <cellStyle name="Normal 264 3 2 2 2" xfId="2817"/>
    <cellStyle name="Normal 264 3 2 2 2 2" xfId="2818"/>
    <cellStyle name="Normal 264 3 2 2 2 2 2" xfId="2819"/>
    <cellStyle name="Normal 264 3 2 2 2 3" xfId="2820"/>
    <cellStyle name="Normal 264 3 2 2 3" xfId="2821"/>
    <cellStyle name="Normal 264 3 2 2 3 2" xfId="2822"/>
    <cellStyle name="Normal 264 3 2 2 4" xfId="2823"/>
    <cellStyle name="Normal 264 3 2 3" xfId="2824"/>
    <cellStyle name="Normal 264 3 2 3 2" xfId="2825"/>
    <cellStyle name="Normal 264 3 2 3 2 2" xfId="2826"/>
    <cellStyle name="Normal 264 3 2 3 3" xfId="2827"/>
    <cellStyle name="Normal 264 3 2 4" xfId="2828"/>
    <cellStyle name="Normal 264 3 2 4 2" xfId="2829"/>
    <cellStyle name="Normal 264 3 2 5" xfId="2830"/>
    <cellStyle name="Normal 264 3 3" xfId="2831"/>
    <cellStyle name="Normal 264 3 3 2" xfId="2832"/>
    <cellStyle name="Normal 264 3 3 2 2" xfId="2833"/>
    <cellStyle name="Normal 264 3 3 2 2 2" xfId="2834"/>
    <cellStyle name="Normal 264 3 3 2 3" xfId="2835"/>
    <cellStyle name="Normal 264 3 3 3" xfId="2836"/>
    <cellStyle name="Normal 264 3 3 3 2" xfId="2837"/>
    <cellStyle name="Normal 264 3 3 4" xfId="2838"/>
    <cellStyle name="Normal 264 3 4" xfId="2839"/>
    <cellStyle name="Normal 264 3 4 2" xfId="2840"/>
    <cellStyle name="Normal 264 3 4 2 2" xfId="2841"/>
    <cellStyle name="Normal 264 3 4 3" xfId="2842"/>
    <cellStyle name="Normal 264 3 5" xfId="2843"/>
    <cellStyle name="Normal 264 3 5 2" xfId="2844"/>
    <cellStyle name="Normal 264 3 6" xfId="2845"/>
    <cellStyle name="Normal 264 3_153892C" xfId="2846"/>
    <cellStyle name="Normal 264 4" xfId="2847"/>
    <cellStyle name="Normal 264 4 2" xfId="2848"/>
    <cellStyle name="Normal 264 4 2 2" xfId="2849"/>
    <cellStyle name="Normal 264 4 2 2 2" xfId="2850"/>
    <cellStyle name="Normal 264 4 2 3" xfId="2851"/>
    <cellStyle name="Normal 264 4 3" xfId="2852"/>
    <cellStyle name="Normal 264 4 3 2" xfId="2853"/>
    <cellStyle name="Normal 264 4 4" xfId="2854"/>
    <cellStyle name="Normal 264 5" xfId="2855"/>
    <cellStyle name="Normal 264 5 2" xfId="2856"/>
    <cellStyle name="Normal 264 5 2 2" xfId="2857"/>
    <cellStyle name="Normal 264 5 3" xfId="2858"/>
    <cellStyle name="Normal 264 6" xfId="2859"/>
    <cellStyle name="Normal 264 6 2" xfId="2860"/>
    <cellStyle name="Normal 264 7" xfId="2861"/>
    <cellStyle name="Normal 264_153892C" xfId="2862"/>
    <cellStyle name="Normal 265" xfId="2863"/>
    <cellStyle name="Normal 265 2" xfId="2864"/>
    <cellStyle name="Normal 265 2 2" xfId="2865"/>
    <cellStyle name="Normal 265 2 2 2" xfId="2866"/>
    <cellStyle name="Normal 265 2 2 2 2" xfId="2867"/>
    <cellStyle name="Normal 265 2 2 2 2 2" xfId="2868"/>
    <cellStyle name="Normal 265 2 2 2 2 2 2" xfId="2869"/>
    <cellStyle name="Normal 265 2 2 2 2 2 2 2" xfId="2870"/>
    <cellStyle name="Normal 265 2 2 2 2 2 2 2 2" xfId="2871"/>
    <cellStyle name="Normal 265 2 2 2 2 2 2 3" xfId="2872"/>
    <cellStyle name="Normal 265 2 2 2 2 2 3" xfId="2873"/>
    <cellStyle name="Normal 265 2 2 2 2 2 3 2" xfId="2874"/>
    <cellStyle name="Normal 265 2 2 2 2 2 4" xfId="2875"/>
    <cellStyle name="Normal 265 2 2 2 2 3" xfId="2876"/>
    <cellStyle name="Normal 265 2 2 2 2 3 2" xfId="2877"/>
    <cellStyle name="Normal 265 2 2 2 2 3 2 2" xfId="2878"/>
    <cellStyle name="Normal 265 2 2 2 2 3 3" xfId="2879"/>
    <cellStyle name="Normal 265 2 2 2 2 4" xfId="2880"/>
    <cellStyle name="Normal 265 2 2 2 2 4 2" xfId="2881"/>
    <cellStyle name="Normal 265 2 2 2 2 5" xfId="2882"/>
    <cellStyle name="Normal 265 2 2 2 3" xfId="2883"/>
    <cellStyle name="Normal 265 2 2 2 3 2" xfId="2884"/>
    <cellStyle name="Normal 265 2 2 2 3 2 2" xfId="2885"/>
    <cellStyle name="Normal 265 2 2 2 3 2 2 2" xfId="2886"/>
    <cellStyle name="Normal 265 2 2 2 3 2 3" xfId="2887"/>
    <cellStyle name="Normal 265 2 2 2 3 3" xfId="2888"/>
    <cellStyle name="Normal 265 2 2 2 3 3 2" xfId="2889"/>
    <cellStyle name="Normal 265 2 2 2 3 4" xfId="2890"/>
    <cellStyle name="Normal 265 2 2 2 4" xfId="2891"/>
    <cellStyle name="Normal 265 2 2 2 4 2" xfId="2892"/>
    <cellStyle name="Normal 265 2 2 2 4 2 2" xfId="2893"/>
    <cellStyle name="Normal 265 2 2 2 4 3" xfId="2894"/>
    <cellStyle name="Normal 265 2 2 2 5" xfId="2895"/>
    <cellStyle name="Normal 265 2 2 2 5 2" xfId="2896"/>
    <cellStyle name="Normal 265 2 2 2 6" xfId="2897"/>
    <cellStyle name="Normal 265 2 2 2_153892C" xfId="2898"/>
    <cellStyle name="Normal 265 2 2 3" xfId="2899"/>
    <cellStyle name="Normal 265 2 2 3 2" xfId="2900"/>
    <cellStyle name="Normal 265 2 2 3 2 2" xfId="2901"/>
    <cellStyle name="Normal 265 2 2 3 2 2 2" xfId="2902"/>
    <cellStyle name="Normal 265 2 2 3 2 3" xfId="2903"/>
    <cellStyle name="Normal 265 2 2 3 3" xfId="2904"/>
    <cellStyle name="Normal 265 2 2 3 3 2" xfId="2905"/>
    <cellStyle name="Normal 265 2 2 3 4" xfId="2906"/>
    <cellStyle name="Normal 265 2 2 4" xfId="2907"/>
    <cellStyle name="Normal 265 2 2 4 2" xfId="2908"/>
    <cellStyle name="Normal 265 2 2 4 2 2" xfId="2909"/>
    <cellStyle name="Normal 265 2 2 4 3" xfId="2910"/>
    <cellStyle name="Normal 265 2 2 5" xfId="2911"/>
    <cellStyle name="Normal 265 2 2 5 2" xfId="2912"/>
    <cellStyle name="Normal 265 2 2 6" xfId="2913"/>
    <cellStyle name="Normal 265 2 2_153892C" xfId="2914"/>
    <cellStyle name="Normal 265 2 3" xfId="2915"/>
    <cellStyle name="Normal 265 2 3 2" xfId="2916"/>
    <cellStyle name="Normal 265 2 3 2 2" xfId="2917"/>
    <cellStyle name="Normal 265 2 3 2 2 2" xfId="2918"/>
    <cellStyle name="Normal 265 2 3 2 3" xfId="2919"/>
    <cellStyle name="Normal 265 2 3 3" xfId="2920"/>
    <cellStyle name="Normal 265 2 3 3 2" xfId="2921"/>
    <cellStyle name="Normal 265 2 3 4" xfId="2922"/>
    <cellStyle name="Normal 265 2 4" xfId="2923"/>
    <cellStyle name="Normal 265 2 4 2" xfId="2924"/>
    <cellStyle name="Normal 265 2 4 2 2" xfId="2925"/>
    <cellStyle name="Normal 265 2 4 3" xfId="2926"/>
    <cellStyle name="Normal 265 2 5" xfId="2927"/>
    <cellStyle name="Normal 265 2 5 2" xfId="2928"/>
    <cellStyle name="Normal 265 2 6" xfId="2929"/>
    <cellStyle name="Normal 265 2_153892C" xfId="2930"/>
    <cellStyle name="Normal 265 3" xfId="2931"/>
    <cellStyle name="Normal 265 3 2" xfId="2932"/>
    <cellStyle name="Normal 265 3 2 2" xfId="2933"/>
    <cellStyle name="Normal 265 3 2 2 2" xfId="2934"/>
    <cellStyle name="Normal 265 3 2 3" xfId="2935"/>
    <cellStyle name="Normal 265 3 3" xfId="2936"/>
    <cellStyle name="Normal 265 3 3 2" xfId="2937"/>
    <cellStyle name="Normal 265 3 4" xfId="2938"/>
    <cellStyle name="Normal 265 4" xfId="2939"/>
    <cellStyle name="Normal 265 4 2" xfId="2940"/>
    <cellStyle name="Normal 265 4 2 2" xfId="2941"/>
    <cellStyle name="Normal 265 4 3" xfId="2942"/>
    <cellStyle name="Normal 265 5" xfId="2943"/>
    <cellStyle name="Normal 265 5 2" xfId="2944"/>
    <cellStyle name="Normal 265 6" xfId="2945"/>
    <cellStyle name="Normal 265_153892C" xfId="2946"/>
    <cellStyle name="Normal 266" xfId="2947"/>
    <cellStyle name="Normal 267" xfId="2948"/>
    <cellStyle name="Normal 268" xfId="2949"/>
    <cellStyle name="Normal 269" xfId="2950"/>
    <cellStyle name="Normal 27" xfId="2951"/>
    <cellStyle name="Normal 270" xfId="2952"/>
    <cellStyle name="Normal 271" xfId="2953"/>
    <cellStyle name="Normal 272" xfId="2954"/>
    <cellStyle name="Normal 273" xfId="2955"/>
    <cellStyle name="Normal 274" xfId="46"/>
    <cellStyle name="Normal 275" xfId="2956"/>
    <cellStyle name="Normal 276" xfId="2957"/>
    <cellStyle name="Normal 277" xfId="2958"/>
    <cellStyle name="Normal 278" xfId="2959"/>
    <cellStyle name="Normal 279" xfId="2960"/>
    <cellStyle name="Normal 28" xfId="2961"/>
    <cellStyle name="Normal 280" xfId="2962"/>
    <cellStyle name="Normal 281" xfId="2963"/>
    <cellStyle name="Normal 282" xfId="2964"/>
    <cellStyle name="Normal 283" xfId="2965"/>
    <cellStyle name="Normal 284" xfId="2966"/>
    <cellStyle name="Normal 284 2" xfId="2967"/>
    <cellStyle name="Normal 284 2 2" xfId="2968"/>
    <cellStyle name="Normal 285" xfId="2969"/>
    <cellStyle name="Normal 285 2" xfId="2970"/>
    <cellStyle name="Normal 285 2 2" xfId="2971"/>
    <cellStyle name="Normal 285 3" xfId="2972"/>
    <cellStyle name="Normal 286" xfId="2973"/>
    <cellStyle name="Normal 287" xfId="2974"/>
    <cellStyle name="Normal 288" xfId="2975"/>
    <cellStyle name="Normal 289" xfId="2976"/>
    <cellStyle name="Normal 289 2" xfId="2977"/>
    <cellStyle name="Normal 29" xfId="2978"/>
    <cellStyle name="Normal 290" xfId="2979"/>
    <cellStyle name="Normal 291" xfId="2980"/>
    <cellStyle name="Normal 292" xfId="2981"/>
    <cellStyle name="Normal 293" xfId="2982"/>
    <cellStyle name="Normal 294" xfId="2983"/>
    <cellStyle name="Normal 295" xfId="2984"/>
    <cellStyle name="Normal 296" xfId="2985"/>
    <cellStyle name="Normal 297" xfId="2986"/>
    <cellStyle name="Normal 298" xfId="2987"/>
    <cellStyle name="Normal 299" xfId="2988"/>
    <cellStyle name="Normal 3" xfId="47"/>
    <cellStyle name="Normal 30" xfId="2989"/>
    <cellStyle name="Normal 300" xfId="2990"/>
    <cellStyle name="Normal 301" xfId="2991"/>
    <cellStyle name="Normal 302" xfId="2992"/>
    <cellStyle name="Normal 303" xfId="2993"/>
    <cellStyle name="Normal 304" xfId="2994"/>
    <cellStyle name="Normal 305" xfId="2995"/>
    <cellStyle name="Normal 306" xfId="2996"/>
    <cellStyle name="Normal 307" xfId="2997"/>
    <cellStyle name="Normal 308" xfId="2998"/>
    <cellStyle name="Normal 309" xfId="2999"/>
    <cellStyle name="Normal 31" xfId="3000"/>
    <cellStyle name="Normal 310" xfId="3001"/>
    <cellStyle name="Normal 311" xfId="3002"/>
    <cellStyle name="Normal 312" xfId="3003"/>
    <cellStyle name="Normal 313" xfId="3004"/>
    <cellStyle name="Normal 314" xfId="3005"/>
    <cellStyle name="Normal 315" xfId="3006"/>
    <cellStyle name="Normal 316" xfId="3007"/>
    <cellStyle name="Normal 317" xfId="3008"/>
    <cellStyle name="Normal 318" xfId="3009"/>
    <cellStyle name="Normal 319" xfId="3010"/>
    <cellStyle name="Normal 32" xfId="3011"/>
    <cellStyle name="Normal 320" xfId="3012"/>
    <cellStyle name="Normal 321" xfId="3013"/>
    <cellStyle name="Normal 322" xfId="3014"/>
    <cellStyle name="Normal 323" xfId="3015"/>
    <cellStyle name="Normal 324" xfId="3016"/>
    <cellStyle name="Normal 325" xfId="48"/>
    <cellStyle name="Normal 325 2" xfId="3017"/>
    <cellStyle name="Normal 326" xfId="3018"/>
    <cellStyle name="Normal 327" xfId="3019"/>
    <cellStyle name="Normal 328" xfId="3020"/>
    <cellStyle name="Normal 329" xfId="3021"/>
    <cellStyle name="Normal 33" xfId="3022"/>
    <cellStyle name="Normal 330" xfId="3023"/>
    <cellStyle name="Normal 331" xfId="3024"/>
    <cellStyle name="Normal 332" xfId="3025"/>
    <cellStyle name="Normal 333" xfId="3026"/>
    <cellStyle name="Normal 334" xfId="3027"/>
    <cellStyle name="Normal 335" xfId="3028"/>
    <cellStyle name="Normal 336" xfId="3029"/>
    <cellStyle name="Normal 337" xfId="3030"/>
    <cellStyle name="Normal 338" xfId="3031"/>
    <cellStyle name="Normal 339" xfId="3032"/>
    <cellStyle name="Normal 34" xfId="3033"/>
    <cellStyle name="Normal 340" xfId="3034"/>
    <cellStyle name="Normal 341" xfId="3035"/>
    <cellStyle name="Normal 342" xfId="3036"/>
    <cellStyle name="Normal 343" xfId="3037"/>
    <cellStyle name="Normal 344" xfId="3038"/>
    <cellStyle name="Normal 345" xfId="3039"/>
    <cellStyle name="Normal 346" xfId="3040"/>
    <cellStyle name="Normal 347" xfId="49"/>
    <cellStyle name="Normal 348" xfId="3041"/>
    <cellStyle name="Normal 349" xfId="3042"/>
    <cellStyle name="Normal 35" xfId="3043"/>
    <cellStyle name="Normal 350" xfId="3044"/>
    <cellStyle name="Normal 351" xfId="3045"/>
    <cellStyle name="Normal 352" xfId="3046"/>
    <cellStyle name="Normal 353" xfId="3047"/>
    <cellStyle name="Normal 354" xfId="3048"/>
    <cellStyle name="Normal 355" xfId="3049"/>
    <cellStyle name="Normal 356" xfId="3050"/>
    <cellStyle name="Normal 357" xfId="3051"/>
    <cellStyle name="Normal 358" xfId="3052"/>
    <cellStyle name="Normal 359" xfId="3053"/>
    <cellStyle name="Normal 36" xfId="3054"/>
    <cellStyle name="Normal 360" xfId="3055"/>
    <cellStyle name="Normal 361" xfId="3056"/>
    <cellStyle name="Normal 362" xfId="3057"/>
    <cellStyle name="Normal 363" xfId="3058"/>
    <cellStyle name="Normal 364" xfId="3059"/>
    <cellStyle name="Normal 365" xfId="3060"/>
    <cellStyle name="Normal 366" xfId="3061"/>
    <cellStyle name="Normal 367" xfId="3062"/>
    <cellStyle name="Normal 368" xfId="3063"/>
    <cellStyle name="Normal 369" xfId="3064"/>
    <cellStyle name="Normal 37" xfId="50"/>
    <cellStyle name="Normal 370" xfId="3065"/>
    <cellStyle name="Normal 371" xfId="3066"/>
    <cellStyle name="Normal 371 2" xfId="3067"/>
    <cellStyle name="Normal 372" xfId="3068"/>
    <cellStyle name="Normal 372 2" xfId="3069"/>
    <cellStyle name="Normal 372 2 2" xfId="3070"/>
    <cellStyle name="Normal 372 2 2 2" xfId="78"/>
    <cellStyle name="Normal 373" xfId="3071"/>
    <cellStyle name="Normal 374" xfId="3072"/>
    <cellStyle name="Normal 38" xfId="3073"/>
    <cellStyle name="Normal 383" xfId="51"/>
    <cellStyle name="Normal 39" xfId="3074"/>
    <cellStyle name="Normal 4" xfId="3075"/>
    <cellStyle name="Normal 4 2" xfId="3076"/>
    <cellStyle name="Normal 4 3" xfId="70"/>
    <cellStyle name="Normal 40" xfId="3077"/>
    <cellStyle name="Normal 41" xfId="3078"/>
    <cellStyle name="Normal 42" xfId="3079"/>
    <cellStyle name="Normal 429" xfId="52"/>
    <cellStyle name="Normal 43" xfId="3080"/>
    <cellStyle name="Normal 44" xfId="3081"/>
    <cellStyle name="Normal 45" xfId="3082"/>
    <cellStyle name="Normal 46" xfId="3083"/>
    <cellStyle name="Normal 47" xfId="3084"/>
    <cellStyle name="Normal 48" xfId="3085"/>
    <cellStyle name="Normal 49" xfId="3086"/>
    <cellStyle name="Normal 498" xfId="53"/>
    <cellStyle name="Normal 498 2" xfId="54"/>
    <cellStyle name="Normal 5" xfId="3087"/>
    <cellStyle name="Normal 50" xfId="3088"/>
    <cellStyle name="Normal 51" xfId="3089"/>
    <cellStyle name="Normal 52" xfId="3090"/>
    <cellStyle name="Normal 53" xfId="3091"/>
    <cellStyle name="Normal 532" xfId="55"/>
    <cellStyle name="Normal 534" xfId="56"/>
    <cellStyle name="Normal 537" xfId="57"/>
    <cellStyle name="Normal 539" xfId="58"/>
    <cellStyle name="Normal 54" xfId="3092"/>
    <cellStyle name="Normal 55" xfId="3093"/>
    <cellStyle name="Normal 56" xfId="3094"/>
    <cellStyle name="Normal 57" xfId="3095"/>
    <cellStyle name="Normal 58" xfId="3096"/>
    <cellStyle name="Normal 59" xfId="3097"/>
    <cellStyle name="Normal 6" xfId="3098"/>
    <cellStyle name="Normal 60" xfId="3099"/>
    <cellStyle name="Normal 61" xfId="3100"/>
    <cellStyle name="Normal 62" xfId="3101"/>
    <cellStyle name="Normal 63" xfId="3102"/>
    <cellStyle name="Normal 64" xfId="3103"/>
    <cellStyle name="Normal 65" xfId="3104"/>
    <cellStyle name="Normal 66" xfId="3105"/>
    <cellStyle name="Normal 67" xfId="3106"/>
    <cellStyle name="Normal 68" xfId="3107"/>
    <cellStyle name="Normal 69" xfId="3108"/>
    <cellStyle name="Normal 7" xfId="3109"/>
    <cellStyle name="Normal 70" xfId="3110"/>
    <cellStyle name="Normal 71" xfId="3111"/>
    <cellStyle name="Normal 72" xfId="3112"/>
    <cellStyle name="Normal 73" xfId="3113"/>
    <cellStyle name="Normal 74" xfId="3114"/>
    <cellStyle name="Normal 75" xfId="3115"/>
    <cellStyle name="Normal 76" xfId="3116"/>
    <cellStyle name="Normal 77" xfId="3117"/>
    <cellStyle name="Normal 78" xfId="3118"/>
    <cellStyle name="Normal 79" xfId="3119"/>
    <cellStyle name="Normal 8" xfId="3120"/>
    <cellStyle name="Normal 80" xfId="3121"/>
    <cellStyle name="Normal 81" xfId="3122"/>
    <cellStyle name="Normal 82" xfId="3123"/>
    <cellStyle name="Normal 83" xfId="3124"/>
    <cellStyle name="Normal 84" xfId="3125"/>
    <cellStyle name="Normal 85" xfId="3126"/>
    <cellStyle name="Normal 86" xfId="3127"/>
    <cellStyle name="Normal 87" xfId="3128"/>
    <cellStyle name="Normal 88" xfId="3129"/>
    <cellStyle name="Normal 89" xfId="3130"/>
    <cellStyle name="Normal 9" xfId="3131"/>
    <cellStyle name="Normal 90" xfId="3132"/>
    <cellStyle name="Normal 91" xfId="3133"/>
    <cellStyle name="Normal 92" xfId="3134"/>
    <cellStyle name="Normal 93" xfId="3135"/>
    <cellStyle name="Normal 94" xfId="3136"/>
    <cellStyle name="Normal 95" xfId="3137"/>
    <cellStyle name="Normal 96" xfId="3138"/>
    <cellStyle name="Normal 97" xfId="3139"/>
    <cellStyle name="Normal 98" xfId="3140"/>
    <cellStyle name="Normal 99" xfId="3141"/>
    <cellStyle name="Normal_DM CANVAS 7 C.DAO" xfId="77"/>
    <cellStyle name="Normal_DM CANVAS 7 C.DAO 2" xfId="91"/>
    <cellStyle name="Normal_DM CANVAS 9" xfId="93"/>
    <cellStyle name="Normal_DM CANVAS T01 LAN 1 2" xfId="81"/>
    <cellStyle name="Normal_DM CANVAS T01 LAN 1_1_DM CANVAS T02 (ExcelFIX) USE NHUNG THANG SAU_1_DM CANVAS T06 MAU MOI (ExcelFIX) (ExcelFIX)" xfId="75"/>
    <cellStyle name="Normal_DM CANVAS T01 LAN 1_DM CANVAS T02 (ExcelFIX)" xfId="69"/>
    <cellStyle name="Normal_DM CANVAS T01 LAN 1_DM CANVAS T02 (ExcelFIX)_K-SWISS T11" xfId="72"/>
    <cellStyle name="Normal_DM CANVAS T01 LAN 2 DKHQ DA SUA YARD 2" xfId="87"/>
    <cellStyle name="Normal_DM CANVAS T01 LAN 2 DKHQ DA SUA YARD_1_DM CANVAS T04 (ExcelFIX) 2" xfId="74"/>
    <cellStyle name="Normal_DM CANVAS T02  (ExcelFIX) (ExcelFIX)_DM CANVAS T01 LAN 1 2 2" xfId="90"/>
    <cellStyle name="Normal_DM CANVAS T02  (ExcelFIX) (ExcelFIX)_DM CANVAS T01 LAN 2 DKHQ DA SUA YARD 2 2" xfId="68"/>
    <cellStyle name="Normal_DM CANVAS T03 LAN 1(ExcelFIX)_DM CANVAS T01 LAN 2 DKHQ DA SUA YARD" xfId="71"/>
    <cellStyle name="Normal_DM CANVAS T03 LAN 1(ExcelFIX)_DM CANVAS T01 LAN 2 DKHQ DA SUA YARD_K-SWISS T11" xfId="80"/>
    <cellStyle name="Normal_DM CANVAS T03 LAN 3(ExcelFIX) 2" xfId="85"/>
    <cellStyle name="Normal_DM CANVAS T12 LAN 1_DM CANVAS T01 (ExcelFIX) (ExcelFIX)_DM CANVAS T01 LAN 1" xfId="79"/>
    <cellStyle name="Normal_DM CANVAS T12 LAN 1_DM CANVAS T01 (ExcelFIX) (ExcelFIX)_DM CANVAS T01 LAN 1_K-SWISS T11" xfId="76"/>
    <cellStyle name="Normal_DM CANVAS T12 LAN 1_DM CANVAS T01 (ExcelFIX) (ExcelFIX)_DM CANVAS T01 LAN 2 DKHQ DA SUA YARD 2" xfId="98"/>
    <cellStyle name="Normal_DM CANVAS T12 LAN 1_DM CANVAS T02 DUA VAO DM NAY LAM (ExcelFIX) (ExcelFIX)_DM CANVAS T01 LAN 2 DKHQ DA SUA YARD 2" xfId="94"/>
    <cellStyle name="Normal_DM CANVAS T12 LAN 1_DM CANVAS T03 LAN 3(ExcelFIX)_DM CANVAS T02 (ExcelFIX) USE NHUNG THANG SAU 2" xfId="88"/>
    <cellStyle name="Normal_DM CANVAS T12 LAN 1_DM CANVAS T03_DM CANVAS T01 LAN 2 DKHQ DA SUA YARD" xfId="67"/>
    <cellStyle name="Normal_DM CANVAS T12 LAN 1_DM CANVAS T03_DM CANVAS T01 LAN 2 DKHQ DA SUA YARD 2 2" xfId="89"/>
    <cellStyle name="Normal_DM CANVAS T12 LAN 1_DM CANVAS T03_DM CANVAS T01 LAN 2 DKHQ DA SUA YARD_K-SWISS T11 2" xfId="66"/>
    <cellStyle name="Normal_DM WOL-CAT T02 (ExcelFIX)" xfId="86"/>
    <cellStyle name="Normal_DM WOL-CAT T02 (ExcelFIX) 2" xfId="92"/>
    <cellStyle name="Normal_P714524_DM CANVAS 10  ok(ExcelFIX)_DM CANVAS 7 C.DAO 3 2" xfId="73"/>
    <cellStyle name="Normale_Foglio1" xfId="3142"/>
    <cellStyle name="Note 2" xfId="59"/>
    <cellStyle name="Output 2" xfId="60"/>
    <cellStyle name="Percent 2" xfId="97"/>
    <cellStyle name="Percent 3" xfId="3143"/>
    <cellStyle name="Style 1" xfId="61"/>
    <cellStyle name="Style 1 2" xfId="3144"/>
    <cellStyle name="Title 2" xfId="62"/>
    <cellStyle name="Total 2" xfId="63"/>
    <cellStyle name="Valuta_pldt" xfId="64"/>
    <cellStyle name="Warning Text 2" xfId="65"/>
    <cellStyle name="표준_Spring 2006 International Price List 080505" xfId="3145"/>
    <cellStyle name="一般_10H LINE SHEET" xfId="3146"/>
    <cellStyle name="中等" xfId="3147"/>
    <cellStyle name="備註" xfId="3148"/>
    <cellStyle name="合計" xfId="3149"/>
    <cellStyle name="壞" xfId="3150"/>
    <cellStyle name="好" xfId="3151"/>
    <cellStyle name="常规_SIZE RUN FOR ARV05 05" xfId="3152"/>
    <cellStyle name="標題" xfId="3153"/>
    <cellStyle name="標題 1" xfId="3154"/>
    <cellStyle name="標題 2" xfId="3155"/>
    <cellStyle name="標題 3" xfId="3156"/>
    <cellStyle name="標題 4" xfId="3157"/>
    <cellStyle name="樣式 1" xfId="3158"/>
    <cellStyle name="檢查儲存格" xfId="3159"/>
    <cellStyle name="計算方式" xfId="3160"/>
    <cellStyle name="說明文字" xfId="3161"/>
    <cellStyle name="警告文字" xfId="3162"/>
    <cellStyle name="輔色1" xfId="3163"/>
    <cellStyle name="輔色2" xfId="3164"/>
    <cellStyle name="輔色3" xfId="3165"/>
    <cellStyle name="輔色4" xfId="3166"/>
    <cellStyle name="輔色5" xfId="3167"/>
    <cellStyle name="輔色6" xfId="3168"/>
    <cellStyle name="輸入" xfId="3169"/>
    <cellStyle name="輸出" xfId="3170"/>
    <cellStyle name="連結的儲存格" xfId="31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4"/>
  <sheetViews>
    <sheetView view="pageBreakPreview" topLeftCell="A14" zoomScale="85" zoomScaleNormal="100" zoomScaleSheetLayoutView="75" workbookViewId="0">
      <selection activeCell="A22" sqref="A22:E22"/>
    </sheetView>
  </sheetViews>
  <sheetFormatPr defaultRowHeight="12.75"/>
  <cols>
    <col min="1" max="1" width="15.42578125" customWidth="1"/>
    <col min="2" max="2" width="12" customWidth="1"/>
    <col min="3" max="5" width="10.85546875" customWidth="1"/>
    <col min="6" max="6" width="12" customWidth="1"/>
    <col min="7" max="7" width="10.85546875" customWidth="1"/>
    <col min="8" max="8" width="7.28515625" customWidth="1"/>
    <col min="9" max="9" width="12.42578125" customWidth="1"/>
    <col min="10" max="10" width="11.85546875" bestFit="1" customWidth="1"/>
    <col min="11" max="11" width="13.42578125" bestFit="1" customWidth="1"/>
    <col min="12" max="12" width="11.42578125" style="23" customWidth="1"/>
    <col min="13" max="14" width="10.42578125" customWidth="1"/>
  </cols>
  <sheetData>
    <row r="1" spans="1:19" ht="28.5" customHeight="1">
      <c r="A1" s="243" t="s">
        <v>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</row>
    <row r="2" spans="1:19" ht="18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34"/>
      <c r="M2" s="18"/>
    </row>
    <row r="3" spans="1:19" ht="24.75" customHeight="1">
      <c r="A3" s="13" t="s">
        <v>30</v>
      </c>
      <c r="B3" s="14"/>
      <c r="C3" s="14"/>
      <c r="D3" s="14"/>
      <c r="E3" s="14"/>
      <c r="F3" s="14"/>
      <c r="G3" s="14"/>
      <c r="H3" s="13" t="s">
        <v>34</v>
      </c>
      <c r="I3" s="14"/>
      <c r="J3" s="14"/>
      <c r="K3" s="14"/>
      <c r="L3" s="35"/>
      <c r="M3" s="14"/>
    </row>
    <row r="4" spans="1:19" ht="17.100000000000001" customHeight="1">
      <c r="A4" s="3" t="s">
        <v>29</v>
      </c>
      <c r="B4" s="14"/>
      <c r="C4" s="14"/>
      <c r="D4" s="14"/>
      <c r="E4" s="14"/>
      <c r="F4" s="14"/>
      <c r="G4" s="14"/>
      <c r="H4" s="3" t="s">
        <v>35</v>
      </c>
      <c r="I4" s="14"/>
      <c r="J4" s="14"/>
      <c r="K4" s="14"/>
      <c r="M4" s="14"/>
    </row>
    <row r="5" spans="1:19" ht="17.100000000000001" customHeight="1">
      <c r="A5" s="3" t="s">
        <v>28</v>
      </c>
      <c r="B5" s="14"/>
      <c r="C5" s="14"/>
      <c r="D5" s="14"/>
      <c r="E5" s="14"/>
      <c r="F5" s="14"/>
      <c r="G5" s="14"/>
      <c r="H5" s="3"/>
      <c r="I5" s="14"/>
      <c r="J5" s="14"/>
      <c r="K5" s="14"/>
      <c r="M5" s="14"/>
    </row>
    <row r="6" spans="1:19" ht="21.75" customHeight="1">
      <c r="A6" s="244" t="s">
        <v>38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</row>
    <row r="7" spans="1:19" ht="21.75" customHeight="1">
      <c r="A7" s="16" t="s">
        <v>11</v>
      </c>
      <c r="B7" s="24"/>
      <c r="C7" s="4"/>
      <c r="D7" s="83"/>
      <c r="E7" s="83"/>
      <c r="F7" s="24"/>
      <c r="G7" s="4"/>
      <c r="H7" s="16" t="s">
        <v>12</v>
      </c>
      <c r="I7" s="24"/>
      <c r="J7" s="24"/>
      <c r="K7" s="24"/>
      <c r="L7" s="24"/>
      <c r="M7" s="4"/>
      <c r="P7" t="s">
        <v>18</v>
      </c>
    </row>
    <row r="8" spans="1:19" ht="19.5" customHeight="1">
      <c r="A8" s="36" t="s">
        <v>18</v>
      </c>
      <c r="B8" s="25"/>
      <c r="C8" s="15"/>
      <c r="D8" s="38"/>
      <c r="E8" s="38"/>
      <c r="F8" s="25"/>
      <c r="G8" s="15"/>
      <c r="H8" s="12" t="s">
        <v>4</v>
      </c>
      <c r="I8" s="25"/>
      <c r="J8" s="25"/>
      <c r="K8" s="25"/>
      <c r="L8" s="25"/>
      <c r="M8" s="15"/>
      <c r="O8" s="22"/>
      <c r="P8" t="s">
        <v>21</v>
      </c>
    </row>
    <row r="9" spans="1:19" ht="19.5" customHeight="1">
      <c r="A9" s="36" t="s">
        <v>19</v>
      </c>
      <c r="B9" s="25"/>
      <c r="C9" s="15"/>
      <c r="D9" s="38"/>
      <c r="E9" s="38"/>
      <c r="F9" s="25"/>
      <c r="G9" s="15"/>
      <c r="H9" s="12" t="s">
        <v>32</v>
      </c>
      <c r="I9" s="25"/>
      <c r="J9" s="25"/>
      <c r="K9" s="25"/>
      <c r="L9" s="25"/>
      <c r="M9" s="15"/>
      <c r="O9" s="22"/>
      <c r="P9" s="36" t="s">
        <v>22</v>
      </c>
    </row>
    <row r="10" spans="1:19" ht="19.5" customHeight="1">
      <c r="A10" s="36" t="s">
        <v>20</v>
      </c>
      <c r="B10" s="25"/>
      <c r="C10" s="15"/>
      <c r="D10" s="38"/>
      <c r="E10" s="38"/>
      <c r="F10" s="25"/>
      <c r="G10" s="15"/>
      <c r="H10" s="12" t="s">
        <v>33</v>
      </c>
      <c r="I10" s="25"/>
      <c r="J10" s="25"/>
      <c r="K10" s="25"/>
      <c r="L10" s="25"/>
      <c r="M10" s="15"/>
      <c r="O10" s="22"/>
      <c r="P10" s="36" t="s">
        <v>20</v>
      </c>
    </row>
    <row r="11" spans="1:19" ht="21.75" customHeight="1">
      <c r="A11" s="36"/>
      <c r="B11" s="25"/>
      <c r="C11" s="38"/>
      <c r="D11" s="38"/>
      <c r="E11" s="38"/>
      <c r="F11" s="25"/>
      <c r="G11" s="38"/>
      <c r="H11" s="12" t="s">
        <v>31</v>
      </c>
      <c r="I11" s="25"/>
      <c r="J11" s="25"/>
      <c r="K11" s="25"/>
      <c r="L11" s="25"/>
      <c r="M11" s="15"/>
      <c r="O11" s="22"/>
      <c r="P11" s="36"/>
    </row>
    <row r="12" spans="1:19" ht="16.5">
      <c r="A12" s="17" t="s">
        <v>0</v>
      </c>
      <c r="B12" s="25"/>
      <c r="C12" s="25"/>
      <c r="D12" s="25"/>
      <c r="E12" s="25"/>
      <c r="F12" s="25"/>
      <c r="G12" s="25"/>
      <c r="H12" s="16" t="s">
        <v>1</v>
      </c>
      <c r="I12" s="24"/>
      <c r="J12" s="24"/>
      <c r="K12" s="24"/>
      <c r="L12" s="24"/>
      <c r="M12" s="4"/>
      <c r="O12" s="19"/>
      <c r="P12" s="37"/>
    </row>
    <row r="13" spans="1:19" ht="24" customHeight="1">
      <c r="A13" s="40" t="s">
        <v>18</v>
      </c>
      <c r="B13" s="41"/>
      <c r="C13" s="41"/>
      <c r="D13" s="41"/>
      <c r="E13" s="41"/>
      <c r="F13" s="41"/>
      <c r="G13" s="41"/>
      <c r="H13" s="12" t="s">
        <v>3</v>
      </c>
      <c r="I13" s="25"/>
      <c r="J13" s="25"/>
      <c r="K13" s="25"/>
      <c r="L13" s="25"/>
      <c r="M13" s="26"/>
    </row>
    <row r="14" spans="1:19" ht="22.5" customHeight="1">
      <c r="A14" s="40" t="s">
        <v>21</v>
      </c>
      <c r="B14" s="41"/>
      <c r="C14" s="41"/>
      <c r="D14" s="41"/>
      <c r="E14" s="41"/>
      <c r="F14" s="41"/>
      <c r="G14" s="41"/>
      <c r="H14" s="16" t="s">
        <v>26</v>
      </c>
      <c r="I14" s="24"/>
      <c r="J14" s="24"/>
      <c r="K14" s="24"/>
      <c r="L14" s="24"/>
      <c r="M14" s="27"/>
      <c r="P14" s="245"/>
      <c r="Q14" s="245"/>
      <c r="R14" s="245"/>
      <c r="S14" s="245"/>
    </row>
    <row r="15" spans="1:19" ht="20.25" customHeight="1">
      <c r="A15" s="40" t="s">
        <v>22</v>
      </c>
      <c r="B15" s="41"/>
      <c r="C15" s="41"/>
      <c r="D15" s="41"/>
      <c r="E15" s="41"/>
      <c r="F15" s="41"/>
      <c r="G15" s="41"/>
      <c r="H15" s="58" t="s">
        <v>39</v>
      </c>
      <c r="I15" s="25"/>
      <c r="J15" s="25"/>
      <c r="K15" s="25"/>
      <c r="L15" s="25"/>
      <c r="M15" s="26"/>
      <c r="P15" s="22" t="s">
        <v>18</v>
      </c>
    </row>
    <row r="16" spans="1:19" ht="20.25" customHeight="1">
      <c r="A16" s="40" t="s">
        <v>20</v>
      </c>
      <c r="B16" s="41"/>
      <c r="C16" s="41"/>
      <c r="D16" s="41"/>
      <c r="E16" s="41"/>
      <c r="F16" s="41"/>
      <c r="G16" s="41"/>
      <c r="H16" s="17" t="s">
        <v>2</v>
      </c>
      <c r="I16" s="25"/>
      <c r="J16" s="25"/>
      <c r="K16" s="25"/>
      <c r="L16" s="25"/>
      <c r="M16" s="26"/>
      <c r="P16" s="22" t="s">
        <v>21</v>
      </c>
    </row>
    <row r="17" spans="1:84" ht="20.25" customHeight="1">
      <c r="A17" s="40" t="s">
        <v>23</v>
      </c>
      <c r="B17" s="41"/>
      <c r="C17" s="41"/>
      <c r="D17" s="41"/>
      <c r="E17" s="41"/>
      <c r="F17" s="41"/>
      <c r="G17" s="41"/>
      <c r="H17" s="67" t="s">
        <v>40</v>
      </c>
      <c r="I17" s="66"/>
      <c r="J17" s="66"/>
      <c r="K17" s="25"/>
      <c r="L17" s="25"/>
      <c r="M17" s="26"/>
      <c r="P17" s="22" t="s">
        <v>22</v>
      </c>
    </row>
    <row r="18" spans="1:84" ht="20.25" customHeight="1">
      <c r="A18" s="40" t="s">
        <v>24</v>
      </c>
      <c r="B18" s="41"/>
      <c r="C18" s="41"/>
      <c r="D18" s="41"/>
      <c r="E18" s="41"/>
      <c r="F18" s="41"/>
      <c r="G18" s="41"/>
      <c r="H18" s="12"/>
      <c r="I18" s="25"/>
      <c r="J18" s="25"/>
      <c r="K18" s="25"/>
      <c r="L18" s="25"/>
      <c r="M18" s="26"/>
      <c r="P18" s="22" t="s">
        <v>20</v>
      </c>
    </row>
    <row r="19" spans="1:84" ht="10.5" customHeight="1">
      <c r="A19" s="28"/>
      <c r="B19" s="29"/>
      <c r="C19" s="29"/>
      <c r="D19" s="29"/>
      <c r="E19" s="29"/>
      <c r="F19" s="29"/>
      <c r="G19" s="29"/>
      <c r="H19" s="28"/>
      <c r="I19" s="29"/>
      <c r="J19" s="29"/>
      <c r="K19" s="29"/>
      <c r="L19" s="29"/>
      <c r="M19" s="30"/>
      <c r="P19" s="22" t="s">
        <v>27</v>
      </c>
    </row>
    <row r="20" spans="1:84" ht="24.75" customHeight="1">
      <c r="A20" s="246" t="s">
        <v>13</v>
      </c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1"/>
      <c r="O20" s="1"/>
      <c r="Q20" s="1"/>
      <c r="R20" s="1"/>
      <c r="S20" s="1"/>
      <c r="T20" s="1"/>
      <c r="U20" s="1"/>
      <c r="V20" s="1"/>
      <c r="W20" s="1"/>
      <c r="X20" s="1"/>
      <c r="Y20" s="1"/>
    </row>
    <row r="21" spans="1:84" s="2" customFormat="1" ht="19.5" customHeight="1">
      <c r="A21" s="7" t="s">
        <v>5</v>
      </c>
      <c r="B21" s="5" t="s">
        <v>8</v>
      </c>
      <c r="C21" s="6" t="s">
        <v>14</v>
      </c>
      <c r="D21" s="6"/>
      <c r="E21" s="6"/>
      <c r="F21" s="5" t="s">
        <v>8</v>
      </c>
      <c r="G21" s="6" t="s">
        <v>14</v>
      </c>
      <c r="H21" s="7" t="s">
        <v>15</v>
      </c>
      <c r="I21" s="8" t="s">
        <v>16</v>
      </c>
      <c r="J21" s="8" t="s">
        <v>25</v>
      </c>
      <c r="K21" s="8" t="s">
        <v>17</v>
      </c>
      <c r="L21" s="8" t="s">
        <v>9</v>
      </c>
      <c r="M21" s="7" t="s">
        <v>10</v>
      </c>
      <c r="N21" s="7" t="s">
        <v>6</v>
      </c>
    </row>
    <row r="22" spans="1:84" s="2" customFormat="1" ht="19.5" customHeight="1">
      <c r="A22" s="59" t="s">
        <v>44</v>
      </c>
      <c r="B22" s="75" t="s">
        <v>42</v>
      </c>
      <c r="C22" s="72">
        <v>168</v>
      </c>
      <c r="D22" s="84">
        <v>640419</v>
      </c>
      <c r="E22" s="87" t="s">
        <v>45</v>
      </c>
      <c r="F22" s="75" t="s">
        <v>42</v>
      </c>
      <c r="G22" s="72">
        <v>168</v>
      </c>
      <c r="H22" s="72">
        <v>20</v>
      </c>
      <c r="I22" s="76">
        <v>1.5935999999999999</v>
      </c>
      <c r="J22" s="77">
        <v>147.65</v>
      </c>
      <c r="K22" s="77">
        <v>194.61</v>
      </c>
      <c r="L22" s="74" t="s">
        <v>37</v>
      </c>
      <c r="M22" s="71" t="s">
        <v>36</v>
      </c>
      <c r="N22" s="71"/>
    </row>
    <row r="23" spans="1:84" s="2" customFormat="1" ht="19.5" customHeight="1">
      <c r="A23" s="59"/>
      <c r="B23" s="78"/>
      <c r="C23" s="65">
        <f>SUM(C22)</f>
        <v>168</v>
      </c>
      <c r="D23" s="85"/>
      <c r="E23" s="85"/>
      <c r="F23" s="78"/>
      <c r="G23" s="65">
        <f>SUM(G22)</f>
        <v>168</v>
      </c>
      <c r="H23" s="79">
        <f>SUM(H22)</f>
        <v>20</v>
      </c>
      <c r="I23" s="80">
        <f>SUM(I22)</f>
        <v>1.5935999999999999</v>
      </c>
      <c r="J23" s="81"/>
      <c r="K23" s="81"/>
      <c r="L23" s="73" t="s">
        <v>43</v>
      </c>
      <c r="M23" s="68"/>
      <c r="N23" s="7"/>
    </row>
    <row r="24" spans="1:84" s="21" customFormat="1" ht="19.5" customHeight="1">
      <c r="A24" s="44"/>
      <c r="B24" s="60"/>
      <c r="C24" s="61"/>
      <c r="D24" s="86"/>
      <c r="E24" s="86"/>
      <c r="F24" s="60"/>
      <c r="G24" s="61"/>
      <c r="H24" s="62"/>
      <c r="I24" s="63"/>
      <c r="J24" s="64"/>
      <c r="K24" s="64"/>
      <c r="L24" s="55"/>
      <c r="M24" s="54"/>
      <c r="N24" s="32"/>
    </row>
    <row r="25" spans="1:84" s="21" customFormat="1" ht="19.5" customHeight="1">
      <c r="A25" s="44"/>
      <c r="B25" s="45"/>
      <c r="C25" s="47"/>
      <c r="D25" s="47"/>
      <c r="E25" s="47"/>
      <c r="F25" s="45"/>
      <c r="G25" s="47"/>
      <c r="H25" s="47"/>
      <c r="I25" s="48"/>
      <c r="J25" s="46"/>
      <c r="K25" s="46"/>
      <c r="L25" s="43"/>
      <c r="M25" s="49"/>
      <c r="N25" s="32"/>
    </row>
    <row r="26" spans="1:84" s="11" customFormat="1" ht="43.5" customHeight="1">
      <c r="A26" s="20"/>
      <c r="B26" s="20"/>
      <c r="C26" s="9">
        <f>SUM(C23)</f>
        <v>168</v>
      </c>
      <c r="D26" s="9"/>
      <c r="E26" s="9"/>
      <c r="F26" s="82"/>
      <c r="G26" s="9">
        <f>SUM(G23)</f>
        <v>168</v>
      </c>
      <c r="H26" s="9">
        <f>SUM(H23)</f>
        <v>20</v>
      </c>
      <c r="I26" s="33">
        <f>SUM(I23)</f>
        <v>1.5935999999999999</v>
      </c>
      <c r="J26" s="53"/>
      <c r="K26" s="53"/>
      <c r="L26" s="57" t="s">
        <v>43</v>
      </c>
      <c r="M26" s="42">
        <v>44898</v>
      </c>
      <c r="N26" s="42">
        <v>44905</v>
      </c>
      <c r="O26" s="7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</row>
    <row r="27" spans="1:84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9"/>
      <c r="M27" s="23"/>
      <c r="N27" s="51"/>
    </row>
    <row r="28" spans="1:84" ht="20.100000000000001" customHeight="1">
      <c r="A28" s="69" t="s">
        <v>41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84" ht="20.100000000000001" customHeight="1">
      <c r="A29" s="52">
        <v>1</v>
      </c>
      <c r="B29" s="50"/>
      <c r="C29" s="50"/>
      <c r="D29" s="50"/>
      <c r="E29" s="50"/>
      <c r="F29" s="50"/>
      <c r="G29" s="50"/>
      <c r="H29" s="50"/>
      <c r="I29" s="50"/>
      <c r="J29" s="56"/>
      <c r="K29" s="50"/>
      <c r="L29" s="50"/>
      <c r="M29" s="50"/>
    </row>
    <row r="30" spans="1:84" ht="20.100000000000001" customHeight="1">
      <c r="A30" s="52">
        <v>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84" ht="20.100000000000001" customHeight="1">
      <c r="A31" s="52">
        <v>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84" ht="20.100000000000001" customHeight="1">
      <c r="A32" s="52">
        <v>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1:13" ht="20.100000000000001" customHeight="1">
      <c r="A33" s="31"/>
      <c r="B33" s="23"/>
      <c r="C33" s="23"/>
      <c r="D33" s="23"/>
      <c r="E33" s="23"/>
      <c r="F33" s="23"/>
      <c r="G33" s="23"/>
      <c r="H33" s="23"/>
      <c r="I33" s="23"/>
      <c r="J33" s="23"/>
      <c r="K33" s="23"/>
      <c r="M33" s="23"/>
    </row>
    <row r="34" spans="1:13" ht="20.100000000000001" customHeight="1">
      <c r="A34" s="31"/>
      <c r="I34" s="23"/>
      <c r="J34" s="23"/>
      <c r="K34" s="23"/>
      <c r="M34" s="23"/>
    </row>
  </sheetData>
  <mergeCells count="4">
    <mergeCell ref="A1:M1"/>
    <mergeCell ref="A6:M6"/>
    <mergeCell ref="P14:S14"/>
    <mergeCell ref="A20:M20"/>
  </mergeCells>
  <pageMargins left="0.24" right="0.17" top="0.19" bottom="0.16" header="0.19" footer="0.196850393700787"/>
  <pageSetup scale="68" fitToHeight="0" orientation="portrait" r:id="rId1"/>
  <headerFooter alignWithMargins="0">
    <oddHeader>&amp;R&amp;N OF &amp;P</oddHeader>
    <oddFooter>&amp;C
&amp;R
&amp;N OF &amp;P
 T-XNK-WI001-02A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IW58"/>
  <sheetViews>
    <sheetView tabSelected="1" topLeftCell="A34" zoomScaleNormal="100" zoomScaleSheetLayoutView="100" workbookViewId="0">
      <selection activeCell="C55" sqref="C55"/>
    </sheetView>
  </sheetViews>
  <sheetFormatPr defaultRowHeight="14.25" customHeight="1"/>
  <cols>
    <col min="1" max="1" width="5.140625" style="100" customWidth="1"/>
    <col min="2" max="2" width="48" style="100" customWidth="1"/>
    <col min="3" max="3" width="19.5703125" style="241" customWidth="1"/>
    <col min="4" max="4" width="13.5703125" style="100" customWidth="1"/>
    <col min="5" max="5" width="14.7109375" style="100" customWidth="1"/>
    <col min="6" max="6" width="15.7109375" style="100" customWidth="1"/>
    <col min="7" max="7" width="14" style="100" customWidth="1"/>
    <col min="8" max="8" width="13.7109375" style="100" customWidth="1"/>
    <col min="9" max="9" width="14" style="100" customWidth="1"/>
    <col min="10" max="10" width="9.7109375" style="242" customWidth="1"/>
    <col min="11" max="11" width="14.140625" style="100" customWidth="1"/>
    <col min="12" max="12" width="9.5703125" style="211" customWidth="1"/>
    <col min="13" max="13" width="10.140625" style="100" bestFit="1" customWidth="1"/>
    <col min="14" max="14" width="9.140625" style="211" customWidth="1"/>
    <col min="15" max="15" width="16" style="100" customWidth="1"/>
    <col min="16" max="16" width="8.140625" style="211" customWidth="1"/>
    <col min="17" max="17" width="9" style="100" customWidth="1"/>
    <col min="18" max="18" width="8.7109375" style="211" customWidth="1"/>
    <col min="19" max="19" width="7.85546875" style="100" customWidth="1"/>
    <col min="20" max="20" width="9.42578125" style="100" customWidth="1"/>
    <col min="21" max="22" width="10" style="100" customWidth="1"/>
    <col min="23" max="23" width="11" style="100" customWidth="1"/>
    <col min="24" max="24" width="10.42578125" style="100" customWidth="1"/>
    <col min="25" max="31" width="6.28515625" style="100" customWidth="1"/>
    <col min="32" max="32" width="7.28515625" style="100" customWidth="1"/>
    <col min="33" max="33" width="6.28515625" style="100" customWidth="1"/>
    <col min="34" max="34" width="9.140625" style="100"/>
    <col min="35" max="35" width="11" style="100" customWidth="1"/>
    <col min="36" max="49" width="9.140625" style="100"/>
    <col min="50" max="50" width="9.42578125" style="100" customWidth="1"/>
    <col min="51" max="53" width="9.140625" style="100"/>
    <col min="54" max="54" width="9.42578125" style="100" customWidth="1"/>
    <col min="55" max="16384" width="9.140625" style="100"/>
  </cols>
  <sheetData>
    <row r="1" spans="1:257" s="98" customFormat="1" ht="15.95" customHeight="1">
      <c r="A1" s="88"/>
      <c r="B1" s="89"/>
      <c r="C1" s="90"/>
      <c r="D1" s="89"/>
      <c r="E1" s="88"/>
      <c r="F1" s="91"/>
      <c r="G1" s="92"/>
      <c r="H1" s="92"/>
      <c r="I1" s="92"/>
      <c r="J1" s="93"/>
      <c r="K1" s="94"/>
      <c r="L1" s="95"/>
      <c r="M1" s="94"/>
      <c r="N1" s="95"/>
      <c r="O1" s="94"/>
      <c r="P1" s="96"/>
      <c r="Q1" s="97"/>
      <c r="R1" s="96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</row>
    <row r="2" spans="1:257" ht="20.100000000000001" customHeight="1">
      <c r="A2" s="88"/>
      <c r="B2" s="89"/>
      <c r="C2" s="90"/>
      <c r="D2" s="89"/>
      <c r="E2" s="99" t="s">
        <v>46</v>
      </c>
      <c r="F2" s="91"/>
      <c r="G2" s="92"/>
      <c r="H2" s="92"/>
      <c r="I2" s="92"/>
      <c r="J2" s="248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C2" s="247"/>
      <c r="BD2" s="247"/>
      <c r="BE2" s="247"/>
      <c r="BF2" s="94"/>
    </row>
    <row r="3" spans="1:257" ht="20.100000000000001" customHeight="1">
      <c r="A3" s="249" t="s">
        <v>47</v>
      </c>
      <c r="B3" s="249"/>
      <c r="C3" s="249"/>
      <c r="D3" s="249"/>
      <c r="E3" s="249"/>
      <c r="F3" s="249"/>
      <c r="G3" s="101"/>
      <c r="H3" s="101"/>
      <c r="I3" s="101"/>
      <c r="J3" s="248"/>
      <c r="K3" s="247"/>
      <c r="L3" s="102"/>
      <c r="M3" s="103"/>
      <c r="N3" s="102"/>
      <c r="O3" s="103"/>
      <c r="P3" s="102"/>
      <c r="Q3" s="103"/>
      <c r="R3" s="102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94"/>
    </row>
    <row r="4" spans="1:257" ht="20.100000000000001" customHeight="1">
      <c r="A4" s="250" t="s">
        <v>48</v>
      </c>
      <c r="B4" s="250"/>
      <c r="C4" s="250"/>
      <c r="D4" s="250"/>
      <c r="E4" s="250"/>
      <c r="F4" s="250"/>
      <c r="G4" s="104"/>
      <c r="H4" s="104"/>
      <c r="I4" s="104"/>
      <c r="J4" s="105"/>
      <c r="K4" s="106"/>
      <c r="L4" s="107"/>
      <c r="M4" s="108"/>
      <c r="N4" s="107"/>
      <c r="O4" s="108"/>
      <c r="P4" s="107"/>
      <c r="Q4" s="108"/>
      <c r="R4" s="107"/>
      <c r="S4" s="108"/>
      <c r="T4" s="109"/>
      <c r="U4" s="108"/>
      <c r="V4" s="109"/>
      <c r="W4" s="108"/>
      <c r="X4" s="109"/>
      <c r="Y4" s="108"/>
      <c r="Z4" s="109"/>
      <c r="AA4" s="108"/>
      <c r="AB4" s="109"/>
      <c r="AC4" s="108"/>
      <c r="AD4" s="109"/>
      <c r="AE4" s="108"/>
      <c r="AF4" s="109"/>
      <c r="AG4" s="108"/>
      <c r="AH4" s="109"/>
      <c r="AI4" s="108"/>
      <c r="AJ4" s="109"/>
      <c r="AK4" s="108"/>
      <c r="AL4" s="109"/>
      <c r="AM4" s="108"/>
      <c r="AN4" s="109"/>
      <c r="AO4" s="108"/>
      <c r="AP4" s="109"/>
      <c r="AQ4" s="108"/>
      <c r="AR4" s="109"/>
      <c r="AS4" s="108"/>
      <c r="AT4" s="109"/>
      <c r="AU4" s="108"/>
      <c r="AV4" s="109"/>
      <c r="AW4" s="108"/>
      <c r="AX4" s="109"/>
      <c r="AY4" s="108"/>
      <c r="AZ4" s="109"/>
      <c r="BA4" s="108"/>
      <c r="BB4" s="109"/>
      <c r="BC4" s="108"/>
      <c r="BD4" s="110"/>
      <c r="BE4" s="108"/>
      <c r="BF4" s="111"/>
      <c r="BG4" s="112"/>
    </row>
    <row r="5" spans="1:257" ht="19.5" customHeight="1">
      <c r="A5" s="113" t="s">
        <v>49</v>
      </c>
      <c r="B5" s="114"/>
      <c r="C5" s="115"/>
      <c r="D5" s="116"/>
      <c r="E5" s="116"/>
      <c r="F5" s="116"/>
      <c r="G5" s="117" t="s">
        <v>50</v>
      </c>
      <c r="H5" s="118"/>
      <c r="I5" s="118"/>
      <c r="J5" s="105"/>
      <c r="K5" s="106"/>
      <c r="L5" s="107"/>
      <c r="M5" s="119"/>
      <c r="N5" s="107"/>
      <c r="O5" s="119"/>
      <c r="P5" s="107"/>
      <c r="Q5" s="119"/>
      <c r="R5" s="107"/>
      <c r="S5" s="119"/>
      <c r="T5" s="109"/>
      <c r="U5" s="119"/>
      <c r="V5" s="109"/>
      <c r="W5" s="119"/>
      <c r="X5" s="109"/>
      <c r="Y5" s="119"/>
      <c r="Z5" s="109"/>
      <c r="AA5" s="119"/>
      <c r="AB5" s="109"/>
      <c r="AC5" s="119"/>
      <c r="AD5" s="109"/>
      <c r="AE5" s="119"/>
      <c r="AF5" s="109"/>
      <c r="AG5" s="119"/>
      <c r="AH5" s="109"/>
      <c r="AI5" s="119"/>
      <c r="AJ5" s="109"/>
      <c r="AK5" s="119"/>
      <c r="AL5" s="109"/>
      <c r="AM5" s="119"/>
      <c r="AN5" s="109"/>
      <c r="AO5" s="119"/>
      <c r="AP5" s="109"/>
      <c r="AQ5" s="119"/>
      <c r="AR5" s="109"/>
      <c r="AS5" s="119"/>
      <c r="AT5" s="109"/>
      <c r="AU5" s="119"/>
      <c r="AV5" s="109"/>
      <c r="AW5" s="119"/>
      <c r="AX5" s="109"/>
      <c r="AY5" s="119"/>
      <c r="AZ5" s="109"/>
      <c r="BA5" s="119"/>
      <c r="BB5" s="109"/>
      <c r="BC5" s="119"/>
      <c r="BD5" s="110"/>
      <c r="BE5" s="119"/>
      <c r="BF5" s="111"/>
      <c r="BG5" s="112"/>
    </row>
    <row r="6" spans="1:257" ht="19.5" customHeight="1">
      <c r="A6" s="113" t="s">
        <v>51</v>
      </c>
      <c r="B6" s="114"/>
      <c r="C6" s="90"/>
      <c r="D6" s="120"/>
      <c r="E6" s="121"/>
      <c r="F6" s="122"/>
      <c r="G6" s="59" t="s">
        <v>44</v>
      </c>
      <c r="H6" s="75" t="s">
        <v>42</v>
      </c>
      <c r="I6" s="72">
        <v>168</v>
      </c>
      <c r="J6" s="84">
        <v>640419</v>
      </c>
      <c r="K6" s="87" t="s">
        <v>45</v>
      </c>
      <c r="L6" s="123"/>
      <c r="M6" s="124"/>
      <c r="N6" s="125"/>
      <c r="O6" s="126"/>
      <c r="P6" s="107"/>
      <c r="Q6" s="126"/>
      <c r="R6" s="107"/>
      <c r="S6" s="126"/>
      <c r="T6" s="109"/>
      <c r="U6" s="126"/>
      <c r="V6" s="109"/>
      <c r="W6" s="126"/>
      <c r="X6" s="109"/>
      <c r="Y6" s="126"/>
      <c r="Z6" s="109"/>
      <c r="AA6" s="126"/>
      <c r="AB6" s="109"/>
      <c r="AC6" s="126"/>
      <c r="AD6" s="109"/>
      <c r="AE6" s="126"/>
      <c r="AF6" s="109"/>
      <c r="AG6" s="126"/>
      <c r="AH6" s="109"/>
      <c r="AI6" s="126"/>
      <c r="AJ6" s="109"/>
      <c r="AK6" s="126"/>
      <c r="AL6" s="109"/>
      <c r="AM6" s="126"/>
      <c r="AN6" s="109"/>
      <c r="AO6" s="126"/>
      <c r="AP6" s="109"/>
      <c r="AQ6" s="126"/>
      <c r="AR6" s="109"/>
      <c r="AS6" s="126"/>
      <c r="AT6" s="109"/>
      <c r="AU6" s="126"/>
      <c r="AV6" s="109"/>
      <c r="AW6" s="126"/>
      <c r="AX6" s="109"/>
      <c r="AY6" s="126"/>
      <c r="AZ6" s="109"/>
      <c r="BA6" s="126"/>
      <c r="BB6" s="109"/>
      <c r="BC6" s="126"/>
      <c r="BD6" s="110"/>
      <c r="BE6" s="126"/>
      <c r="BF6" s="111"/>
      <c r="BG6" s="112"/>
    </row>
    <row r="7" spans="1:257" ht="19.5" customHeight="1">
      <c r="A7" s="127" t="str">
        <f>G5&amp;G6</f>
        <v>Mã sản phẩm: Y2211-0649</v>
      </c>
      <c r="C7" s="128"/>
      <c r="D7" s="129"/>
      <c r="E7" s="129" t="s">
        <v>52</v>
      </c>
      <c r="F7" s="130"/>
      <c r="G7" s="131"/>
      <c r="H7" s="131"/>
      <c r="I7" s="132"/>
      <c r="J7" s="133"/>
      <c r="K7" s="134"/>
      <c r="L7" s="107"/>
      <c r="M7" s="135"/>
      <c r="N7" s="107"/>
      <c r="O7" s="135"/>
      <c r="P7" s="107"/>
      <c r="Q7" s="135"/>
      <c r="R7" s="107"/>
      <c r="S7" s="135"/>
      <c r="T7" s="109"/>
      <c r="U7" s="135"/>
      <c r="V7" s="109"/>
      <c r="W7" s="135"/>
      <c r="X7" s="109"/>
      <c r="Y7" s="135"/>
      <c r="Z7" s="109"/>
      <c r="AA7" s="135"/>
      <c r="AB7" s="109"/>
      <c r="AC7" s="135"/>
      <c r="AD7" s="109"/>
      <c r="AE7" s="135"/>
      <c r="AF7" s="109"/>
      <c r="AG7" s="135"/>
      <c r="AH7" s="109"/>
      <c r="AI7" s="135"/>
      <c r="AJ7" s="109"/>
      <c r="AK7" s="135"/>
      <c r="AL7" s="109"/>
      <c r="AM7" s="135"/>
      <c r="AN7" s="109"/>
      <c r="AO7" s="135"/>
      <c r="AP7" s="109"/>
      <c r="AQ7" s="135"/>
      <c r="AR7" s="109"/>
      <c r="AS7" s="135"/>
      <c r="AT7" s="109"/>
      <c r="AU7" s="135"/>
      <c r="AV7" s="109"/>
      <c r="AW7" s="135"/>
      <c r="AX7" s="109"/>
      <c r="AY7" s="135"/>
      <c r="AZ7" s="109"/>
      <c r="BA7" s="135"/>
      <c r="BB7" s="109"/>
      <c r="BC7" s="135"/>
      <c r="BD7" s="110"/>
      <c r="BE7" s="136"/>
      <c r="BF7" s="111"/>
      <c r="BG7" s="112"/>
      <c r="BH7" s="137"/>
    </row>
    <row r="8" spans="1:257" s="137" customFormat="1" ht="19.5" customHeight="1">
      <c r="A8" s="138" t="str">
        <f>K6</f>
        <v>Tên Sản phẩm xuất khẩu: GIÀY CONVERSE CÁC LOẠI (GIÀY VẢI)</v>
      </c>
      <c r="B8" s="100"/>
      <c r="C8" s="128"/>
      <c r="D8" s="139"/>
      <c r="G8" s="140" t="s">
        <v>53</v>
      </c>
      <c r="H8" s="141">
        <v>640590</v>
      </c>
      <c r="I8" s="142"/>
      <c r="J8" s="143"/>
      <c r="K8" s="135"/>
      <c r="L8" s="107"/>
      <c r="M8" s="144"/>
      <c r="N8" s="145"/>
      <c r="O8" s="136"/>
      <c r="P8" s="145"/>
      <c r="Q8" s="136"/>
      <c r="R8" s="145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</row>
    <row r="9" spans="1:257" s="137" customFormat="1" ht="17.100000000000001" customHeight="1">
      <c r="A9" s="251" t="s">
        <v>54</v>
      </c>
      <c r="B9" s="253" t="s">
        <v>55</v>
      </c>
      <c r="C9" s="255" t="s">
        <v>56</v>
      </c>
      <c r="D9" s="255" t="s">
        <v>57</v>
      </c>
      <c r="E9" s="257" t="s">
        <v>58</v>
      </c>
      <c r="F9" s="257" t="s">
        <v>59</v>
      </c>
      <c r="G9" s="146">
        <f>I6</f>
        <v>168</v>
      </c>
      <c r="H9" s="147" t="s">
        <v>60</v>
      </c>
      <c r="I9" s="142"/>
      <c r="J9" s="143"/>
      <c r="K9" s="148">
        <v>10.764250000000001</v>
      </c>
      <c r="L9" s="149">
        <v>1.5091859999999999</v>
      </c>
      <c r="M9" s="150">
        <v>1.3377079999999999</v>
      </c>
      <c r="N9" s="151">
        <v>0.43744499999999997</v>
      </c>
      <c r="O9" s="152">
        <v>1.1959900000000001</v>
      </c>
      <c r="P9" s="152">
        <v>0.64583500000000005</v>
      </c>
      <c r="Q9" s="149">
        <v>1.2160979999999999</v>
      </c>
      <c r="R9" s="153">
        <v>1.641732</v>
      </c>
      <c r="S9" s="154">
        <v>1.3155889999999999</v>
      </c>
      <c r="T9" s="152">
        <v>1.5893459999999999</v>
      </c>
      <c r="U9" s="149">
        <v>1.770065</v>
      </c>
      <c r="V9" s="155">
        <v>1.474656</v>
      </c>
      <c r="W9" s="156">
        <v>1.0936129999999999</v>
      </c>
      <c r="X9" s="157">
        <v>1.580927</v>
      </c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</row>
    <row r="10" spans="1:257" s="175" customFormat="1" ht="18.75" customHeight="1">
      <c r="A10" s="252"/>
      <c r="B10" s="254"/>
      <c r="C10" s="256"/>
      <c r="D10" s="256"/>
      <c r="E10" s="258"/>
      <c r="F10" s="258"/>
      <c r="G10" s="158">
        <f>SUBTOTAL(4,E21:E58)</f>
        <v>1.119048</v>
      </c>
      <c r="H10" s="159">
        <f>SUBTOTAL(9,E21:E58)</f>
        <v>6.0843920000000002</v>
      </c>
      <c r="I10" s="160"/>
      <c r="J10" s="133"/>
      <c r="K10" s="161" t="s">
        <v>61</v>
      </c>
      <c r="L10" s="161" t="s">
        <v>62</v>
      </c>
      <c r="M10" s="162" t="s">
        <v>63</v>
      </c>
      <c r="N10" s="148" t="s">
        <v>64</v>
      </c>
      <c r="O10" s="163" t="s">
        <v>65</v>
      </c>
      <c r="P10" s="164" t="s">
        <v>66</v>
      </c>
      <c r="Q10" s="163" t="s">
        <v>67</v>
      </c>
      <c r="R10" s="165" t="s">
        <v>68</v>
      </c>
      <c r="S10" s="166" t="s">
        <v>69</v>
      </c>
      <c r="T10" s="167" t="s">
        <v>70</v>
      </c>
      <c r="U10" s="167" t="s">
        <v>71</v>
      </c>
      <c r="V10" s="168" t="s">
        <v>72</v>
      </c>
      <c r="W10" s="169" t="s">
        <v>73</v>
      </c>
      <c r="X10" s="170" t="s">
        <v>74</v>
      </c>
      <c r="Y10" s="135"/>
      <c r="Z10" s="171"/>
      <c r="AA10" s="172"/>
      <c r="AB10" s="173"/>
      <c r="AC10" s="172"/>
      <c r="AD10" s="174"/>
      <c r="BI10" s="100"/>
    </row>
    <row r="11" spans="1:257" s="147" customFormat="1" ht="17.25" customHeight="1">
      <c r="A11" s="176" t="s">
        <v>75</v>
      </c>
      <c r="B11" s="177" t="s">
        <v>76</v>
      </c>
      <c r="C11" s="178" t="s">
        <v>77</v>
      </c>
      <c r="D11" s="179" t="s">
        <v>78</v>
      </c>
      <c r="E11" s="180" t="s">
        <v>79</v>
      </c>
      <c r="F11" s="180" t="s">
        <v>80</v>
      </c>
      <c r="G11" s="181"/>
      <c r="H11" s="181"/>
      <c r="I11" s="181"/>
      <c r="J11" s="182"/>
      <c r="L11" s="183"/>
      <c r="N11" s="184"/>
      <c r="P11" s="184"/>
      <c r="R11" s="184"/>
      <c r="BI11" s="185"/>
    </row>
    <row r="12" spans="1:257" ht="18" customHeight="1">
      <c r="A12" s="186">
        <v>1</v>
      </c>
      <c r="B12" s="187" t="s">
        <v>86</v>
      </c>
      <c r="C12" s="187" t="s">
        <v>87</v>
      </c>
      <c r="D12" s="188" t="s">
        <v>81</v>
      </c>
      <c r="E12" s="189">
        <f t="shared" ref="E12:E20" si="0">G12</f>
        <v>2.9645000000000001E-2</v>
      </c>
      <c r="F12" s="190"/>
      <c r="G12" s="191">
        <f t="shared" ref="G12:G20" si="1">ROUND(I12/$G$9,6)</f>
        <v>2.9645000000000001E-2</v>
      </c>
      <c r="H12" s="204" t="s">
        <v>82</v>
      </c>
      <c r="I12" s="205">
        <f>ROUND((J12*$L$9),6)</f>
        <v>4.9803139999999999</v>
      </c>
      <c r="J12" s="193">
        <v>3.3</v>
      </c>
      <c r="K12" s="194" t="s">
        <v>184</v>
      </c>
    </row>
    <row r="13" spans="1:257" ht="18" customHeight="1">
      <c r="A13" s="186">
        <v>2</v>
      </c>
      <c r="B13" s="187" t="s">
        <v>89</v>
      </c>
      <c r="C13" s="187" t="s">
        <v>90</v>
      </c>
      <c r="D13" s="188" t="s">
        <v>81</v>
      </c>
      <c r="E13" s="189">
        <f t="shared" si="0"/>
        <v>5.8250000000000003E-3</v>
      </c>
      <c r="F13" s="197"/>
      <c r="G13" s="191">
        <f t="shared" si="1"/>
        <v>5.8250000000000003E-3</v>
      </c>
      <c r="H13" s="204" t="s">
        <v>82</v>
      </c>
      <c r="I13" s="205">
        <f>ROUND((J13*44*0.0278),6)</f>
        <v>0.97855999999999999</v>
      </c>
      <c r="J13" s="193">
        <v>0.8</v>
      </c>
      <c r="K13" s="194" t="s">
        <v>185</v>
      </c>
    </row>
    <row r="14" spans="1:257" s="194" customFormat="1" ht="18" customHeight="1">
      <c r="A14" s="186">
        <v>3</v>
      </c>
      <c r="B14" s="187" t="s">
        <v>92</v>
      </c>
      <c r="C14" s="187" t="s">
        <v>93</v>
      </c>
      <c r="D14" s="188" t="s">
        <v>94</v>
      </c>
      <c r="E14" s="189">
        <f t="shared" si="0"/>
        <v>1</v>
      </c>
      <c r="F14" s="197"/>
      <c r="G14" s="191">
        <f t="shared" si="1"/>
        <v>1</v>
      </c>
      <c r="H14" s="204" t="s">
        <v>82</v>
      </c>
      <c r="I14" s="205">
        <f t="shared" ref="I14:I15" si="2">ROUND((J14),6)</f>
        <v>168</v>
      </c>
      <c r="J14" s="193">
        <v>168</v>
      </c>
      <c r="K14" s="194" t="s">
        <v>186</v>
      </c>
      <c r="L14" s="211"/>
      <c r="M14" s="100"/>
      <c r="N14" s="211"/>
      <c r="O14" s="100"/>
      <c r="P14" s="211"/>
      <c r="Q14" s="100"/>
      <c r="R14" s="211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</row>
    <row r="15" spans="1:257" ht="18" customHeight="1">
      <c r="A15" s="186">
        <v>4</v>
      </c>
      <c r="B15" s="187" t="s">
        <v>96</v>
      </c>
      <c r="C15" s="187" t="s">
        <v>97</v>
      </c>
      <c r="D15" s="188" t="s">
        <v>98</v>
      </c>
      <c r="E15" s="189">
        <f t="shared" si="0"/>
        <v>28</v>
      </c>
      <c r="F15" s="197"/>
      <c r="G15" s="191">
        <f t="shared" si="1"/>
        <v>28</v>
      </c>
      <c r="H15" s="198"/>
      <c r="I15" s="192">
        <f t="shared" si="2"/>
        <v>4704</v>
      </c>
      <c r="J15" s="193">
        <v>4704</v>
      </c>
      <c r="K15" s="194" t="s">
        <v>187</v>
      </c>
    </row>
    <row r="16" spans="1:257" ht="20.100000000000001" customHeight="1">
      <c r="A16" s="186">
        <v>5</v>
      </c>
      <c r="B16" s="216" t="s">
        <v>99</v>
      </c>
      <c r="C16" s="217" t="s">
        <v>100</v>
      </c>
      <c r="D16" s="218" t="s">
        <v>95</v>
      </c>
      <c r="E16" s="189">
        <f t="shared" si="0"/>
        <v>2</v>
      </c>
      <c r="F16" s="219"/>
      <c r="G16" s="191">
        <f t="shared" si="1"/>
        <v>2</v>
      </c>
      <c r="H16" s="220" t="s">
        <v>101</v>
      </c>
      <c r="I16" s="205">
        <f>ROUND((J16),6)</f>
        <v>336</v>
      </c>
      <c r="J16" s="193">
        <v>336</v>
      </c>
      <c r="K16" s="194" t="s">
        <v>188</v>
      </c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01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210"/>
      <c r="CD16" s="210"/>
      <c r="CE16" s="210"/>
      <c r="CF16" s="210"/>
      <c r="CG16" s="210"/>
      <c r="CH16" s="210"/>
      <c r="CI16" s="210"/>
      <c r="CJ16" s="210"/>
      <c r="CK16" s="210"/>
      <c r="CL16" s="210"/>
      <c r="CM16" s="210"/>
      <c r="CN16" s="210"/>
      <c r="CO16" s="210"/>
      <c r="CP16" s="210"/>
      <c r="CQ16" s="210"/>
      <c r="CR16" s="210"/>
      <c r="CS16" s="210"/>
      <c r="CT16" s="210"/>
      <c r="CU16" s="210"/>
      <c r="CV16" s="210"/>
      <c r="CW16" s="210"/>
      <c r="CX16" s="210"/>
      <c r="CY16" s="210"/>
      <c r="CZ16" s="210"/>
      <c r="DA16" s="210"/>
      <c r="DB16" s="210"/>
      <c r="DC16" s="210"/>
      <c r="DD16" s="210"/>
      <c r="DE16" s="210"/>
      <c r="DF16" s="210"/>
      <c r="DG16" s="210"/>
      <c r="DH16" s="210"/>
      <c r="DI16" s="210"/>
      <c r="DJ16" s="210"/>
      <c r="DK16" s="210"/>
      <c r="DL16" s="210"/>
      <c r="DM16" s="210"/>
      <c r="DN16" s="210"/>
      <c r="DO16" s="210"/>
      <c r="DP16" s="210"/>
      <c r="DQ16" s="210"/>
      <c r="DR16" s="210"/>
      <c r="DS16" s="210"/>
      <c r="DT16" s="210"/>
      <c r="DU16" s="210"/>
      <c r="DV16" s="210"/>
      <c r="DW16" s="210"/>
      <c r="DX16" s="210"/>
      <c r="DY16" s="210"/>
      <c r="DZ16" s="210"/>
      <c r="EA16" s="210"/>
      <c r="EB16" s="210"/>
      <c r="EC16" s="210"/>
      <c r="ED16" s="210"/>
      <c r="EE16" s="210"/>
      <c r="EF16" s="210"/>
      <c r="EG16" s="210"/>
      <c r="EH16" s="210"/>
      <c r="EI16" s="210"/>
      <c r="EJ16" s="210"/>
      <c r="EK16" s="210"/>
      <c r="EL16" s="210"/>
      <c r="EM16" s="210"/>
      <c r="EN16" s="210"/>
      <c r="EO16" s="210"/>
      <c r="EP16" s="210"/>
      <c r="EQ16" s="210"/>
      <c r="ER16" s="210"/>
      <c r="ES16" s="210"/>
      <c r="ET16" s="210"/>
      <c r="EU16" s="210"/>
      <c r="EV16" s="210"/>
      <c r="EW16" s="210"/>
      <c r="EX16" s="210"/>
      <c r="EY16" s="210"/>
      <c r="EZ16" s="210"/>
      <c r="FA16" s="210"/>
      <c r="FB16" s="210"/>
      <c r="FC16" s="210"/>
      <c r="FD16" s="210"/>
      <c r="FE16" s="210"/>
      <c r="FF16" s="210"/>
      <c r="FG16" s="210"/>
      <c r="FH16" s="210"/>
      <c r="FI16" s="210"/>
      <c r="FJ16" s="210"/>
      <c r="FK16" s="210"/>
      <c r="FL16" s="210"/>
      <c r="FM16" s="210"/>
      <c r="FN16" s="210"/>
      <c r="FO16" s="210"/>
      <c r="FP16" s="210"/>
      <c r="FQ16" s="210"/>
      <c r="FR16" s="210"/>
      <c r="FS16" s="210"/>
      <c r="FT16" s="210"/>
      <c r="FU16" s="210"/>
      <c r="FV16" s="210"/>
      <c r="FW16" s="210"/>
      <c r="FX16" s="210"/>
      <c r="FY16" s="210"/>
      <c r="FZ16" s="210"/>
      <c r="GA16" s="210"/>
      <c r="GB16" s="210"/>
      <c r="GC16" s="210"/>
      <c r="GD16" s="210"/>
      <c r="GE16" s="210"/>
      <c r="GF16" s="210"/>
      <c r="GG16" s="210"/>
      <c r="GH16" s="210"/>
      <c r="GI16" s="210"/>
      <c r="GJ16" s="210"/>
      <c r="GK16" s="210"/>
      <c r="GL16" s="210"/>
      <c r="GM16" s="210"/>
      <c r="GN16" s="210"/>
      <c r="GO16" s="210"/>
      <c r="GP16" s="210"/>
      <c r="GQ16" s="210"/>
      <c r="GR16" s="210"/>
      <c r="GS16" s="210"/>
      <c r="GT16" s="210"/>
      <c r="GU16" s="210"/>
      <c r="GV16" s="210"/>
      <c r="GW16" s="210"/>
      <c r="GX16" s="210"/>
      <c r="GY16" s="210"/>
      <c r="GZ16" s="210"/>
      <c r="HA16" s="210"/>
      <c r="HB16" s="210"/>
      <c r="HC16" s="210"/>
      <c r="HD16" s="210"/>
      <c r="HE16" s="210"/>
      <c r="HF16" s="210"/>
      <c r="HG16" s="210"/>
      <c r="HH16" s="210"/>
      <c r="HI16" s="210"/>
      <c r="HJ16" s="210"/>
      <c r="HK16" s="210"/>
      <c r="HL16" s="210"/>
      <c r="HM16" s="210"/>
      <c r="HN16" s="210"/>
      <c r="HO16" s="210"/>
      <c r="HP16" s="210"/>
      <c r="HQ16" s="210"/>
      <c r="HR16" s="210"/>
      <c r="HS16" s="210"/>
      <c r="HT16" s="210"/>
      <c r="HU16" s="210"/>
      <c r="HV16" s="210"/>
      <c r="HW16" s="210"/>
      <c r="HX16" s="210"/>
      <c r="HY16" s="210"/>
      <c r="HZ16" s="210"/>
      <c r="IA16" s="210"/>
      <c r="IB16" s="210"/>
      <c r="IC16" s="210"/>
      <c r="ID16" s="210"/>
      <c r="IE16" s="210"/>
      <c r="IF16" s="210"/>
      <c r="IG16" s="210"/>
      <c r="IH16" s="210"/>
      <c r="II16" s="210"/>
      <c r="IJ16" s="210"/>
      <c r="IK16" s="210"/>
      <c r="IL16" s="210"/>
      <c r="IM16" s="210"/>
      <c r="IN16" s="210"/>
      <c r="IO16" s="210"/>
      <c r="IP16" s="210"/>
      <c r="IQ16" s="210"/>
      <c r="IR16" s="210"/>
      <c r="IS16" s="210"/>
      <c r="IT16" s="210"/>
      <c r="IU16" s="210"/>
      <c r="IV16" s="210"/>
      <c r="IW16" s="210"/>
    </row>
    <row r="17" spans="1:254" ht="18" customHeight="1">
      <c r="A17" s="186">
        <v>6</v>
      </c>
      <c r="B17" s="187" t="s">
        <v>102</v>
      </c>
      <c r="C17" s="187" t="s">
        <v>103</v>
      </c>
      <c r="D17" s="188" t="s">
        <v>95</v>
      </c>
      <c r="E17" s="189">
        <f t="shared" si="0"/>
        <v>2</v>
      </c>
      <c r="F17" s="197"/>
      <c r="G17" s="191">
        <f t="shared" si="1"/>
        <v>2</v>
      </c>
      <c r="H17" s="198"/>
      <c r="I17" s="192">
        <f t="shared" ref="I17:I31" si="3">ROUND((J17),6)</f>
        <v>336</v>
      </c>
      <c r="J17" s="193">
        <v>336</v>
      </c>
      <c r="K17" s="194" t="s">
        <v>189</v>
      </c>
    </row>
    <row r="18" spans="1:254" ht="18" customHeight="1">
      <c r="A18" s="186">
        <v>7</v>
      </c>
      <c r="B18" s="187" t="s">
        <v>105</v>
      </c>
      <c r="C18" s="187" t="s">
        <v>106</v>
      </c>
      <c r="D18" s="188" t="s">
        <v>95</v>
      </c>
      <c r="E18" s="189">
        <f t="shared" si="0"/>
        <v>1</v>
      </c>
      <c r="F18" s="197"/>
      <c r="G18" s="191">
        <f t="shared" si="1"/>
        <v>1</v>
      </c>
      <c r="H18" s="204" t="s">
        <v>82</v>
      </c>
      <c r="I18" s="205">
        <f t="shared" si="3"/>
        <v>168</v>
      </c>
      <c r="J18" s="193">
        <v>168</v>
      </c>
      <c r="K18" s="194" t="s">
        <v>190</v>
      </c>
    </row>
    <row r="19" spans="1:254" s="137" customFormat="1" ht="18" customHeight="1">
      <c r="A19" s="186">
        <v>8</v>
      </c>
      <c r="B19" s="187" t="s">
        <v>110</v>
      </c>
      <c r="C19" s="187" t="s">
        <v>111</v>
      </c>
      <c r="D19" s="188" t="s">
        <v>112</v>
      </c>
      <c r="E19" s="189">
        <f t="shared" si="0"/>
        <v>6.548E-3</v>
      </c>
      <c r="F19" s="197"/>
      <c r="G19" s="191">
        <f t="shared" si="1"/>
        <v>6.548E-3</v>
      </c>
      <c r="H19" s="198"/>
      <c r="I19" s="192">
        <f t="shared" si="3"/>
        <v>1.1000000000000001</v>
      </c>
      <c r="J19" s="193">
        <v>1.1000000000000001</v>
      </c>
      <c r="K19" s="194" t="s">
        <v>191</v>
      </c>
      <c r="L19" s="199"/>
      <c r="M19" s="185"/>
      <c r="N19" s="199"/>
      <c r="O19" s="185"/>
      <c r="P19" s="199"/>
      <c r="Q19" s="200"/>
      <c r="R19" s="201"/>
      <c r="S19" s="200"/>
      <c r="T19" s="200"/>
      <c r="U19" s="200"/>
      <c r="V19" s="200"/>
      <c r="W19" s="200"/>
      <c r="X19" s="200"/>
      <c r="Y19" s="200"/>
      <c r="Z19" s="202"/>
      <c r="AA19" s="202"/>
      <c r="AB19" s="202"/>
      <c r="AC19" s="202"/>
      <c r="AD19" s="202"/>
      <c r="AE19" s="202"/>
      <c r="AF19" s="202"/>
      <c r="AG19" s="202"/>
      <c r="AH19" s="203"/>
      <c r="AI19" s="203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195"/>
      <c r="AW19" s="195"/>
      <c r="AX19" s="195"/>
      <c r="AY19" s="195"/>
      <c r="AZ19" s="195"/>
      <c r="BA19" s="19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85"/>
      <c r="DH19" s="185"/>
      <c r="DI19" s="185"/>
      <c r="DJ19" s="185"/>
      <c r="DK19" s="185"/>
      <c r="DL19" s="185"/>
      <c r="DM19" s="185"/>
      <c r="DN19" s="185"/>
      <c r="DO19" s="185"/>
      <c r="DP19" s="185"/>
      <c r="DQ19" s="185"/>
      <c r="DR19" s="185"/>
      <c r="DS19" s="185"/>
      <c r="DT19" s="185"/>
      <c r="DU19" s="185"/>
      <c r="DV19" s="185"/>
      <c r="DW19" s="185"/>
      <c r="DX19" s="185"/>
      <c r="DY19" s="185"/>
      <c r="DZ19" s="185"/>
      <c r="EA19" s="185"/>
      <c r="EB19" s="185"/>
      <c r="EC19" s="185"/>
      <c r="ED19" s="185"/>
      <c r="EE19" s="185"/>
      <c r="EF19" s="185"/>
      <c r="EG19" s="185"/>
      <c r="EH19" s="185"/>
      <c r="EI19" s="185"/>
      <c r="EJ19" s="185"/>
      <c r="EK19" s="185"/>
      <c r="EL19" s="185"/>
      <c r="EM19" s="185"/>
      <c r="EN19" s="185"/>
      <c r="EO19" s="185"/>
      <c r="EP19" s="185"/>
      <c r="EQ19" s="185"/>
      <c r="ER19" s="185"/>
      <c r="ES19" s="185"/>
      <c r="ET19" s="185"/>
      <c r="EU19" s="185"/>
      <c r="EV19" s="185"/>
      <c r="EW19" s="185"/>
      <c r="EX19" s="185"/>
      <c r="EY19" s="185"/>
      <c r="EZ19" s="185"/>
      <c r="FA19" s="185"/>
      <c r="FB19" s="185"/>
      <c r="FC19" s="185"/>
      <c r="FD19" s="185"/>
      <c r="FE19" s="185"/>
      <c r="FF19" s="185"/>
      <c r="FG19" s="185"/>
      <c r="FH19" s="185"/>
      <c r="FI19" s="185"/>
      <c r="FJ19" s="185"/>
      <c r="FK19" s="185"/>
      <c r="FL19" s="185"/>
      <c r="FM19" s="185"/>
      <c r="FN19" s="185"/>
      <c r="FO19" s="185"/>
      <c r="FP19" s="185"/>
      <c r="FQ19" s="185"/>
      <c r="FR19" s="185"/>
      <c r="FS19" s="185"/>
      <c r="FT19" s="185"/>
      <c r="FU19" s="185"/>
      <c r="FV19" s="185"/>
      <c r="FW19" s="185"/>
      <c r="FX19" s="185"/>
      <c r="FY19" s="185"/>
      <c r="FZ19" s="185"/>
      <c r="GA19" s="185"/>
      <c r="GB19" s="185"/>
      <c r="GC19" s="185"/>
      <c r="GD19" s="185"/>
      <c r="GE19" s="185"/>
      <c r="GF19" s="185"/>
      <c r="GG19" s="185"/>
      <c r="GH19" s="185"/>
      <c r="GI19" s="185"/>
      <c r="GJ19" s="185"/>
      <c r="GK19" s="185"/>
      <c r="GL19" s="185"/>
      <c r="GM19" s="185"/>
      <c r="GN19" s="185"/>
      <c r="GO19" s="185"/>
      <c r="GP19" s="185"/>
      <c r="GQ19" s="185"/>
      <c r="GR19" s="185"/>
      <c r="GS19" s="185"/>
      <c r="GT19" s="185"/>
      <c r="GU19" s="185"/>
      <c r="GV19" s="185"/>
      <c r="GW19" s="185"/>
      <c r="GX19" s="185"/>
      <c r="GY19" s="185"/>
      <c r="GZ19" s="185"/>
      <c r="HA19" s="185"/>
      <c r="HB19" s="185"/>
      <c r="HC19" s="185"/>
      <c r="HD19" s="185"/>
      <c r="HE19" s="185"/>
      <c r="HF19" s="185"/>
      <c r="HG19" s="185"/>
      <c r="HH19" s="185"/>
      <c r="HI19" s="185"/>
      <c r="HJ19" s="185"/>
      <c r="HK19" s="185"/>
      <c r="HL19" s="185"/>
      <c r="HM19" s="185"/>
      <c r="HN19" s="185"/>
      <c r="HO19" s="185"/>
      <c r="HP19" s="185"/>
      <c r="HQ19" s="185"/>
      <c r="HR19" s="185"/>
      <c r="HS19" s="185"/>
      <c r="HT19" s="185"/>
      <c r="HU19" s="185"/>
      <c r="HV19" s="185"/>
      <c r="HW19" s="185"/>
      <c r="HX19" s="185"/>
      <c r="HY19" s="185"/>
      <c r="HZ19" s="185"/>
      <c r="IA19" s="185"/>
      <c r="IB19" s="185"/>
      <c r="IC19" s="185"/>
      <c r="ID19" s="185"/>
      <c r="IE19" s="185"/>
      <c r="IF19" s="185"/>
      <c r="IG19" s="185"/>
      <c r="IH19" s="185"/>
      <c r="II19" s="185"/>
      <c r="IJ19" s="185"/>
      <c r="IK19" s="185"/>
      <c r="IL19" s="185"/>
      <c r="IM19" s="185"/>
      <c r="IN19" s="185"/>
      <c r="IO19" s="185"/>
      <c r="IP19" s="185"/>
      <c r="IQ19" s="185"/>
      <c r="IR19" s="185"/>
      <c r="IS19" s="185"/>
      <c r="IT19" s="185"/>
    </row>
    <row r="20" spans="1:254" s="194" customFormat="1" ht="18" customHeight="1">
      <c r="A20" s="186">
        <v>9</v>
      </c>
      <c r="B20" s="187" t="s">
        <v>113</v>
      </c>
      <c r="C20" s="187" t="s">
        <v>114</v>
      </c>
      <c r="D20" s="188" t="s">
        <v>83</v>
      </c>
      <c r="E20" s="189">
        <f t="shared" si="0"/>
        <v>3.8690000000000002E-2</v>
      </c>
      <c r="F20" s="197"/>
      <c r="G20" s="191">
        <f t="shared" si="1"/>
        <v>3.8690000000000002E-2</v>
      </c>
      <c r="H20" s="198"/>
      <c r="I20" s="192">
        <f t="shared" si="3"/>
        <v>6.5</v>
      </c>
      <c r="J20" s="193">
        <v>6.5</v>
      </c>
      <c r="K20" s="194" t="s">
        <v>192</v>
      </c>
      <c r="L20" s="196"/>
      <c r="N20" s="196"/>
      <c r="P20" s="196"/>
      <c r="R20" s="196"/>
      <c r="Y20" s="137"/>
    </row>
    <row r="21" spans="1:254" s="137" customFormat="1" ht="18" customHeight="1">
      <c r="A21" s="186">
        <v>10</v>
      </c>
      <c r="B21" s="187" t="s">
        <v>116</v>
      </c>
      <c r="C21" s="187" t="s">
        <v>117</v>
      </c>
      <c r="D21" s="188" t="s">
        <v>115</v>
      </c>
      <c r="E21" s="189">
        <f t="shared" ref="E21:E34" si="4">G21</f>
        <v>0.29976199999999997</v>
      </c>
      <c r="F21" s="197"/>
      <c r="G21" s="191">
        <f t="shared" ref="G21:G34" si="5">ROUND(I21/$G$9,6)</f>
        <v>0.29976199999999997</v>
      </c>
      <c r="H21" s="224"/>
      <c r="I21" s="192">
        <f t="shared" si="3"/>
        <v>50.36</v>
      </c>
      <c r="J21" s="193">
        <v>50.36</v>
      </c>
      <c r="K21" s="194" t="s">
        <v>193</v>
      </c>
      <c r="L21" s="196"/>
      <c r="M21" s="194"/>
      <c r="N21" s="196"/>
      <c r="O21" s="194"/>
      <c r="P21" s="196"/>
      <c r="Q21" s="194"/>
      <c r="R21" s="196"/>
      <c r="S21" s="194"/>
      <c r="T21" s="194"/>
      <c r="U21" s="194"/>
      <c r="V21" s="194"/>
      <c r="W21" s="194"/>
      <c r="X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  <c r="GJ21" s="194"/>
      <c r="GK21" s="194"/>
      <c r="GL21" s="194"/>
      <c r="GM21" s="194"/>
      <c r="GN21" s="194"/>
      <c r="GO21" s="194"/>
      <c r="GP21" s="194"/>
      <c r="GQ21" s="194"/>
      <c r="GR21" s="194"/>
      <c r="GS21" s="194"/>
      <c r="GT21" s="194"/>
      <c r="GU21" s="194"/>
      <c r="GV21" s="194"/>
      <c r="GW21" s="194"/>
      <c r="GX21" s="194"/>
      <c r="GY21" s="194"/>
      <c r="GZ21" s="194"/>
      <c r="HA21" s="194"/>
      <c r="HB21" s="194"/>
      <c r="HC21" s="194"/>
      <c r="HD21" s="194"/>
      <c r="HE21" s="194"/>
      <c r="HF21" s="194"/>
      <c r="HG21" s="194"/>
      <c r="HH21" s="194"/>
      <c r="HI21" s="194"/>
      <c r="HJ21" s="194"/>
      <c r="HK21" s="194"/>
      <c r="HL21" s="194"/>
      <c r="HM21" s="194"/>
      <c r="HN21" s="194"/>
      <c r="HO21" s="194"/>
      <c r="HP21" s="194"/>
      <c r="HQ21" s="194"/>
      <c r="HR21" s="194"/>
      <c r="HS21" s="194"/>
      <c r="HT21" s="194"/>
      <c r="HU21" s="194"/>
      <c r="HV21" s="194"/>
      <c r="HW21" s="194"/>
      <c r="HX21" s="194"/>
      <c r="HY21" s="194"/>
      <c r="HZ21" s="194"/>
      <c r="IA21" s="194"/>
      <c r="IB21" s="194"/>
      <c r="IC21" s="194"/>
      <c r="ID21" s="194"/>
      <c r="IE21" s="194"/>
      <c r="IF21" s="194"/>
      <c r="IG21" s="194"/>
      <c r="IH21" s="194"/>
      <c r="II21" s="194"/>
      <c r="IJ21" s="194"/>
      <c r="IK21" s="194"/>
      <c r="IL21" s="194"/>
      <c r="IM21" s="194"/>
      <c r="IN21" s="194"/>
      <c r="IO21" s="194"/>
      <c r="IP21" s="194"/>
      <c r="IQ21" s="194"/>
      <c r="IR21" s="194"/>
      <c r="IS21" s="194"/>
      <c r="IT21" s="194"/>
    </row>
    <row r="22" spans="1:254" ht="18" customHeight="1">
      <c r="A22" s="186">
        <v>11</v>
      </c>
      <c r="B22" s="187" t="s">
        <v>118</v>
      </c>
      <c r="C22" s="187" t="s">
        <v>119</v>
      </c>
      <c r="D22" s="188" t="s">
        <v>115</v>
      </c>
      <c r="E22" s="189">
        <f t="shared" si="4"/>
        <v>5.9762000000000003E-2</v>
      </c>
      <c r="F22" s="197"/>
      <c r="G22" s="191">
        <f t="shared" si="5"/>
        <v>5.9762000000000003E-2</v>
      </c>
      <c r="H22" s="198"/>
      <c r="I22" s="192">
        <f t="shared" si="3"/>
        <v>10.039999999999999</v>
      </c>
      <c r="J22" s="193">
        <v>10.039999999999999</v>
      </c>
      <c r="K22" s="194" t="s">
        <v>194</v>
      </c>
      <c r="L22" s="196"/>
      <c r="M22" s="206"/>
      <c r="N22" s="201"/>
      <c r="O22" s="200"/>
      <c r="P22" s="201"/>
      <c r="Q22" s="200"/>
      <c r="R22" s="201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207"/>
      <c r="CJ22" s="207"/>
      <c r="CK22" s="207"/>
      <c r="CL22" s="207"/>
      <c r="CM22" s="207"/>
      <c r="CN22" s="207"/>
      <c r="CO22" s="207"/>
      <c r="CP22" s="207"/>
      <c r="CQ22" s="207"/>
      <c r="CR22" s="207"/>
      <c r="CS22" s="207"/>
      <c r="CT22" s="207"/>
      <c r="CU22" s="207"/>
      <c r="CV22" s="207"/>
      <c r="CW22" s="207"/>
      <c r="CX22" s="207"/>
      <c r="CY22" s="207"/>
      <c r="CZ22" s="207"/>
      <c r="DA22" s="207"/>
      <c r="DB22" s="207"/>
      <c r="DC22" s="207"/>
      <c r="DD22" s="207"/>
      <c r="DE22" s="207"/>
      <c r="DF22" s="207"/>
      <c r="DG22" s="207"/>
      <c r="DH22" s="207"/>
      <c r="DI22" s="207"/>
      <c r="DJ22" s="207"/>
      <c r="DK22" s="207"/>
      <c r="DL22" s="207"/>
      <c r="DM22" s="207"/>
      <c r="DN22" s="207"/>
      <c r="DO22" s="207"/>
      <c r="DP22" s="207"/>
      <c r="DQ22" s="207"/>
      <c r="DR22" s="207"/>
      <c r="DS22" s="207"/>
      <c r="DT22" s="207"/>
      <c r="DU22" s="207"/>
      <c r="DV22" s="207"/>
      <c r="DW22" s="207"/>
      <c r="DX22" s="207"/>
      <c r="DY22" s="207"/>
      <c r="DZ22" s="207"/>
      <c r="EA22" s="207"/>
      <c r="EB22" s="207"/>
      <c r="EC22" s="207"/>
      <c r="ED22" s="207"/>
      <c r="EE22" s="207"/>
      <c r="EF22" s="207"/>
      <c r="EG22" s="207"/>
      <c r="EH22" s="207"/>
      <c r="EI22" s="207"/>
      <c r="EJ22" s="207"/>
      <c r="EK22" s="207"/>
      <c r="EL22" s="207"/>
      <c r="EM22" s="207"/>
      <c r="EN22" s="207"/>
      <c r="EO22" s="207"/>
      <c r="EP22" s="207"/>
      <c r="EQ22" s="207"/>
      <c r="ER22" s="207"/>
      <c r="ES22" s="207"/>
      <c r="ET22" s="207"/>
      <c r="EU22" s="207"/>
      <c r="EV22" s="207"/>
      <c r="EW22" s="207"/>
      <c r="EX22" s="207"/>
      <c r="EY22" s="207"/>
      <c r="EZ22" s="207"/>
      <c r="FA22" s="207"/>
      <c r="FB22" s="207"/>
      <c r="FC22" s="207"/>
      <c r="FD22" s="207"/>
      <c r="FE22" s="207"/>
      <c r="FF22" s="207"/>
      <c r="FG22" s="207"/>
      <c r="FH22" s="207"/>
      <c r="FI22" s="207"/>
      <c r="FJ22" s="207"/>
      <c r="FK22" s="207"/>
      <c r="FL22" s="207"/>
      <c r="FM22" s="207"/>
      <c r="FN22" s="207"/>
      <c r="FO22" s="207"/>
      <c r="FP22" s="207"/>
      <c r="FQ22" s="207"/>
      <c r="FR22" s="207"/>
      <c r="FS22" s="207"/>
      <c r="FT22" s="207"/>
      <c r="FU22" s="207"/>
      <c r="FV22" s="207"/>
      <c r="FW22" s="207"/>
      <c r="FX22" s="207"/>
      <c r="FY22" s="207"/>
      <c r="FZ22" s="207"/>
      <c r="GA22" s="207"/>
      <c r="GB22" s="207"/>
      <c r="GC22" s="207"/>
      <c r="GD22" s="207"/>
      <c r="GE22" s="207"/>
      <c r="GF22" s="207"/>
      <c r="GG22" s="207"/>
      <c r="GH22" s="207"/>
      <c r="GI22" s="207"/>
      <c r="GJ22" s="207"/>
      <c r="GK22" s="207"/>
      <c r="GL22" s="207"/>
      <c r="GM22" s="207"/>
      <c r="GN22" s="207"/>
      <c r="GO22" s="207"/>
      <c r="GP22" s="207"/>
      <c r="GQ22" s="207"/>
      <c r="GR22" s="207"/>
      <c r="GS22" s="207"/>
      <c r="GT22" s="207"/>
      <c r="GU22" s="207"/>
      <c r="GV22" s="207"/>
      <c r="GW22" s="207"/>
      <c r="GX22" s="207"/>
      <c r="GY22" s="207"/>
      <c r="GZ22" s="207"/>
      <c r="HA22" s="207"/>
      <c r="HB22" s="207"/>
      <c r="HC22" s="207"/>
      <c r="HD22" s="207"/>
      <c r="HE22" s="207"/>
      <c r="HF22" s="207"/>
      <c r="HG22" s="207"/>
      <c r="HH22" s="207"/>
      <c r="HI22" s="207"/>
      <c r="HJ22" s="207"/>
      <c r="HK22" s="207"/>
      <c r="HL22" s="207"/>
      <c r="HM22" s="207"/>
      <c r="HN22" s="207"/>
      <c r="HO22" s="207"/>
      <c r="HP22" s="207"/>
      <c r="HQ22" s="207"/>
      <c r="HR22" s="207"/>
      <c r="HS22" s="207"/>
      <c r="HT22" s="207"/>
      <c r="HU22" s="207"/>
      <c r="HV22" s="207"/>
      <c r="HW22" s="207"/>
      <c r="HX22" s="207"/>
      <c r="HY22" s="207"/>
      <c r="HZ22" s="207"/>
      <c r="IA22" s="207"/>
      <c r="IB22" s="207"/>
      <c r="IC22" s="207"/>
      <c r="ID22" s="207"/>
      <c r="IE22" s="207"/>
      <c r="IF22" s="207"/>
      <c r="IG22" s="207"/>
      <c r="IH22" s="207"/>
      <c r="II22" s="207"/>
      <c r="IJ22" s="207"/>
      <c r="IK22" s="207"/>
      <c r="IL22" s="207"/>
      <c r="IM22" s="207"/>
      <c r="IN22" s="207"/>
      <c r="IO22" s="207"/>
      <c r="IP22" s="207"/>
      <c r="IQ22" s="207"/>
      <c r="IR22" s="207"/>
      <c r="IS22" s="207"/>
      <c r="IT22" s="207"/>
    </row>
    <row r="23" spans="1:254" s="194" customFormat="1" ht="18" customHeight="1">
      <c r="A23" s="186">
        <v>12</v>
      </c>
      <c r="B23" s="187" t="s">
        <v>120</v>
      </c>
      <c r="C23" s="187" t="s">
        <v>121</v>
      </c>
      <c r="D23" s="188" t="s">
        <v>115</v>
      </c>
      <c r="E23" s="189">
        <f t="shared" si="4"/>
        <v>0.110655</v>
      </c>
      <c r="F23" s="197"/>
      <c r="G23" s="191">
        <f t="shared" si="5"/>
        <v>0.110655</v>
      </c>
      <c r="H23" s="198"/>
      <c r="I23" s="192">
        <f t="shared" si="3"/>
        <v>18.59</v>
      </c>
      <c r="J23" s="193">
        <v>18.59</v>
      </c>
      <c r="K23" s="194" t="s">
        <v>195</v>
      </c>
      <c r="L23" s="196"/>
      <c r="N23" s="196"/>
      <c r="P23" s="196"/>
      <c r="R23" s="196"/>
      <c r="Y23" s="137"/>
    </row>
    <row r="24" spans="1:254" s="137" customFormat="1" ht="18" customHeight="1">
      <c r="A24" s="186">
        <v>13</v>
      </c>
      <c r="B24" s="187" t="s">
        <v>122</v>
      </c>
      <c r="C24" s="187" t="s">
        <v>123</v>
      </c>
      <c r="D24" s="188" t="s">
        <v>115</v>
      </c>
      <c r="E24" s="189">
        <f t="shared" si="4"/>
        <v>4.1669999999999997E-3</v>
      </c>
      <c r="F24" s="197"/>
      <c r="G24" s="191">
        <f t="shared" si="5"/>
        <v>4.1669999999999997E-3</v>
      </c>
      <c r="H24" s="198"/>
      <c r="I24" s="192">
        <f t="shared" si="3"/>
        <v>0.7</v>
      </c>
      <c r="J24" s="193">
        <v>0.7</v>
      </c>
      <c r="K24" s="194" t="s">
        <v>196</v>
      </c>
      <c r="L24" s="211"/>
      <c r="M24" s="100"/>
      <c r="N24" s="211"/>
      <c r="O24" s="100"/>
      <c r="P24" s="211"/>
      <c r="Q24" s="100"/>
      <c r="R24" s="211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</row>
    <row r="25" spans="1:254" s="202" customFormat="1" ht="18" customHeight="1">
      <c r="A25" s="186">
        <v>14</v>
      </c>
      <c r="B25" s="187" t="s">
        <v>124</v>
      </c>
      <c r="C25" s="187" t="s">
        <v>125</v>
      </c>
      <c r="D25" s="188" t="s">
        <v>115</v>
      </c>
      <c r="E25" s="189">
        <f t="shared" si="4"/>
        <v>1.3332999999999999E-2</v>
      </c>
      <c r="F25" s="197"/>
      <c r="G25" s="191">
        <f t="shared" si="5"/>
        <v>1.3332999999999999E-2</v>
      </c>
      <c r="H25" s="198"/>
      <c r="I25" s="192">
        <f t="shared" si="3"/>
        <v>2.2400000000000002</v>
      </c>
      <c r="J25" s="193">
        <v>2.2399999999999998</v>
      </c>
      <c r="K25" s="194" t="s">
        <v>197</v>
      </c>
      <c r="L25" s="196"/>
      <c r="M25" s="194"/>
      <c r="N25" s="196"/>
      <c r="O25" s="194"/>
      <c r="P25" s="196"/>
      <c r="Q25" s="194"/>
      <c r="R25" s="196"/>
      <c r="S25" s="194"/>
      <c r="T25" s="194"/>
      <c r="U25" s="194"/>
      <c r="V25" s="194"/>
      <c r="W25" s="194"/>
      <c r="X25" s="194"/>
      <c r="Y25" s="137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  <c r="GJ25" s="194"/>
      <c r="GK25" s="194"/>
      <c r="GL25" s="194"/>
      <c r="GM25" s="194"/>
      <c r="GN25" s="194"/>
      <c r="GO25" s="194"/>
      <c r="GP25" s="194"/>
      <c r="GQ25" s="194"/>
      <c r="GR25" s="194"/>
      <c r="GS25" s="194"/>
      <c r="GT25" s="194"/>
      <c r="GU25" s="194"/>
      <c r="GV25" s="194"/>
      <c r="GW25" s="194"/>
      <c r="GX25" s="194"/>
      <c r="GY25" s="194"/>
      <c r="GZ25" s="194"/>
      <c r="HA25" s="194"/>
      <c r="HB25" s="194"/>
      <c r="HC25" s="194"/>
      <c r="HD25" s="194"/>
      <c r="HE25" s="194"/>
      <c r="HF25" s="194"/>
      <c r="HG25" s="194"/>
      <c r="HH25" s="194"/>
      <c r="HI25" s="194"/>
      <c r="HJ25" s="194"/>
      <c r="HK25" s="194"/>
      <c r="HL25" s="194"/>
      <c r="HM25" s="194"/>
      <c r="HN25" s="194"/>
      <c r="HO25" s="194"/>
      <c r="HP25" s="194"/>
      <c r="HQ25" s="194"/>
      <c r="HR25" s="194"/>
      <c r="HS25" s="194"/>
      <c r="HT25" s="194"/>
      <c r="HU25" s="194"/>
      <c r="HV25" s="194"/>
      <c r="HW25" s="194"/>
      <c r="HX25" s="194"/>
      <c r="HY25" s="194"/>
      <c r="HZ25" s="194"/>
      <c r="IA25" s="194"/>
      <c r="IB25" s="194"/>
      <c r="IC25" s="194"/>
      <c r="ID25" s="194"/>
      <c r="IE25" s="194"/>
      <c r="IF25" s="194"/>
      <c r="IG25" s="194"/>
      <c r="IH25" s="194"/>
      <c r="II25" s="194"/>
      <c r="IJ25" s="194"/>
      <c r="IK25" s="194"/>
      <c r="IL25" s="194"/>
      <c r="IM25" s="194"/>
      <c r="IN25" s="194"/>
      <c r="IO25" s="194"/>
      <c r="IP25" s="194"/>
      <c r="IQ25" s="194"/>
      <c r="IR25" s="194"/>
      <c r="IS25" s="194"/>
      <c r="IT25" s="194"/>
    </row>
    <row r="26" spans="1:254" s="194" customFormat="1" ht="18" customHeight="1">
      <c r="A26" s="186">
        <v>15</v>
      </c>
      <c r="B26" s="187" t="s">
        <v>126</v>
      </c>
      <c r="C26" s="187" t="s">
        <v>127</v>
      </c>
      <c r="D26" s="188" t="s">
        <v>115</v>
      </c>
      <c r="E26" s="189">
        <f t="shared" si="4"/>
        <v>2.3800000000000001E-4</v>
      </c>
      <c r="F26" s="197"/>
      <c r="G26" s="191">
        <f t="shared" si="5"/>
        <v>2.3800000000000001E-4</v>
      </c>
      <c r="H26" s="198"/>
      <c r="I26" s="192">
        <f t="shared" si="3"/>
        <v>0.04</v>
      </c>
      <c r="J26" s="193">
        <v>0.04</v>
      </c>
      <c r="K26" s="194" t="s">
        <v>198</v>
      </c>
      <c r="L26" s="225"/>
      <c r="M26" s="203"/>
      <c r="N26" s="201"/>
      <c r="O26" s="200"/>
      <c r="P26" s="201"/>
      <c r="Q26" s="200"/>
      <c r="R26" s="201"/>
      <c r="S26" s="200"/>
      <c r="T26" s="200"/>
      <c r="U26" s="200"/>
      <c r="V26" s="200"/>
      <c r="W26" s="200"/>
      <c r="X26" s="200"/>
      <c r="Y26" s="200"/>
      <c r="Z26" s="200"/>
      <c r="AA26" s="200"/>
      <c r="AB26" s="226"/>
      <c r="AC26" s="227"/>
      <c r="AD26" s="228"/>
      <c r="AE26" s="200"/>
      <c r="AF26" s="203"/>
      <c r="AG26" s="203"/>
      <c r="AH26" s="203"/>
      <c r="AI26" s="200"/>
      <c r="AJ26" s="203"/>
      <c r="AK26" s="203"/>
      <c r="AL26" s="203"/>
      <c r="AM26" s="203"/>
      <c r="AN26" s="203"/>
      <c r="AO26" s="203"/>
      <c r="AP26" s="203"/>
      <c r="AQ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3"/>
      <c r="BQ26" s="203"/>
      <c r="BR26" s="203"/>
      <c r="BS26" s="203"/>
      <c r="BT26" s="203"/>
      <c r="BU26" s="203"/>
      <c r="BV26" s="203"/>
      <c r="BW26" s="203"/>
      <c r="BX26" s="203"/>
      <c r="BY26" s="203"/>
      <c r="BZ26" s="203"/>
      <c r="CA26" s="203"/>
      <c r="CB26" s="203"/>
      <c r="CC26" s="203"/>
      <c r="CD26" s="203"/>
      <c r="CE26" s="203"/>
      <c r="CF26" s="203"/>
      <c r="CG26" s="203"/>
      <c r="CH26" s="203"/>
      <c r="CI26" s="203"/>
      <c r="CJ26" s="203"/>
      <c r="CK26" s="203"/>
      <c r="CL26" s="203"/>
      <c r="CM26" s="203"/>
      <c r="CN26" s="203"/>
      <c r="CO26" s="203"/>
      <c r="CP26" s="203"/>
      <c r="CQ26" s="203"/>
      <c r="CR26" s="203"/>
      <c r="CS26" s="203"/>
      <c r="CT26" s="203"/>
      <c r="CU26" s="203"/>
      <c r="CV26" s="203"/>
      <c r="CW26" s="203"/>
      <c r="CX26" s="203"/>
      <c r="CY26" s="203"/>
      <c r="CZ26" s="203"/>
      <c r="DA26" s="203"/>
      <c r="DB26" s="203"/>
      <c r="DC26" s="203"/>
      <c r="DD26" s="203"/>
      <c r="DE26" s="203"/>
      <c r="DF26" s="203"/>
      <c r="DG26" s="203"/>
      <c r="DH26" s="203"/>
      <c r="DI26" s="203"/>
      <c r="DJ26" s="203"/>
      <c r="DK26" s="203"/>
      <c r="DL26" s="203"/>
      <c r="DM26" s="203"/>
      <c r="DN26" s="203"/>
      <c r="DO26" s="203"/>
      <c r="DP26" s="203"/>
      <c r="DQ26" s="203"/>
      <c r="DR26" s="203"/>
      <c r="DS26" s="203"/>
      <c r="DT26" s="203"/>
      <c r="DU26" s="203"/>
      <c r="DV26" s="203"/>
      <c r="DW26" s="203"/>
      <c r="DX26" s="203"/>
      <c r="DY26" s="203"/>
      <c r="DZ26" s="203"/>
      <c r="EA26" s="203"/>
      <c r="EB26" s="203"/>
      <c r="EC26" s="203"/>
      <c r="ED26" s="203"/>
      <c r="EE26" s="203"/>
      <c r="EF26" s="203"/>
      <c r="EG26" s="203"/>
      <c r="EH26" s="203"/>
      <c r="EI26" s="203"/>
      <c r="EJ26" s="203"/>
      <c r="EK26" s="203"/>
      <c r="EL26" s="203"/>
      <c r="EM26" s="203"/>
      <c r="EN26" s="203"/>
      <c r="EO26" s="203"/>
      <c r="EP26" s="203"/>
      <c r="EQ26" s="203"/>
      <c r="ER26" s="203"/>
      <c r="ES26" s="203"/>
      <c r="ET26" s="203"/>
      <c r="EU26" s="203"/>
      <c r="EV26" s="203"/>
      <c r="EW26" s="203"/>
      <c r="EX26" s="203"/>
      <c r="EY26" s="203"/>
      <c r="EZ26" s="203"/>
      <c r="FA26" s="203"/>
      <c r="FB26" s="203"/>
      <c r="FC26" s="203"/>
      <c r="FD26" s="203"/>
      <c r="FE26" s="203"/>
      <c r="FF26" s="203"/>
      <c r="FG26" s="203"/>
      <c r="FH26" s="203"/>
      <c r="FI26" s="203"/>
      <c r="FJ26" s="203"/>
      <c r="FK26" s="203"/>
      <c r="FL26" s="203"/>
      <c r="FM26" s="203"/>
      <c r="FN26" s="203"/>
      <c r="FO26" s="203"/>
      <c r="FP26" s="203"/>
      <c r="FQ26" s="203"/>
      <c r="FR26" s="203"/>
      <c r="FS26" s="203"/>
      <c r="FT26" s="203"/>
      <c r="FU26" s="203"/>
      <c r="FV26" s="203"/>
      <c r="FW26" s="203"/>
      <c r="FX26" s="203"/>
      <c r="FY26" s="203"/>
      <c r="FZ26" s="203"/>
      <c r="GA26" s="203"/>
      <c r="GB26" s="203"/>
      <c r="GC26" s="203"/>
      <c r="GD26" s="203"/>
      <c r="GE26" s="203"/>
      <c r="GF26" s="203"/>
      <c r="GG26" s="203"/>
      <c r="GH26" s="203"/>
      <c r="GI26" s="203"/>
      <c r="GJ26" s="203"/>
      <c r="GK26" s="203"/>
      <c r="GL26" s="203"/>
      <c r="GM26" s="203"/>
      <c r="GN26" s="203"/>
      <c r="GO26" s="203"/>
      <c r="GP26" s="203"/>
      <c r="GQ26" s="203"/>
      <c r="GR26" s="203"/>
      <c r="GS26" s="203"/>
      <c r="GT26" s="203"/>
      <c r="GU26" s="203"/>
      <c r="GV26" s="203"/>
      <c r="GW26" s="203"/>
      <c r="GX26" s="203"/>
      <c r="GY26" s="203"/>
      <c r="GZ26" s="203"/>
      <c r="HA26" s="203"/>
      <c r="HB26" s="203"/>
      <c r="HC26" s="203"/>
      <c r="HD26" s="203"/>
      <c r="HE26" s="203"/>
      <c r="HF26" s="203"/>
      <c r="HG26" s="203"/>
      <c r="HH26" s="203"/>
      <c r="HI26" s="203"/>
      <c r="HJ26" s="203"/>
      <c r="HK26" s="203"/>
      <c r="HL26" s="203"/>
      <c r="HM26" s="203"/>
      <c r="HN26" s="203"/>
      <c r="HO26" s="203"/>
      <c r="HP26" s="203"/>
      <c r="HQ26" s="203"/>
      <c r="HR26" s="203"/>
      <c r="HS26" s="203"/>
      <c r="HT26" s="203"/>
      <c r="HU26" s="203"/>
      <c r="HV26" s="203"/>
      <c r="HW26" s="203"/>
      <c r="HX26" s="203"/>
      <c r="HY26" s="203"/>
      <c r="HZ26" s="203"/>
      <c r="IA26" s="203"/>
      <c r="IB26" s="203"/>
      <c r="IC26" s="203"/>
      <c r="ID26" s="203"/>
      <c r="IE26" s="203"/>
      <c r="IF26" s="203"/>
      <c r="IG26" s="203"/>
      <c r="IH26" s="203"/>
      <c r="II26" s="203"/>
      <c r="IJ26" s="203"/>
      <c r="IK26" s="203"/>
      <c r="IL26" s="203"/>
      <c r="IM26" s="203"/>
      <c r="IN26" s="203"/>
      <c r="IO26" s="203"/>
      <c r="IP26" s="203"/>
      <c r="IQ26" s="203"/>
      <c r="IR26" s="203"/>
      <c r="IS26" s="203"/>
      <c r="IT26" s="203"/>
    </row>
    <row r="27" spans="1:254" s="223" customFormat="1" ht="18" customHeight="1">
      <c r="A27" s="186">
        <v>16</v>
      </c>
      <c r="B27" s="187" t="s">
        <v>128</v>
      </c>
      <c r="C27" s="187" t="s">
        <v>129</v>
      </c>
      <c r="D27" s="188" t="s">
        <v>115</v>
      </c>
      <c r="E27" s="189">
        <f t="shared" si="4"/>
        <v>4.3449999999999999E-3</v>
      </c>
      <c r="F27" s="197"/>
      <c r="G27" s="191">
        <f t="shared" si="5"/>
        <v>4.3449999999999999E-3</v>
      </c>
      <c r="H27" s="198"/>
      <c r="I27" s="192">
        <f t="shared" si="3"/>
        <v>0.73</v>
      </c>
      <c r="J27" s="193">
        <v>0.73</v>
      </c>
      <c r="K27" s="194" t="s">
        <v>199</v>
      </c>
      <c r="L27" s="210"/>
      <c r="M27" s="137"/>
      <c r="N27" s="210"/>
      <c r="O27" s="137"/>
      <c r="P27" s="210"/>
      <c r="Q27" s="137"/>
      <c r="R27" s="210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</row>
    <row r="28" spans="1:254" s="212" customFormat="1" ht="18" customHeight="1">
      <c r="A28" s="186">
        <v>17</v>
      </c>
      <c r="B28" s="187" t="s">
        <v>130</v>
      </c>
      <c r="C28" s="187" t="s">
        <v>131</v>
      </c>
      <c r="D28" s="188" t="s">
        <v>115</v>
      </c>
      <c r="E28" s="189">
        <f t="shared" si="4"/>
        <v>3.0476E-2</v>
      </c>
      <c r="F28" s="197"/>
      <c r="G28" s="191">
        <f t="shared" si="5"/>
        <v>3.0476E-2</v>
      </c>
      <c r="H28" s="198"/>
      <c r="I28" s="192">
        <f t="shared" si="3"/>
        <v>5.12</v>
      </c>
      <c r="J28" s="193">
        <v>5.12</v>
      </c>
      <c r="K28" s="194" t="s">
        <v>200</v>
      </c>
      <c r="L28" s="210"/>
      <c r="M28" s="137"/>
      <c r="N28" s="210"/>
      <c r="O28" s="137"/>
      <c r="P28" s="210"/>
      <c r="Q28" s="137"/>
      <c r="R28" s="210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200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37"/>
      <c r="EC28" s="137"/>
      <c r="ED28" s="137"/>
      <c r="EE28" s="137"/>
      <c r="EF28" s="137"/>
      <c r="EG28" s="137"/>
      <c r="EH28" s="137"/>
      <c r="EI28" s="137"/>
      <c r="EJ28" s="137"/>
      <c r="EK28" s="137"/>
      <c r="EL28" s="137"/>
      <c r="EM28" s="137"/>
      <c r="EN28" s="137"/>
      <c r="EO28" s="137"/>
      <c r="EP28" s="137"/>
      <c r="EQ28" s="137"/>
      <c r="ER28" s="137"/>
      <c r="ES28" s="137"/>
      <c r="ET28" s="137"/>
      <c r="EU28" s="137"/>
      <c r="EV28" s="137"/>
      <c r="EW28" s="137"/>
      <c r="EX28" s="137"/>
      <c r="EY28" s="137"/>
      <c r="EZ28" s="137"/>
      <c r="FA28" s="137"/>
      <c r="FB28" s="137"/>
      <c r="FC28" s="137"/>
      <c r="FD28" s="137"/>
      <c r="FE28" s="137"/>
      <c r="FF28" s="137"/>
      <c r="FG28" s="137"/>
      <c r="FH28" s="137"/>
      <c r="FI28" s="137"/>
      <c r="FJ28" s="137"/>
      <c r="FK28" s="137"/>
      <c r="FL28" s="137"/>
      <c r="FM28" s="137"/>
      <c r="FN28" s="137"/>
      <c r="FO28" s="137"/>
      <c r="FP28" s="137"/>
      <c r="FQ28" s="137"/>
      <c r="FR28" s="137"/>
      <c r="FS28" s="137"/>
      <c r="FT28" s="137"/>
      <c r="FU28" s="137"/>
      <c r="FV28" s="137"/>
      <c r="FW28" s="137"/>
      <c r="FX28" s="137"/>
      <c r="FY28" s="137"/>
      <c r="FZ28" s="137"/>
      <c r="GA28" s="137"/>
      <c r="GB28" s="137"/>
      <c r="GC28" s="137"/>
      <c r="GD28" s="137"/>
      <c r="GE28" s="137"/>
      <c r="GF28" s="137"/>
      <c r="GG28" s="137"/>
      <c r="GH28" s="137"/>
      <c r="GI28" s="137"/>
      <c r="GJ28" s="137"/>
      <c r="GK28" s="137"/>
      <c r="GL28" s="137"/>
      <c r="GM28" s="137"/>
      <c r="GN28" s="137"/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7"/>
      <c r="HB28" s="137"/>
      <c r="HC28" s="137"/>
      <c r="HD28" s="137"/>
      <c r="HE28" s="137"/>
      <c r="HF28" s="137"/>
      <c r="HG28" s="137"/>
      <c r="HH28" s="137"/>
      <c r="HI28" s="137"/>
      <c r="HJ28" s="137"/>
      <c r="HK28" s="137"/>
      <c r="HL28" s="137"/>
      <c r="HM28" s="137"/>
      <c r="HN28" s="137"/>
      <c r="HO28" s="137"/>
      <c r="HP28" s="137"/>
      <c r="HQ28" s="137"/>
      <c r="HR28" s="137"/>
      <c r="HS28" s="137"/>
      <c r="HT28" s="137"/>
      <c r="HU28" s="137"/>
      <c r="HV28" s="137"/>
      <c r="HW28" s="137"/>
      <c r="HX28" s="137"/>
      <c r="HY28" s="137"/>
      <c r="HZ28" s="137"/>
      <c r="IA28" s="137"/>
      <c r="IB28" s="137"/>
      <c r="IC28" s="137"/>
      <c r="ID28" s="137"/>
      <c r="IE28" s="137"/>
      <c r="IF28" s="137"/>
      <c r="IG28" s="137"/>
      <c r="IH28" s="137"/>
      <c r="II28" s="137"/>
      <c r="IJ28" s="137"/>
      <c r="IK28" s="137"/>
      <c r="IL28" s="137"/>
      <c r="IM28" s="137"/>
      <c r="IN28" s="137"/>
      <c r="IO28" s="137"/>
      <c r="IP28" s="137"/>
      <c r="IQ28" s="137"/>
      <c r="IR28" s="137"/>
      <c r="IS28" s="137"/>
      <c r="IT28" s="137"/>
    </row>
    <row r="29" spans="1:254" s="194" customFormat="1" ht="18" customHeight="1">
      <c r="A29" s="186">
        <v>18</v>
      </c>
      <c r="B29" s="187" t="s">
        <v>132</v>
      </c>
      <c r="C29" s="187" t="s">
        <v>133</v>
      </c>
      <c r="D29" s="188" t="s">
        <v>115</v>
      </c>
      <c r="E29" s="189">
        <f t="shared" si="4"/>
        <v>0.17577400000000001</v>
      </c>
      <c r="F29" s="197"/>
      <c r="G29" s="191">
        <f t="shared" si="5"/>
        <v>0.17577400000000001</v>
      </c>
      <c r="H29" s="198"/>
      <c r="I29" s="192">
        <f t="shared" si="3"/>
        <v>29.53</v>
      </c>
      <c r="J29" s="193">
        <v>29.53</v>
      </c>
      <c r="K29" s="194" t="s">
        <v>201</v>
      </c>
      <c r="L29" s="210"/>
      <c r="M29" s="137"/>
      <c r="N29" s="210"/>
      <c r="O29" s="137"/>
      <c r="P29" s="210"/>
      <c r="Q29" s="137"/>
      <c r="R29" s="210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</row>
    <row r="30" spans="1:254" ht="18" customHeight="1">
      <c r="A30" s="186">
        <v>19</v>
      </c>
      <c r="B30" s="187" t="s">
        <v>134</v>
      </c>
      <c r="C30" s="187" t="s">
        <v>135</v>
      </c>
      <c r="D30" s="188" t="s">
        <v>115</v>
      </c>
      <c r="E30" s="189">
        <f t="shared" si="4"/>
        <v>2.2619E-2</v>
      </c>
      <c r="F30" s="197"/>
      <c r="G30" s="191">
        <f t="shared" si="5"/>
        <v>2.2619E-2</v>
      </c>
      <c r="H30" s="198"/>
      <c r="I30" s="192">
        <f t="shared" si="3"/>
        <v>3.8</v>
      </c>
      <c r="J30" s="193">
        <v>3.8</v>
      </c>
      <c r="K30" s="194" t="s">
        <v>202</v>
      </c>
    </row>
    <row r="31" spans="1:254" s="223" customFormat="1" ht="18" customHeight="1">
      <c r="A31" s="186">
        <v>20</v>
      </c>
      <c r="B31" s="187" t="s">
        <v>138</v>
      </c>
      <c r="C31" s="187" t="s">
        <v>139</v>
      </c>
      <c r="D31" s="188" t="s">
        <v>115</v>
      </c>
      <c r="E31" s="189">
        <f t="shared" si="4"/>
        <v>1.964E-3</v>
      </c>
      <c r="F31" s="197"/>
      <c r="G31" s="191">
        <f t="shared" si="5"/>
        <v>1.964E-3</v>
      </c>
      <c r="H31" s="198"/>
      <c r="I31" s="192">
        <f t="shared" si="3"/>
        <v>0.33</v>
      </c>
      <c r="J31" s="193">
        <v>0.33</v>
      </c>
      <c r="K31" s="194" t="s">
        <v>203</v>
      </c>
      <c r="L31" s="222"/>
      <c r="M31" s="174"/>
      <c r="N31" s="230"/>
      <c r="O31" s="174"/>
      <c r="P31" s="230"/>
      <c r="Q31" s="174"/>
      <c r="R31" s="230"/>
      <c r="S31" s="174"/>
      <c r="AK31" s="231"/>
      <c r="AL31" s="232"/>
    </row>
    <row r="32" spans="1:254" s="194" customFormat="1" ht="18" customHeight="1">
      <c r="A32" s="186">
        <v>21</v>
      </c>
      <c r="B32" s="187" t="s">
        <v>140</v>
      </c>
      <c r="C32" s="187" t="s">
        <v>141</v>
      </c>
      <c r="D32" s="188" t="s">
        <v>115</v>
      </c>
      <c r="E32" s="189">
        <f t="shared" si="4"/>
        <v>1.7899999999999999E-4</v>
      </c>
      <c r="F32" s="197"/>
      <c r="G32" s="191">
        <f t="shared" si="5"/>
        <v>1.7899999999999999E-4</v>
      </c>
      <c r="H32" s="198"/>
      <c r="I32" s="192">
        <f t="shared" ref="I32:I34" si="6">ROUND((J32),6)</f>
        <v>0.03</v>
      </c>
      <c r="J32" s="193">
        <v>0.03</v>
      </c>
      <c r="K32" s="194" t="s">
        <v>204</v>
      </c>
      <c r="L32" s="233"/>
      <c r="M32" s="234"/>
      <c r="N32" s="233"/>
      <c r="O32" s="234"/>
      <c r="P32" s="233"/>
      <c r="Q32" s="234"/>
      <c r="R32" s="233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100"/>
      <c r="AG32" s="100"/>
      <c r="AH32" s="100"/>
      <c r="AI32" s="100"/>
      <c r="AJ32" s="234"/>
      <c r="AK32" s="234"/>
      <c r="AL32" s="234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</row>
    <row r="33" spans="1:257" s="194" customFormat="1" ht="18" customHeight="1">
      <c r="A33" s="186">
        <v>22</v>
      </c>
      <c r="B33" s="187" t="s">
        <v>142</v>
      </c>
      <c r="C33" s="187" t="s">
        <v>143</v>
      </c>
      <c r="D33" s="188" t="s">
        <v>115</v>
      </c>
      <c r="E33" s="189">
        <f t="shared" si="4"/>
        <v>7.7980000000000002E-3</v>
      </c>
      <c r="F33" s="197"/>
      <c r="G33" s="191">
        <f t="shared" si="5"/>
        <v>7.7980000000000002E-3</v>
      </c>
      <c r="H33" s="198"/>
      <c r="I33" s="192">
        <f t="shared" si="6"/>
        <v>1.31</v>
      </c>
      <c r="J33" s="193">
        <v>1.31</v>
      </c>
      <c r="K33" s="194" t="s">
        <v>205</v>
      </c>
      <c r="L33" s="233"/>
      <c r="M33" s="234"/>
      <c r="N33" s="233"/>
      <c r="O33" s="234"/>
      <c r="P33" s="233"/>
      <c r="Q33" s="234"/>
      <c r="R33" s="233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100"/>
      <c r="AG33" s="100"/>
      <c r="AH33" s="100"/>
      <c r="AI33" s="100"/>
      <c r="AJ33" s="234"/>
      <c r="AK33" s="234"/>
      <c r="AL33" s="234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</row>
    <row r="34" spans="1:257" s="194" customFormat="1" ht="18" customHeight="1">
      <c r="A34" s="186">
        <v>23</v>
      </c>
      <c r="B34" s="187" t="s">
        <v>144</v>
      </c>
      <c r="C34" s="187" t="s">
        <v>145</v>
      </c>
      <c r="D34" s="188" t="s">
        <v>115</v>
      </c>
      <c r="E34" s="189">
        <f t="shared" si="4"/>
        <v>6.0000000000000002E-5</v>
      </c>
      <c r="F34" s="209"/>
      <c r="G34" s="191">
        <f t="shared" si="5"/>
        <v>6.0000000000000002E-5</v>
      </c>
      <c r="H34" s="198"/>
      <c r="I34" s="192">
        <f t="shared" si="6"/>
        <v>0.01</v>
      </c>
      <c r="J34" s="193">
        <v>0.01</v>
      </c>
      <c r="K34" s="194" t="s">
        <v>206</v>
      </c>
      <c r="L34" s="210"/>
      <c r="M34" s="137"/>
      <c r="N34" s="210"/>
      <c r="O34" s="137"/>
      <c r="P34" s="210"/>
      <c r="Q34" s="137"/>
      <c r="R34" s="210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200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7"/>
      <c r="EB34" s="137"/>
      <c r="EC34" s="137"/>
      <c r="ED34" s="137"/>
      <c r="EE34" s="137"/>
      <c r="EF34" s="137"/>
      <c r="EG34" s="137"/>
      <c r="EH34" s="137"/>
      <c r="EI34" s="137"/>
      <c r="EJ34" s="137"/>
      <c r="EK34" s="137"/>
      <c r="EL34" s="137"/>
      <c r="EM34" s="137"/>
      <c r="EN34" s="137"/>
      <c r="EO34" s="137"/>
      <c r="EP34" s="137"/>
      <c r="EQ34" s="137"/>
      <c r="ER34" s="137"/>
      <c r="ES34" s="137"/>
      <c r="ET34" s="137"/>
      <c r="EU34" s="137"/>
      <c r="EV34" s="137"/>
      <c r="EW34" s="137"/>
      <c r="EX34" s="137"/>
      <c r="EY34" s="137"/>
      <c r="EZ34" s="137"/>
      <c r="FA34" s="137"/>
      <c r="FB34" s="137"/>
      <c r="FC34" s="137"/>
      <c r="FD34" s="137"/>
      <c r="FE34" s="137"/>
      <c r="FF34" s="137"/>
      <c r="FG34" s="137"/>
      <c r="FH34" s="137"/>
      <c r="FI34" s="137"/>
      <c r="FJ34" s="137"/>
      <c r="FK34" s="137"/>
      <c r="FL34" s="137"/>
      <c r="FM34" s="137"/>
      <c r="FN34" s="137"/>
      <c r="FO34" s="137"/>
      <c r="FP34" s="137"/>
      <c r="FQ34" s="137"/>
      <c r="FR34" s="137"/>
      <c r="FS34" s="137"/>
      <c r="FT34" s="137"/>
      <c r="FU34" s="137"/>
      <c r="FV34" s="137"/>
      <c r="FW34" s="137"/>
      <c r="FX34" s="137"/>
      <c r="FY34" s="137"/>
      <c r="FZ34" s="137"/>
      <c r="GA34" s="137"/>
      <c r="GB34" s="137"/>
      <c r="GC34" s="137"/>
      <c r="GD34" s="137"/>
      <c r="GE34" s="137"/>
      <c r="GF34" s="137"/>
      <c r="GG34" s="137"/>
      <c r="GH34" s="137"/>
      <c r="GI34" s="137"/>
      <c r="GJ34" s="137"/>
      <c r="GK34" s="137"/>
      <c r="GL34" s="137"/>
      <c r="GM34" s="137"/>
      <c r="GN34" s="137"/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7"/>
      <c r="HB34" s="137"/>
      <c r="HC34" s="137"/>
      <c r="HD34" s="137"/>
      <c r="HE34" s="137"/>
      <c r="HF34" s="137"/>
      <c r="HG34" s="137"/>
      <c r="HH34" s="137"/>
      <c r="HI34" s="137"/>
      <c r="HJ34" s="137"/>
      <c r="HK34" s="137"/>
      <c r="HL34" s="137"/>
      <c r="HM34" s="137"/>
      <c r="HN34" s="137"/>
      <c r="HO34" s="137"/>
      <c r="HP34" s="137"/>
      <c r="HQ34" s="137"/>
      <c r="HR34" s="137"/>
      <c r="HS34" s="137"/>
      <c r="HT34" s="137"/>
      <c r="HU34" s="137"/>
      <c r="HV34" s="137"/>
      <c r="HW34" s="137"/>
      <c r="HX34" s="137"/>
      <c r="HY34" s="137"/>
      <c r="HZ34" s="137"/>
      <c r="IA34" s="137"/>
      <c r="IB34" s="137"/>
      <c r="IC34" s="137"/>
      <c r="ID34" s="137"/>
      <c r="IE34" s="137"/>
      <c r="IF34" s="137"/>
      <c r="IG34" s="137"/>
      <c r="IH34" s="137"/>
      <c r="II34" s="137"/>
      <c r="IJ34" s="137"/>
      <c r="IK34" s="137"/>
      <c r="IL34" s="137"/>
      <c r="IM34" s="137"/>
      <c r="IN34" s="137"/>
      <c r="IO34" s="137"/>
      <c r="IP34" s="137"/>
      <c r="IQ34" s="137"/>
      <c r="IR34" s="137"/>
      <c r="IS34" s="137"/>
      <c r="IT34" s="137"/>
    </row>
    <row r="35" spans="1:257" ht="20.100000000000001" customHeight="1">
      <c r="A35" s="186">
        <v>24</v>
      </c>
      <c r="B35" s="221" t="s">
        <v>85</v>
      </c>
      <c r="C35" s="221" t="s">
        <v>146</v>
      </c>
      <c r="D35" s="208" t="s">
        <v>81</v>
      </c>
      <c r="E35" s="189">
        <f t="shared" ref="E35:E41" si="7">G35</f>
        <v>0.11265600000000001</v>
      </c>
      <c r="F35" s="197"/>
      <c r="G35" s="191">
        <f t="shared" ref="G35:G41" si="8">ROUND(I35/$G$9,6)</f>
        <v>0.11265600000000001</v>
      </c>
      <c r="H35" s="204" t="s">
        <v>82</v>
      </c>
      <c r="I35" s="205">
        <f>ROUND((J35*46*0.0278),6)</f>
        <v>18.92624</v>
      </c>
      <c r="J35" s="193">
        <v>14.8</v>
      </c>
      <c r="K35" s="194" t="s">
        <v>207</v>
      </c>
      <c r="L35" s="100"/>
      <c r="N35" s="100"/>
      <c r="P35" s="100"/>
      <c r="R35" s="100"/>
    </row>
    <row r="36" spans="1:257" ht="20.100000000000001" customHeight="1">
      <c r="A36" s="186">
        <v>25</v>
      </c>
      <c r="B36" s="221" t="s">
        <v>86</v>
      </c>
      <c r="C36" s="221" t="s">
        <v>147</v>
      </c>
      <c r="D36" s="208" t="s">
        <v>81</v>
      </c>
      <c r="E36" s="189">
        <f t="shared" si="7"/>
        <v>5.8250000000000003E-3</v>
      </c>
      <c r="F36" s="197"/>
      <c r="G36" s="191">
        <f t="shared" si="8"/>
        <v>5.8250000000000003E-3</v>
      </c>
      <c r="H36" s="204" t="s">
        <v>82</v>
      </c>
      <c r="I36" s="205">
        <f>ROUND((J36*44*0.0278),6)</f>
        <v>0.97855999999999999</v>
      </c>
      <c r="J36" s="193">
        <v>0.8</v>
      </c>
      <c r="K36" s="194" t="s">
        <v>208</v>
      </c>
      <c r="L36" s="100"/>
      <c r="N36" s="100"/>
      <c r="P36" s="100"/>
      <c r="R36" s="100"/>
    </row>
    <row r="37" spans="1:257" ht="18" customHeight="1">
      <c r="A37" s="186">
        <v>26</v>
      </c>
      <c r="B37" s="215" t="s">
        <v>88</v>
      </c>
      <c r="C37" s="215" t="s">
        <v>148</v>
      </c>
      <c r="D37" s="188" t="s">
        <v>81</v>
      </c>
      <c r="E37" s="189">
        <f t="shared" si="7"/>
        <v>1.5191E-2</v>
      </c>
      <c r="F37" s="197"/>
      <c r="G37" s="191">
        <f t="shared" si="8"/>
        <v>1.5191E-2</v>
      </c>
      <c r="H37" s="204" t="s">
        <v>82</v>
      </c>
      <c r="I37" s="205">
        <f>ROUND((J37*54*0.0278),6)</f>
        <v>2.5520399999999999</v>
      </c>
      <c r="J37" s="193">
        <v>1.7000000000000002</v>
      </c>
      <c r="K37" s="194" t="s">
        <v>209</v>
      </c>
      <c r="L37" s="213"/>
      <c r="M37" s="214"/>
      <c r="N37" s="213"/>
      <c r="O37" s="214"/>
      <c r="P37" s="213"/>
      <c r="Q37" s="214"/>
      <c r="R37" s="213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</row>
    <row r="38" spans="1:257" s="194" customFormat="1" ht="20.100000000000001" customHeight="1">
      <c r="A38" s="186">
        <v>27</v>
      </c>
      <c r="B38" s="221" t="s">
        <v>84</v>
      </c>
      <c r="C38" s="221" t="s">
        <v>149</v>
      </c>
      <c r="D38" s="208" t="s">
        <v>81</v>
      </c>
      <c r="E38" s="189">
        <f t="shared" si="7"/>
        <v>0.14416300000000001</v>
      </c>
      <c r="F38" s="197"/>
      <c r="G38" s="191">
        <f t="shared" si="8"/>
        <v>0.14416300000000001</v>
      </c>
      <c r="H38" s="204" t="s">
        <v>82</v>
      </c>
      <c r="I38" s="205">
        <f>ROUND((J38*44*0.0278),6)</f>
        <v>24.219360000000002</v>
      </c>
      <c r="J38" s="193">
        <v>19.8</v>
      </c>
      <c r="K38" s="194" t="s">
        <v>210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200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7"/>
      <c r="EB38" s="137"/>
      <c r="EC38" s="137"/>
      <c r="ED38" s="137"/>
      <c r="EE38" s="137"/>
      <c r="EF38" s="137"/>
      <c r="EG38" s="137"/>
      <c r="EH38" s="137"/>
      <c r="EI38" s="137"/>
      <c r="EJ38" s="137"/>
      <c r="EK38" s="137"/>
      <c r="EL38" s="137"/>
      <c r="EM38" s="137"/>
      <c r="EN38" s="137"/>
      <c r="EO38" s="137"/>
      <c r="EP38" s="137"/>
      <c r="EQ38" s="137"/>
      <c r="ER38" s="137"/>
      <c r="ES38" s="137"/>
      <c r="ET38" s="137"/>
      <c r="EU38" s="137"/>
      <c r="EV38" s="137"/>
      <c r="EW38" s="137"/>
      <c r="EX38" s="137"/>
      <c r="EY38" s="137"/>
      <c r="EZ38" s="137"/>
      <c r="FA38" s="137"/>
      <c r="FB38" s="137"/>
      <c r="FC38" s="137"/>
      <c r="FD38" s="137"/>
      <c r="FE38" s="137"/>
      <c r="FF38" s="137"/>
      <c r="FG38" s="137"/>
      <c r="FH38" s="137"/>
      <c r="FI38" s="137"/>
      <c r="FJ38" s="137"/>
      <c r="FK38" s="137"/>
      <c r="FL38" s="137"/>
      <c r="FM38" s="137"/>
      <c r="FN38" s="137"/>
      <c r="FO38" s="137"/>
      <c r="FP38" s="137"/>
      <c r="FQ38" s="137"/>
      <c r="FR38" s="137"/>
      <c r="FS38" s="137"/>
      <c r="FT38" s="137"/>
      <c r="FU38" s="137"/>
      <c r="FV38" s="137"/>
      <c r="FW38" s="137"/>
      <c r="FX38" s="137"/>
      <c r="FY38" s="137"/>
      <c r="FZ38" s="137"/>
      <c r="GA38" s="137"/>
      <c r="GB38" s="137"/>
      <c r="GC38" s="137"/>
      <c r="GD38" s="137"/>
      <c r="GE38" s="137"/>
      <c r="GF38" s="137"/>
      <c r="GG38" s="137"/>
      <c r="GH38" s="137"/>
      <c r="GI38" s="137"/>
      <c r="GJ38" s="137"/>
      <c r="GK38" s="137"/>
      <c r="GL38" s="137"/>
      <c r="GM38" s="137"/>
      <c r="GN38" s="137"/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7"/>
      <c r="HB38" s="137"/>
      <c r="HC38" s="137"/>
      <c r="HD38" s="137"/>
      <c r="HE38" s="137"/>
      <c r="HF38" s="137"/>
      <c r="HG38" s="137"/>
      <c r="HH38" s="137"/>
      <c r="HI38" s="137"/>
      <c r="HJ38" s="137"/>
      <c r="HK38" s="137"/>
      <c r="HL38" s="137"/>
      <c r="HM38" s="137"/>
      <c r="HN38" s="137"/>
      <c r="HO38" s="137"/>
      <c r="HP38" s="137"/>
      <c r="HQ38" s="137"/>
      <c r="HR38" s="137"/>
      <c r="HS38" s="137"/>
      <c r="HT38" s="137"/>
      <c r="HU38" s="137"/>
      <c r="HV38" s="137"/>
      <c r="HW38" s="137"/>
      <c r="HX38" s="137"/>
      <c r="HY38" s="137"/>
      <c r="HZ38" s="137"/>
      <c r="IA38" s="137"/>
      <c r="IB38" s="137"/>
      <c r="IC38" s="137"/>
      <c r="ID38" s="137"/>
      <c r="IE38" s="137"/>
      <c r="IF38" s="137"/>
      <c r="IG38" s="137"/>
      <c r="IH38" s="137"/>
      <c r="II38" s="137"/>
      <c r="IJ38" s="137"/>
      <c r="IK38" s="137"/>
      <c r="IL38" s="137"/>
      <c r="IM38" s="137"/>
      <c r="IN38" s="137"/>
      <c r="IO38" s="137"/>
      <c r="IP38" s="137"/>
      <c r="IQ38" s="137"/>
      <c r="IR38" s="137"/>
      <c r="IS38" s="137"/>
      <c r="IT38" s="137"/>
      <c r="IU38" s="137"/>
      <c r="IV38" s="137"/>
      <c r="IW38" s="137"/>
    </row>
    <row r="39" spans="1:257" ht="20.100000000000001" customHeight="1">
      <c r="A39" s="186">
        <v>28</v>
      </c>
      <c r="B39" s="221" t="s">
        <v>104</v>
      </c>
      <c r="C39" s="221" t="s">
        <v>150</v>
      </c>
      <c r="D39" s="208" t="s">
        <v>95</v>
      </c>
      <c r="E39" s="189">
        <f t="shared" si="7"/>
        <v>1</v>
      </c>
      <c r="F39" s="197"/>
      <c r="G39" s="191">
        <f t="shared" si="8"/>
        <v>1</v>
      </c>
      <c r="H39" s="198"/>
      <c r="I39" s="192">
        <f t="shared" ref="I39:I41" si="9">ROUND((J39),6)</f>
        <v>168</v>
      </c>
      <c r="J39" s="193">
        <v>168</v>
      </c>
      <c r="K39" s="194" t="s">
        <v>211</v>
      </c>
      <c r="L39" s="100"/>
      <c r="N39" s="100"/>
      <c r="P39" s="100"/>
      <c r="R39" s="100"/>
    </row>
    <row r="40" spans="1:257" ht="20.100000000000001" customHeight="1">
      <c r="A40" s="186">
        <v>29</v>
      </c>
      <c r="B40" s="221" t="s">
        <v>107</v>
      </c>
      <c r="C40" s="221" t="s">
        <v>151</v>
      </c>
      <c r="D40" s="208" t="s">
        <v>95</v>
      </c>
      <c r="E40" s="189">
        <f t="shared" si="7"/>
        <v>0.119048</v>
      </c>
      <c r="F40" s="197"/>
      <c r="G40" s="191">
        <f t="shared" si="8"/>
        <v>0.119048</v>
      </c>
      <c r="H40" s="235"/>
      <c r="I40" s="192">
        <f t="shared" si="9"/>
        <v>20</v>
      </c>
      <c r="J40" s="193">
        <v>20</v>
      </c>
      <c r="K40" s="194" t="s">
        <v>212</v>
      </c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01"/>
      <c r="BM40" s="210"/>
      <c r="BN40" s="210"/>
      <c r="BO40" s="210"/>
      <c r="BP40" s="210"/>
      <c r="BQ40" s="210"/>
      <c r="BR40" s="210"/>
      <c r="BS40" s="210"/>
      <c r="BT40" s="210"/>
      <c r="BU40" s="210"/>
      <c r="BV40" s="210"/>
      <c r="BW40" s="210"/>
      <c r="BX40" s="210"/>
      <c r="BY40" s="210"/>
      <c r="BZ40" s="210"/>
      <c r="CA40" s="210"/>
      <c r="CB40" s="210"/>
      <c r="CC40" s="210"/>
      <c r="CD40" s="210"/>
      <c r="CE40" s="210"/>
      <c r="CF40" s="210"/>
      <c r="CG40" s="210"/>
      <c r="CH40" s="210"/>
      <c r="CI40" s="210"/>
      <c r="CJ40" s="210"/>
      <c r="CK40" s="210"/>
      <c r="CL40" s="210"/>
      <c r="CM40" s="210"/>
      <c r="CN40" s="210"/>
      <c r="CO40" s="210"/>
      <c r="CP40" s="210"/>
      <c r="CQ40" s="210"/>
      <c r="CR40" s="210"/>
      <c r="CS40" s="210"/>
      <c r="CT40" s="210"/>
      <c r="CU40" s="210"/>
      <c r="CV40" s="210"/>
      <c r="CW40" s="210"/>
      <c r="CX40" s="210"/>
      <c r="CY40" s="210"/>
      <c r="CZ40" s="210"/>
      <c r="DA40" s="210"/>
      <c r="DB40" s="210"/>
      <c r="DC40" s="210"/>
      <c r="DD40" s="210"/>
      <c r="DE40" s="210"/>
      <c r="DF40" s="210"/>
      <c r="DG40" s="210"/>
      <c r="DH40" s="210"/>
      <c r="DI40" s="210"/>
      <c r="DJ40" s="210"/>
      <c r="DK40" s="210"/>
      <c r="DL40" s="210"/>
      <c r="DM40" s="210"/>
      <c r="DN40" s="210"/>
      <c r="DO40" s="210"/>
      <c r="DP40" s="210"/>
      <c r="DQ40" s="210"/>
      <c r="DR40" s="210"/>
      <c r="DS40" s="210"/>
      <c r="DT40" s="210"/>
      <c r="DU40" s="210"/>
      <c r="DV40" s="210"/>
      <c r="DW40" s="210"/>
      <c r="DX40" s="210"/>
      <c r="DY40" s="210"/>
      <c r="DZ40" s="210"/>
      <c r="EA40" s="210"/>
      <c r="EB40" s="210"/>
      <c r="EC40" s="210"/>
      <c r="ED40" s="210"/>
      <c r="EE40" s="210"/>
      <c r="EF40" s="210"/>
      <c r="EG40" s="210"/>
      <c r="EH40" s="210"/>
      <c r="EI40" s="210"/>
      <c r="EJ40" s="210"/>
      <c r="EK40" s="210"/>
      <c r="EL40" s="210"/>
      <c r="EM40" s="210"/>
      <c r="EN40" s="210"/>
      <c r="EO40" s="210"/>
      <c r="EP40" s="210"/>
      <c r="EQ40" s="210"/>
      <c r="ER40" s="210"/>
      <c r="ES40" s="210"/>
      <c r="ET40" s="210"/>
      <c r="EU40" s="210"/>
      <c r="EV40" s="210"/>
      <c r="EW40" s="210"/>
      <c r="EX40" s="210"/>
      <c r="EY40" s="210"/>
      <c r="EZ40" s="210"/>
      <c r="FA40" s="210"/>
      <c r="FB40" s="210"/>
      <c r="FC40" s="210"/>
      <c r="FD40" s="210"/>
      <c r="FE40" s="210"/>
      <c r="FF40" s="210"/>
      <c r="FG40" s="210"/>
      <c r="FH40" s="210"/>
      <c r="FI40" s="210"/>
      <c r="FJ40" s="210"/>
      <c r="FK40" s="210"/>
      <c r="FL40" s="210"/>
      <c r="FM40" s="210"/>
      <c r="FN40" s="210"/>
      <c r="FO40" s="210"/>
      <c r="FP40" s="210"/>
      <c r="FQ40" s="210"/>
      <c r="FR40" s="210"/>
      <c r="FS40" s="210"/>
      <c r="FT40" s="210"/>
      <c r="FU40" s="210"/>
      <c r="FV40" s="210"/>
      <c r="FW40" s="210"/>
      <c r="FX40" s="210"/>
      <c r="FY40" s="210"/>
      <c r="FZ40" s="210"/>
      <c r="GA40" s="210"/>
      <c r="GB40" s="210"/>
      <c r="GC40" s="210"/>
      <c r="GD40" s="210"/>
      <c r="GE40" s="210"/>
      <c r="GF40" s="210"/>
      <c r="GG40" s="210"/>
      <c r="GH40" s="210"/>
      <c r="GI40" s="210"/>
      <c r="GJ40" s="210"/>
      <c r="GK40" s="210"/>
      <c r="GL40" s="210"/>
      <c r="GM40" s="210"/>
      <c r="GN40" s="210"/>
      <c r="GO40" s="210"/>
      <c r="GP40" s="210"/>
      <c r="GQ40" s="210"/>
      <c r="GR40" s="210"/>
      <c r="GS40" s="210"/>
      <c r="GT40" s="210"/>
      <c r="GU40" s="210"/>
      <c r="GV40" s="210"/>
      <c r="GW40" s="210"/>
      <c r="GX40" s="210"/>
      <c r="GY40" s="210"/>
      <c r="GZ40" s="210"/>
      <c r="HA40" s="210"/>
      <c r="HB40" s="210"/>
      <c r="HC40" s="210"/>
      <c r="HD40" s="210"/>
      <c r="HE40" s="210"/>
      <c r="HF40" s="210"/>
      <c r="HG40" s="210"/>
      <c r="HH40" s="210"/>
      <c r="HI40" s="210"/>
      <c r="HJ40" s="210"/>
      <c r="HK40" s="210"/>
      <c r="HL40" s="210"/>
      <c r="HM40" s="210"/>
      <c r="HN40" s="210"/>
      <c r="HO40" s="210"/>
      <c r="HP40" s="210"/>
      <c r="HQ40" s="210"/>
      <c r="HR40" s="210"/>
      <c r="HS40" s="210"/>
      <c r="HT40" s="210"/>
      <c r="HU40" s="210"/>
      <c r="HV40" s="210"/>
      <c r="HW40" s="210"/>
      <c r="HX40" s="210"/>
      <c r="HY40" s="210"/>
      <c r="HZ40" s="210"/>
      <c r="IA40" s="210"/>
      <c r="IB40" s="210"/>
      <c r="IC40" s="210"/>
      <c r="ID40" s="210"/>
      <c r="IE40" s="210"/>
      <c r="IF40" s="210"/>
      <c r="IG40" s="210"/>
      <c r="IH40" s="210"/>
      <c r="II40" s="210"/>
      <c r="IJ40" s="210"/>
      <c r="IK40" s="210"/>
      <c r="IL40" s="210"/>
      <c r="IM40" s="210"/>
      <c r="IN40" s="210"/>
      <c r="IO40" s="210"/>
      <c r="IP40" s="210"/>
      <c r="IQ40" s="210"/>
      <c r="IR40" s="210"/>
      <c r="IS40" s="210"/>
      <c r="IT40" s="210"/>
      <c r="IU40" s="210"/>
      <c r="IV40" s="210"/>
      <c r="IW40" s="210"/>
    </row>
    <row r="41" spans="1:257" s="196" customFormat="1" ht="18" customHeight="1">
      <c r="A41" s="186">
        <v>30</v>
      </c>
      <c r="B41" s="236" t="s">
        <v>109</v>
      </c>
      <c r="C41" s="236" t="s">
        <v>152</v>
      </c>
      <c r="D41" s="236" t="s">
        <v>108</v>
      </c>
      <c r="E41" s="189">
        <f t="shared" si="7"/>
        <v>1</v>
      </c>
      <c r="F41" s="197"/>
      <c r="G41" s="191">
        <f t="shared" si="8"/>
        <v>1</v>
      </c>
      <c r="H41" s="237"/>
      <c r="I41" s="192">
        <f t="shared" si="9"/>
        <v>168</v>
      </c>
      <c r="J41" s="193">
        <v>168</v>
      </c>
      <c r="K41" s="194" t="s">
        <v>213</v>
      </c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  <c r="BI41" s="223"/>
      <c r="BJ41" s="223"/>
      <c r="BK41" s="223"/>
      <c r="BL41" s="202"/>
      <c r="BM41" s="223"/>
      <c r="BN41" s="223"/>
      <c r="BO41" s="223"/>
      <c r="BP41" s="223"/>
      <c r="BQ41" s="223"/>
      <c r="BR41" s="223"/>
      <c r="BS41" s="223"/>
      <c r="BT41" s="223"/>
      <c r="BU41" s="223"/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23"/>
      <c r="CI41" s="223"/>
      <c r="CJ41" s="223"/>
      <c r="CK41" s="223"/>
      <c r="CL41" s="223"/>
      <c r="CM41" s="223"/>
      <c r="CN41" s="223"/>
      <c r="CO41" s="223"/>
      <c r="CP41" s="223"/>
      <c r="CQ41" s="223"/>
      <c r="CR41" s="223"/>
      <c r="CS41" s="223"/>
      <c r="CT41" s="223"/>
      <c r="CU41" s="223"/>
      <c r="CV41" s="223"/>
      <c r="CW41" s="223"/>
      <c r="CX41" s="223"/>
      <c r="CY41" s="223"/>
      <c r="CZ41" s="223"/>
      <c r="DA41" s="223"/>
      <c r="DB41" s="223"/>
      <c r="DC41" s="223"/>
      <c r="DD41" s="223"/>
      <c r="DE41" s="223"/>
      <c r="DF41" s="223"/>
      <c r="DG41" s="223"/>
      <c r="DH41" s="223"/>
      <c r="DI41" s="223"/>
      <c r="DJ41" s="223"/>
      <c r="DK41" s="223"/>
      <c r="DL41" s="223"/>
      <c r="DM41" s="223"/>
      <c r="DN41" s="223"/>
      <c r="DO41" s="223"/>
      <c r="DP41" s="223"/>
      <c r="DQ41" s="223"/>
      <c r="DR41" s="223"/>
      <c r="DS41" s="223"/>
      <c r="DT41" s="223"/>
      <c r="DU41" s="223"/>
      <c r="DV41" s="223"/>
      <c r="DW41" s="223"/>
      <c r="DX41" s="223"/>
      <c r="DY41" s="223"/>
      <c r="DZ41" s="223"/>
      <c r="EA41" s="223"/>
      <c r="EB41" s="223"/>
      <c r="EC41" s="223"/>
      <c r="ED41" s="223"/>
      <c r="EE41" s="223"/>
      <c r="EF41" s="223"/>
      <c r="EG41" s="223"/>
      <c r="EH41" s="223"/>
      <c r="EI41" s="223"/>
      <c r="EJ41" s="223"/>
      <c r="EK41" s="223"/>
      <c r="EL41" s="223"/>
      <c r="EM41" s="223"/>
      <c r="EN41" s="223"/>
      <c r="EO41" s="223"/>
      <c r="EP41" s="223"/>
      <c r="EQ41" s="223"/>
      <c r="ER41" s="223"/>
      <c r="ES41" s="223"/>
      <c r="ET41" s="223"/>
      <c r="EU41" s="223"/>
      <c r="EV41" s="223"/>
      <c r="EW41" s="223"/>
      <c r="EX41" s="223"/>
      <c r="EY41" s="223"/>
      <c r="EZ41" s="223"/>
      <c r="FA41" s="223"/>
      <c r="FB41" s="223"/>
      <c r="FC41" s="223"/>
      <c r="FD41" s="223"/>
      <c r="FE41" s="223"/>
      <c r="FF41" s="223"/>
      <c r="FG41" s="223"/>
      <c r="FH41" s="223"/>
      <c r="FI41" s="223"/>
      <c r="FJ41" s="223"/>
      <c r="FK41" s="223"/>
      <c r="FL41" s="223"/>
      <c r="FM41" s="223"/>
      <c r="FN41" s="223"/>
      <c r="FO41" s="223"/>
      <c r="FP41" s="223"/>
      <c r="FQ41" s="223"/>
      <c r="FR41" s="223"/>
      <c r="FS41" s="223"/>
      <c r="FT41" s="223"/>
      <c r="FU41" s="223"/>
      <c r="FV41" s="223"/>
      <c r="FW41" s="223"/>
      <c r="FX41" s="223"/>
      <c r="FY41" s="223"/>
      <c r="FZ41" s="223"/>
      <c r="GA41" s="223"/>
      <c r="GB41" s="223"/>
      <c r="GC41" s="223"/>
      <c r="GD41" s="223"/>
      <c r="GE41" s="223"/>
      <c r="GF41" s="223"/>
      <c r="GG41" s="223"/>
      <c r="GH41" s="223"/>
      <c r="GI41" s="223"/>
      <c r="GJ41" s="223"/>
      <c r="GK41" s="223"/>
      <c r="GL41" s="223"/>
      <c r="GM41" s="223"/>
      <c r="GN41" s="223"/>
      <c r="GO41" s="223"/>
      <c r="GP41" s="223"/>
      <c r="GQ41" s="223"/>
      <c r="GR41" s="223"/>
      <c r="GS41" s="223"/>
      <c r="GT41" s="223"/>
      <c r="GU41" s="223"/>
      <c r="GV41" s="223"/>
      <c r="GW41" s="223"/>
      <c r="GX41" s="223"/>
      <c r="GY41" s="223"/>
      <c r="GZ41" s="223"/>
      <c r="HA41" s="223"/>
      <c r="HB41" s="223"/>
      <c r="HC41" s="223"/>
      <c r="HD41" s="223"/>
      <c r="HE41" s="223"/>
      <c r="HF41" s="223"/>
      <c r="HG41" s="223"/>
      <c r="HH41" s="223"/>
      <c r="HI41" s="223"/>
      <c r="HJ41" s="223"/>
      <c r="HK41" s="223"/>
      <c r="HL41" s="223"/>
      <c r="HM41" s="223"/>
      <c r="HN41" s="223"/>
      <c r="HO41" s="223"/>
      <c r="HP41" s="223"/>
      <c r="HQ41" s="223"/>
      <c r="HR41" s="223"/>
      <c r="HS41" s="223"/>
      <c r="HT41" s="223"/>
      <c r="HU41" s="223"/>
      <c r="HV41" s="223"/>
      <c r="HW41" s="223"/>
      <c r="HX41" s="223"/>
      <c r="HY41" s="223"/>
      <c r="HZ41" s="223"/>
      <c r="IA41" s="223"/>
      <c r="IB41" s="223"/>
      <c r="IC41" s="223"/>
      <c r="ID41" s="223"/>
      <c r="IE41" s="223"/>
      <c r="IF41" s="223"/>
      <c r="IG41" s="223"/>
      <c r="IH41" s="223"/>
      <c r="II41" s="223"/>
      <c r="IJ41" s="223"/>
      <c r="IK41" s="223"/>
      <c r="IL41" s="223"/>
      <c r="IM41" s="223"/>
      <c r="IN41" s="223"/>
      <c r="IO41" s="223"/>
      <c r="IP41" s="223"/>
      <c r="IQ41" s="223"/>
      <c r="IR41" s="223"/>
      <c r="IS41" s="223"/>
      <c r="IT41" s="223"/>
      <c r="IU41" s="223"/>
      <c r="IV41" s="223"/>
      <c r="IW41" s="223"/>
    </row>
    <row r="42" spans="1:257" s="137" customFormat="1" ht="20.100000000000001" customHeight="1">
      <c r="A42" s="186">
        <v>31</v>
      </c>
      <c r="B42" s="221" t="s">
        <v>122</v>
      </c>
      <c r="C42" s="221" t="s">
        <v>153</v>
      </c>
      <c r="D42" s="208" t="s">
        <v>115</v>
      </c>
      <c r="E42" s="189">
        <f t="shared" ref="E42:E46" si="10">G42</f>
        <v>2.6189999999999998E-3</v>
      </c>
      <c r="F42" s="197"/>
      <c r="G42" s="191">
        <f t="shared" ref="G42:G46" si="11">ROUND(I42/$G$9,6)</f>
        <v>2.6189999999999998E-3</v>
      </c>
      <c r="H42" s="198"/>
      <c r="I42" s="192">
        <f t="shared" ref="I42:I45" si="12">ROUND((J42),6)</f>
        <v>0.44</v>
      </c>
      <c r="J42" s="193">
        <v>0.44000000000000006</v>
      </c>
      <c r="K42" s="194" t="s">
        <v>214</v>
      </c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</row>
    <row r="43" spans="1:257" ht="20.25" customHeight="1">
      <c r="A43" s="186">
        <v>32</v>
      </c>
      <c r="B43" s="221" t="s">
        <v>134</v>
      </c>
      <c r="C43" s="221" t="s">
        <v>154</v>
      </c>
      <c r="D43" s="208" t="s">
        <v>115</v>
      </c>
      <c r="E43" s="189">
        <f t="shared" si="10"/>
        <v>4.7600000000000002E-4</v>
      </c>
      <c r="F43" s="197"/>
      <c r="G43" s="191">
        <f t="shared" si="11"/>
        <v>4.7600000000000002E-4</v>
      </c>
      <c r="H43" s="198"/>
      <c r="I43" s="192">
        <f t="shared" si="12"/>
        <v>0.08</v>
      </c>
      <c r="J43" s="193">
        <v>0.08</v>
      </c>
      <c r="K43" s="194" t="s">
        <v>215</v>
      </c>
      <c r="L43" s="100"/>
      <c r="N43" s="100"/>
      <c r="P43" s="100"/>
      <c r="R43" s="100"/>
    </row>
    <row r="44" spans="1:257" s="223" customFormat="1" ht="20.100000000000001" customHeight="1">
      <c r="A44" s="186">
        <v>33</v>
      </c>
      <c r="B44" s="221" t="s">
        <v>136</v>
      </c>
      <c r="C44" s="221" t="s">
        <v>155</v>
      </c>
      <c r="D44" s="208" t="s">
        <v>115</v>
      </c>
      <c r="E44" s="189">
        <f t="shared" si="10"/>
        <v>1.0714E-2</v>
      </c>
      <c r="F44" s="197"/>
      <c r="G44" s="191">
        <f t="shared" si="11"/>
        <v>1.0714E-2</v>
      </c>
      <c r="H44" s="198"/>
      <c r="I44" s="192">
        <f t="shared" si="12"/>
        <v>1.8</v>
      </c>
      <c r="J44" s="193">
        <v>1.8</v>
      </c>
      <c r="K44" s="194" t="s">
        <v>216</v>
      </c>
      <c r="AM44" s="100"/>
      <c r="AN44" s="229"/>
      <c r="AO44" s="202"/>
      <c r="AP44" s="202"/>
    </row>
    <row r="45" spans="1:257" s="223" customFormat="1" ht="20.100000000000001" customHeight="1">
      <c r="A45" s="186">
        <v>34</v>
      </c>
      <c r="B45" s="221" t="s">
        <v>137</v>
      </c>
      <c r="C45" s="221" t="s">
        <v>156</v>
      </c>
      <c r="D45" s="208" t="s">
        <v>115</v>
      </c>
      <c r="E45" s="189">
        <f t="shared" si="10"/>
        <v>4.1071000000000003E-2</v>
      </c>
      <c r="F45" s="197"/>
      <c r="G45" s="191">
        <f t="shared" si="11"/>
        <v>4.1071000000000003E-2</v>
      </c>
      <c r="H45" s="198"/>
      <c r="I45" s="192">
        <f t="shared" si="12"/>
        <v>6.9</v>
      </c>
      <c r="J45" s="193">
        <v>6.9</v>
      </c>
      <c r="K45" s="194" t="s">
        <v>217</v>
      </c>
      <c r="AM45" s="100"/>
      <c r="AN45" s="229"/>
      <c r="AO45" s="202"/>
      <c r="AP45" s="202"/>
    </row>
    <row r="46" spans="1:257" s="194" customFormat="1" ht="18" customHeight="1">
      <c r="A46" s="186">
        <v>35</v>
      </c>
      <c r="B46" s="238" t="s">
        <v>158</v>
      </c>
      <c r="C46" s="239" t="s">
        <v>159</v>
      </c>
      <c r="D46" s="239" t="s">
        <v>81</v>
      </c>
      <c r="E46" s="189">
        <f t="shared" si="10"/>
        <v>4.8053999999999999E-2</v>
      </c>
      <c r="F46" s="240" t="s">
        <v>157</v>
      </c>
      <c r="G46" s="191">
        <f t="shared" si="11"/>
        <v>4.8053999999999999E-2</v>
      </c>
      <c r="H46" s="204" t="s">
        <v>82</v>
      </c>
      <c r="I46" s="205">
        <f>ROUND((J46*44*0.0278),6)</f>
        <v>8.0731199999999994</v>
      </c>
      <c r="J46" s="193">
        <v>6.6</v>
      </c>
      <c r="K46" s="194" t="s">
        <v>218</v>
      </c>
      <c r="L46" s="210"/>
      <c r="M46" s="137"/>
      <c r="N46" s="210"/>
      <c r="O46" s="137"/>
      <c r="P46" s="210"/>
      <c r="Q46" s="137"/>
      <c r="R46" s="210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200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7"/>
      <c r="EB46" s="137"/>
      <c r="EC46" s="137"/>
      <c r="ED46" s="137"/>
      <c r="EE46" s="137"/>
      <c r="EF46" s="137"/>
      <c r="EG46" s="137"/>
      <c r="EH46" s="137"/>
      <c r="EI46" s="137"/>
      <c r="EJ46" s="137"/>
      <c r="EK46" s="137"/>
      <c r="EL46" s="137"/>
      <c r="EM46" s="137"/>
      <c r="EN46" s="137"/>
      <c r="EO46" s="137"/>
      <c r="EP46" s="137"/>
      <c r="EQ46" s="137"/>
      <c r="ER46" s="137"/>
      <c r="ES46" s="137"/>
      <c r="ET46" s="137"/>
      <c r="EU46" s="137"/>
      <c r="EV46" s="137"/>
      <c r="EW46" s="137"/>
      <c r="EX46" s="137"/>
      <c r="EY46" s="137"/>
      <c r="EZ46" s="137"/>
      <c r="FA46" s="137"/>
      <c r="FB46" s="137"/>
      <c r="FC46" s="137"/>
      <c r="FD46" s="137"/>
      <c r="FE46" s="137"/>
      <c r="FF46" s="137"/>
      <c r="FG46" s="137"/>
      <c r="FH46" s="137"/>
      <c r="FI46" s="137"/>
      <c r="FJ46" s="137"/>
      <c r="FK46" s="137"/>
      <c r="FL46" s="137"/>
      <c r="FM46" s="137"/>
      <c r="FN46" s="137"/>
      <c r="FO46" s="137"/>
      <c r="FP46" s="137"/>
      <c r="FQ46" s="137"/>
      <c r="FR46" s="137"/>
      <c r="FS46" s="137"/>
      <c r="FT46" s="137"/>
      <c r="FU46" s="137"/>
      <c r="FV46" s="137"/>
      <c r="FW46" s="137"/>
      <c r="FX46" s="137"/>
      <c r="FY46" s="137"/>
      <c r="FZ46" s="137"/>
      <c r="GA46" s="137"/>
      <c r="GB46" s="137"/>
      <c r="GC46" s="137"/>
      <c r="GD46" s="137"/>
      <c r="GE46" s="137"/>
      <c r="GF46" s="137"/>
      <c r="GG46" s="137"/>
      <c r="GH46" s="137"/>
      <c r="GI46" s="137"/>
      <c r="GJ46" s="137"/>
      <c r="GK46" s="137"/>
      <c r="GL46" s="137"/>
      <c r="GM46" s="137"/>
      <c r="GN46" s="137"/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7"/>
      <c r="HB46" s="137"/>
      <c r="HC46" s="137"/>
      <c r="HD46" s="137"/>
      <c r="HE46" s="137"/>
      <c r="HF46" s="137"/>
      <c r="HG46" s="137"/>
      <c r="HH46" s="137"/>
      <c r="HI46" s="137"/>
      <c r="HJ46" s="137"/>
      <c r="HK46" s="137"/>
      <c r="HL46" s="137"/>
      <c r="HM46" s="137"/>
      <c r="HN46" s="137"/>
      <c r="HO46" s="137"/>
      <c r="HP46" s="137"/>
      <c r="HQ46" s="137"/>
      <c r="HR46" s="137"/>
      <c r="HS46" s="137"/>
      <c r="HT46" s="137"/>
      <c r="HU46" s="137"/>
      <c r="HV46" s="137"/>
      <c r="HW46" s="137"/>
      <c r="HX46" s="137"/>
      <c r="HY46" s="137"/>
      <c r="HZ46" s="137"/>
      <c r="IA46" s="137"/>
      <c r="IB46" s="137"/>
      <c r="IC46" s="137"/>
      <c r="ID46" s="137"/>
      <c r="IE46" s="137"/>
      <c r="IF46" s="137"/>
      <c r="IG46" s="137"/>
      <c r="IH46" s="137"/>
      <c r="II46" s="137"/>
      <c r="IJ46" s="137"/>
      <c r="IK46" s="137"/>
      <c r="IL46" s="137"/>
      <c r="IM46" s="137"/>
      <c r="IN46" s="137"/>
      <c r="IO46" s="137"/>
      <c r="IP46" s="137"/>
      <c r="IQ46" s="137"/>
      <c r="IR46" s="137"/>
      <c r="IS46" s="137"/>
      <c r="IT46" s="137"/>
    </row>
    <row r="47" spans="1:257" s="194" customFormat="1" ht="18" customHeight="1">
      <c r="A47" s="186">
        <v>36</v>
      </c>
      <c r="B47" s="238" t="s">
        <v>160</v>
      </c>
      <c r="C47" s="239" t="s">
        <v>161</v>
      </c>
      <c r="D47" s="239" t="s">
        <v>81</v>
      </c>
      <c r="E47" s="189">
        <f t="shared" ref="E47:E52" si="13">G47</f>
        <v>0.21915699999999999</v>
      </c>
      <c r="F47" s="240" t="s">
        <v>157</v>
      </c>
      <c r="G47" s="191">
        <f t="shared" ref="G47:G52" si="14">ROUND(I47/$G$9,6)</f>
        <v>0.21915699999999999</v>
      </c>
      <c r="H47" s="204" t="s">
        <v>82</v>
      </c>
      <c r="I47" s="205">
        <f>ROUND((J47*44*0.0278),6)</f>
        <v>36.81832</v>
      </c>
      <c r="J47" s="193">
        <v>30.1</v>
      </c>
      <c r="K47" s="194" t="s">
        <v>219</v>
      </c>
      <c r="L47" s="210"/>
      <c r="M47" s="137"/>
      <c r="N47" s="210"/>
      <c r="O47" s="137"/>
      <c r="P47" s="210"/>
      <c r="Q47" s="137"/>
      <c r="R47" s="210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200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7"/>
      <c r="EB47" s="137"/>
      <c r="EC47" s="137"/>
      <c r="ED47" s="137"/>
      <c r="EE47" s="137"/>
      <c r="EF47" s="137"/>
      <c r="EG47" s="137"/>
      <c r="EH47" s="137"/>
      <c r="EI47" s="137"/>
      <c r="EJ47" s="137"/>
      <c r="EK47" s="137"/>
      <c r="EL47" s="137"/>
      <c r="EM47" s="137"/>
      <c r="EN47" s="137"/>
      <c r="EO47" s="137"/>
      <c r="EP47" s="137"/>
      <c r="EQ47" s="137"/>
      <c r="ER47" s="137"/>
      <c r="ES47" s="137"/>
      <c r="ET47" s="137"/>
      <c r="EU47" s="137"/>
      <c r="EV47" s="137"/>
      <c r="EW47" s="137"/>
      <c r="EX47" s="137"/>
      <c r="EY47" s="137"/>
      <c r="EZ47" s="137"/>
      <c r="FA47" s="137"/>
      <c r="FB47" s="137"/>
      <c r="FC47" s="137"/>
      <c r="FD47" s="137"/>
      <c r="FE47" s="137"/>
      <c r="FF47" s="137"/>
      <c r="FG47" s="137"/>
      <c r="FH47" s="137"/>
      <c r="FI47" s="137"/>
      <c r="FJ47" s="137"/>
      <c r="FK47" s="137"/>
      <c r="FL47" s="137"/>
      <c r="FM47" s="137"/>
      <c r="FN47" s="137"/>
      <c r="FO47" s="137"/>
      <c r="FP47" s="137"/>
      <c r="FQ47" s="137"/>
      <c r="FR47" s="137"/>
      <c r="FS47" s="137"/>
      <c r="FT47" s="137"/>
      <c r="FU47" s="137"/>
      <c r="FV47" s="137"/>
      <c r="FW47" s="137"/>
      <c r="FX47" s="137"/>
      <c r="FY47" s="137"/>
      <c r="FZ47" s="137"/>
      <c r="GA47" s="137"/>
      <c r="GB47" s="137"/>
      <c r="GC47" s="137"/>
      <c r="GD47" s="137"/>
      <c r="GE47" s="137"/>
      <c r="GF47" s="137"/>
      <c r="GG47" s="137"/>
      <c r="GH47" s="137"/>
      <c r="GI47" s="137"/>
      <c r="GJ47" s="137"/>
      <c r="GK47" s="137"/>
      <c r="GL47" s="137"/>
      <c r="GM47" s="137"/>
      <c r="GN47" s="137"/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7"/>
      <c r="HB47" s="137"/>
      <c r="HC47" s="137"/>
      <c r="HD47" s="137"/>
      <c r="HE47" s="137"/>
      <c r="HF47" s="137"/>
      <c r="HG47" s="137"/>
      <c r="HH47" s="137"/>
      <c r="HI47" s="137"/>
      <c r="HJ47" s="137"/>
      <c r="HK47" s="137"/>
      <c r="HL47" s="137"/>
      <c r="HM47" s="137"/>
      <c r="HN47" s="137"/>
      <c r="HO47" s="137"/>
      <c r="HP47" s="137"/>
      <c r="HQ47" s="137"/>
      <c r="HR47" s="137"/>
      <c r="HS47" s="137"/>
      <c r="HT47" s="137"/>
      <c r="HU47" s="137"/>
      <c r="HV47" s="137"/>
      <c r="HW47" s="137"/>
      <c r="HX47" s="137"/>
      <c r="HY47" s="137"/>
      <c r="HZ47" s="137"/>
      <c r="IA47" s="137"/>
      <c r="IB47" s="137"/>
      <c r="IC47" s="137"/>
      <c r="ID47" s="137"/>
      <c r="IE47" s="137"/>
      <c r="IF47" s="137"/>
      <c r="IG47" s="137"/>
      <c r="IH47" s="137"/>
      <c r="II47" s="137"/>
      <c r="IJ47" s="137"/>
      <c r="IK47" s="137"/>
      <c r="IL47" s="137"/>
      <c r="IM47" s="137"/>
      <c r="IN47" s="137"/>
      <c r="IO47" s="137"/>
      <c r="IP47" s="137"/>
      <c r="IQ47" s="137"/>
      <c r="IR47" s="137"/>
      <c r="IS47" s="137"/>
      <c r="IT47" s="137"/>
    </row>
    <row r="48" spans="1:257" ht="20.100000000000001" customHeight="1">
      <c r="A48" s="186">
        <v>37</v>
      </c>
      <c r="B48" s="238" t="s">
        <v>162</v>
      </c>
      <c r="C48" s="239" t="s">
        <v>163</v>
      </c>
      <c r="D48" s="239" t="s">
        <v>95</v>
      </c>
      <c r="E48" s="189">
        <f t="shared" si="13"/>
        <v>1.119048</v>
      </c>
      <c r="F48" s="240" t="s">
        <v>157</v>
      </c>
      <c r="G48" s="191">
        <f t="shared" si="14"/>
        <v>1.119048</v>
      </c>
      <c r="H48" s="204" t="s">
        <v>82</v>
      </c>
      <c r="I48" s="205">
        <f t="shared" ref="I48" si="15">ROUND((J48),6)</f>
        <v>188</v>
      </c>
      <c r="J48" s="193">
        <v>188</v>
      </c>
      <c r="K48" s="194" t="s">
        <v>220</v>
      </c>
      <c r="L48" s="210"/>
      <c r="M48" s="137"/>
      <c r="N48" s="210"/>
      <c r="O48" s="137"/>
      <c r="P48" s="210"/>
      <c r="Q48" s="137"/>
      <c r="R48" s="210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200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7"/>
      <c r="EB48" s="137"/>
      <c r="EC48" s="137"/>
      <c r="ED48" s="137"/>
      <c r="EE48" s="137"/>
      <c r="EF48" s="137"/>
      <c r="EG48" s="137"/>
      <c r="EH48" s="137"/>
      <c r="EI48" s="137"/>
      <c r="EJ48" s="137"/>
      <c r="EK48" s="137"/>
      <c r="EL48" s="137"/>
      <c r="EM48" s="137"/>
      <c r="EN48" s="137"/>
      <c r="EO48" s="137"/>
      <c r="EP48" s="137"/>
      <c r="EQ48" s="137"/>
      <c r="ER48" s="137"/>
      <c r="ES48" s="137"/>
      <c r="ET48" s="137"/>
      <c r="EU48" s="137"/>
      <c r="EV48" s="137"/>
      <c r="EW48" s="137"/>
      <c r="EX48" s="137"/>
      <c r="EY48" s="137"/>
      <c r="EZ48" s="137"/>
      <c r="FA48" s="137"/>
      <c r="FB48" s="137"/>
      <c r="FC48" s="137"/>
      <c r="FD48" s="137"/>
      <c r="FE48" s="137"/>
      <c r="FF48" s="137"/>
      <c r="FG48" s="137"/>
      <c r="FH48" s="137"/>
      <c r="FI48" s="137"/>
      <c r="FJ48" s="137"/>
      <c r="FK48" s="137"/>
      <c r="FL48" s="137"/>
      <c r="FM48" s="137"/>
      <c r="FN48" s="137"/>
      <c r="FO48" s="137"/>
      <c r="FP48" s="137"/>
      <c r="FQ48" s="137"/>
      <c r="FR48" s="137"/>
      <c r="FS48" s="137"/>
      <c r="FT48" s="137"/>
      <c r="FU48" s="137"/>
      <c r="FV48" s="137"/>
      <c r="FW48" s="137"/>
      <c r="FX48" s="137"/>
      <c r="FY48" s="137"/>
      <c r="FZ48" s="137"/>
      <c r="GA48" s="137"/>
      <c r="GB48" s="137"/>
      <c r="GC48" s="137"/>
      <c r="GD48" s="137"/>
      <c r="GE48" s="137"/>
      <c r="GF48" s="137"/>
      <c r="GG48" s="137"/>
      <c r="GH48" s="137"/>
      <c r="GI48" s="137"/>
      <c r="GJ48" s="137"/>
      <c r="GK48" s="137"/>
      <c r="GL48" s="137"/>
      <c r="GM48" s="137"/>
      <c r="GN48" s="137"/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7"/>
      <c r="HB48" s="137"/>
      <c r="HC48" s="137"/>
      <c r="HD48" s="137"/>
      <c r="HE48" s="137"/>
      <c r="HF48" s="137"/>
      <c r="HG48" s="137"/>
      <c r="HH48" s="137"/>
      <c r="HI48" s="137"/>
      <c r="HJ48" s="137"/>
      <c r="HK48" s="137"/>
      <c r="HL48" s="137"/>
      <c r="HM48" s="137"/>
      <c r="HN48" s="137"/>
      <c r="HO48" s="137"/>
      <c r="HP48" s="137"/>
      <c r="HQ48" s="137"/>
      <c r="HR48" s="137"/>
      <c r="HS48" s="137"/>
      <c r="HT48" s="137"/>
      <c r="HU48" s="137"/>
      <c r="HV48" s="137"/>
      <c r="HW48" s="137"/>
      <c r="HX48" s="137"/>
      <c r="HY48" s="137"/>
      <c r="HZ48" s="137"/>
      <c r="IA48" s="137"/>
      <c r="IB48" s="137"/>
      <c r="IC48" s="137"/>
      <c r="ID48" s="137"/>
      <c r="IE48" s="137"/>
      <c r="IF48" s="137"/>
      <c r="IG48" s="137"/>
      <c r="IH48" s="137"/>
      <c r="II48" s="137"/>
      <c r="IJ48" s="137"/>
      <c r="IK48" s="137"/>
      <c r="IL48" s="137"/>
      <c r="IM48" s="137"/>
      <c r="IN48" s="137"/>
      <c r="IO48" s="137"/>
      <c r="IP48" s="137"/>
      <c r="IQ48" s="137"/>
      <c r="IR48" s="137"/>
      <c r="IS48" s="137"/>
      <c r="IT48" s="137"/>
    </row>
    <row r="49" spans="1:254" s="194" customFormat="1" ht="21" customHeight="1">
      <c r="A49" s="186">
        <v>38</v>
      </c>
      <c r="B49" s="238" t="s">
        <v>164</v>
      </c>
      <c r="C49" s="239" t="s">
        <v>165</v>
      </c>
      <c r="D49" s="239" t="s">
        <v>112</v>
      </c>
      <c r="E49" s="189">
        <f t="shared" si="13"/>
        <v>2.9762E-2</v>
      </c>
      <c r="F49" s="240" t="s">
        <v>157</v>
      </c>
      <c r="G49" s="191">
        <f t="shared" si="14"/>
        <v>2.9762E-2</v>
      </c>
      <c r="H49" s="198"/>
      <c r="I49" s="192">
        <f t="shared" ref="I49:I58" si="16">ROUND((J49),6)</f>
        <v>5</v>
      </c>
      <c r="J49" s="193">
        <v>5</v>
      </c>
      <c r="K49" s="194" t="s">
        <v>221</v>
      </c>
      <c r="L49" s="210"/>
      <c r="M49" s="137"/>
      <c r="N49" s="210"/>
      <c r="O49" s="137"/>
      <c r="P49" s="210"/>
      <c r="Q49" s="137"/>
      <c r="R49" s="210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200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7"/>
      <c r="EB49" s="137"/>
      <c r="EC49" s="137"/>
      <c r="ED49" s="137"/>
      <c r="EE49" s="137"/>
      <c r="EF49" s="137"/>
      <c r="EG49" s="137"/>
      <c r="EH49" s="137"/>
      <c r="EI49" s="137"/>
      <c r="EJ49" s="137"/>
      <c r="EK49" s="137"/>
      <c r="EL49" s="137"/>
      <c r="EM49" s="137"/>
      <c r="EN49" s="137"/>
      <c r="EO49" s="137"/>
      <c r="EP49" s="137"/>
      <c r="EQ49" s="137"/>
      <c r="ER49" s="137"/>
      <c r="ES49" s="137"/>
      <c r="ET49" s="137"/>
      <c r="EU49" s="137"/>
      <c r="EV49" s="137"/>
      <c r="EW49" s="137"/>
      <c r="EX49" s="137"/>
      <c r="EY49" s="137"/>
      <c r="EZ49" s="137"/>
      <c r="FA49" s="137"/>
      <c r="FB49" s="137"/>
      <c r="FC49" s="137"/>
      <c r="FD49" s="137"/>
      <c r="FE49" s="137"/>
      <c r="FF49" s="137"/>
      <c r="FG49" s="137"/>
      <c r="FH49" s="137"/>
      <c r="FI49" s="137"/>
      <c r="FJ49" s="137"/>
      <c r="FK49" s="137"/>
      <c r="FL49" s="137"/>
      <c r="FM49" s="137"/>
      <c r="FN49" s="137"/>
      <c r="FO49" s="137"/>
      <c r="FP49" s="137"/>
      <c r="FQ49" s="137"/>
      <c r="FR49" s="137"/>
      <c r="FS49" s="137"/>
      <c r="FT49" s="137"/>
      <c r="FU49" s="137"/>
      <c r="FV49" s="137"/>
      <c r="FW49" s="137"/>
      <c r="FX49" s="137"/>
      <c r="FY49" s="137"/>
      <c r="FZ49" s="137"/>
      <c r="GA49" s="137"/>
      <c r="GB49" s="137"/>
      <c r="GC49" s="137"/>
      <c r="GD49" s="137"/>
      <c r="GE49" s="137"/>
      <c r="GF49" s="137"/>
      <c r="GG49" s="137"/>
      <c r="GH49" s="137"/>
      <c r="GI49" s="137"/>
      <c r="GJ49" s="137"/>
      <c r="GK49" s="137"/>
      <c r="GL49" s="137"/>
      <c r="GM49" s="137"/>
      <c r="GN49" s="137"/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7"/>
      <c r="HB49" s="137"/>
      <c r="HC49" s="137"/>
      <c r="HD49" s="137"/>
      <c r="HE49" s="137"/>
      <c r="HF49" s="137"/>
      <c r="HG49" s="137"/>
      <c r="HH49" s="137"/>
      <c r="HI49" s="137"/>
      <c r="HJ49" s="137"/>
      <c r="HK49" s="137"/>
      <c r="HL49" s="137"/>
      <c r="HM49" s="137"/>
      <c r="HN49" s="137"/>
      <c r="HO49" s="137"/>
      <c r="HP49" s="137"/>
      <c r="HQ49" s="137"/>
      <c r="HR49" s="137"/>
      <c r="HS49" s="137"/>
      <c r="HT49" s="137"/>
      <c r="HU49" s="137"/>
      <c r="HV49" s="137"/>
      <c r="HW49" s="137"/>
      <c r="HX49" s="137"/>
      <c r="HY49" s="137"/>
      <c r="HZ49" s="137"/>
      <c r="IA49" s="137"/>
      <c r="IB49" s="137"/>
      <c r="IC49" s="137"/>
      <c r="ID49" s="137"/>
      <c r="IE49" s="137"/>
      <c r="IF49" s="137"/>
      <c r="IG49" s="137"/>
      <c r="IH49" s="137"/>
      <c r="II49" s="137"/>
      <c r="IJ49" s="137"/>
      <c r="IK49" s="137"/>
      <c r="IL49" s="137"/>
      <c r="IM49" s="137"/>
      <c r="IN49" s="137"/>
      <c r="IO49" s="137"/>
      <c r="IP49" s="137"/>
      <c r="IQ49" s="137"/>
      <c r="IR49" s="137"/>
      <c r="IS49" s="137"/>
      <c r="IT49" s="137"/>
    </row>
    <row r="50" spans="1:254" s="194" customFormat="1" ht="20.100000000000001" customHeight="1">
      <c r="A50" s="186">
        <v>39</v>
      </c>
      <c r="B50" s="238" t="s">
        <v>166</v>
      </c>
      <c r="C50" s="239" t="s">
        <v>167</v>
      </c>
      <c r="D50" s="239" t="s">
        <v>94</v>
      </c>
      <c r="E50" s="189">
        <f t="shared" si="13"/>
        <v>1</v>
      </c>
      <c r="F50" s="240" t="s">
        <v>157</v>
      </c>
      <c r="G50" s="191">
        <f t="shared" si="14"/>
        <v>1</v>
      </c>
      <c r="H50" s="198"/>
      <c r="I50" s="192">
        <f t="shared" si="16"/>
        <v>168</v>
      </c>
      <c r="J50" s="193">
        <v>168</v>
      </c>
      <c r="K50" s="194" t="s">
        <v>222</v>
      </c>
      <c r="L50" s="210"/>
      <c r="M50" s="137"/>
      <c r="N50" s="210"/>
      <c r="O50" s="137"/>
      <c r="P50" s="210"/>
      <c r="Q50" s="137"/>
      <c r="R50" s="210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200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7"/>
      <c r="EB50" s="137"/>
      <c r="EC50" s="137"/>
      <c r="ED50" s="137"/>
      <c r="EE50" s="137"/>
      <c r="EF50" s="137"/>
      <c r="EG50" s="137"/>
      <c r="EH50" s="137"/>
      <c r="EI50" s="137"/>
      <c r="EJ50" s="137"/>
      <c r="EK50" s="137"/>
      <c r="EL50" s="137"/>
      <c r="EM50" s="137"/>
      <c r="EN50" s="137"/>
      <c r="EO50" s="137"/>
      <c r="EP50" s="137"/>
      <c r="EQ50" s="137"/>
      <c r="ER50" s="137"/>
      <c r="ES50" s="137"/>
      <c r="ET50" s="137"/>
      <c r="EU50" s="137"/>
      <c r="EV50" s="137"/>
      <c r="EW50" s="137"/>
      <c r="EX50" s="137"/>
      <c r="EY50" s="137"/>
      <c r="EZ50" s="137"/>
      <c r="FA50" s="137"/>
      <c r="FB50" s="137"/>
      <c r="FC50" s="137"/>
      <c r="FD50" s="137"/>
      <c r="FE50" s="137"/>
      <c r="FF50" s="137"/>
      <c r="FG50" s="137"/>
      <c r="FH50" s="137"/>
      <c r="FI50" s="137"/>
      <c r="FJ50" s="137"/>
      <c r="FK50" s="137"/>
      <c r="FL50" s="137"/>
      <c r="FM50" s="137"/>
      <c r="FN50" s="137"/>
      <c r="FO50" s="137"/>
      <c r="FP50" s="137"/>
      <c r="FQ50" s="137"/>
      <c r="FR50" s="137"/>
      <c r="FS50" s="137"/>
      <c r="FT50" s="137"/>
      <c r="FU50" s="137"/>
      <c r="FV50" s="137"/>
      <c r="FW50" s="137"/>
      <c r="FX50" s="137"/>
      <c r="FY50" s="137"/>
      <c r="FZ50" s="137"/>
      <c r="GA50" s="137"/>
      <c r="GB50" s="137"/>
      <c r="GC50" s="137"/>
      <c r="GD50" s="137"/>
      <c r="GE50" s="137"/>
      <c r="GF50" s="137"/>
      <c r="GG50" s="137"/>
      <c r="GH50" s="137"/>
      <c r="GI50" s="137"/>
      <c r="GJ50" s="137"/>
      <c r="GK50" s="137"/>
      <c r="GL50" s="137"/>
      <c r="GM50" s="137"/>
      <c r="GN50" s="137"/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7"/>
      <c r="HB50" s="137"/>
      <c r="HC50" s="137"/>
      <c r="HD50" s="137"/>
      <c r="HE50" s="137"/>
      <c r="HF50" s="137"/>
      <c r="HG50" s="137"/>
      <c r="HH50" s="137"/>
      <c r="HI50" s="137"/>
      <c r="HJ50" s="137"/>
      <c r="HK50" s="137"/>
      <c r="HL50" s="137"/>
      <c r="HM50" s="137"/>
      <c r="HN50" s="137"/>
      <c r="HO50" s="137"/>
      <c r="HP50" s="137"/>
      <c r="HQ50" s="137"/>
      <c r="HR50" s="137"/>
      <c r="HS50" s="137"/>
      <c r="HT50" s="137"/>
      <c r="HU50" s="137"/>
      <c r="HV50" s="137"/>
      <c r="HW50" s="137"/>
      <c r="HX50" s="137"/>
      <c r="HY50" s="137"/>
      <c r="HZ50" s="137"/>
      <c r="IA50" s="137"/>
      <c r="IB50" s="137"/>
      <c r="IC50" s="137"/>
      <c r="ID50" s="137"/>
      <c r="IE50" s="137"/>
      <c r="IF50" s="137"/>
      <c r="IG50" s="137"/>
      <c r="IH50" s="137"/>
      <c r="II50" s="137"/>
      <c r="IJ50" s="137"/>
      <c r="IK50" s="137"/>
      <c r="IL50" s="137"/>
      <c r="IM50" s="137"/>
      <c r="IN50" s="137"/>
      <c r="IO50" s="137"/>
      <c r="IP50" s="137"/>
      <c r="IQ50" s="137"/>
      <c r="IR50" s="137"/>
      <c r="IS50" s="137"/>
      <c r="IT50" s="137"/>
    </row>
    <row r="51" spans="1:254" s="194" customFormat="1" ht="20.100000000000001" customHeight="1">
      <c r="A51" s="186">
        <v>40</v>
      </c>
      <c r="B51" s="238" t="s">
        <v>168</v>
      </c>
      <c r="C51" s="239" t="s">
        <v>169</v>
      </c>
      <c r="D51" s="239" t="s">
        <v>91</v>
      </c>
      <c r="E51" s="189">
        <f t="shared" si="13"/>
        <v>0.30952400000000002</v>
      </c>
      <c r="F51" s="240" t="s">
        <v>157</v>
      </c>
      <c r="G51" s="191">
        <f t="shared" si="14"/>
        <v>0.30952400000000002</v>
      </c>
      <c r="H51" s="198"/>
      <c r="I51" s="192">
        <f t="shared" si="16"/>
        <v>52</v>
      </c>
      <c r="J51" s="193">
        <v>52</v>
      </c>
      <c r="K51" s="194" t="s">
        <v>223</v>
      </c>
      <c r="L51" s="210"/>
      <c r="M51" s="137"/>
      <c r="N51" s="210"/>
      <c r="O51" s="137"/>
      <c r="P51" s="210"/>
      <c r="Q51" s="137"/>
      <c r="R51" s="210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200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7"/>
      <c r="EB51" s="137"/>
      <c r="EC51" s="137"/>
      <c r="ED51" s="137"/>
      <c r="EE51" s="137"/>
      <c r="EF51" s="137"/>
      <c r="EG51" s="137"/>
      <c r="EH51" s="137"/>
      <c r="EI51" s="137"/>
      <c r="EJ51" s="137"/>
      <c r="EK51" s="137"/>
      <c r="EL51" s="137"/>
      <c r="EM51" s="137"/>
      <c r="EN51" s="137"/>
      <c r="EO51" s="137"/>
      <c r="EP51" s="137"/>
      <c r="EQ51" s="137"/>
      <c r="ER51" s="137"/>
      <c r="ES51" s="137"/>
      <c r="ET51" s="137"/>
      <c r="EU51" s="137"/>
      <c r="EV51" s="137"/>
      <c r="EW51" s="137"/>
      <c r="EX51" s="137"/>
      <c r="EY51" s="137"/>
      <c r="EZ51" s="137"/>
      <c r="FA51" s="137"/>
      <c r="FB51" s="137"/>
      <c r="FC51" s="137"/>
      <c r="FD51" s="137"/>
      <c r="FE51" s="137"/>
      <c r="FF51" s="137"/>
      <c r="FG51" s="137"/>
      <c r="FH51" s="137"/>
      <c r="FI51" s="137"/>
      <c r="FJ51" s="137"/>
      <c r="FK51" s="137"/>
      <c r="FL51" s="137"/>
      <c r="FM51" s="137"/>
      <c r="FN51" s="137"/>
      <c r="FO51" s="137"/>
      <c r="FP51" s="137"/>
      <c r="FQ51" s="137"/>
      <c r="FR51" s="137"/>
      <c r="FS51" s="137"/>
      <c r="FT51" s="137"/>
      <c r="FU51" s="137"/>
      <c r="FV51" s="137"/>
      <c r="FW51" s="137"/>
      <c r="FX51" s="137"/>
      <c r="FY51" s="137"/>
      <c r="FZ51" s="137"/>
      <c r="GA51" s="137"/>
      <c r="GB51" s="137"/>
      <c r="GC51" s="137"/>
      <c r="GD51" s="137"/>
      <c r="GE51" s="137"/>
      <c r="GF51" s="137"/>
      <c r="GG51" s="137"/>
      <c r="GH51" s="137"/>
      <c r="GI51" s="137"/>
      <c r="GJ51" s="137"/>
      <c r="GK51" s="137"/>
      <c r="GL51" s="137"/>
      <c r="GM51" s="137"/>
      <c r="GN51" s="137"/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7"/>
      <c r="HB51" s="137"/>
      <c r="HC51" s="137"/>
      <c r="HD51" s="137"/>
      <c r="HE51" s="137"/>
      <c r="HF51" s="137"/>
      <c r="HG51" s="137"/>
      <c r="HH51" s="137"/>
      <c r="HI51" s="137"/>
      <c r="HJ51" s="137"/>
      <c r="HK51" s="137"/>
      <c r="HL51" s="137"/>
      <c r="HM51" s="137"/>
      <c r="HN51" s="137"/>
      <c r="HO51" s="137"/>
      <c r="HP51" s="137"/>
      <c r="HQ51" s="137"/>
      <c r="HR51" s="137"/>
      <c r="HS51" s="137"/>
      <c r="HT51" s="137"/>
      <c r="HU51" s="137"/>
      <c r="HV51" s="137"/>
      <c r="HW51" s="137"/>
      <c r="HX51" s="137"/>
      <c r="HY51" s="137"/>
      <c r="HZ51" s="137"/>
      <c r="IA51" s="137"/>
      <c r="IB51" s="137"/>
      <c r="IC51" s="137"/>
      <c r="ID51" s="137"/>
      <c r="IE51" s="137"/>
      <c r="IF51" s="137"/>
      <c r="IG51" s="137"/>
      <c r="IH51" s="137"/>
      <c r="II51" s="137"/>
      <c r="IJ51" s="137"/>
      <c r="IK51" s="137"/>
      <c r="IL51" s="137"/>
      <c r="IM51" s="137"/>
      <c r="IN51" s="137"/>
      <c r="IO51" s="137"/>
      <c r="IP51" s="137"/>
      <c r="IQ51" s="137"/>
      <c r="IR51" s="137"/>
      <c r="IS51" s="137"/>
      <c r="IT51" s="137"/>
    </row>
    <row r="52" spans="1:254" s="194" customFormat="1" ht="20.100000000000001" customHeight="1">
      <c r="A52" s="186">
        <v>41</v>
      </c>
      <c r="B52" s="238" t="s">
        <v>170</v>
      </c>
      <c r="C52" s="239" t="s">
        <v>171</v>
      </c>
      <c r="D52" s="239" t="s">
        <v>115</v>
      </c>
      <c r="E52" s="189">
        <f t="shared" si="13"/>
        <v>8.8511999999999993E-2</v>
      </c>
      <c r="F52" s="240" t="s">
        <v>157</v>
      </c>
      <c r="G52" s="191">
        <f t="shared" si="14"/>
        <v>8.8511999999999993E-2</v>
      </c>
      <c r="H52" s="198"/>
      <c r="I52" s="192">
        <f t="shared" si="16"/>
        <v>14.87</v>
      </c>
      <c r="J52" s="193">
        <v>14.870000000000001</v>
      </c>
      <c r="K52" s="194" t="s">
        <v>224</v>
      </c>
      <c r="L52" s="210"/>
      <c r="M52" s="137"/>
      <c r="N52" s="210"/>
      <c r="O52" s="137"/>
      <c r="P52" s="210"/>
      <c r="Q52" s="137"/>
      <c r="R52" s="210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200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137"/>
      <c r="CH52" s="137"/>
      <c r="CI52" s="137"/>
      <c r="CJ52" s="137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7"/>
      <c r="EB52" s="137"/>
      <c r="EC52" s="137"/>
      <c r="ED52" s="137"/>
      <c r="EE52" s="137"/>
      <c r="EF52" s="137"/>
      <c r="EG52" s="137"/>
      <c r="EH52" s="137"/>
      <c r="EI52" s="137"/>
      <c r="EJ52" s="137"/>
      <c r="EK52" s="137"/>
      <c r="EL52" s="137"/>
      <c r="EM52" s="137"/>
      <c r="EN52" s="137"/>
      <c r="EO52" s="137"/>
      <c r="EP52" s="137"/>
      <c r="EQ52" s="137"/>
      <c r="ER52" s="137"/>
      <c r="ES52" s="137"/>
      <c r="ET52" s="137"/>
      <c r="EU52" s="137"/>
      <c r="EV52" s="137"/>
      <c r="EW52" s="137"/>
      <c r="EX52" s="137"/>
      <c r="EY52" s="137"/>
      <c r="EZ52" s="137"/>
      <c r="FA52" s="137"/>
      <c r="FB52" s="137"/>
      <c r="FC52" s="137"/>
      <c r="FD52" s="137"/>
      <c r="FE52" s="137"/>
      <c r="FF52" s="137"/>
      <c r="FG52" s="137"/>
      <c r="FH52" s="137"/>
      <c r="FI52" s="137"/>
      <c r="FJ52" s="137"/>
      <c r="FK52" s="137"/>
      <c r="FL52" s="137"/>
      <c r="FM52" s="137"/>
      <c r="FN52" s="137"/>
      <c r="FO52" s="137"/>
      <c r="FP52" s="137"/>
      <c r="FQ52" s="137"/>
      <c r="FR52" s="137"/>
      <c r="FS52" s="137"/>
      <c r="FT52" s="137"/>
      <c r="FU52" s="137"/>
      <c r="FV52" s="137"/>
      <c r="FW52" s="137"/>
      <c r="FX52" s="137"/>
      <c r="FY52" s="137"/>
      <c r="FZ52" s="137"/>
      <c r="GA52" s="137"/>
      <c r="GB52" s="137"/>
      <c r="GC52" s="137"/>
      <c r="GD52" s="137"/>
      <c r="GE52" s="137"/>
      <c r="GF52" s="137"/>
      <c r="GG52" s="137"/>
      <c r="GH52" s="137"/>
      <c r="GI52" s="137"/>
      <c r="GJ52" s="137"/>
      <c r="GK52" s="137"/>
      <c r="GL52" s="137"/>
      <c r="GM52" s="137"/>
      <c r="GN52" s="137"/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7"/>
      <c r="HB52" s="137"/>
      <c r="HC52" s="137"/>
      <c r="HD52" s="137"/>
      <c r="HE52" s="137"/>
      <c r="HF52" s="137"/>
      <c r="HG52" s="137"/>
      <c r="HH52" s="137"/>
      <c r="HI52" s="137"/>
      <c r="HJ52" s="137"/>
      <c r="HK52" s="137"/>
      <c r="HL52" s="137"/>
      <c r="HM52" s="137"/>
      <c r="HN52" s="137"/>
      <c r="HO52" s="137"/>
      <c r="HP52" s="137"/>
      <c r="HQ52" s="137"/>
      <c r="HR52" s="137"/>
      <c r="HS52" s="137"/>
      <c r="HT52" s="137"/>
      <c r="HU52" s="137"/>
      <c r="HV52" s="137"/>
      <c r="HW52" s="137"/>
      <c r="HX52" s="137"/>
      <c r="HY52" s="137"/>
      <c r="HZ52" s="137"/>
      <c r="IA52" s="137"/>
      <c r="IB52" s="137"/>
      <c r="IC52" s="137"/>
      <c r="ID52" s="137"/>
      <c r="IE52" s="137"/>
      <c r="IF52" s="137"/>
      <c r="IG52" s="137"/>
      <c r="IH52" s="137"/>
      <c r="II52" s="137"/>
      <c r="IJ52" s="137"/>
      <c r="IK52" s="137"/>
      <c r="IL52" s="137"/>
      <c r="IM52" s="137"/>
      <c r="IN52" s="137"/>
      <c r="IO52" s="137"/>
      <c r="IP52" s="137"/>
      <c r="IQ52" s="137"/>
      <c r="IR52" s="137"/>
      <c r="IS52" s="137"/>
      <c r="IT52" s="137"/>
    </row>
    <row r="53" spans="1:254" ht="20.100000000000001" customHeight="1">
      <c r="A53" s="186">
        <v>42</v>
      </c>
      <c r="B53" s="238" t="s">
        <v>172</v>
      </c>
      <c r="C53" s="239" t="s">
        <v>173</v>
      </c>
      <c r="D53" s="239" t="s">
        <v>115</v>
      </c>
      <c r="E53" s="189">
        <f t="shared" ref="E53:E58" si="17">G53</f>
        <v>4.4050000000000001E-3</v>
      </c>
      <c r="F53" s="240" t="s">
        <v>157</v>
      </c>
      <c r="G53" s="191">
        <f t="shared" ref="G53:G58" si="18">ROUND(I53/$G$9,6)</f>
        <v>4.4050000000000001E-3</v>
      </c>
      <c r="H53" s="198"/>
      <c r="I53" s="192">
        <f t="shared" si="16"/>
        <v>0.74</v>
      </c>
      <c r="J53" s="193">
        <v>0.74</v>
      </c>
      <c r="K53" s="194" t="s">
        <v>225</v>
      </c>
      <c r="L53" s="210"/>
      <c r="M53" s="137"/>
      <c r="N53" s="210"/>
      <c r="O53" s="137"/>
      <c r="P53" s="210"/>
      <c r="Q53" s="137"/>
      <c r="R53" s="210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200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/>
      <c r="CJ53" s="137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7"/>
      <c r="EB53" s="137"/>
      <c r="EC53" s="137"/>
      <c r="ED53" s="137"/>
      <c r="EE53" s="137"/>
      <c r="EF53" s="137"/>
      <c r="EG53" s="137"/>
      <c r="EH53" s="137"/>
      <c r="EI53" s="137"/>
      <c r="EJ53" s="137"/>
      <c r="EK53" s="137"/>
      <c r="EL53" s="137"/>
      <c r="EM53" s="137"/>
      <c r="EN53" s="137"/>
      <c r="EO53" s="137"/>
      <c r="EP53" s="137"/>
      <c r="EQ53" s="137"/>
      <c r="ER53" s="137"/>
      <c r="ES53" s="137"/>
      <c r="ET53" s="137"/>
      <c r="EU53" s="137"/>
      <c r="EV53" s="137"/>
      <c r="EW53" s="137"/>
      <c r="EX53" s="137"/>
      <c r="EY53" s="137"/>
      <c r="EZ53" s="137"/>
      <c r="FA53" s="137"/>
      <c r="FB53" s="137"/>
      <c r="FC53" s="137"/>
      <c r="FD53" s="137"/>
      <c r="FE53" s="137"/>
      <c r="FF53" s="137"/>
      <c r="FG53" s="137"/>
      <c r="FH53" s="137"/>
      <c r="FI53" s="137"/>
      <c r="FJ53" s="137"/>
      <c r="FK53" s="137"/>
      <c r="FL53" s="137"/>
      <c r="FM53" s="137"/>
      <c r="FN53" s="137"/>
      <c r="FO53" s="137"/>
      <c r="FP53" s="137"/>
      <c r="FQ53" s="137"/>
      <c r="FR53" s="137"/>
      <c r="FS53" s="137"/>
      <c r="FT53" s="137"/>
      <c r="FU53" s="137"/>
      <c r="FV53" s="137"/>
      <c r="FW53" s="137"/>
      <c r="FX53" s="137"/>
      <c r="FY53" s="137"/>
      <c r="FZ53" s="137"/>
      <c r="GA53" s="137"/>
      <c r="GB53" s="137"/>
      <c r="GC53" s="137"/>
      <c r="GD53" s="137"/>
      <c r="GE53" s="137"/>
      <c r="GF53" s="137"/>
      <c r="GG53" s="137"/>
      <c r="GH53" s="137"/>
      <c r="GI53" s="137"/>
      <c r="GJ53" s="137"/>
      <c r="GK53" s="137"/>
      <c r="GL53" s="137"/>
      <c r="GM53" s="137"/>
      <c r="GN53" s="137"/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7"/>
      <c r="HB53" s="137"/>
      <c r="HC53" s="137"/>
      <c r="HD53" s="137"/>
      <c r="HE53" s="137"/>
      <c r="HF53" s="137"/>
      <c r="HG53" s="137"/>
      <c r="HH53" s="137"/>
      <c r="HI53" s="137"/>
      <c r="HJ53" s="137"/>
      <c r="HK53" s="137"/>
      <c r="HL53" s="137"/>
      <c r="HM53" s="137"/>
      <c r="HN53" s="137"/>
      <c r="HO53" s="137"/>
      <c r="HP53" s="137"/>
      <c r="HQ53" s="137"/>
      <c r="HR53" s="137"/>
      <c r="HS53" s="137"/>
      <c r="HT53" s="137"/>
      <c r="HU53" s="137"/>
      <c r="HV53" s="137"/>
      <c r="HW53" s="137"/>
      <c r="HX53" s="137"/>
      <c r="HY53" s="137"/>
      <c r="HZ53" s="137"/>
      <c r="IA53" s="137"/>
      <c r="IB53" s="137"/>
      <c r="IC53" s="137"/>
      <c r="ID53" s="137"/>
      <c r="IE53" s="137"/>
      <c r="IF53" s="137"/>
      <c r="IG53" s="137"/>
      <c r="IH53" s="137"/>
      <c r="II53" s="137"/>
      <c r="IJ53" s="137"/>
      <c r="IK53" s="137"/>
      <c r="IL53" s="137"/>
      <c r="IM53" s="137"/>
      <c r="IN53" s="137"/>
      <c r="IO53" s="137"/>
      <c r="IP53" s="137"/>
      <c r="IQ53" s="137"/>
      <c r="IR53" s="137"/>
      <c r="IS53" s="137"/>
      <c r="IT53" s="137"/>
    </row>
    <row r="54" spans="1:254" ht="20.100000000000001" customHeight="1">
      <c r="A54" s="186">
        <v>43</v>
      </c>
      <c r="B54" s="238" t="s">
        <v>174</v>
      </c>
      <c r="C54" s="239" t="s">
        <v>175</v>
      </c>
      <c r="D54" s="239" t="s">
        <v>115</v>
      </c>
      <c r="E54" s="189">
        <f t="shared" si="17"/>
        <v>3.3570999999999997E-2</v>
      </c>
      <c r="F54" s="240" t="s">
        <v>157</v>
      </c>
      <c r="G54" s="191">
        <f t="shared" si="18"/>
        <v>3.3570999999999997E-2</v>
      </c>
      <c r="H54" s="198"/>
      <c r="I54" s="192">
        <f t="shared" si="16"/>
        <v>5.64</v>
      </c>
      <c r="J54" s="193">
        <v>5.64</v>
      </c>
      <c r="K54" s="194" t="s">
        <v>226</v>
      </c>
    </row>
    <row r="55" spans="1:254" ht="20.100000000000001" customHeight="1">
      <c r="A55" s="186">
        <v>44</v>
      </c>
      <c r="B55" s="238" t="s">
        <v>176</v>
      </c>
      <c r="C55" s="239" t="s">
        <v>177</v>
      </c>
      <c r="D55" s="239" t="s">
        <v>115</v>
      </c>
      <c r="E55" s="189">
        <f t="shared" si="17"/>
        <v>8.3330000000000001E-3</v>
      </c>
      <c r="F55" s="240" t="s">
        <v>157</v>
      </c>
      <c r="G55" s="191">
        <f t="shared" si="18"/>
        <v>8.3330000000000001E-3</v>
      </c>
      <c r="H55" s="198"/>
      <c r="I55" s="192">
        <f t="shared" si="16"/>
        <v>1.4</v>
      </c>
      <c r="J55" s="193">
        <v>1.4</v>
      </c>
      <c r="K55" s="194" t="s">
        <v>227</v>
      </c>
      <c r="L55" s="210"/>
      <c r="M55" s="137"/>
      <c r="N55" s="210"/>
      <c r="O55" s="137"/>
      <c r="P55" s="210"/>
      <c r="Q55" s="137"/>
      <c r="R55" s="210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200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J55" s="137"/>
      <c r="CK55" s="137"/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37"/>
      <c r="EC55" s="137"/>
      <c r="ED55" s="137"/>
      <c r="EE55" s="137"/>
      <c r="EF55" s="137"/>
      <c r="EG55" s="137"/>
      <c r="EH55" s="137"/>
      <c r="EI55" s="137"/>
      <c r="EJ55" s="137"/>
      <c r="EK55" s="137"/>
      <c r="EL55" s="137"/>
      <c r="EM55" s="137"/>
      <c r="EN55" s="137"/>
      <c r="EO55" s="137"/>
      <c r="EP55" s="137"/>
      <c r="EQ55" s="137"/>
      <c r="ER55" s="137"/>
      <c r="ES55" s="137"/>
      <c r="ET55" s="137"/>
      <c r="EU55" s="137"/>
      <c r="EV55" s="137"/>
      <c r="EW55" s="137"/>
      <c r="EX55" s="137"/>
      <c r="EY55" s="137"/>
      <c r="EZ55" s="137"/>
      <c r="FA55" s="137"/>
      <c r="FB55" s="137"/>
      <c r="FC55" s="137"/>
      <c r="FD55" s="137"/>
      <c r="FE55" s="137"/>
      <c r="FF55" s="137"/>
      <c r="FG55" s="137"/>
      <c r="FH55" s="137"/>
      <c r="FI55" s="137"/>
      <c r="FJ55" s="137"/>
      <c r="FK55" s="137"/>
      <c r="FL55" s="137"/>
      <c r="FM55" s="137"/>
      <c r="FN55" s="137"/>
      <c r="FO55" s="137"/>
      <c r="FP55" s="137"/>
      <c r="FQ55" s="137"/>
      <c r="FR55" s="137"/>
      <c r="FS55" s="137"/>
      <c r="FT55" s="137"/>
      <c r="FU55" s="137"/>
      <c r="FV55" s="137"/>
      <c r="FW55" s="137"/>
      <c r="FX55" s="137"/>
      <c r="FY55" s="137"/>
      <c r="FZ55" s="137"/>
      <c r="GA55" s="137"/>
      <c r="GB55" s="137"/>
      <c r="GC55" s="137"/>
      <c r="GD55" s="137"/>
      <c r="GE55" s="137"/>
      <c r="GF55" s="137"/>
      <c r="GG55" s="137"/>
      <c r="GH55" s="137"/>
      <c r="GI55" s="137"/>
      <c r="GJ55" s="137"/>
      <c r="GK55" s="137"/>
      <c r="GL55" s="137"/>
      <c r="GM55" s="137"/>
      <c r="GN55" s="137"/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7"/>
      <c r="HB55" s="137"/>
      <c r="HC55" s="137"/>
      <c r="HD55" s="137"/>
      <c r="HE55" s="137"/>
      <c r="HF55" s="137"/>
      <c r="HG55" s="137"/>
      <c r="HH55" s="137"/>
      <c r="HI55" s="137"/>
      <c r="HJ55" s="137"/>
      <c r="HK55" s="137"/>
      <c r="HL55" s="137"/>
      <c r="HM55" s="137"/>
      <c r="HN55" s="137"/>
      <c r="HO55" s="137"/>
      <c r="HP55" s="137"/>
      <c r="HQ55" s="137"/>
      <c r="HR55" s="137"/>
      <c r="HS55" s="137"/>
      <c r="HT55" s="137"/>
      <c r="HU55" s="137"/>
      <c r="HV55" s="137"/>
      <c r="HW55" s="137"/>
      <c r="HX55" s="137"/>
      <c r="HY55" s="137"/>
      <c r="HZ55" s="137"/>
      <c r="IA55" s="137"/>
      <c r="IB55" s="137"/>
      <c r="IC55" s="137"/>
      <c r="ID55" s="137"/>
      <c r="IE55" s="137"/>
      <c r="IF55" s="137"/>
      <c r="IG55" s="137"/>
      <c r="IH55" s="137"/>
      <c r="II55" s="137"/>
      <c r="IJ55" s="137"/>
      <c r="IK55" s="137"/>
      <c r="IL55" s="137"/>
      <c r="IM55" s="137"/>
      <c r="IN55" s="137"/>
      <c r="IO55" s="137"/>
      <c r="IP55" s="137"/>
      <c r="IQ55" s="137"/>
      <c r="IR55" s="137"/>
      <c r="IS55" s="137"/>
      <c r="IT55" s="137"/>
    </row>
    <row r="56" spans="1:254" ht="20.100000000000001" customHeight="1">
      <c r="A56" s="186">
        <v>45</v>
      </c>
      <c r="B56" s="238" t="s">
        <v>178</v>
      </c>
      <c r="C56" s="239" t="s">
        <v>179</v>
      </c>
      <c r="D56" s="239" t="s">
        <v>115</v>
      </c>
      <c r="E56" s="189">
        <f t="shared" si="17"/>
        <v>1.1900000000000001E-4</v>
      </c>
      <c r="F56" s="240" t="s">
        <v>157</v>
      </c>
      <c r="G56" s="191">
        <f t="shared" si="18"/>
        <v>1.1900000000000001E-4</v>
      </c>
      <c r="H56" s="198"/>
      <c r="I56" s="192">
        <f t="shared" si="16"/>
        <v>0.02</v>
      </c>
      <c r="J56" s="193">
        <v>0.02</v>
      </c>
      <c r="K56" s="194" t="s">
        <v>228</v>
      </c>
      <c r="L56" s="210"/>
      <c r="M56" s="137"/>
      <c r="N56" s="210"/>
      <c r="O56" s="137"/>
      <c r="P56" s="210"/>
      <c r="Q56" s="137"/>
      <c r="R56" s="210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200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37"/>
      <c r="EC56" s="137"/>
      <c r="ED56" s="137"/>
      <c r="EE56" s="137"/>
      <c r="EF56" s="137"/>
      <c r="EG56" s="137"/>
      <c r="EH56" s="137"/>
      <c r="EI56" s="137"/>
      <c r="EJ56" s="137"/>
      <c r="EK56" s="137"/>
      <c r="EL56" s="137"/>
      <c r="EM56" s="137"/>
      <c r="EN56" s="137"/>
      <c r="EO56" s="137"/>
      <c r="EP56" s="137"/>
      <c r="EQ56" s="137"/>
      <c r="ER56" s="137"/>
      <c r="ES56" s="137"/>
      <c r="ET56" s="137"/>
      <c r="EU56" s="137"/>
      <c r="EV56" s="137"/>
      <c r="EW56" s="137"/>
      <c r="EX56" s="137"/>
      <c r="EY56" s="137"/>
      <c r="EZ56" s="137"/>
      <c r="FA56" s="137"/>
      <c r="FB56" s="137"/>
      <c r="FC56" s="137"/>
      <c r="FD56" s="137"/>
      <c r="FE56" s="137"/>
      <c r="FF56" s="137"/>
      <c r="FG56" s="137"/>
      <c r="FH56" s="137"/>
      <c r="FI56" s="137"/>
      <c r="FJ56" s="137"/>
      <c r="FK56" s="137"/>
      <c r="FL56" s="137"/>
      <c r="FM56" s="137"/>
      <c r="FN56" s="137"/>
      <c r="FO56" s="137"/>
      <c r="FP56" s="137"/>
      <c r="FQ56" s="137"/>
      <c r="FR56" s="137"/>
      <c r="FS56" s="137"/>
      <c r="FT56" s="137"/>
      <c r="FU56" s="137"/>
      <c r="FV56" s="137"/>
      <c r="FW56" s="137"/>
      <c r="FX56" s="137"/>
      <c r="FY56" s="137"/>
      <c r="FZ56" s="137"/>
      <c r="GA56" s="137"/>
      <c r="GB56" s="137"/>
      <c r="GC56" s="137"/>
      <c r="GD56" s="137"/>
      <c r="GE56" s="137"/>
      <c r="GF56" s="137"/>
      <c r="GG56" s="137"/>
      <c r="GH56" s="137"/>
      <c r="GI56" s="137"/>
      <c r="GJ56" s="137"/>
      <c r="GK56" s="137"/>
      <c r="GL56" s="137"/>
      <c r="GM56" s="137"/>
      <c r="GN56" s="137"/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7"/>
      <c r="HB56" s="137"/>
      <c r="HC56" s="137"/>
      <c r="HD56" s="137"/>
      <c r="HE56" s="137"/>
      <c r="HF56" s="137"/>
      <c r="HG56" s="137"/>
      <c r="HH56" s="137"/>
      <c r="HI56" s="137"/>
      <c r="HJ56" s="137"/>
      <c r="HK56" s="137"/>
      <c r="HL56" s="137"/>
      <c r="HM56" s="137"/>
      <c r="HN56" s="137"/>
      <c r="HO56" s="137"/>
      <c r="HP56" s="137"/>
      <c r="HQ56" s="137"/>
      <c r="HR56" s="137"/>
      <c r="HS56" s="137"/>
      <c r="HT56" s="137"/>
      <c r="HU56" s="137"/>
      <c r="HV56" s="137"/>
      <c r="HW56" s="137"/>
      <c r="HX56" s="137"/>
      <c r="HY56" s="137"/>
      <c r="HZ56" s="137"/>
      <c r="IA56" s="137"/>
      <c r="IB56" s="137"/>
      <c r="IC56" s="137"/>
      <c r="ID56" s="137"/>
      <c r="IE56" s="137"/>
      <c r="IF56" s="137"/>
      <c r="IG56" s="137"/>
      <c r="IH56" s="137"/>
      <c r="II56" s="137"/>
      <c r="IJ56" s="137"/>
      <c r="IK56" s="137"/>
      <c r="IL56" s="137"/>
      <c r="IM56" s="137"/>
      <c r="IN56" s="137"/>
      <c r="IO56" s="137"/>
      <c r="IP56" s="137"/>
      <c r="IQ56" s="137"/>
      <c r="IR56" s="137"/>
      <c r="IS56" s="137"/>
      <c r="IT56" s="137"/>
    </row>
    <row r="57" spans="1:254" ht="20.100000000000001" customHeight="1">
      <c r="A57" s="186">
        <v>46</v>
      </c>
      <c r="B57" s="238" t="s">
        <v>180</v>
      </c>
      <c r="C57" s="239" t="s">
        <v>181</v>
      </c>
      <c r="D57" s="239" t="s">
        <v>115</v>
      </c>
      <c r="E57" s="189">
        <f t="shared" si="17"/>
        <v>4.0475999999999998E-2</v>
      </c>
      <c r="F57" s="240" t="s">
        <v>157</v>
      </c>
      <c r="G57" s="191">
        <f t="shared" si="18"/>
        <v>4.0475999999999998E-2</v>
      </c>
      <c r="H57" s="198"/>
      <c r="I57" s="192">
        <f t="shared" si="16"/>
        <v>6.8</v>
      </c>
      <c r="J57" s="193">
        <v>6.8000000000000007</v>
      </c>
      <c r="K57" s="194" t="s">
        <v>229</v>
      </c>
      <c r="L57" s="210"/>
      <c r="M57" s="137"/>
      <c r="N57" s="210"/>
      <c r="O57" s="137"/>
      <c r="P57" s="210"/>
      <c r="Q57" s="137"/>
      <c r="R57" s="210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200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7"/>
      <c r="CM57" s="137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7"/>
      <c r="EB57" s="137"/>
      <c r="EC57" s="137"/>
      <c r="ED57" s="137"/>
      <c r="EE57" s="137"/>
      <c r="EF57" s="137"/>
      <c r="EG57" s="137"/>
      <c r="EH57" s="137"/>
      <c r="EI57" s="137"/>
      <c r="EJ57" s="137"/>
      <c r="EK57" s="137"/>
      <c r="EL57" s="137"/>
      <c r="EM57" s="137"/>
      <c r="EN57" s="137"/>
      <c r="EO57" s="137"/>
      <c r="EP57" s="137"/>
      <c r="EQ57" s="137"/>
      <c r="ER57" s="137"/>
      <c r="ES57" s="137"/>
      <c r="ET57" s="137"/>
      <c r="EU57" s="137"/>
      <c r="EV57" s="137"/>
      <c r="EW57" s="137"/>
      <c r="EX57" s="137"/>
      <c r="EY57" s="137"/>
      <c r="EZ57" s="137"/>
      <c r="FA57" s="137"/>
      <c r="FB57" s="137"/>
      <c r="FC57" s="137"/>
      <c r="FD57" s="137"/>
      <c r="FE57" s="137"/>
      <c r="FF57" s="137"/>
      <c r="FG57" s="137"/>
      <c r="FH57" s="137"/>
      <c r="FI57" s="137"/>
      <c r="FJ57" s="137"/>
      <c r="FK57" s="137"/>
      <c r="FL57" s="137"/>
      <c r="FM57" s="137"/>
      <c r="FN57" s="137"/>
      <c r="FO57" s="137"/>
      <c r="FP57" s="137"/>
      <c r="FQ57" s="137"/>
      <c r="FR57" s="137"/>
      <c r="FS57" s="137"/>
      <c r="FT57" s="137"/>
      <c r="FU57" s="137"/>
      <c r="FV57" s="137"/>
      <c r="FW57" s="137"/>
      <c r="FX57" s="137"/>
      <c r="FY57" s="137"/>
      <c r="FZ57" s="137"/>
      <c r="GA57" s="137"/>
      <c r="GB57" s="137"/>
      <c r="GC57" s="137"/>
      <c r="GD57" s="137"/>
      <c r="GE57" s="137"/>
      <c r="GF57" s="137"/>
      <c r="GG57" s="137"/>
      <c r="GH57" s="137"/>
      <c r="GI57" s="137"/>
      <c r="GJ57" s="137"/>
      <c r="GK57" s="137"/>
      <c r="GL57" s="137"/>
      <c r="GM57" s="137"/>
      <c r="GN57" s="137"/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7"/>
      <c r="HB57" s="137"/>
      <c r="HC57" s="137"/>
      <c r="HD57" s="137"/>
      <c r="HE57" s="137"/>
      <c r="HF57" s="137"/>
      <c r="HG57" s="137"/>
      <c r="HH57" s="137"/>
      <c r="HI57" s="137"/>
      <c r="HJ57" s="137"/>
      <c r="HK57" s="137"/>
      <c r="HL57" s="137"/>
      <c r="HM57" s="137"/>
      <c r="HN57" s="137"/>
      <c r="HO57" s="137"/>
      <c r="HP57" s="137"/>
      <c r="HQ57" s="137"/>
      <c r="HR57" s="137"/>
      <c r="HS57" s="137"/>
      <c r="HT57" s="137"/>
      <c r="HU57" s="137"/>
      <c r="HV57" s="137"/>
      <c r="HW57" s="137"/>
      <c r="HX57" s="137"/>
      <c r="HY57" s="137"/>
      <c r="HZ57" s="137"/>
      <c r="IA57" s="137"/>
      <c r="IB57" s="137"/>
      <c r="IC57" s="137"/>
      <c r="ID57" s="137"/>
      <c r="IE57" s="137"/>
      <c r="IF57" s="137"/>
      <c r="IG57" s="137"/>
      <c r="IH57" s="137"/>
      <c r="II57" s="137"/>
      <c r="IJ57" s="137"/>
      <c r="IK57" s="137"/>
      <c r="IL57" s="137"/>
      <c r="IM57" s="137"/>
      <c r="IN57" s="137"/>
      <c r="IO57" s="137"/>
      <c r="IP57" s="137"/>
      <c r="IQ57" s="137"/>
      <c r="IR57" s="137"/>
      <c r="IS57" s="137"/>
      <c r="IT57" s="137"/>
    </row>
    <row r="58" spans="1:254" ht="18" customHeight="1">
      <c r="A58" s="186">
        <v>47</v>
      </c>
      <c r="B58" s="238" t="s">
        <v>182</v>
      </c>
      <c r="C58" s="238" t="s">
        <v>183</v>
      </c>
      <c r="D58" s="238" t="s">
        <v>115</v>
      </c>
      <c r="E58" s="189">
        <f t="shared" si="17"/>
        <v>5.3600000000000002E-4</v>
      </c>
      <c r="F58" s="240" t="s">
        <v>157</v>
      </c>
      <c r="G58" s="191">
        <f t="shared" si="18"/>
        <v>5.3600000000000002E-4</v>
      </c>
      <c r="I58" s="192">
        <f t="shared" si="16"/>
        <v>0.09</v>
      </c>
      <c r="J58" s="193">
        <v>0.09</v>
      </c>
      <c r="K58" s="194" t="s">
        <v>230</v>
      </c>
    </row>
  </sheetData>
  <autoFilter ref="A11:IW58"/>
  <mergeCells count="33">
    <mergeCell ref="BD2:BE2"/>
    <mergeCell ref="A3:F3"/>
    <mergeCell ref="A4:F4"/>
    <mergeCell ref="A9:A10"/>
    <mergeCell ref="B9:B10"/>
    <mergeCell ref="C9:C10"/>
    <mergeCell ref="D9:D10"/>
    <mergeCell ref="E9:E10"/>
    <mergeCell ref="F9:F10"/>
    <mergeCell ref="AR2:AS2"/>
    <mergeCell ref="AT2:AU2"/>
    <mergeCell ref="AV2:AW2"/>
    <mergeCell ref="AX2:AY2"/>
    <mergeCell ref="AZ2:BA2"/>
    <mergeCell ref="BB2:BC2"/>
    <mergeCell ref="AF2:AG2"/>
    <mergeCell ref="AH2:AI2"/>
    <mergeCell ref="AJ2:AK2"/>
    <mergeCell ref="AL2:AM2"/>
    <mergeCell ref="AN2:AO2"/>
    <mergeCell ref="AP2:AQ2"/>
    <mergeCell ref="AD2:AE2"/>
    <mergeCell ref="J2:J3"/>
    <mergeCell ref="K2:K3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" right="0" top="0" bottom="0" header="0" footer="0"/>
  <pageSetup paperSize="9" scale="93" orientation="portrait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Y-1189(UK)</vt:lpstr>
      <vt:lpstr>Y2211-0649</vt:lpstr>
      <vt:lpstr>'Y-1189(UK)'!Print_Area</vt:lpstr>
      <vt:lpstr>'Y-1189(UK)'!Print_Titles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Pham Thi Ut Em</cp:lastModifiedBy>
  <cp:lastPrinted>2022-11-29T02:44:40Z</cp:lastPrinted>
  <dcterms:created xsi:type="dcterms:W3CDTF">1996-10-14T23:33:28Z</dcterms:created>
  <dcterms:modified xsi:type="dcterms:W3CDTF">2022-12-06T02:33:11Z</dcterms:modified>
</cp:coreProperties>
</file>