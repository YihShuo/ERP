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60" yWindow="-60" windowWidth="20610" windowHeight="11040" tabRatio="546" firstSheet="2" activeTab="3"/>
  </bookViews>
  <sheets>
    <sheet name="US PL" sheetId="2" state="hidden" r:id="rId1"/>
    <sheet name="US Pair (Footwear)" sheetId="43" state="hidden" r:id="rId2"/>
    <sheet name="INV" sheetId="41" r:id="rId3"/>
    <sheet name="PKL" sheetId="34" r:id="rId4"/>
    <sheet name="International PL" sheetId="4" state="hidden" r:id="rId5"/>
    <sheet name="EMEA CI" sheetId="5" state="hidden" r:id="rId6"/>
    <sheet name="EMEA PL" sheetId="6" state="hidden" r:id="rId7"/>
  </sheets>
  <definedNames>
    <definedName name="_xlnm._FilterDatabase" localSheetId="3" hidden="1">PKL!$A$14:$AD$16</definedName>
    <definedName name="_xlnm.Print_Area" localSheetId="2">INV!$A$1:$M$31</definedName>
    <definedName name="_xlnm.Print_Area" localSheetId="3">PKL!$A$1:$V$26</definedName>
    <definedName name="_xlnm.Print_Titles" localSheetId="2">INV!$17:$17</definedName>
    <definedName name="_xlnm.Print_Titles" localSheetId="3">PKL!$13:$14</definedName>
  </definedNames>
  <calcPr calcId="124519"/>
</workbook>
</file>

<file path=xl/calcChain.xml><?xml version="1.0" encoding="utf-8"?>
<calcChain xmlns="http://schemas.openxmlformats.org/spreadsheetml/2006/main">
  <c r="R8" i="34"/>
  <c r="K19" i="41"/>
  <c r="M19" l="1"/>
  <c r="R9" i="34" l="1"/>
  <c r="A11" l="1"/>
  <c r="R7"/>
  <c r="A3" l="1"/>
  <c r="A2"/>
  <c r="A1"/>
  <c r="H15" i="43" l="1"/>
  <c r="H16"/>
  <c r="H17"/>
  <c r="H18"/>
  <c r="H19"/>
  <c r="H20"/>
  <c r="H21"/>
  <c r="H22"/>
  <c r="H23"/>
  <c r="H24"/>
  <c r="H25"/>
  <c r="H26"/>
  <c r="H27"/>
  <c r="H28"/>
  <c r="H29"/>
  <c r="H30"/>
  <c r="H14"/>
  <c r="H7" l="1"/>
  <c r="H32" l="1"/>
  <c r="F32"/>
  <c r="S42" i="4" l="1"/>
  <c r="M42"/>
  <c r="S35"/>
  <c r="M35"/>
  <c r="S28"/>
  <c r="M28"/>
  <c r="S20"/>
  <c r="M20"/>
  <c r="S13"/>
  <c r="M13"/>
  <c r="K13"/>
  <c r="O50" l="1"/>
  <c r="N50"/>
  <c r="K50"/>
  <c r="J50"/>
  <c r="I50"/>
  <c r="D50"/>
  <c r="M50"/>
  <c r="S50"/>
  <c r="O49" i="2" l="1"/>
  <c r="N49"/>
  <c r="J49"/>
  <c r="I49"/>
  <c r="D49"/>
  <c r="S41"/>
  <c r="M41"/>
  <c r="S34"/>
  <c r="M34"/>
  <c r="S27"/>
  <c r="M27"/>
  <c r="S19"/>
  <c r="M19"/>
  <c r="S12"/>
  <c r="M12"/>
  <c r="K12"/>
  <c r="K49" s="1"/>
  <c r="M49" l="1"/>
  <c r="S49"/>
</calcChain>
</file>

<file path=xl/sharedStrings.xml><?xml version="1.0" encoding="utf-8"?>
<sst xmlns="http://schemas.openxmlformats.org/spreadsheetml/2006/main" count="511" uniqueCount="177">
  <si>
    <t>[Vendor Name]</t>
  </si>
  <si>
    <t>[Vendor Address]</t>
  </si>
  <si>
    <t>[Vendor Contact]</t>
  </si>
  <si>
    <t>Sold To:</t>
  </si>
  <si>
    <t>Ship To:</t>
  </si>
  <si>
    <t>Company Name</t>
  </si>
  <si>
    <t>Invoice No.:</t>
  </si>
  <si>
    <t>Attention</t>
  </si>
  <si>
    <t>Actual Ship Date:</t>
  </si>
  <si>
    <t>Ship To Address</t>
  </si>
  <si>
    <t>Currency:</t>
  </si>
  <si>
    <t>USD</t>
  </si>
  <si>
    <t>PO#:</t>
  </si>
  <si>
    <t>Style Name</t>
  </si>
  <si>
    <t>Style No.</t>
  </si>
  <si>
    <t>Color</t>
  </si>
  <si>
    <t>Size</t>
  </si>
  <si>
    <t>TOTAL QTY
(Piece)</t>
  </si>
  <si>
    <t>Unit Price (Piece)
(USD)</t>
  </si>
  <si>
    <t>Amount
(USD)</t>
  </si>
  <si>
    <t>M's 9#</t>
  </si>
  <si>
    <t>TOTAL</t>
  </si>
  <si>
    <t>Description of goods:</t>
  </si>
  <si>
    <t>Shipping marks :</t>
  </si>
  <si>
    <t>As per packing list</t>
  </si>
  <si>
    <t>Product type:</t>
  </si>
  <si>
    <t>THIS SHIPMENT IS FREE FROM SOLID WOOD PACKING MATERIALS.</t>
  </si>
  <si>
    <t>Country of Origin:</t>
  </si>
  <si>
    <t xml:space="preserve">Shipped by:  </t>
  </si>
  <si>
    <t>UPS</t>
  </si>
  <si>
    <t>AWB#:</t>
  </si>
  <si>
    <t>PACKING LIST</t>
    <phoneticPr fontId="0" type="noConversion"/>
  </si>
  <si>
    <t>COMMODITY:</t>
  </si>
  <si>
    <t>FOOTWEAR</t>
  </si>
  <si>
    <r>
      <rPr>
        <b/>
        <sz val="10"/>
        <color indexed="8"/>
        <rFont val="Times New Roman"/>
        <family val="1"/>
      </rPr>
      <t>SHIP TO COUNTRY:</t>
    </r>
    <r>
      <rPr>
        <sz val="10"/>
        <color indexed="8"/>
        <rFont val="Times New Roman"/>
        <family val="1"/>
      </rPr>
      <t xml:space="preserve"> </t>
    </r>
    <r>
      <rPr>
        <sz val="10"/>
        <color theme="4"/>
        <rFont val="Times New Roman"/>
        <family val="1"/>
      </rPr>
      <t>USA</t>
    </r>
  </si>
  <si>
    <t>INVOICE NO.:</t>
  </si>
  <si>
    <t>UGG F18 Sale Sample - Goleta</t>
  </si>
  <si>
    <t>C/NO.</t>
    <phoneticPr fontId="0" type="noConversion"/>
  </si>
  <si>
    <t>CTNS</t>
    <phoneticPr fontId="0" type="noConversion"/>
  </si>
  <si>
    <t>STYLE NO.</t>
  </si>
  <si>
    <t>STYLE NAME</t>
    <phoneticPr fontId="0" type="noConversion"/>
  </si>
  <si>
    <t>COLOR</t>
    <phoneticPr fontId="0" type="noConversion"/>
  </si>
  <si>
    <t>SIZE</t>
    <phoneticPr fontId="0" type="noConversion"/>
  </si>
  <si>
    <t>DIM. (CM)</t>
  </si>
  <si>
    <t>CBM</t>
  </si>
  <si>
    <t>-</t>
    <phoneticPr fontId="0" type="noConversion"/>
  </si>
  <si>
    <t>SMF1032</t>
  </si>
  <si>
    <t xml:space="preserve">Pick Pocket  </t>
  </si>
  <si>
    <t>Tan</t>
  </si>
  <si>
    <t>48*48*32</t>
    <phoneticPr fontId="0" type="noConversion"/>
  </si>
  <si>
    <t>SMF10137</t>
  </si>
  <si>
    <t>Kingston Jute</t>
  </si>
  <si>
    <t>Natural</t>
  </si>
  <si>
    <t>SMF10561</t>
  </si>
  <si>
    <t>You Got My Back 2 Basics</t>
  </si>
  <si>
    <t>Camo</t>
  </si>
  <si>
    <t>Dark Brown</t>
  </si>
  <si>
    <t>SMF10738</t>
  </si>
  <si>
    <t>Vagabond Blades</t>
  </si>
  <si>
    <t>Mossy Oak</t>
  </si>
  <si>
    <t>SMS10047</t>
  </si>
  <si>
    <t>Block Party</t>
  </si>
  <si>
    <t>Rasta</t>
  </si>
  <si>
    <t>SMS10412</t>
  </si>
  <si>
    <t>Beer Cozy Light</t>
  </si>
  <si>
    <t>White</t>
  </si>
  <si>
    <t>SMS10544</t>
  </si>
  <si>
    <t>Jet Stream</t>
  </si>
  <si>
    <t>Black</t>
  </si>
  <si>
    <t>55*48*32</t>
    <phoneticPr fontId="0" type="noConversion"/>
  </si>
  <si>
    <t>Brown</t>
  </si>
  <si>
    <t>Grey / Grey</t>
  </si>
  <si>
    <t>SMS10545</t>
  </si>
  <si>
    <t>Camelion</t>
  </si>
  <si>
    <t>Galaxy</t>
  </si>
  <si>
    <t>Red Tribal</t>
  </si>
  <si>
    <t>Washed Camo</t>
  </si>
  <si>
    <t>SMS10546</t>
  </si>
  <si>
    <t>Tarzan Classic</t>
  </si>
  <si>
    <t>Leopard</t>
  </si>
  <si>
    <t>Multi Blanket Stripes</t>
  </si>
  <si>
    <t>SMS10547</t>
  </si>
  <si>
    <t>Fur Real Classic</t>
  </si>
  <si>
    <t>Green</t>
  </si>
  <si>
    <t>SMS10548</t>
  </si>
  <si>
    <t>Beer Cozy Primo Light</t>
  </si>
  <si>
    <t>Brown / Tan</t>
  </si>
  <si>
    <t>Camo / Dark Brown</t>
  </si>
  <si>
    <t>Dark Brown / Brown</t>
  </si>
  <si>
    <t>SMS10549</t>
  </si>
  <si>
    <t>Beer Cozy Light Funk</t>
  </si>
  <si>
    <t>Charcoal</t>
  </si>
  <si>
    <t>SMS10553</t>
  </si>
  <si>
    <t>Dr. Fray</t>
  </si>
  <si>
    <t>Coal</t>
  </si>
  <si>
    <t>Slate Blue</t>
  </si>
  <si>
    <t>SMS10624</t>
  </si>
  <si>
    <t>Vineyard</t>
  </si>
  <si>
    <t>SMS10644</t>
  </si>
  <si>
    <t>High Tide</t>
  </si>
  <si>
    <t>SMS10667</t>
  </si>
  <si>
    <t>Sheriff</t>
  </si>
  <si>
    <t>SMS2117</t>
  </si>
  <si>
    <t>Fraid Not</t>
  </si>
  <si>
    <t>SMS2138</t>
  </si>
  <si>
    <t>Fraid So</t>
  </si>
  <si>
    <t>Tan Multi</t>
  </si>
  <si>
    <t>SMS2893</t>
  </si>
  <si>
    <t>Fault Line</t>
  </si>
  <si>
    <t>Tan / Brown</t>
  </si>
  <si>
    <t>TOTAL:</t>
    <phoneticPr fontId="0" type="noConversion"/>
  </si>
  <si>
    <t>TOTAL:</t>
  </si>
  <si>
    <t>FIVE (5) CARTONS ONLY.</t>
  </si>
  <si>
    <t>HTS Code</t>
  </si>
  <si>
    <t>PACKING LIST</t>
    <phoneticPr fontId="0" type="noConversion"/>
  </si>
  <si>
    <r>
      <rPr>
        <b/>
        <sz val="10"/>
        <color indexed="8"/>
        <rFont val="Times New Roman"/>
        <family val="1"/>
      </rPr>
      <t>SHIP TO COUNTRY:</t>
    </r>
    <r>
      <rPr>
        <sz val="10"/>
        <color indexed="8"/>
        <rFont val="Times New Roman"/>
        <family val="1"/>
      </rPr>
      <t xml:space="preserve"> </t>
    </r>
  </si>
  <si>
    <t>UGG F18 Global Sample PO - Deckers HK</t>
  </si>
  <si>
    <t>TOTAL:</t>
    <phoneticPr fontId="0" type="noConversion"/>
  </si>
  <si>
    <t>QTY LEFT
(Units)</t>
  </si>
  <si>
    <t>QTY RIGHT
(Units)</t>
  </si>
  <si>
    <t>TOTAL QTY
(Units)</t>
  </si>
  <si>
    <t>N.W. (KG) (Units)</t>
  </si>
  <si>
    <t>N.W. (KG) (Carton)</t>
  </si>
  <si>
    <t>G.W. (KG) (Carton)</t>
  </si>
  <si>
    <t>[Vendor Address] + [Vendor Contact]</t>
  </si>
  <si>
    <t>Factory Invoice number</t>
  </si>
  <si>
    <t>PO Name:</t>
  </si>
  <si>
    <t>See Brand Shipping file</t>
  </si>
  <si>
    <t>UGG F21 Inline</t>
  </si>
  <si>
    <t>THESE ARE CLEARED TO FREE CIRCULATION.</t>
  </si>
  <si>
    <t>9811.00.60</t>
  </si>
  <si>
    <t xml:space="preserve">DECKERS OUTDOOR CORPORATION </t>
  </si>
  <si>
    <t>United Sates</t>
  </si>
  <si>
    <t>IOR # 95-301586200</t>
  </si>
  <si>
    <t>Brokerage Account - UPS 20A33X</t>
  </si>
  <si>
    <t>PO Header:</t>
  </si>
  <si>
    <t>Sales Meeting</t>
  </si>
  <si>
    <t>PO Number from PO</t>
  </si>
  <si>
    <t>COO</t>
  </si>
  <si>
    <t>Tracking Number</t>
  </si>
  <si>
    <r>
      <t xml:space="preserve">SAY TOTAL US DOLLARS </t>
    </r>
    <r>
      <rPr>
        <b/>
        <sz val="10"/>
        <color rgb="FFFF0000"/>
        <rFont val="Calibri"/>
        <family val="2"/>
        <scheme val="minor"/>
      </rPr>
      <t>*********</t>
    </r>
    <r>
      <rPr>
        <b/>
        <sz val="10"/>
        <color theme="1"/>
        <rFont val="Calibri"/>
        <family val="2"/>
        <scheme val="minor"/>
      </rPr>
      <t xml:space="preserve"> ONLY</t>
    </r>
  </si>
  <si>
    <r>
      <rPr>
        <b/>
        <sz val="10"/>
        <color rgb="FFFF0000"/>
        <rFont val="Calibri"/>
        <family val="2"/>
        <scheme val="minor"/>
      </rPr>
      <t>PO Name</t>
    </r>
    <r>
      <rPr>
        <sz val="10"/>
        <color theme="1"/>
        <rFont val="Calibri"/>
        <family val="2"/>
        <scheme val="minor"/>
      </rPr>
      <t xml:space="preserve"> - Footwear Samples</t>
    </r>
  </si>
  <si>
    <t>Commercial Invoice</t>
  </si>
  <si>
    <t>TOTAL QTY
(Pieces)</t>
  </si>
  <si>
    <t>SAMPLES OF NO COMMERCIAL VALUE; HTS CODE 9811.00.60; NOT FOR SALE; PRICE IS FOR CUSTOMS USE ONLY.</t>
  </si>
  <si>
    <t>Goleta, CA, 93117</t>
  </si>
  <si>
    <t>250 Coromar Dr.</t>
  </si>
  <si>
    <t>VIETNAM</t>
  </si>
  <si>
    <t xml:space="preserve">YIH SHUO FOOTWEAR CO., LTD </t>
  </si>
  <si>
    <t>RESIDENTIAL AREA 1, MY AN TOWNLET, THAP MUOI DISTRICT, DONG THAP PROVINCE, VIETNAM</t>
  </si>
  <si>
    <t xml:space="preserve">TEL#: 02773 940 888 </t>
  </si>
  <si>
    <t>RY#</t>
  </si>
  <si>
    <t>TOTAL QTY
(Pair)</t>
  </si>
  <si>
    <t>Unit Price 
(Pairs)
(USD)</t>
  </si>
  <si>
    <t>For account and risk of messers: FLOURISH THRIVE DEVELOPMENTS LIMITED TAIWAN BRANCH</t>
  </si>
  <si>
    <t>COLOR CODE</t>
  </si>
  <si>
    <t>COLOR
 CODE</t>
  </si>
  <si>
    <t>Date:</t>
  </si>
  <si>
    <t>YIH SHUO FOOTWEAR CO., LTD</t>
  </si>
  <si>
    <t>MANAGER</t>
  </si>
  <si>
    <t>PHAN THỊ QUYẾN</t>
  </si>
  <si>
    <t>Company Name:</t>
  </si>
  <si>
    <t>Attention:</t>
  </si>
  <si>
    <t>Ship To Address:</t>
  </si>
  <si>
    <t>N.W. (KG) (Pair)</t>
  </si>
  <si>
    <t>Qty per Carton</t>
  </si>
  <si>
    <t>Invoice</t>
  </si>
  <si>
    <t xml:space="preserve">                  5 F, No.13, Ln.370, Sec.4, YaTan Rd., Daya Dist., Taichung City, Taiwan</t>
  </si>
  <si>
    <t>COMMODITY: Footwear</t>
  </si>
  <si>
    <t>SIZE</t>
  </si>
  <si>
    <t>Order:</t>
  </si>
  <si>
    <t>SHIP TO COUNTRY: UNITED STATES</t>
  </si>
  <si>
    <t>L</t>
  </si>
  <si>
    <t>W</t>
  </si>
  <si>
    <t>H</t>
  </si>
  <si>
    <t>QTY LEFT
(Piece)</t>
  </si>
  <si>
    <t>QTY RIGHT
(Piece)</t>
  </si>
</sst>
</file>

<file path=xl/styles.xml><?xml version="1.0" encoding="utf-8"?>
<styleSheet xmlns="http://schemas.openxmlformats.org/spreadsheetml/2006/main">
  <numFmts count="1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d\-mmm\-yy;@"/>
    <numFmt numFmtId="167" formatCode="[$€-2]\ #,##0.00"/>
    <numFmt numFmtId="168" formatCode="#,##0.00_ "/>
    <numFmt numFmtId="169" formatCode="#,##0_ "/>
    <numFmt numFmtId="170" formatCode="[$$-409]#,##0.00"/>
    <numFmt numFmtId="171" formatCode="0.000"/>
    <numFmt numFmtId="172" formatCode="0.00_ "/>
    <numFmt numFmtId="173" formatCode="0.000_ "/>
    <numFmt numFmtId="174" formatCode="m/d/yy;@"/>
    <numFmt numFmtId="175" formatCode="[$-409]d\-mmm\-yyyy;@"/>
    <numFmt numFmtId="176" formatCode="0.0"/>
  </numFmts>
  <fonts count="78"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4"/>
      <name val="Times New Roman"/>
      <family val="1"/>
    </font>
    <font>
      <b/>
      <u/>
      <sz val="1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新細明體"/>
      <family val="1"/>
      <charset val="136"/>
    </font>
    <font>
      <sz val="12"/>
      <name val="新細明體"/>
      <family val="1"/>
    </font>
    <font>
      <sz val="10"/>
      <color theme="1"/>
      <name val="Times New Roman"/>
      <family val="1"/>
    </font>
    <font>
      <sz val="10"/>
      <color theme="4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20"/>
      <name val="Times New Roman"/>
      <family val="1"/>
    </font>
    <font>
      <sz val="18"/>
      <color indexed="8"/>
      <name val="Times New Roman"/>
      <family val="1"/>
    </font>
    <font>
      <b/>
      <u/>
      <sz val="10"/>
      <color indexed="8"/>
      <name val="Times New Roman"/>
      <family val="1"/>
    </font>
    <font>
      <u/>
      <sz val="10"/>
      <color indexed="8"/>
      <name val="Times New Roman"/>
      <family val="1"/>
    </font>
    <font>
      <b/>
      <u/>
      <sz val="12"/>
      <color rgb="FFFF0000"/>
      <name val="Times New Roman"/>
      <family val="1"/>
    </font>
    <font>
      <sz val="11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u/>
      <sz val="9"/>
      <name val="Times New Roman"/>
      <family val="1"/>
    </font>
    <font>
      <sz val="8"/>
      <name val="Times New Roman"/>
      <family val="1"/>
    </font>
    <font>
      <sz val="6"/>
      <name val="Times New Roman"/>
      <family val="1"/>
    </font>
    <font>
      <b/>
      <u/>
      <sz val="18"/>
      <color indexed="8"/>
      <name val="Times New Roman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</font>
    <font>
      <b/>
      <sz val="16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4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sz val="14"/>
      <color rgb="FFFF0000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u/>
      <sz val="16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b/>
      <u/>
      <sz val="14"/>
      <color indexed="8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u/>
      <sz val="14"/>
      <color indexed="8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4"/>
      <name val="Times New Roman"/>
      <family val="1"/>
    </font>
    <font>
      <b/>
      <u/>
      <sz val="20"/>
      <name val="Times New Roman"/>
      <family val="1"/>
    </font>
    <font>
      <sz val="11"/>
      <color indexed="8"/>
      <name val="Calibri"/>
      <family val="2"/>
      <scheme val="minor"/>
    </font>
    <font>
      <b/>
      <sz val="14"/>
      <color theme="1" tint="4.9989318521683403E-2"/>
      <name val="Times New Roman"/>
      <family val="1"/>
    </font>
    <font>
      <b/>
      <sz val="12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b/>
      <sz val="16"/>
      <color theme="1" tint="4.9989318521683403E-2"/>
      <name val="Times New Roman"/>
      <family val="1"/>
    </font>
    <font>
      <sz val="14"/>
      <color theme="1" tint="4.9989318521683403E-2"/>
      <name val="Times New Roman"/>
      <family val="1"/>
    </font>
    <font>
      <b/>
      <u/>
      <sz val="18"/>
      <color theme="1" tint="4.9989318521683403E-2"/>
      <name val="Times New Roman"/>
      <family val="1"/>
    </font>
    <font>
      <sz val="9"/>
      <name val="細明體"/>
      <family val="3"/>
      <charset val="136"/>
    </font>
    <font>
      <b/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18">
    <xf numFmtId="0" fontId="0" fillId="0" borderId="0"/>
    <xf numFmtId="0" fontId="3" fillId="0" borderId="0"/>
    <xf numFmtId="0" fontId="3" fillId="0" borderId="0"/>
    <xf numFmtId="0" fontId="8" fillId="0" borderId="0"/>
    <xf numFmtId="0" fontId="9" fillId="0" borderId="0"/>
    <xf numFmtId="165" fontId="3" fillId="0" borderId="0" applyFont="0" applyFill="0" applyBorder="0" applyAlignment="0" applyProtection="0"/>
    <xf numFmtId="0" fontId="8" fillId="0" borderId="0"/>
    <xf numFmtId="164" fontId="3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>
      <alignment vertical="center"/>
    </xf>
    <xf numFmtId="0" fontId="8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69" fillId="0" borderId="0"/>
    <xf numFmtId="0" fontId="1" fillId="0" borderId="0"/>
  </cellStyleXfs>
  <cellXfs count="416">
    <xf numFmtId="0" fontId="0" fillId="0" borderId="0" xfId="0"/>
    <xf numFmtId="0" fontId="7" fillId="2" borderId="4" xfId="1" applyFont="1" applyFill="1" applyBorder="1"/>
    <xf numFmtId="0" fontId="7" fillId="2" borderId="0" xfId="1" applyFont="1" applyFill="1"/>
    <xf numFmtId="0" fontId="6" fillId="4" borderId="8" xfId="6" applyFont="1" applyFill="1" applyBorder="1" applyAlignment="1">
      <alignment horizontal="center" vertical="center" wrapText="1"/>
    </xf>
    <xf numFmtId="0" fontId="12" fillId="4" borderId="8" xfId="6" applyFont="1" applyFill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/>
    </xf>
    <xf numFmtId="0" fontId="14" fillId="2" borderId="0" xfId="1" applyFont="1" applyFill="1"/>
    <xf numFmtId="0" fontId="15" fillId="0" borderId="0" xfId="0" applyFont="1" applyAlignment="1">
      <alignment vertical="center"/>
    </xf>
    <xf numFmtId="0" fontId="16" fillId="0" borderId="4" xfId="1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4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7" fillId="0" borderId="4" xfId="3" applyFont="1" applyBorder="1" applyAlignment="1">
      <alignment horizontal="center" vertical="center"/>
    </xf>
    <xf numFmtId="168" fontId="6" fillId="0" borderId="4" xfId="11" applyNumberFormat="1" applyFont="1" applyBorder="1" applyAlignment="1">
      <alignment horizontal="left" vertical="center"/>
    </xf>
    <xf numFmtId="0" fontId="13" fillId="0" borderId="4" xfId="3" applyFont="1" applyBorder="1" applyAlignment="1">
      <alignment horizontal="left" vertical="center"/>
    </xf>
    <xf numFmtId="0" fontId="13" fillId="0" borderId="4" xfId="11" applyFont="1" applyBorder="1" applyAlignment="1">
      <alignment vertical="center"/>
    </xf>
    <xf numFmtId="0" fontId="13" fillId="0" borderId="4" xfId="11" applyFont="1" applyBorder="1" applyAlignment="1">
      <alignment horizontal="left" vertical="center"/>
    </xf>
    <xf numFmtId="168" fontId="12" fillId="0" borderId="4" xfId="11" applyNumberFormat="1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4" xfId="3" applyFont="1" applyBorder="1" applyAlignment="1">
      <alignment vertical="center"/>
    </xf>
    <xf numFmtId="168" fontId="13" fillId="0" borderId="4" xfId="11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19" fillId="0" borderId="16" xfId="0" applyFont="1" applyBorder="1" applyAlignment="1">
      <alignment vertical="center"/>
    </xf>
    <xf numFmtId="0" fontId="20" fillId="0" borderId="16" xfId="3" applyFont="1" applyBorder="1" applyAlignment="1">
      <alignment horizontal="center" vertical="center"/>
    </xf>
    <xf numFmtId="168" fontId="20" fillId="0" borderId="16" xfId="3" applyNumberFormat="1" applyFont="1" applyBorder="1" applyAlignment="1">
      <alignment horizontal="center" vertical="center"/>
    </xf>
    <xf numFmtId="0" fontId="20" fillId="0" borderId="16" xfId="3" applyFont="1" applyBorder="1" applyAlignment="1">
      <alignment vertical="center"/>
    </xf>
    <xf numFmtId="0" fontId="20" fillId="0" borderId="16" xfId="3" applyFont="1" applyBorder="1" applyAlignment="1">
      <alignment horizontal="left" vertical="center"/>
    </xf>
    <xf numFmtId="0" fontId="6" fillId="4" borderId="8" xfId="0" applyFont="1" applyFill="1" applyBorder="1" applyAlignment="1">
      <alignment horizontal="center" vertical="center" shrinkToFit="1"/>
    </xf>
    <xf numFmtId="0" fontId="7" fillId="0" borderId="0" xfId="0" quotePrefix="1" applyFont="1" applyAlignment="1">
      <alignment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7" fillId="0" borderId="20" xfId="0" applyNumberFormat="1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 wrapText="1"/>
    </xf>
    <xf numFmtId="49" fontId="7" fillId="0" borderId="21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10" fillId="0" borderId="20" xfId="1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7" fillId="0" borderId="8" xfId="0" applyNumberFormat="1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 vertical="center" wrapText="1"/>
    </xf>
    <xf numFmtId="49" fontId="7" fillId="0" borderId="9" xfId="0" applyNumberFormat="1" applyFont="1" applyBorder="1" applyAlignment="1">
      <alignment horizontal="left" vertical="center"/>
    </xf>
    <xf numFmtId="0" fontId="7" fillId="0" borderId="2" xfId="0" quotePrefix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quotePrefix="1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1" xfId="0" quotePrefix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1" xfId="0" quotePrefix="1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5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4" borderId="15" xfId="0" applyFont="1" applyFill="1" applyBorder="1" applyAlignment="1">
      <alignment horizontal="center" vertical="center"/>
    </xf>
    <xf numFmtId="172" fontId="7" fillId="4" borderId="15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vertical="center"/>
    </xf>
    <xf numFmtId="173" fontId="7" fillId="4" borderId="15" xfId="0" applyNumberFormat="1" applyFont="1" applyFill="1" applyBorder="1" applyAlignment="1">
      <alignment vertical="center"/>
    </xf>
    <xf numFmtId="171" fontId="7" fillId="4" borderId="15" xfId="0" quotePrefix="1" applyNumberFormat="1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73" fontId="7" fillId="0" borderId="4" xfId="0" applyNumberFormat="1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3" fillId="0" borderId="4" xfId="3" applyFont="1" applyBorder="1" applyAlignment="1">
      <alignment horizontal="center" vertical="center"/>
    </xf>
    <xf numFmtId="168" fontId="13" fillId="0" borderId="4" xfId="3" applyNumberFormat="1" applyFont="1" applyBorder="1" applyAlignment="1">
      <alignment horizontal="center" vertical="center"/>
    </xf>
    <xf numFmtId="0" fontId="13" fillId="0" borderId="16" xfId="11" applyFont="1" applyBorder="1" applyAlignment="1">
      <alignment vertical="center"/>
    </xf>
    <xf numFmtId="0" fontId="13" fillId="0" borderId="16" xfId="3" applyFont="1" applyBorder="1" applyAlignment="1">
      <alignment horizontal="center" vertical="center"/>
    </xf>
    <xf numFmtId="168" fontId="13" fillId="0" borderId="16" xfId="3" applyNumberFormat="1" applyFont="1" applyBorder="1" applyAlignment="1">
      <alignment horizontal="center" vertical="center"/>
    </xf>
    <xf numFmtId="0" fontId="13" fillId="0" borderId="16" xfId="3" applyFont="1" applyBorder="1" applyAlignment="1">
      <alignment vertical="center"/>
    </xf>
    <xf numFmtId="0" fontId="13" fillId="0" borderId="16" xfId="3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2" fontId="21" fillId="0" borderId="0" xfId="0" applyNumberFormat="1" applyFont="1" applyAlignment="1">
      <alignment horizontal="left" vertical="center"/>
    </xf>
    <xf numFmtId="2" fontId="21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6" fillId="2" borderId="4" xfId="1" applyFont="1" applyFill="1" applyBorder="1" applyAlignment="1">
      <alignment horizontal="center"/>
    </xf>
    <xf numFmtId="0" fontId="12" fillId="4" borderId="19" xfId="6" applyFont="1" applyFill="1" applyBorder="1" applyAlignment="1">
      <alignment horizontal="center" vertical="center" wrapText="1"/>
    </xf>
    <xf numFmtId="49" fontId="10" fillId="0" borderId="8" xfId="10" applyNumberFormat="1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27" fillId="2" borderId="2" xfId="1" applyFont="1" applyFill="1" applyBorder="1"/>
    <xf numFmtId="0" fontId="27" fillId="2" borderId="3" xfId="2" applyFont="1" applyFill="1" applyBorder="1" applyAlignment="1">
      <alignment horizontal="left"/>
    </xf>
    <xf numFmtId="0" fontId="26" fillId="2" borderId="4" xfId="2" applyFont="1" applyFill="1" applyBorder="1" applyAlignment="1">
      <alignment horizontal="right"/>
    </xf>
    <xf numFmtId="1" fontId="27" fillId="2" borderId="0" xfId="1" applyNumberFormat="1" applyFont="1" applyFill="1"/>
    <xf numFmtId="165" fontId="28" fillId="0" borderId="4" xfId="5" applyFont="1" applyBorder="1" applyAlignment="1">
      <alignment horizontal="left" vertical="top"/>
    </xf>
    <xf numFmtId="1" fontId="29" fillId="3" borderId="0" xfId="1" applyNumberFormat="1" applyFont="1" applyFill="1"/>
    <xf numFmtId="0" fontId="31" fillId="2" borderId="0" xfId="1" applyFont="1" applyFill="1"/>
    <xf numFmtId="0" fontId="26" fillId="2" borderId="4" xfId="1" applyFont="1" applyFill="1" applyBorder="1"/>
    <xf numFmtId="0" fontId="26" fillId="2" borderId="0" xfId="1" applyFont="1" applyFill="1"/>
    <xf numFmtId="0" fontId="33" fillId="4" borderId="8" xfId="6" applyFont="1" applyFill="1" applyBorder="1" applyAlignment="1">
      <alignment horizontal="center" vertical="center" shrinkToFit="1"/>
    </xf>
    <xf numFmtId="0" fontId="33" fillId="4" borderId="8" xfId="7" applyNumberFormat="1" applyFont="1" applyFill="1" applyBorder="1" applyAlignment="1">
      <alignment horizontal="center" vertical="center" wrapText="1" shrinkToFit="1"/>
    </xf>
    <xf numFmtId="169" fontId="27" fillId="4" borderId="13" xfId="1" applyNumberFormat="1" applyFont="1" applyFill="1" applyBorder="1" applyAlignment="1">
      <alignment horizontal="center"/>
    </xf>
    <xf numFmtId="0" fontId="27" fillId="2" borderId="0" xfId="1" applyFont="1" applyFill="1"/>
    <xf numFmtId="168" fontId="27" fillId="4" borderId="13" xfId="1" applyNumberFormat="1" applyFont="1" applyFill="1" applyBorder="1" applyAlignment="1">
      <alignment horizontal="center"/>
    </xf>
    <xf numFmtId="0" fontId="27" fillId="3" borderId="4" xfId="1" applyFont="1" applyFill="1" applyBorder="1"/>
    <xf numFmtId="1" fontId="27" fillId="3" borderId="4" xfId="1" applyNumberFormat="1" applyFont="1" applyFill="1" applyBorder="1"/>
    <xf numFmtId="0" fontId="26" fillId="3" borderId="4" xfId="1" applyFont="1" applyFill="1" applyBorder="1" applyAlignment="1">
      <alignment horizontal="left"/>
    </xf>
    <xf numFmtId="0" fontId="27" fillId="3" borderId="4" xfId="1" applyFont="1" applyFill="1" applyBorder="1" applyAlignment="1">
      <alignment horizontal="left"/>
    </xf>
    <xf numFmtId="167" fontId="26" fillId="3" borderId="4" xfId="1" applyNumberFormat="1" applyFont="1" applyFill="1" applyBorder="1" applyAlignment="1">
      <alignment horizontal="left"/>
    </xf>
    <xf numFmtId="167" fontId="28" fillId="3" borderId="4" xfId="1" applyNumberFormat="1" applyFont="1" applyFill="1" applyBorder="1" applyAlignment="1">
      <alignment horizontal="left"/>
    </xf>
    <xf numFmtId="170" fontId="27" fillId="3" borderId="4" xfId="1" applyNumberFormat="1" applyFont="1" applyFill="1" applyBorder="1" applyAlignment="1">
      <alignment horizontal="left"/>
    </xf>
    <xf numFmtId="167" fontId="27" fillId="3" borderId="4" xfId="1" applyNumberFormat="1" applyFont="1" applyFill="1" applyBorder="1" applyAlignment="1">
      <alignment horizontal="left"/>
    </xf>
    <xf numFmtId="0" fontId="29" fillId="3" borderId="4" xfId="1" applyFont="1" applyFill="1" applyBorder="1" applyAlignment="1">
      <alignment horizontal="left"/>
    </xf>
    <xf numFmtId="167" fontId="26" fillId="3" borderId="16" xfId="1" applyNumberFormat="1" applyFont="1" applyFill="1" applyBorder="1" applyAlignment="1">
      <alignment horizontal="left"/>
    </xf>
    <xf numFmtId="1" fontId="27" fillId="3" borderId="16" xfId="1" applyNumberFormat="1" applyFont="1" applyFill="1" applyBorder="1"/>
    <xf numFmtId="0" fontId="33" fillId="4" borderId="8" xfId="6" applyFont="1" applyFill="1" applyBorder="1" applyAlignment="1">
      <alignment horizontal="center" vertical="center" wrapText="1"/>
    </xf>
    <xf numFmtId="49" fontId="27" fillId="0" borderId="9" xfId="0" applyNumberFormat="1" applyFont="1" applyBorder="1" applyAlignment="1">
      <alignment horizontal="center" vertical="center"/>
    </xf>
    <xf numFmtId="0" fontId="0" fillId="3" borderId="0" xfId="0" applyFill="1"/>
    <xf numFmtId="0" fontId="36" fillId="2" borderId="0" xfId="1" applyFont="1" applyFill="1" applyAlignment="1">
      <alignment horizontal="left"/>
    </xf>
    <xf numFmtId="0" fontId="26" fillId="2" borderId="0" xfId="2" applyFont="1" applyFill="1" applyAlignment="1">
      <alignment horizontal="left"/>
    </xf>
    <xf numFmtId="0" fontId="26" fillId="2" borderId="0" xfId="2" applyFont="1" applyFill="1"/>
    <xf numFmtId="0" fontId="37" fillId="2" borderId="0" xfId="1" applyFont="1" applyFill="1"/>
    <xf numFmtId="0" fontId="31" fillId="0" borderId="6" xfId="3" applyFont="1" applyBorder="1"/>
    <xf numFmtId="0" fontId="27" fillId="0" borderId="5" xfId="2" applyFont="1" applyBorder="1"/>
    <xf numFmtId="0" fontId="31" fillId="0" borderId="6" xfId="3" applyFont="1" applyBorder="1" applyAlignment="1">
      <alignment vertical="center"/>
    </xf>
    <xf numFmtId="0" fontId="27" fillId="0" borderId="3" xfId="1" applyFont="1" applyBorder="1"/>
    <xf numFmtId="0" fontId="27" fillId="2" borderId="3" xfId="2" applyFont="1" applyFill="1" applyBorder="1"/>
    <xf numFmtId="0" fontId="26" fillId="0" borderId="4" xfId="4" applyFont="1" applyBorder="1" applyAlignment="1">
      <alignment vertical="center"/>
    </xf>
    <xf numFmtId="0" fontId="32" fillId="0" borderId="4" xfId="4" applyFont="1" applyBorder="1" applyAlignment="1">
      <alignment vertical="center"/>
    </xf>
    <xf numFmtId="167" fontId="26" fillId="0" borderId="4" xfId="1" applyNumberFormat="1" applyFont="1" applyBorder="1" applyAlignment="1">
      <alignment horizontal="left"/>
    </xf>
    <xf numFmtId="0" fontId="29" fillId="3" borderId="0" xfId="1" applyFont="1" applyFill="1"/>
    <xf numFmtId="0" fontId="38" fillId="3" borderId="0" xfId="1" applyFont="1" applyFill="1"/>
    <xf numFmtId="0" fontId="29" fillId="3" borderId="0" xfId="1" applyFont="1" applyFill="1" applyAlignment="1">
      <alignment horizontal="center"/>
    </xf>
    <xf numFmtId="0" fontId="33" fillId="4" borderId="8" xfId="6" applyFont="1" applyFill="1" applyBorder="1" applyAlignment="1">
      <alignment horizontal="center" vertical="center"/>
    </xf>
    <xf numFmtId="0" fontId="39" fillId="0" borderId="0" xfId="0" applyFont="1"/>
    <xf numFmtId="0" fontId="35" fillId="0" borderId="8" xfId="9" applyFont="1" applyBorder="1" applyAlignment="1">
      <alignment vertical="center"/>
    </xf>
    <xf numFmtId="0" fontId="35" fillId="0" borderId="8" xfId="9" applyFont="1" applyBorder="1" applyAlignment="1">
      <alignment horizontal="center" vertical="center"/>
    </xf>
    <xf numFmtId="0" fontId="27" fillId="0" borderId="8" xfId="1" applyFont="1" applyBorder="1" applyAlignment="1">
      <alignment horizontal="center" vertical="center"/>
    </xf>
    <xf numFmtId="0" fontId="35" fillId="0" borderId="8" xfId="10" applyFont="1" applyBorder="1" applyAlignment="1">
      <alignment horizontal="center" vertical="center"/>
    </xf>
    <xf numFmtId="168" fontId="35" fillId="0" borderId="8" xfId="4" applyNumberFormat="1" applyFont="1" applyBorder="1" applyAlignment="1">
      <alignment horizontal="center" vertical="center"/>
    </xf>
    <xf numFmtId="49" fontId="34" fillId="0" borderId="8" xfId="1" applyNumberFormat="1" applyFont="1" applyBorder="1" applyAlignment="1">
      <alignment vertical="center"/>
    </xf>
    <xf numFmtId="0" fontId="27" fillId="2" borderId="8" xfId="1" applyFont="1" applyFill="1" applyBorder="1" applyAlignment="1">
      <alignment horizontal="center" vertical="center"/>
    </xf>
    <xf numFmtId="0" fontId="35" fillId="0" borderId="22" xfId="9" applyFont="1" applyBorder="1" applyAlignment="1">
      <alignment vertical="center"/>
    </xf>
    <xf numFmtId="0" fontId="35" fillId="0" borderId="0" xfId="9" applyFont="1" applyAlignment="1">
      <alignment horizontal="center" vertical="center"/>
    </xf>
    <xf numFmtId="0" fontId="27" fillId="0" borderId="10" xfId="1" applyFont="1" applyBorder="1" applyAlignment="1">
      <alignment horizontal="center" vertical="center"/>
    </xf>
    <xf numFmtId="0" fontId="35" fillId="0" borderId="10" xfId="9" applyFont="1" applyBorder="1" applyAlignment="1">
      <alignment horizontal="center" vertical="center"/>
    </xf>
    <xf numFmtId="0" fontId="27" fillId="2" borderId="0" xfId="1" applyFont="1" applyFill="1" applyAlignment="1">
      <alignment horizontal="center" vertical="center"/>
    </xf>
    <xf numFmtId="0" fontId="35" fillId="0" borderId="23" xfId="10" applyFont="1" applyBorder="1" applyAlignment="1">
      <alignment horizontal="center" vertical="center"/>
    </xf>
    <xf numFmtId="168" fontId="35" fillId="0" borderId="12" xfId="4" applyNumberFormat="1" applyFont="1" applyBorder="1" applyAlignment="1">
      <alignment horizontal="center" vertical="center"/>
    </xf>
    <xf numFmtId="168" fontId="35" fillId="0" borderId="23" xfId="4" applyNumberFormat="1" applyFont="1" applyBorder="1" applyAlignment="1">
      <alignment horizontal="center" vertical="center"/>
    </xf>
    <xf numFmtId="0" fontId="26" fillId="0" borderId="4" xfId="1" applyFont="1" applyBorder="1"/>
    <xf numFmtId="1" fontId="27" fillId="0" borderId="4" xfId="1" applyNumberFormat="1" applyFont="1" applyBorder="1"/>
    <xf numFmtId="0" fontId="27" fillId="0" borderId="4" xfId="1" applyFont="1" applyBorder="1" applyAlignment="1">
      <alignment horizontal="center"/>
    </xf>
    <xf numFmtId="0" fontId="27" fillId="0" borderId="14" xfId="1" applyFont="1" applyBorder="1" applyAlignment="1">
      <alignment horizontal="center"/>
    </xf>
    <xf numFmtId="169" fontId="27" fillId="0" borderId="0" xfId="1" applyNumberFormat="1" applyFont="1" applyAlignment="1">
      <alignment horizontal="center"/>
    </xf>
    <xf numFmtId="168" fontId="27" fillId="0" borderId="28" xfId="1" applyNumberFormat="1" applyFont="1" applyBorder="1" applyAlignment="1">
      <alignment horizontal="center"/>
    </xf>
    <xf numFmtId="169" fontId="27" fillId="0" borderId="4" xfId="1" applyNumberFormat="1" applyFont="1" applyBorder="1" applyAlignment="1">
      <alignment horizontal="center"/>
    </xf>
    <xf numFmtId="168" fontId="27" fillId="0" borderId="4" xfId="1" applyNumberFormat="1" applyFont="1" applyBorder="1" applyAlignment="1">
      <alignment horizontal="center"/>
    </xf>
    <xf numFmtId="0" fontId="27" fillId="2" borderId="7" xfId="1" applyFont="1" applyFill="1" applyBorder="1"/>
    <xf numFmtId="0" fontId="27" fillId="3" borderId="4" xfId="1" applyFont="1" applyFill="1" applyBorder="1" applyAlignment="1">
      <alignment horizontal="center"/>
    </xf>
    <xf numFmtId="0" fontId="27" fillId="0" borderId="4" xfId="1" applyFont="1" applyBorder="1"/>
    <xf numFmtId="0" fontId="27" fillId="0" borderId="7" xfId="1" applyFont="1" applyBorder="1" applyAlignment="1">
      <alignment horizontal="center"/>
    </xf>
    <xf numFmtId="0" fontId="27" fillId="0" borderId="4" xfId="1" applyFont="1" applyBorder="1" applyAlignment="1">
      <alignment vertical="top"/>
    </xf>
    <xf numFmtId="0" fontId="26" fillId="0" borderId="4" xfId="1" applyFont="1" applyBorder="1" applyAlignment="1">
      <alignment vertical="top"/>
    </xf>
    <xf numFmtId="164" fontId="27" fillId="0" borderId="7" xfId="7" applyFont="1" applyBorder="1"/>
    <xf numFmtId="170" fontId="27" fillId="3" borderId="4" xfId="1" applyNumberFormat="1" applyFont="1" applyFill="1" applyBorder="1" applyAlignment="1">
      <alignment horizontal="center"/>
    </xf>
    <xf numFmtId="0" fontId="28" fillId="3" borderId="4" xfId="1" applyFont="1" applyFill="1" applyBorder="1"/>
    <xf numFmtId="167" fontId="27" fillId="3" borderId="4" xfId="1" applyNumberFormat="1" applyFont="1" applyFill="1" applyBorder="1" applyAlignment="1">
      <alignment horizontal="center"/>
    </xf>
    <xf numFmtId="0" fontId="27" fillId="3" borderId="16" xfId="1" applyFont="1" applyFill="1" applyBorder="1" applyAlignment="1">
      <alignment horizontal="center"/>
    </xf>
    <xf numFmtId="0" fontId="27" fillId="0" borderId="16" xfId="1" applyFont="1" applyBorder="1"/>
    <xf numFmtId="0" fontId="27" fillId="0" borderId="17" xfId="1" applyFont="1" applyBorder="1"/>
    <xf numFmtId="167" fontId="35" fillId="0" borderId="4" xfId="1" applyNumberFormat="1" applyFont="1" applyBorder="1" applyAlignment="1">
      <alignment horizontal="left"/>
    </xf>
    <xf numFmtId="0" fontId="31" fillId="3" borderId="4" xfId="1" applyFont="1" applyFill="1" applyBorder="1"/>
    <xf numFmtId="0" fontId="40" fillId="0" borderId="5" xfId="1" applyFont="1" applyBorder="1"/>
    <xf numFmtId="1" fontId="31" fillId="3" borderId="16" xfId="1" applyNumberFormat="1" applyFont="1" applyFill="1" applyBorder="1"/>
    <xf numFmtId="0" fontId="32" fillId="0" borderId="4" xfId="1" applyFont="1" applyBorder="1"/>
    <xf numFmtId="174" fontId="35" fillId="0" borderId="4" xfId="1" applyNumberFormat="1" applyFont="1" applyBorder="1" applyAlignment="1">
      <alignment horizontal="left"/>
    </xf>
    <xf numFmtId="0" fontId="44" fillId="0" borderId="0" xfId="1" applyFont="1" applyAlignment="1">
      <alignment vertical="center" wrapText="1"/>
    </xf>
    <xf numFmtId="0" fontId="45" fillId="0" borderId="0" xfId="0" applyFont="1"/>
    <xf numFmtId="0" fontId="44" fillId="0" borderId="0" xfId="1" applyFont="1"/>
    <xf numFmtId="0" fontId="46" fillId="0" borderId="0" xfId="1" applyFont="1" applyAlignment="1">
      <alignment vertical="center"/>
    </xf>
    <xf numFmtId="0" fontId="47" fillId="0" borderId="0" xfId="1" applyFont="1" applyAlignment="1">
      <alignment vertical="center"/>
    </xf>
    <xf numFmtId="168" fontId="47" fillId="0" borderId="1" xfId="1" applyNumberFormat="1" applyFont="1" applyBorder="1" applyAlignment="1">
      <alignment horizontal="center"/>
    </xf>
    <xf numFmtId="168" fontId="47" fillId="0" borderId="0" xfId="1" applyNumberFormat="1" applyFont="1" applyAlignment="1">
      <alignment horizontal="center"/>
    </xf>
    <xf numFmtId="168" fontId="47" fillId="0" borderId="6" xfId="1" applyNumberFormat="1" applyFont="1" applyBorder="1" applyAlignment="1">
      <alignment horizontal="center"/>
    </xf>
    <xf numFmtId="0" fontId="49" fillId="0" borderId="0" xfId="1" applyFont="1"/>
    <xf numFmtId="0" fontId="48" fillId="0" borderId="0" xfId="1" applyFont="1"/>
    <xf numFmtId="0" fontId="51" fillId="0" borderId="0" xfId="1" applyFont="1"/>
    <xf numFmtId="0" fontId="55" fillId="2" borderId="4" xfId="1" applyFont="1" applyFill="1" applyBorder="1"/>
    <xf numFmtId="0" fontId="48" fillId="0" borderId="7" xfId="1" applyFont="1" applyBorder="1"/>
    <xf numFmtId="0" fontId="44" fillId="0" borderId="7" xfId="1" applyFont="1" applyBorder="1"/>
    <xf numFmtId="168" fontId="47" fillId="0" borderId="7" xfId="1" applyNumberFormat="1" applyFont="1" applyBorder="1" applyAlignment="1">
      <alignment horizontal="center"/>
    </xf>
    <xf numFmtId="168" fontId="47" fillId="0" borderId="18" xfId="1" applyNumberFormat="1" applyFont="1" applyBorder="1" applyAlignment="1">
      <alignment horizontal="center"/>
    </xf>
    <xf numFmtId="0" fontId="47" fillId="0" borderId="18" xfId="1" applyFont="1" applyBorder="1" applyAlignment="1">
      <alignment horizontal="center"/>
    </xf>
    <xf numFmtId="0" fontId="48" fillId="0" borderId="16" xfId="0" applyFont="1" applyBorder="1" applyAlignment="1">
      <alignment vertical="center"/>
    </xf>
    <xf numFmtId="0" fontId="48" fillId="0" borderId="16" xfId="0" applyFont="1" applyBorder="1" applyAlignment="1">
      <alignment horizontal="center" vertical="center"/>
    </xf>
    <xf numFmtId="0" fontId="48" fillId="0" borderId="16" xfId="0" applyFont="1" applyBorder="1" applyAlignment="1">
      <alignment horizontal="left" vertical="center"/>
    </xf>
    <xf numFmtId="0" fontId="54" fillId="0" borderId="16" xfId="3" applyFont="1" applyBorder="1" applyAlignment="1">
      <alignment horizontal="center" vertical="center"/>
    </xf>
    <xf numFmtId="168" fontId="54" fillId="0" borderId="16" xfId="3" applyNumberFormat="1" applyFont="1" applyBorder="1" applyAlignment="1">
      <alignment horizontal="center" vertical="center"/>
    </xf>
    <xf numFmtId="0" fontId="55" fillId="0" borderId="15" xfId="0" applyFont="1" applyBorder="1" applyAlignment="1">
      <alignment vertical="center"/>
    </xf>
    <xf numFmtId="0" fontId="48" fillId="0" borderId="15" xfId="0" applyFont="1" applyBorder="1" applyAlignment="1">
      <alignment vertical="center"/>
    </xf>
    <xf numFmtId="0" fontId="48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horizontal="left" vertical="center"/>
    </xf>
    <xf numFmtId="0" fontId="48" fillId="0" borderId="1" xfId="1" applyFont="1" applyBorder="1"/>
    <xf numFmtId="167" fontId="55" fillId="0" borderId="16" xfId="1" applyNumberFormat="1" applyFont="1" applyBorder="1" applyAlignment="1">
      <alignment horizontal="left"/>
    </xf>
    <xf numFmtId="1" fontId="44" fillId="0" borderId="16" xfId="1" applyNumberFormat="1" applyFont="1" applyBorder="1"/>
    <xf numFmtId="1" fontId="48" fillId="0" borderId="16" xfId="1" applyNumberFormat="1" applyFont="1" applyBorder="1"/>
    <xf numFmtId="0" fontId="48" fillId="0" borderId="16" xfId="1" applyFont="1" applyBorder="1" applyAlignment="1">
      <alignment horizontal="center"/>
    </xf>
    <xf numFmtId="0" fontId="48" fillId="0" borderId="16" xfId="1" applyFont="1" applyBorder="1"/>
    <xf numFmtId="0" fontId="48" fillId="0" borderId="17" xfId="1" applyFont="1" applyBorder="1"/>
    <xf numFmtId="167" fontId="55" fillId="0" borderId="0" xfId="1" applyNumberFormat="1" applyFont="1" applyAlignment="1">
      <alignment horizontal="left"/>
    </xf>
    <xf numFmtId="1" fontId="44" fillId="0" borderId="0" xfId="1" applyNumberFormat="1" applyFont="1"/>
    <xf numFmtId="1" fontId="48" fillId="0" borderId="0" xfId="1" applyNumberFormat="1" applyFont="1"/>
    <xf numFmtId="0" fontId="48" fillId="0" borderId="0" xfId="1" applyFont="1" applyAlignment="1">
      <alignment horizontal="center"/>
    </xf>
    <xf numFmtId="0" fontId="57" fillId="0" borderId="4" xfId="11" applyFont="1" applyBorder="1" applyAlignment="1">
      <alignment horizontal="left" vertical="center"/>
    </xf>
    <xf numFmtId="0" fontId="57" fillId="0" borderId="4" xfId="3" applyFont="1" applyBorder="1" applyAlignment="1">
      <alignment horizontal="left" vertical="center"/>
    </xf>
    <xf numFmtId="0" fontId="58" fillId="0" borderId="4" xfId="11" applyFont="1" applyBorder="1" applyAlignment="1">
      <alignment horizontal="left" vertical="center"/>
    </xf>
    <xf numFmtId="0" fontId="52" fillId="0" borderId="4" xfId="3" applyFont="1" applyBorder="1" applyAlignment="1">
      <alignment vertical="center"/>
    </xf>
    <xf numFmtId="0" fontId="52" fillId="0" borderId="4" xfId="3" applyFont="1" applyBorder="1" applyAlignment="1">
      <alignment horizontal="left" vertical="center"/>
    </xf>
    <xf numFmtId="0" fontId="55" fillId="5" borderId="20" xfId="0" applyFont="1" applyFill="1" applyBorder="1" applyAlignment="1">
      <alignment horizontal="center" vertical="center"/>
    </xf>
    <xf numFmtId="0" fontId="55" fillId="5" borderId="20" xfId="0" applyFont="1" applyFill="1" applyBorder="1" applyAlignment="1">
      <alignment horizontal="left" vertical="center"/>
    </xf>
    <xf numFmtId="0" fontId="43" fillId="0" borderId="18" xfId="1" applyFont="1" applyBorder="1" applyAlignment="1">
      <alignment horizontal="center"/>
    </xf>
    <xf numFmtId="0" fontId="59" fillId="0" borderId="4" xfId="11" applyFont="1" applyBorder="1" applyAlignment="1">
      <alignment horizontal="center" vertical="center"/>
    </xf>
    <xf numFmtId="0" fontId="60" fillId="2" borderId="4" xfId="1" applyFont="1" applyFill="1" applyBorder="1"/>
    <xf numFmtId="0" fontId="61" fillId="0" borderId="0" xfId="0" applyFont="1"/>
    <xf numFmtId="0" fontId="62" fillId="0" borderId="7" xfId="1" applyFont="1" applyBorder="1"/>
    <xf numFmtId="0" fontId="63" fillId="0" borderId="0" xfId="1" applyFont="1"/>
    <xf numFmtId="0" fontId="58" fillId="0" borderId="4" xfId="3" applyFont="1" applyBorder="1" applyAlignment="1">
      <alignment vertical="center"/>
    </xf>
    <xf numFmtId="0" fontId="64" fillId="0" borderId="4" xfId="3" applyFont="1" applyBorder="1" applyAlignment="1">
      <alignment horizontal="center" vertical="center"/>
    </xf>
    <xf numFmtId="168" fontId="60" fillId="0" borderId="4" xfId="11" applyNumberFormat="1" applyFont="1" applyBorder="1" applyAlignment="1">
      <alignment horizontal="left" vertical="center"/>
    </xf>
    <xf numFmtId="174" fontId="62" fillId="0" borderId="18" xfId="1" applyNumberFormat="1" applyFont="1" applyBorder="1"/>
    <xf numFmtId="0" fontId="62" fillId="0" borderId="0" xfId="1" applyFont="1"/>
    <xf numFmtId="0" fontId="60" fillId="0" borderId="4" xfId="3" applyFont="1" applyBorder="1" applyAlignment="1">
      <alignment vertical="center"/>
    </xf>
    <xf numFmtId="0" fontId="52" fillId="0" borderId="7" xfId="1" applyFont="1" applyBorder="1"/>
    <xf numFmtId="168" fontId="55" fillId="0" borderId="1" xfId="1" applyNumberFormat="1" applyFont="1" applyBorder="1" applyAlignment="1">
      <alignment horizontal="left"/>
    </xf>
    <xf numFmtId="0" fontId="55" fillId="2" borderId="0" xfId="1" applyFont="1" applyFill="1" applyAlignment="1">
      <alignment horizontal="right"/>
    </xf>
    <xf numFmtId="0" fontId="55" fillId="2" borderId="0" xfId="2" applyFont="1" applyFill="1"/>
    <xf numFmtId="0" fontId="48" fillId="2" borderId="4" xfId="1" applyFont="1" applyFill="1" applyBorder="1"/>
    <xf numFmtId="0" fontId="65" fillId="0" borderId="32" xfId="1" applyFont="1" applyBorder="1"/>
    <xf numFmtId="0" fontId="48" fillId="3" borderId="0" xfId="1" applyFont="1" applyFill="1"/>
    <xf numFmtId="0" fontId="48" fillId="2" borderId="16" xfId="2" applyFont="1" applyFill="1" applyBorder="1" applyAlignment="1">
      <alignment horizontal="left"/>
    </xf>
    <xf numFmtId="0" fontId="44" fillId="0" borderId="6" xfId="3" applyFont="1" applyBorder="1" applyAlignment="1">
      <alignment vertical="center"/>
    </xf>
    <xf numFmtId="0" fontId="44" fillId="3" borderId="6" xfId="3" applyFont="1" applyFill="1" applyBorder="1" applyAlignment="1">
      <alignment vertical="center"/>
    </xf>
    <xf numFmtId="0" fontId="48" fillId="2" borderId="0" xfId="2" applyFont="1" applyFill="1" applyAlignment="1">
      <alignment horizontal="left"/>
    </xf>
    <xf numFmtId="0" fontId="55" fillId="2" borderId="0" xfId="2" applyFont="1" applyFill="1" applyAlignment="1">
      <alignment horizontal="right"/>
    </xf>
    <xf numFmtId="1" fontId="48" fillId="2" borderId="0" xfId="1" applyNumberFormat="1" applyFont="1" applyFill="1"/>
    <xf numFmtId="165" fontId="67" fillId="0" borderId="0" xfId="5" applyFont="1" applyBorder="1" applyAlignment="1">
      <alignment horizontal="left" vertical="top"/>
    </xf>
    <xf numFmtId="1" fontId="50" fillId="3" borderId="0" xfId="1" applyNumberFormat="1" applyFont="1" applyFill="1"/>
    <xf numFmtId="0" fontId="55" fillId="2" borderId="24" xfId="1" applyFont="1" applyFill="1" applyBorder="1"/>
    <xf numFmtId="0" fontId="53" fillId="5" borderId="8" xfId="6" applyFont="1" applyFill="1" applyBorder="1" applyAlignment="1">
      <alignment horizontal="center" vertical="center" shrinkToFit="1"/>
    </xf>
    <xf numFmtId="0" fontId="53" fillId="5" borderId="8" xfId="6" applyFont="1" applyFill="1" applyBorder="1" applyAlignment="1">
      <alignment horizontal="center" vertical="center"/>
    </xf>
    <xf numFmtId="0" fontId="53" fillId="5" borderId="8" xfId="7" applyNumberFormat="1" applyFont="1" applyFill="1" applyBorder="1" applyAlignment="1">
      <alignment horizontal="center" vertical="center" wrapText="1" shrinkToFit="1"/>
    </xf>
    <xf numFmtId="0" fontId="55" fillId="0" borderId="15" xfId="1" applyFont="1" applyBorder="1"/>
    <xf numFmtId="1" fontId="48" fillId="0" borderId="15" xfId="1" applyNumberFormat="1" applyFont="1" applyBorder="1"/>
    <xf numFmtId="0" fontId="48" fillId="0" borderId="15" xfId="1" applyFont="1" applyBorder="1" applyAlignment="1">
      <alignment horizontal="center"/>
    </xf>
    <xf numFmtId="169" fontId="48" fillId="0" borderId="0" xfId="1" applyNumberFormat="1" applyFont="1" applyAlignment="1">
      <alignment horizontal="center"/>
    </xf>
    <xf numFmtId="168" fontId="48" fillId="0" borderId="28" xfId="1" applyNumberFormat="1" applyFont="1" applyBorder="1" applyAlignment="1">
      <alignment horizontal="center"/>
    </xf>
    <xf numFmtId="0" fontId="48" fillId="3" borderId="4" xfId="1" applyFont="1" applyFill="1" applyBorder="1"/>
    <xf numFmtId="1" fontId="48" fillId="3" borderId="4" xfId="1" applyNumberFormat="1" applyFont="1" applyFill="1" applyBorder="1"/>
    <xf numFmtId="0" fontId="55" fillId="3" borderId="4" xfId="1" applyFont="1" applyFill="1" applyBorder="1" applyAlignment="1">
      <alignment horizontal="left"/>
    </xf>
    <xf numFmtId="167" fontId="45" fillId="0" borderId="4" xfId="1" applyNumberFormat="1" applyFont="1" applyBorder="1" applyAlignment="1">
      <alignment horizontal="left"/>
    </xf>
    <xf numFmtId="0" fontId="48" fillId="3" borderId="4" xfId="1" applyFont="1" applyFill="1" applyBorder="1" applyAlignment="1">
      <alignment horizontal="center"/>
    </xf>
    <xf numFmtId="0" fontId="55" fillId="0" borderId="4" xfId="1" applyFont="1" applyBorder="1" applyAlignment="1">
      <alignment vertical="top"/>
    </xf>
    <xf numFmtId="0" fontId="48" fillId="0" borderId="7" xfId="1" applyFont="1" applyBorder="1" applyAlignment="1">
      <alignment vertical="top"/>
    </xf>
    <xf numFmtId="0" fontId="48" fillId="3" borderId="7" xfId="1" applyFont="1" applyFill="1" applyBorder="1" applyAlignment="1">
      <alignment horizontal="center"/>
    </xf>
    <xf numFmtId="0" fontId="55" fillId="0" borderId="18" xfId="1" applyFont="1" applyBorder="1" applyAlignment="1">
      <alignment vertical="top"/>
    </xf>
    <xf numFmtId="0" fontId="48" fillId="0" borderId="18" xfId="1" applyFont="1" applyBorder="1" applyAlignment="1">
      <alignment vertical="top"/>
    </xf>
    <xf numFmtId="167" fontId="55" fillId="3" borderId="4" xfId="1" applyNumberFormat="1" applyFont="1" applyFill="1" applyBorder="1" applyAlignment="1">
      <alignment horizontal="left"/>
    </xf>
    <xf numFmtId="167" fontId="48" fillId="3" borderId="4" xfId="1" applyNumberFormat="1" applyFont="1" applyFill="1" applyBorder="1" applyAlignment="1">
      <alignment horizontal="left"/>
    </xf>
    <xf numFmtId="0" fontId="45" fillId="0" borderId="8" xfId="9" applyFont="1" applyBorder="1" applyAlignment="1">
      <alignment horizontal="center" vertical="center" wrapText="1"/>
    </xf>
    <xf numFmtId="175" fontId="48" fillId="0" borderId="7" xfId="1" applyNumberFormat="1" applyFont="1" applyBorder="1"/>
    <xf numFmtId="175" fontId="48" fillId="0" borderId="18" xfId="1" applyNumberFormat="1" applyFont="1" applyBorder="1"/>
    <xf numFmtId="0" fontId="48" fillId="0" borderId="0" xfId="1" applyFont="1" applyAlignment="1">
      <alignment horizontal="left"/>
    </xf>
    <xf numFmtId="0" fontId="53" fillId="5" borderId="8" xfId="6" applyFont="1" applyFill="1" applyBorder="1" applyAlignment="1">
      <alignment horizontal="center" vertical="center" wrapText="1" shrinkToFit="1"/>
    </xf>
    <xf numFmtId="0" fontId="66" fillId="3" borderId="4" xfId="1" applyFont="1" applyFill="1" applyBorder="1"/>
    <xf numFmtId="0" fontId="45" fillId="3" borderId="4" xfId="1" applyFont="1" applyFill="1" applyBorder="1"/>
    <xf numFmtId="0" fontId="45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7" fillId="0" borderId="7" xfId="11" applyFont="1" applyBorder="1" applyAlignment="1">
      <alignment horizontal="left" vertical="center"/>
    </xf>
    <xf numFmtId="0" fontId="64" fillId="0" borderId="18" xfId="3" applyFont="1" applyBorder="1" applyAlignment="1">
      <alignment horizontal="center" vertical="center"/>
    </xf>
    <xf numFmtId="0" fontId="58" fillId="0" borderId="18" xfId="11" applyFont="1" applyBorder="1" applyAlignment="1">
      <alignment horizontal="left" vertical="center"/>
    </xf>
    <xf numFmtId="0" fontId="52" fillId="0" borderId="18" xfId="3" applyFont="1" applyBorder="1" applyAlignment="1">
      <alignment horizontal="left" vertical="center"/>
    </xf>
    <xf numFmtId="0" fontId="60" fillId="0" borderId="18" xfId="3" applyFont="1" applyBorder="1" applyAlignment="1">
      <alignment vertical="center"/>
    </xf>
    <xf numFmtId="0" fontId="52" fillId="0" borderId="18" xfId="1" applyFont="1" applyBorder="1"/>
    <xf numFmtId="0" fontId="61" fillId="0" borderId="0" xfId="0" applyFont="1" applyAlignment="1">
      <alignment horizontal="left"/>
    </xf>
    <xf numFmtId="168" fontId="55" fillId="0" borderId="0" xfId="1" applyNumberFormat="1" applyFont="1" applyAlignment="1">
      <alignment horizontal="left"/>
    </xf>
    <xf numFmtId="0" fontId="55" fillId="5" borderId="20" xfId="0" applyFont="1" applyFill="1" applyBorder="1" applyAlignment="1">
      <alignment vertical="center"/>
    </xf>
    <xf numFmtId="0" fontId="48" fillId="5" borderId="20" xfId="0" applyFont="1" applyFill="1" applyBorder="1" applyAlignment="1">
      <alignment vertical="center"/>
    </xf>
    <xf numFmtId="0" fontId="66" fillId="0" borderId="4" xfId="1" applyFont="1" applyBorder="1"/>
    <xf numFmtId="1" fontId="48" fillId="0" borderId="4" xfId="1" applyNumberFormat="1" applyFont="1" applyBorder="1"/>
    <xf numFmtId="171" fontId="55" fillId="5" borderId="20" xfId="0" applyNumberFormat="1" applyFont="1" applyFill="1" applyBorder="1" applyAlignment="1">
      <alignment horizontal="center" vertical="center"/>
    </xf>
    <xf numFmtId="2" fontId="55" fillId="5" borderId="2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2" fillId="0" borderId="18" xfId="11" applyFont="1" applyBorder="1" applyAlignment="1">
      <alignment horizontal="center" vertical="center"/>
    </xf>
    <xf numFmtId="0" fontId="43" fillId="0" borderId="18" xfId="1" applyFont="1" applyBorder="1" applyAlignment="1">
      <alignment horizontal="center" vertical="center"/>
    </xf>
    <xf numFmtId="0" fontId="47" fillId="0" borderId="18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55" fillId="2" borderId="17" xfId="2" applyFont="1" applyFill="1" applyBorder="1" applyAlignment="1">
      <alignment horizontal="right"/>
    </xf>
    <xf numFmtId="0" fontId="65" fillId="0" borderId="33" xfId="1" applyFont="1" applyBorder="1"/>
    <xf numFmtId="1" fontId="55" fillId="0" borderId="4" xfId="1" applyNumberFormat="1" applyFont="1" applyBorder="1"/>
    <xf numFmtId="1" fontId="55" fillId="5" borderId="20" xfId="0" applyNumberFormat="1" applyFont="1" applyFill="1" applyBorder="1" applyAlignment="1">
      <alignment horizontal="center" vertical="center"/>
    </xf>
    <xf numFmtId="168" fontId="43" fillId="0" borderId="7" xfId="1" applyNumberFormat="1" applyFont="1" applyBorder="1" applyAlignment="1">
      <alignment horizontal="center"/>
    </xf>
    <xf numFmtId="168" fontId="43" fillId="0" borderId="18" xfId="1" applyNumberFormat="1" applyFont="1" applyBorder="1" applyAlignment="1">
      <alignment horizontal="center"/>
    </xf>
    <xf numFmtId="1" fontId="45" fillId="0" borderId="8" xfId="10" applyNumberFormat="1" applyFont="1" applyBorder="1" applyAlignment="1">
      <alignment horizontal="center" vertical="center"/>
    </xf>
    <xf numFmtId="0" fontId="48" fillId="0" borderId="34" xfId="1" applyFont="1" applyBorder="1"/>
    <xf numFmtId="4" fontId="45" fillId="0" borderId="8" xfId="4" applyNumberFormat="1" applyFont="1" applyBorder="1" applyAlignment="1">
      <alignment horizontal="center" vertical="center"/>
    </xf>
    <xf numFmtId="0" fontId="55" fillId="2" borderId="0" xfId="2" applyFont="1" applyFill="1" applyAlignment="1">
      <alignment horizontal="left"/>
    </xf>
    <xf numFmtId="168" fontId="52" fillId="0" borderId="28" xfId="1" applyNumberFormat="1" applyFont="1" applyBorder="1" applyAlignment="1">
      <alignment horizontal="center"/>
    </xf>
    <xf numFmtId="168" fontId="52" fillId="0" borderId="6" xfId="1" applyNumberFormat="1" applyFont="1" applyBorder="1" applyAlignment="1">
      <alignment horizontal="center"/>
    </xf>
    <xf numFmtId="0" fontId="53" fillId="5" borderId="8" xfId="6" applyFont="1" applyFill="1" applyBorder="1" applyAlignment="1">
      <alignment horizontal="center" vertical="center" wrapText="1"/>
    </xf>
    <xf numFmtId="0" fontId="55" fillId="5" borderId="8" xfId="6" applyFont="1" applyFill="1" applyBorder="1" applyAlignment="1">
      <alignment horizontal="center" vertical="center" wrapText="1"/>
    </xf>
    <xf numFmtId="0" fontId="71" fillId="2" borderId="4" xfId="1" applyFont="1" applyFill="1" applyBorder="1" applyAlignment="1">
      <alignment horizontal="right" vertical="center"/>
    </xf>
    <xf numFmtId="0" fontId="71" fillId="0" borderId="6" xfId="3" applyFont="1" applyBorder="1" applyAlignment="1">
      <alignment vertical="center"/>
    </xf>
    <xf numFmtId="0" fontId="71" fillId="0" borderId="24" xfId="4" applyFont="1" applyBorder="1" applyAlignment="1">
      <alignment horizontal="right" vertical="center"/>
    </xf>
    <xf numFmtId="175" fontId="72" fillId="0" borderId="7" xfId="1" applyNumberFormat="1" applyFont="1" applyBorder="1" applyAlignment="1">
      <alignment horizontal="left" vertical="center"/>
    </xf>
    <xf numFmtId="0" fontId="71" fillId="2" borderId="0" xfId="1" applyFont="1" applyFill="1" applyAlignment="1">
      <alignment horizontal="right" vertical="center"/>
    </xf>
    <xf numFmtId="0" fontId="71" fillId="0" borderId="7" xfId="1" applyFont="1" applyBorder="1" applyAlignment="1">
      <alignment vertical="center"/>
    </xf>
    <xf numFmtId="0" fontId="72" fillId="0" borderId="7" xfId="1" applyFont="1" applyBorder="1" applyAlignment="1">
      <alignment vertical="center"/>
    </xf>
    <xf numFmtId="0" fontId="71" fillId="2" borderId="24" xfId="1" applyFont="1" applyFill="1" applyBorder="1" applyAlignment="1">
      <alignment horizontal="right" vertical="center"/>
    </xf>
    <xf numFmtId="0" fontId="72" fillId="0" borderId="8" xfId="9" quotePrefix="1" applyFont="1" applyBorder="1" applyAlignment="1">
      <alignment horizontal="center" vertical="center"/>
    </xf>
    <xf numFmtId="0" fontId="70" fillId="0" borderId="4" xfId="0" applyFont="1" applyBorder="1" applyAlignment="1">
      <alignment horizontal="left" vertical="center"/>
    </xf>
    <xf numFmtId="0" fontId="74" fillId="0" borderId="0" xfId="0" applyFont="1" applyAlignment="1">
      <alignment horizontal="left"/>
    </xf>
    <xf numFmtId="0" fontId="70" fillId="0" borderId="4" xfId="11" applyFont="1" applyBorder="1" applyAlignment="1">
      <alignment horizontal="left" vertical="center"/>
    </xf>
    <xf numFmtId="176" fontId="55" fillId="5" borderId="20" xfId="0" applyNumberFormat="1" applyFont="1" applyFill="1" applyBorder="1" applyAlignment="1">
      <alignment horizontal="center" vertical="center"/>
    </xf>
    <xf numFmtId="0" fontId="55" fillId="5" borderId="11" xfId="1" applyFont="1" applyFill="1" applyBorder="1" applyAlignment="1">
      <alignment horizontal="center" vertical="center" wrapText="1"/>
    </xf>
    <xf numFmtId="0" fontId="55" fillId="5" borderId="2" xfId="1" applyFont="1" applyFill="1" applyBorder="1" applyAlignment="1">
      <alignment horizontal="center" vertical="center" wrapText="1"/>
    </xf>
    <xf numFmtId="175" fontId="70" fillId="0" borderId="0" xfId="1" applyNumberFormat="1" applyFont="1" applyAlignment="1">
      <alignment horizontal="left" vertical="center"/>
    </xf>
    <xf numFmtId="0" fontId="45" fillId="3" borderId="8" xfId="0" applyFont="1" applyFill="1" applyBorder="1" applyAlignment="1">
      <alignment horizontal="center" vertical="center"/>
    </xf>
    <xf numFmtId="0" fontId="45" fillId="0" borderId="8" xfId="15" applyFont="1" applyBorder="1" applyAlignment="1">
      <alignment horizontal="center" vertical="center"/>
    </xf>
    <xf numFmtId="0" fontId="72" fillId="3" borderId="8" xfId="9" quotePrefix="1" applyFont="1" applyFill="1" applyBorder="1" applyAlignment="1">
      <alignment horizontal="center" vertical="center"/>
    </xf>
    <xf numFmtId="0" fontId="54" fillId="0" borderId="17" xfId="3" applyFont="1" applyBorder="1" applyAlignment="1">
      <alignment horizontal="left" vertical="center"/>
    </xf>
    <xf numFmtId="0" fontId="48" fillId="0" borderId="1" xfId="0" applyFont="1" applyBorder="1" applyAlignment="1">
      <alignment vertical="center"/>
    </xf>
    <xf numFmtId="0" fontId="71" fillId="2" borderId="6" xfId="1" applyFont="1" applyFill="1" applyBorder="1" applyAlignment="1">
      <alignment horizontal="right" vertical="center"/>
    </xf>
    <xf numFmtId="0" fontId="71" fillId="0" borderId="18" xfId="4" applyFont="1" applyBorder="1" applyAlignment="1">
      <alignment horizontal="right" vertical="center"/>
    </xf>
    <xf numFmtId="0" fontId="71" fillId="2" borderId="18" xfId="1" applyFont="1" applyFill="1" applyBorder="1" applyAlignment="1">
      <alignment horizontal="right" vertical="center"/>
    </xf>
    <xf numFmtId="0" fontId="55" fillId="2" borderId="0" xfId="1" applyFont="1" applyFill="1"/>
    <xf numFmtId="0" fontId="48" fillId="3" borderId="18" xfId="1" applyFont="1" applyFill="1" applyBorder="1" applyAlignment="1">
      <alignment horizontal="center"/>
    </xf>
    <xf numFmtId="15" fontId="48" fillId="0" borderId="8" xfId="0" applyNumberFormat="1" applyFont="1" applyFill="1" applyBorder="1" applyAlignment="1">
      <alignment horizontal="center" vertical="center"/>
    </xf>
    <xf numFmtId="2" fontId="45" fillId="0" borderId="8" xfId="14" applyNumberFormat="1" applyFont="1" applyBorder="1" applyAlignment="1">
      <alignment horizontal="center" vertical="center"/>
    </xf>
    <xf numFmtId="175" fontId="70" fillId="0" borderId="1" xfId="1" applyNumberFormat="1" applyFont="1" applyBorder="1" applyAlignment="1">
      <alignment horizontal="left" vertical="center" wrapText="1"/>
    </xf>
    <xf numFmtId="175" fontId="70" fillId="0" borderId="0" xfId="1" applyNumberFormat="1" applyFont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48" fillId="3" borderId="8" xfId="13" applyFont="1" applyFill="1" applyBorder="1" applyAlignment="1">
      <alignment horizontal="center" vertical="center"/>
    </xf>
    <xf numFmtId="0" fontId="77" fillId="3" borderId="8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vertical="center"/>
    </xf>
    <xf numFmtId="0" fontId="48" fillId="3" borderId="8" xfId="0" applyFont="1" applyFill="1" applyBorder="1" applyAlignment="1">
      <alignment horizontal="center" vertical="center"/>
    </xf>
    <xf numFmtId="2" fontId="7" fillId="0" borderId="26" xfId="0" applyNumberFormat="1" applyFont="1" applyBorder="1" applyAlignment="1">
      <alignment horizontal="center" vertical="center"/>
    </xf>
    <xf numFmtId="2" fontId="7" fillId="0" borderId="27" xfId="0" applyNumberFormat="1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" xfId="3" applyFont="1" applyBorder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166" fontId="11" fillId="0" borderId="4" xfId="3" applyNumberFormat="1" applyFont="1" applyBorder="1" applyAlignment="1">
      <alignment horizontal="left" vertical="center"/>
    </xf>
    <xf numFmtId="0" fontId="41" fillId="2" borderId="0" xfId="1" applyFont="1" applyFill="1" applyAlignment="1">
      <alignment horizontal="center" vertical="center" wrapText="1"/>
    </xf>
    <xf numFmtId="0" fontId="41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30" fillId="2" borderId="0" xfId="1" applyFont="1" applyFill="1" applyAlignment="1">
      <alignment horizontal="center" vertical="center"/>
    </xf>
    <xf numFmtId="0" fontId="26" fillId="2" borderId="1" xfId="2" applyFont="1" applyFill="1" applyBorder="1" applyAlignment="1">
      <alignment horizontal="left"/>
    </xf>
    <xf numFmtId="0" fontId="26" fillId="2" borderId="0" xfId="2" applyFont="1" applyFill="1" applyAlignment="1">
      <alignment horizontal="left"/>
    </xf>
    <xf numFmtId="0" fontId="55" fillId="0" borderId="7" xfId="1" applyFont="1" applyBorder="1" applyAlignment="1">
      <alignment horizontal="center" vertical="center"/>
    </xf>
    <xf numFmtId="0" fontId="55" fillId="0" borderId="18" xfId="1" applyFont="1" applyBorder="1" applyAlignment="1">
      <alignment horizontal="center" vertical="center"/>
    </xf>
    <xf numFmtId="0" fontId="55" fillId="0" borderId="7" xfId="1" applyFont="1" applyBorder="1" applyAlignment="1">
      <alignment horizontal="center"/>
    </xf>
    <xf numFmtId="0" fontId="55" fillId="0" borderId="18" xfId="1" applyFont="1" applyBorder="1" applyAlignment="1">
      <alignment horizontal="center"/>
    </xf>
    <xf numFmtId="0" fontId="55" fillId="5" borderId="11" xfId="1" applyFont="1" applyFill="1" applyBorder="1" applyAlignment="1">
      <alignment horizontal="center" vertical="center" wrapText="1"/>
    </xf>
    <xf numFmtId="0" fontId="55" fillId="5" borderId="2" xfId="1" applyFont="1" applyFill="1" applyBorder="1" applyAlignment="1">
      <alignment horizontal="center" vertical="center" wrapText="1"/>
    </xf>
    <xf numFmtId="4" fontId="55" fillId="5" borderId="8" xfId="1" applyNumberFormat="1" applyFont="1" applyFill="1" applyBorder="1" applyAlignment="1">
      <alignment horizontal="center" vertical="center"/>
    </xf>
    <xf numFmtId="1" fontId="55" fillId="5" borderId="8" xfId="1" applyNumberFormat="1" applyFont="1" applyFill="1" applyBorder="1" applyAlignment="1">
      <alignment horizontal="center" vertical="center" wrapText="1"/>
    </xf>
    <xf numFmtId="168" fontId="66" fillId="5" borderId="26" xfId="4" applyNumberFormat="1" applyFont="1" applyFill="1" applyBorder="1" applyAlignment="1">
      <alignment horizontal="center" vertical="center"/>
    </xf>
    <xf numFmtId="168" fontId="66" fillId="5" borderId="20" xfId="4" applyNumberFormat="1" applyFont="1" applyFill="1" applyBorder="1" applyAlignment="1">
      <alignment horizontal="center" vertical="center"/>
    </xf>
    <xf numFmtId="0" fontId="55" fillId="2" borderId="1" xfId="2" applyFont="1" applyFill="1" applyBorder="1" applyAlignment="1">
      <alignment horizontal="left"/>
    </xf>
    <xf numFmtId="0" fontId="55" fillId="2" borderId="0" xfId="2" applyFont="1" applyFill="1" applyAlignment="1">
      <alignment horizontal="left"/>
    </xf>
    <xf numFmtId="168" fontId="70" fillId="0" borderId="28" xfId="1" applyNumberFormat="1" applyFont="1" applyBorder="1" applyAlignment="1">
      <alignment horizontal="center"/>
    </xf>
    <xf numFmtId="168" fontId="70" fillId="0" borderId="6" xfId="1" applyNumberFormat="1" applyFont="1" applyBorder="1" applyAlignment="1">
      <alignment horizontal="center"/>
    </xf>
    <xf numFmtId="168" fontId="68" fillId="0" borderId="28" xfId="1" applyNumberFormat="1" applyFont="1" applyBorder="1" applyAlignment="1">
      <alignment horizontal="center"/>
    </xf>
    <xf numFmtId="168" fontId="68" fillId="0" borderId="6" xfId="1" applyNumberFormat="1" applyFont="1" applyBorder="1" applyAlignment="1">
      <alignment horizontal="center"/>
    </xf>
    <xf numFmtId="0" fontId="55" fillId="0" borderId="1" xfId="1" applyFont="1" applyBorder="1" applyAlignment="1">
      <alignment horizontal="center" vertical="center"/>
    </xf>
    <xf numFmtId="0" fontId="55" fillId="0" borderId="0" xfId="1" applyFont="1" applyAlignment="1">
      <alignment horizontal="center" vertical="center"/>
    </xf>
    <xf numFmtId="0" fontId="55" fillId="0" borderId="17" xfId="1" applyFont="1" applyBorder="1" applyAlignment="1">
      <alignment horizontal="center"/>
    </xf>
    <xf numFmtId="0" fontId="55" fillId="0" borderId="31" xfId="1" applyFont="1" applyBorder="1" applyAlignment="1">
      <alignment horizontal="center"/>
    </xf>
    <xf numFmtId="0" fontId="55" fillId="0" borderId="0" xfId="1" applyFont="1" applyAlignment="1">
      <alignment horizontal="center"/>
    </xf>
    <xf numFmtId="168" fontId="73" fillId="0" borderId="28" xfId="1" applyNumberFormat="1" applyFont="1" applyBorder="1" applyAlignment="1">
      <alignment horizontal="center"/>
    </xf>
    <xf numFmtId="168" fontId="73" fillId="0" borderId="6" xfId="1" applyNumberFormat="1" applyFont="1" applyBorder="1" applyAlignment="1">
      <alignment horizontal="center"/>
    </xf>
    <xf numFmtId="168" fontId="73" fillId="0" borderId="7" xfId="1" applyNumberFormat="1" applyFont="1" applyBorder="1" applyAlignment="1">
      <alignment horizontal="center"/>
    </xf>
    <xf numFmtId="168" fontId="73" fillId="0" borderId="18" xfId="1" applyNumberFormat="1" applyFont="1" applyBorder="1" applyAlignment="1">
      <alignment horizontal="center"/>
    </xf>
    <xf numFmtId="168" fontId="56" fillId="0" borderId="7" xfId="1" applyNumberFormat="1" applyFont="1" applyBorder="1" applyAlignment="1">
      <alignment horizontal="center"/>
    </xf>
    <xf numFmtId="168" fontId="56" fillId="0" borderId="18" xfId="1" applyNumberFormat="1" applyFont="1" applyBorder="1" applyAlignment="1">
      <alignment horizontal="center"/>
    </xf>
    <xf numFmtId="0" fontId="53" fillId="5" borderId="8" xfId="6" applyFont="1" applyFill="1" applyBorder="1" applyAlignment="1">
      <alignment horizontal="center" vertical="center" wrapText="1"/>
    </xf>
    <xf numFmtId="0" fontId="55" fillId="5" borderId="8" xfId="6" applyFont="1" applyFill="1" applyBorder="1" applyAlignment="1">
      <alignment horizontal="center" vertical="center" wrapText="1"/>
    </xf>
    <xf numFmtId="0" fontId="55" fillId="5" borderId="8" xfId="0" applyFont="1" applyFill="1" applyBorder="1" applyAlignment="1">
      <alignment horizontal="center" vertical="center" wrapText="1" shrinkToFit="1"/>
    </xf>
    <xf numFmtId="0" fontId="55" fillId="5" borderId="8" xfId="0" applyFont="1" applyFill="1" applyBorder="1" applyAlignment="1">
      <alignment horizontal="center" vertical="center" shrinkToFit="1"/>
    </xf>
    <xf numFmtId="0" fontId="75" fillId="0" borderId="7" xfId="0" applyFont="1" applyBorder="1" applyAlignment="1">
      <alignment horizontal="center" vertical="center"/>
    </xf>
    <xf numFmtId="0" fontId="75" fillId="0" borderId="18" xfId="0" applyFont="1" applyBorder="1" applyAlignment="1">
      <alignment horizontal="center" vertical="center"/>
    </xf>
    <xf numFmtId="0" fontId="55" fillId="5" borderId="29" xfId="0" applyFont="1" applyFill="1" applyBorder="1" applyAlignment="1">
      <alignment horizontal="center" vertical="center"/>
    </xf>
    <xf numFmtId="0" fontId="55" fillId="5" borderId="11" xfId="0" applyFont="1" applyFill="1" applyBorder="1" applyAlignment="1">
      <alignment horizontal="center" vertical="center"/>
    </xf>
    <xf numFmtId="0" fontId="55" fillId="5" borderId="30" xfId="0" applyFont="1" applyFill="1" applyBorder="1" applyAlignment="1">
      <alignment horizontal="center" vertical="center"/>
    </xf>
    <xf numFmtId="0" fontId="55" fillId="5" borderId="2" xfId="0" applyFont="1" applyFill="1" applyBorder="1" applyAlignment="1">
      <alignment horizontal="center" vertical="center"/>
    </xf>
    <xf numFmtId="0" fontId="55" fillId="5" borderId="8" xfId="0" applyFont="1" applyFill="1" applyBorder="1" applyAlignment="1">
      <alignment horizontal="center" vertical="center"/>
    </xf>
    <xf numFmtId="0" fontId="55" fillId="5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0" fontId="25" fillId="0" borderId="4" xfId="11" applyFont="1" applyBorder="1" applyAlignment="1">
      <alignment horizontal="center" vertical="center"/>
    </xf>
  </cellXfs>
  <cellStyles count="18">
    <cellStyle name="Comma 3" xfId="5"/>
    <cellStyle name="Currency 2" xfId="7"/>
    <cellStyle name="Normal" xfId="0" builtinId="0"/>
    <cellStyle name="Normal 129" xfId="14"/>
    <cellStyle name="Normal 137" xfId="15"/>
    <cellStyle name="Normal 137 2 2" xfId="17"/>
    <cellStyle name="Normal 168" xfId="16"/>
    <cellStyle name="Normal 2" xfId="8"/>
    <cellStyle name="Normal 2 2 2" xfId="12"/>
    <cellStyle name="Normal 3" xfId="1"/>
    <cellStyle name="Normal 4" xfId="13"/>
    <cellStyle name="Normal 55" xfId="2"/>
    <cellStyle name="一般 2 2 2 2" xfId="11"/>
    <cellStyle name="一般 2 2 2 2 3" xfId="4"/>
    <cellStyle name="一般 3" xfId="9"/>
    <cellStyle name="一般 4 2 2" xfId="3"/>
    <cellStyle name="一般 8" xfId="10"/>
    <cellStyle name="一般_BY-SAK-2013103102" xfId="6"/>
  </cellStyles>
  <dxfs count="0"/>
  <tableStyles count="0" defaultTableStyle="TableStyleMedium2" defaultPivotStyle="PivotStyleLight16"/>
  <colors>
    <mruColors>
      <color rgb="FF0000FF"/>
      <color rgb="FF546D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25</xdr:row>
      <xdr:rowOff>0</xdr:rowOff>
    </xdr:from>
    <xdr:to>
      <xdr:col>4</xdr:col>
      <xdr:colOff>9525</xdr:colOff>
      <xdr:row>25</xdr:row>
      <xdr:rowOff>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7815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9525</xdr:colOff>
      <xdr:row>25</xdr:row>
      <xdr:rowOff>0</xdr:rowOff>
    </xdr:to>
    <xdr:pic>
      <xdr:nvPicPr>
        <xdr:cNvPr id="3" name="Picture 27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7815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18</xdr:row>
      <xdr:rowOff>152400</xdr:rowOff>
    </xdr:from>
    <xdr:to>
      <xdr:col>4</xdr:col>
      <xdr:colOff>9525</xdr:colOff>
      <xdr:row>18</xdr:row>
      <xdr:rowOff>152400</xdr:rowOff>
    </xdr:to>
    <xdr:pic>
      <xdr:nvPicPr>
        <xdr:cNvPr id="4" name="Picture 40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8671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800100</xdr:colOff>
      <xdr:row>27</xdr:row>
      <xdr:rowOff>19050</xdr:rowOff>
    </xdr:from>
    <xdr:to>
      <xdr:col>4</xdr:col>
      <xdr:colOff>190500</xdr:colOff>
      <xdr:row>27</xdr:row>
      <xdr:rowOff>0</xdr:rowOff>
    </xdr:to>
    <xdr:pic>
      <xdr:nvPicPr>
        <xdr:cNvPr id="5" name="Picture 2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10540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800100</xdr:colOff>
      <xdr:row>27</xdr:row>
      <xdr:rowOff>19050</xdr:rowOff>
    </xdr:from>
    <xdr:to>
      <xdr:col>4</xdr:col>
      <xdr:colOff>190500</xdr:colOff>
      <xdr:row>27</xdr:row>
      <xdr:rowOff>0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10540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64</xdr:row>
      <xdr:rowOff>152400</xdr:rowOff>
    </xdr:from>
    <xdr:to>
      <xdr:col>4</xdr:col>
      <xdr:colOff>9525</xdr:colOff>
      <xdr:row>64</xdr:row>
      <xdr:rowOff>152400</xdr:rowOff>
    </xdr:to>
    <xdr:pic>
      <xdr:nvPicPr>
        <xdr:cNvPr id="7" name="Picture 24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9347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64</xdr:row>
      <xdr:rowOff>0</xdr:rowOff>
    </xdr:from>
    <xdr:to>
      <xdr:col>4</xdr:col>
      <xdr:colOff>0</xdr:colOff>
      <xdr:row>64</xdr:row>
      <xdr:rowOff>0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78230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64</xdr:row>
      <xdr:rowOff>0</xdr:rowOff>
    </xdr:from>
    <xdr:to>
      <xdr:col>4</xdr:col>
      <xdr:colOff>0</xdr:colOff>
      <xdr:row>64</xdr:row>
      <xdr:rowOff>0</xdr:rowOff>
    </xdr:to>
    <xdr:pic>
      <xdr:nvPicPr>
        <xdr:cNvPr id="9" name="Picture 150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78230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62</xdr:row>
      <xdr:rowOff>142875</xdr:rowOff>
    </xdr:from>
    <xdr:to>
      <xdr:col>4</xdr:col>
      <xdr:colOff>0</xdr:colOff>
      <xdr:row>62</xdr:row>
      <xdr:rowOff>142875</xdr:rowOff>
    </xdr:to>
    <xdr:pic>
      <xdr:nvPicPr>
        <xdr:cNvPr id="10" name="Picture 15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620375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63</xdr:row>
      <xdr:rowOff>152400</xdr:rowOff>
    </xdr:from>
    <xdr:to>
      <xdr:col>4</xdr:col>
      <xdr:colOff>9525</xdr:colOff>
      <xdr:row>63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782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63</xdr:row>
      <xdr:rowOff>0</xdr:rowOff>
    </xdr:from>
    <xdr:to>
      <xdr:col>4</xdr:col>
      <xdr:colOff>0</xdr:colOff>
      <xdr:row>63</xdr:row>
      <xdr:rowOff>0</xdr:rowOff>
    </xdr:to>
    <xdr:pic>
      <xdr:nvPicPr>
        <xdr:cNvPr id="12" name="Picture 6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62990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63</xdr:row>
      <xdr:rowOff>0</xdr:rowOff>
    </xdr:from>
    <xdr:to>
      <xdr:col>4</xdr:col>
      <xdr:colOff>0</xdr:colOff>
      <xdr:row>63</xdr:row>
      <xdr:rowOff>0</xdr:rowOff>
    </xdr:to>
    <xdr:pic>
      <xdr:nvPicPr>
        <xdr:cNvPr id="13" name="Picture 150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62990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61</xdr:row>
      <xdr:rowOff>142875</xdr:rowOff>
    </xdr:from>
    <xdr:to>
      <xdr:col>4</xdr:col>
      <xdr:colOff>0</xdr:colOff>
      <xdr:row>61</xdr:row>
      <xdr:rowOff>142875</xdr:rowOff>
    </xdr:to>
    <xdr:pic>
      <xdr:nvPicPr>
        <xdr:cNvPr id="14" name="Picture 15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467975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4</xdr:col>
      <xdr:colOff>9525</xdr:colOff>
      <xdr:row>26</xdr:row>
      <xdr:rowOff>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9053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9525</xdr:colOff>
      <xdr:row>26</xdr:row>
      <xdr:rowOff>0</xdr:rowOff>
    </xdr:to>
    <xdr:pic>
      <xdr:nvPicPr>
        <xdr:cNvPr id="3" name="Picture 27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9053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19</xdr:row>
      <xdr:rowOff>152400</xdr:rowOff>
    </xdr:from>
    <xdr:to>
      <xdr:col>4</xdr:col>
      <xdr:colOff>9525</xdr:colOff>
      <xdr:row>19</xdr:row>
      <xdr:rowOff>152400</xdr:rowOff>
    </xdr:to>
    <xdr:pic>
      <xdr:nvPicPr>
        <xdr:cNvPr id="4" name="Picture 40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9909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800100</xdr:colOff>
      <xdr:row>28</xdr:row>
      <xdr:rowOff>19050</xdr:rowOff>
    </xdr:from>
    <xdr:to>
      <xdr:col>4</xdr:col>
      <xdr:colOff>190500</xdr:colOff>
      <xdr:row>28</xdr:row>
      <xdr:rowOff>0</xdr:rowOff>
    </xdr:to>
    <xdr:pic>
      <xdr:nvPicPr>
        <xdr:cNvPr id="5" name="Picture 2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229225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800100</xdr:colOff>
      <xdr:row>28</xdr:row>
      <xdr:rowOff>19050</xdr:rowOff>
    </xdr:from>
    <xdr:to>
      <xdr:col>4</xdr:col>
      <xdr:colOff>190500</xdr:colOff>
      <xdr:row>28</xdr:row>
      <xdr:rowOff>0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229225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65</xdr:row>
      <xdr:rowOff>152400</xdr:rowOff>
    </xdr:from>
    <xdr:to>
      <xdr:col>4</xdr:col>
      <xdr:colOff>9525</xdr:colOff>
      <xdr:row>65</xdr:row>
      <xdr:rowOff>152400</xdr:rowOff>
    </xdr:to>
    <xdr:pic>
      <xdr:nvPicPr>
        <xdr:cNvPr id="7" name="Picture 24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10585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65</xdr:row>
      <xdr:rowOff>0</xdr:rowOff>
    </xdr:from>
    <xdr:to>
      <xdr:col>4</xdr:col>
      <xdr:colOff>0</xdr:colOff>
      <xdr:row>65</xdr:row>
      <xdr:rowOff>0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906125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65</xdr:row>
      <xdr:rowOff>0</xdr:rowOff>
    </xdr:from>
    <xdr:to>
      <xdr:col>4</xdr:col>
      <xdr:colOff>0</xdr:colOff>
      <xdr:row>65</xdr:row>
      <xdr:rowOff>0</xdr:rowOff>
    </xdr:to>
    <xdr:pic>
      <xdr:nvPicPr>
        <xdr:cNvPr id="9" name="Picture 150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906125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63</xdr:row>
      <xdr:rowOff>142875</xdr:rowOff>
    </xdr:from>
    <xdr:to>
      <xdr:col>4</xdr:col>
      <xdr:colOff>0</xdr:colOff>
      <xdr:row>63</xdr:row>
      <xdr:rowOff>142875</xdr:rowOff>
    </xdr:to>
    <xdr:pic>
      <xdr:nvPicPr>
        <xdr:cNvPr id="10" name="Picture 153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74420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64</xdr:row>
      <xdr:rowOff>152400</xdr:rowOff>
    </xdr:from>
    <xdr:to>
      <xdr:col>4</xdr:col>
      <xdr:colOff>9525</xdr:colOff>
      <xdr:row>64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9061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64</xdr:row>
      <xdr:rowOff>0</xdr:rowOff>
    </xdr:from>
    <xdr:to>
      <xdr:col>4</xdr:col>
      <xdr:colOff>0</xdr:colOff>
      <xdr:row>64</xdr:row>
      <xdr:rowOff>0</xdr:rowOff>
    </xdr:to>
    <xdr:pic>
      <xdr:nvPicPr>
        <xdr:cNvPr id="12" name="Picture 6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753725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64</xdr:row>
      <xdr:rowOff>0</xdr:rowOff>
    </xdr:from>
    <xdr:to>
      <xdr:col>4</xdr:col>
      <xdr:colOff>0</xdr:colOff>
      <xdr:row>64</xdr:row>
      <xdr:rowOff>0</xdr:rowOff>
    </xdr:to>
    <xdr:pic>
      <xdr:nvPicPr>
        <xdr:cNvPr id="13" name="Picture 150">
          <a:extLst>
            <a:ext uri="{FF2B5EF4-FFF2-40B4-BE49-F238E27FC236}">
              <a16:creationId xmlns:a16="http://schemas.microsoft.com/office/drawing/2014/main" xmlns="" id="{00000000-0008-0000-0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753725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361950</xdr:colOff>
      <xdr:row>62</xdr:row>
      <xdr:rowOff>142875</xdr:rowOff>
    </xdr:from>
    <xdr:to>
      <xdr:col>4</xdr:col>
      <xdr:colOff>0</xdr:colOff>
      <xdr:row>62</xdr:row>
      <xdr:rowOff>142875</xdr:rowOff>
    </xdr:to>
    <xdr:pic>
      <xdr:nvPicPr>
        <xdr:cNvPr id="14" name="Picture 153">
          <a:extLst>
            <a:ext uri="{FF2B5EF4-FFF2-40B4-BE49-F238E27FC236}">
              <a16:creationId xmlns:a16="http://schemas.microsoft.com/office/drawing/2014/main" xmlns="" id="{00000000-0008-0000-0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59180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886-4-25688746%20%20FAX:886-4-2568988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82"/>
  <sheetViews>
    <sheetView workbookViewId="0">
      <selection activeCell="Y24" sqref="Y24"/>
    </sheetView>
  </sheetViews>
  <sheetFormatPr defaultColWidth="12" defaultRowHeight="12" customHeight="1"/>
  <cols>
    <col min="1" max="1" width="3.33203125" style="20" customWidth="1"/>
    <col min="2" max="2" width="1.83203125" style="20" customWidth="1"/>
    <col min="3" max="3" width="3.33203125" style="20" customWidth="1"/>
    <col min="4" max="4" width="6.83203125" style="34" customWidth="1"/>
    <col min="5" max="5" width="13" style="87" bestFit="1" customWidth="1"/>
    <col min="6" max="6" width="21" style="87" bestFit="1" customWidth="1"/>
    <col min="7" max="7" width="20" style="10" bestFit="1" customWidth="1"/>
    <col min="8" max="8" width="8.33203125" style="88" customWidth="1"/>
    <col min="9" max="12" width="14" style="87" customWidth="1"/>
    <col min="13" max="13" width="10.33203125" style="20" customWidth="1"/>
    <col min="14" max="14" width="1.6640625" style="20" customWidth="1"/>
    <col min="15" max="15" width="10.33203125" style="20" customWidth="1"/>
    <col min="16" max="16" width="2" style="20" customWidth="1"/>
    <col min="17" max="17" width="11.1640625" style="20" customWidth="1"/>
    <col min="18" max="18" width="2" style="20" customWidth="1"/>
    <col min="19" max="19" width="9.6640625" style="20" customWidth="1"/>
    <col min="20" max="16384" width="12" style="20"/>
  </cols>
  <sheetData>
    <row r="1" spans="1:37" s="6" customFormat="1" ht="26.25">
      <c r="A1" s="361" t="s">
        <v>0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</row>
    <row r="2" spans="1:37" s="6" customFormat="1" ht="26.25">
      <c r="A2" s="362" t="s">
        <v>1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</row>
    <row r="3" spans="1:37" s="6" customFormat="1" ht="26.25">
      <c r="A3" s="362" t="s">
        <v>2</v>
      </c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</row>
    <row r="4" spans="1:37" s="7" customFormat="1" ht="23.25">
      <c r="A4" s="363" t="s">
        <v>31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</row>
    <row r="5" spans="1:37" s="10" customFormat="1" ht="12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9"/>
      <c r="O5" s="9"/>
      <c r="P5" s="9"/>
      <c r="Q5" s="9"/>
      <c r="R5" s="9"/>
      <c r="S5" s="9"/>
    </row>
    <row r="6" spans="1:37" s="10" customFormat="1" ht="12.75">
      <c r="A6" s="11" t="s">
        <v>32</v>
      </c>
      <c r="B6" s="12"/>
      <c r="C6" s="12"/>
      <c r="D6" s="12"/>
      <c r="E6" s="12" t="s">
        <v>33</v>
      </c>
      <c r="F6" s="12"/>
      <c r="G6" s="13"/>
      <c r="H6" s="13"/>
      <c r="I6" s="13"/>
      <c r="J6" s="13"/>
      <c r="K6" s="13"/>
      <c r="L6" s="13"/>
      <c r="M6" s="14" t="s">
        <v>8</v>
      </c>
      <c r="N6" s="9"/>
      <c r="O6" s="9"/>
      <c r="P6" s="15"/>
      <c r="Q6" s="364"/>
      <c r="R6" s="364"/>
      <c r="S6" s="364"/>
    </row>
    <row r="7" spans="1:37" ht="12.75">
      <c r="A7" s="16" t="s">
        <v>34</v>
      </c>
      <c r="B7" s="13"/>
      <c r="C7" s="17"/>
      <c r="D7" s="17"/>
      <c r="E7" s="13"/>
      <c r="F7" s="13"/>
      <c r="G7" s="13"/>
      <c r="H7" s="13"/>
      <c r="I7" s="13"/>
      <c r="J7" s="13"/>
      <c r="K7" s="13"/>
      <c r="L7" s="13"/>
      <c r="M7" s="18" t="s">
        <v>35</v>
      </c>
      <c r="N7" s="19"/>
      <c r="O7" s="19"/>
      <c r="P7" s="15"/>
      <c r="Q7" s="360"/>
      <c r="R7" s="360"/>
      <c r="S7" s="360"/>
    </row>
    <row r="8" spans="1:37" ht="12.75">
      <c r="A8" s="19"/>
      <c r="B8" s="16"/>
      <c r="C8" s="16"/>
      <c r="D8" s="13"/>
      <c r="E8" s="13"/>
      <c r="F8" s="13"/>
      <c r="G8" s="13"/>
      <c r="H8" s="13"/>
      <c r="I8" s="13"/>
      <c r="J8" s="13"/>
      <c r="K8" s="13"/>
      <c r="L8" s="13"/>
      <c r="M8" s="21" t="s">
        <v>12</v>
      </c>
      <c r="N8" s="12"/>
      <c r="O8" s="22"/>
      <c r="P8" s="15"/>
      <c r="Q8" s="15"/>
      <c r="R8" s="19"/>
      <c r="S8" s="19"/>
    </row>
    <row r="9" spans="1:37" ht="15.75">
      <c r="A9" s="354" t="s">
        <v>36</v>
      </c>
      <c r="B9" s="354"/>
      <c r="C9" s="354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37" ht="12.75" customHeight="1">
      <c r="A10" s="23"/>
      <c r="B10" s="23"/>
      <c r="C10" s="23"/>
      <c r="D10" s="24"/>
      <c r="E10" s="25"/>
      <c r="F10" s="25"/>
      <c r="G10" s="26"/>
      <c r="H10" s="27"/>
      <c r="I10" s="27"/>
      <c r="J10" s="27"/>
      <c r="K10" s="27"/>
      <c r="L10" s="27"/>
      <c r="M10" s="28"/>
      <c r="N10" s="29"/>
      <c r="O10" s="29"/>
      <c r="P10" s="30"/>
      <c r="Q10" s="30"/>
      <c r="R10" s="23"/>
      <c r="S10" s="23"/>
    </row>
    <row r="11" spans="1:37" ht="35.25" customHeight="1">
      <c r="A11" s="355" t="s">
        <v>37</v>
      </c>
      <c r="B11" s="356"/>
      <c r="C11" s="357"/>
      <c r="D11" s="92" t="s">
        <v>38</v>
      </c>
      <c r="E11" s="31" t="s">
        <v>39</v>
      </c>
      <c r="F11" s="31" t="s">
        <v>40</v>
      </c>
      <c r="G11" s="31" t="s">
        <v>41</v>
      </c>
      <c r="H11" s="31" t="s">
        <v>42</v>
      </c>
      <c r="I11" s="3" t="s">
        <v>118</v>
      </c>
      <c r="J11" s="3" t="s">
        <v>119</v>
      </c>
      <c r="K11" s="4" t="s">
        <v>120</v>
      </c>
      <c r="L11" s="90" t="s">
        <v>121</v>
      </c>
      <c r="M11" s="93" t="s">
        <v>122</v>
      </c>
      <c r="N11" s="93"/>
      <c r="O11" s="93" t="s">
        <v>123</v>
      </c>
      <c r="P11" s="93"/>
      <c r="Q11" s="93" t="s">
        <v>43</v>
      </c>
      <c r="R11" s="93"/>
      <c r="S11" s="94" t="s">
        <v>44</v>
      </c>
    </row>
    <row r="12" spans="1:37" ht="12" customHeight="1">
      <c r="A12" s="32">
        <v>1</v>
      </c>
      <c r="B12" s="20" t="s">
        <v>45</v>
      </c>
      <c r="C12" s="33">
        <v>5</v>
      </c>
      <c r="D12" s="34">
        <v>1</v>
      </c>
      <c r="E12" s="35" t="s">
        <v>46</v>
      </c>
      <c r="F12" s="36" t="s">
        <v>47</v>
      </c>
      <c r="G12" s="36" t="s">
        <v>48</v>
      </c>
      <c r="H12" s="37" t="s">
        <v>20</v>
      </c>
      <c r="I12" s="38"/>
      <c r="J12" s="38"/>
      <c r="K12" s="39">
        <f>I12+J12</f>
        <v>0</v>
      </c>
      <c r="L12" s="91"/>
      <c r="M12" s="351">
        <f>O12-1</f>
        <v>6.2</v>
      </c>
      <c r="N12" s="40"/>
      <c r="O12" s="351">
        <v>7.2</v>
      </c>
      <c r="P12" s="33"/>
      <c r="Q12" s="351" t="s">
        <v>49</v>
      </c>
      <c r="R12" s="41"/>
      <c r="S12" s="351">
        <f>0.48*0.48*0.32</f>
        <v>7.3728000000000002E-2</v>
      </c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</row>
    <row r="13" spans="1:37" ht="12" customHeight="1">
      <c r="A13" s="32"/>
      <c r="C13" s="33"/>
      <c r="E13" s="43" t="s">
        <v>50</v>
      </c>
      <c r="F13" s="44" t="s">
        <v>51</v>
      </c>
      <c r="G13" s="44" t="s">
        <v>52</v>
      </c>
      <c r="H13" s="5" t="s">
        <v>20</v>
      </c>
      <c r="I13" s="45"/>
      <c r="J13" s="45"/>
      <c r="K13" s="45"/>
      <c r="L13" s="43"/>
      <c r="M13" s="352"/>
      <c r="N13" s="40"/>
      <c r="O13" s="352"/>
      <c r="P13" s="33"/>
      <c r="Q13" s="352"/>
      <c r="R13" s="41"/>
      <c r="S13" s="35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</row>
    <row r="14" spans="1:37" ht="12" customHeight="1">
      <c r="A14" s="32"/>
      <c r="C14" s="33"/>
      <c r="E14" s="43" t="s">
        <v>53</v>
      </c>
      <c r="F14" s="44" t="s">
        <v>54</v>
      </c>
      <c r="G14" s="44" t="s">
        <v>55</v>
      </c>
      <c r="H14" s="5" t="s">
        <v>20</v>
      </c>
      <c r="I14" s="45"/>
      <c r="J14" s="45"/>
      <c r="K14" s="45"/>
      <c r="L14" s="43"/>
      <c r="M14" s="352"/>
      <c r="N14" s="40"/>
      <c r="O14" s="352"/>
      <c r="P14" s="33"/>
      <c r="Q14" s="352"/>
      <c r="R14" s="41"/>
      <c r="S14" s="35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</row>
    <row r="15" spans="1:37" ht="12" customHeight="1">
      <c r="A15" s="32"/>
      <c r="C15" s="33"/>
      <c r="E15" s="43" t="s">
        <v>53</v>
      </c>
      <c r="F15" s="44" t="s">
        <v>54</v>
      </c>
      <c r="G15" s="44" t="s">
        <v>56</v>
      </c>
      <c r="H15" s="5" t="s">
        <v>20</v>
      </c>
      <c r="I15" s="45"/>
      <c r="J15" s="45"/>
      <c r="K15" s="45"/>
      <c r="L15" s="43"/>
      <c r="M15" s="352"/>
      <c r="N15" s="40"/>
      <c r="O15" s="352"/>
      <c r="P15" s="33"/>
      <c r="Q15" s="352"/>
      <c r="R15" s="41"/>
      <c r="S15" s="35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</row>
    <row r="16" spans="1:37" ht="12" customHeight="1">
      <c r="A16" s="32"/>
      <c r="C16" s="33"/>
      <c r="E16" s="43" t="s">
        <v>57</v>
      </c>
      <c r="F16" s="44" t="s">
        <v>58</v>
      </c>
      <c r="G16" s="44" t="s">
        <v>59</v>
      </c>
      <c r="H16" s="5" t="s">
        <v>20</v>
      </c>
      <c r="I16" s="45"/>
      <c r="J16" s="45"/>
      <c r="K16" s="45"/>
      <c r="L16" s="43"/>
      <c r="M16" s="352"/>
      <c r="N16" s="40"/>
      <c r="O16" s="352"/>
      <c r="P16" s="33"/>
      <c r="Q16" s="352"/>
      <c r="R16" s="41"/>
      <c r="S16" s="35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</row>
    <row r="17" spans="1:37" ht="12" customHeight="1">
      <c r="A17" s="32"/>
      <c r="C17" s="33"/>
      <c r="E17" s="43" t="s">
        <v>60</v>
      </c>
      <c r="F17" s="44" t="s">
        <v>61</v>
      </c>
      <c r="G17" s="44" t="s">
        <v>62</v>
      </c>
      <c r="H17" s="5" t="s">
        <v>20</v>
      </c>
      <c r="I17" s="45"/>
      <c r="J17" s="45"/>
      <c r="K17" s="45"/>
      <c r="L17" s="43"/>
      <c r="M17" s="352"/>
      <c r="N17" s="40"/>
      <c r="O17" s="352"/>
      <c r="P17" s="33"/>
      <c r="Q17" s="352"/>
      <c r="R17" s="41"/>
      <c r="S17" s="35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</row>
    <row r="18" spans="1:37" ht="12" customHeight="1">
      <c r="A18" s="46"/>
      <c r="B18" s="47"/>
      <c r="C18" s="48"/>
      <c r="D18" s="49"/>
      <c r="E18" s="43" t="s">
        <v>63</v>
      </c>
      <c r="F18" s="44" t="s">
        <v>64</v>
      </c>
      <c r="G18" s="44" t="s">
        <v>65</v>
      </c>
      <c r="H18" s="5" t="s">
        <v>20</v>
      </c>
      <c r="I18" s="45"/>
      <c r="J18" s="45"/>
      <c r="K18" s="45"/>
      <c r="L18" s="43"/>
      <c r="M18" s="353"/>
      <c r="N18" s="50"/>
      <c r="O18" s="353"/>
      <c r="P18" s="48"/>
      <c r="Q18" s="353"/>
      <c r="R18" s="51"/>
      <c r="S18" s="353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</row>
    <row r="19" spans="1:37" ht="12" customHeight="1">
      <c r="A19" s="52">
        <v>2</v>
      </c>
      <c r="B19" s="53" t="s">
        <v>45</v>
      </c>
      <c r="C19" s="54">
        <v>5</v>
      </c>
      <c r="D19" s="55">
        <v>1</v>
      </c>
      <c r="E19" s="43" t="s">
        <v>66</v>
      </c>
      <c r="F19" s="44" t="s">
        <v>67</v>
      </c>
      <c r="G19" s="44" t="s">
        <v>68</v>
      </c>
      <c r="H19" s="5" t="s">
        <v>20</v>
      </c>
      <c r="I19" s="45"/>
      <c r="J19" s="45"/>
      <c r="K19" s="45"/>
      <c r="L19" s="43"/>
      <c r="M19" s="351">
        <f>O19-1</f>
        <v>6.4</v>
      </c>
      <c r="N19" s="56"/>
      <c r="O19" s="351">
        <v>7.4</v>
      </c>
      <c r="P19" s="54"/>
      <c r="Q19" s="351" t="s">
        <v>69</v>
      </c>
      <c r="R19" s="57"/>
      <c r="S19" s="351">
        <f>0.55*0.48*0.32</f>
        <v>8.448E-2</v>
      </c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</row>
    <row r="20" spans="1:37" ht="12" customHeight="1">
      <c r="A20" s="32"/>
      <c r="C20" s="33"/>
      <c r="E20" s="43" t="s">
        <v>66</v>
      </c>
      <c r="F20" s="44" t="s">
        <v>67</v>
      </c>
      <c r="G20" s="44" t="s">
        <v>70</v>
      </c>
      <c r="H20" s="5" t="s">
        <v>20</v>
      </c>
      <c r="I20" s="45"/>
      <c r="J20" s="45"/>
      <c r="K20" s="45"/>
      <c r="L20" s="43"/>
      <c r="M20" s="352"/>
      <c r="N20" s="40"/>
      <c r="O20" s="352"/>
      <c r="P20" s="33"/>
      <c r="Q20" s="352"/>
      <c r="R20" s="41"/>
      <c r="S20" s="35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</row>
    <row r="21" spans="1:37" ht="12" customHeight="1">
      <c r="A21" s="32"/>
      <c r="C21" s="33"/>
      <c r="E21" s="43" t="s">
        <v>66</v>
      </c>
      <c r="F21" s="44" t="s">
        <v>67</v>
      </c>
      <c r="G21" s="44" t="s">
        <v>71</v>
      </c>
      <c r="H21" s="5" t="s">
        <v>20</v>
      </c>
      <c r="I21" s="45"/>
      <c r="J21" s="45"/>
      <c r="K21" s="45"/>
      <c r="L21" s="43"/>
      <c r="M21" s="352"/>
      <c r="N21" s="40"/>
      <c r="O21" s="352"/>
      <c r="P21" s="33"/>
      <c r="Q21" s="352"/>
      <c r="R21" s="41"/>
      <c r="S21" s="35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</row>
    <row r="22" spans="1:37" ht="12" customHeight="1">
      <c r="A22" s="32"/>
      <c r="C22" s="33"/>
      <c r="E22" s="43" t="s">
        <v>72</v>
      </c>
      <c r="F22" s="44" t="s">
        <v>73</v>
      </c>
      <c r="G22" s="44" t="s">
        <v>74</v>
      </c>
      <c r="H22" s="5" t="s">
        <v>20</v>
      </c>
      <c r="I22" s="45"/>
      <c r="J22" s="45"/>
      <c r="K22" s="45"/>
      <c r="L22" s="43"/>
      <c r="M22" s="352"/>
      <c r="N22" s="40"/>
      <c r="O22" s="352"/>
      <c r="P22" s="33"/>
      <c r="Q22" s="352"/>
      <c r="R22" s="41"/>
      <c r="S22" s="35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</row>
    <row r="23" spans="1:37" ht="12" customHeight="1">
      <c r="A23" s="32"/>
      <c r="C23" s="33"/>
      <c r="E23" s="43" t="s">
        <v>72</v>
      </c>
      <c r="F23" s="44" t="s">
        <v>73</v>
      </c>
      <c r="G23" s="44" t="s">
        <v>75</v>
      </c>
      <c r="H23" s="5" t="s">
        <v>20</v>
      </c>
      <c r="I23" s="45"/>
      <c r="J23" s="45"/>
      <c r="K23" s="45"/>
      <c r="L23" s="43"/>
      <c r="M23" s="352"/>
      <c r="N23" s="40"/>
      <c r="O23" s="352"/>
      <c r="P23" s="33"/>
      <c r="Q23" s="352"/>
      <c r="R23" s="41"/>
      <c r="S23" s="35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</row>
    <row r="24" spans="1:37" ht="12" customHeight="1">
      <c r="A24" s="32"/>
      <c r="C24" s="33"/>
      <c r="E24" s="43" t="s">
        <v>72</v>
      </c>
      <c r="F24" s="44" t="s">
        <v>73</v>
      </c>
      <c r="G24" s="44" t="s">
        <v>76</v>
      </c>
      <c r="H24" s="5" t="s">
        <v>20</v>
      </c>
      <c r="I24" s="45"/>
      <c r="J24" s="45"/>
      <c r="K24" s="45"/>
      <c r="L24" s="43"/>
      <c r="M24" s="352"/>
      <c r="N24" s="40"/>
      <c r="O24" s="352"/>
      <c r="P24" s="33"/>
      <c r="Q24" s="352"/>
      <c r="R24" s="41"/>
      <c r="S24" s="35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</row>
    <row r="25" spans="1:37" ht="12" customHeight="1">
      <c r="A25" s="32"/>
      <c r="C25" s="33"/>
      <c r="E25" s="43" t="s">
        <v>77</v>
      </c>
      <c r="F25" s="44" t="s">
        <v>78</v>
      </c>
      <c r="G25" s="44" t="s">
        <v>79</v>
      </c>
      <c r="H25" s="5" t="s">
        <v>20</v>
      </c>
      <c r="I25" s="45"/>
      <c r="J25" s="45"/>
      <c r="K25" s="45"/>
      <c r="L25" s="43"/>
      <c r="M25" s="352"/>
      <c r="N25" s="40"/>
      <c r="O25" s="352"/>
      <c r="P25" s="33"/>
      <c r="Q25" s="352"/>
      <c r="R25" s="41"/>
      <c r="S25" s="35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</row>
    <row r="26" spans="1:37" ht="12" customHeight="1">
      <c r="A26" s="46"/>
      <c r="B26" s="47"/>
      <c r="C26" s="48"/>
      <c r="D26" s="49"/>
      <c r="E26" s="43" t="s">
        <v>77</v>
      </c>
      <c r="F26" s="44" t="s">
        <v>78</v>
      </c>
      <c r="G26" s="44" t="s">
        <v>80</v>
      </c>
      <c r="H26" s="5" t="s">
        <v>20</v>
      </c>
      <c r="I26" s="45"/>
      <c r="J26" s="45"/>
      <c r="K26" s="45"/>
      <c r="L26" s="43"/>
      <c r="M26" s="353"/>
      <c r="N26" s="50"/>
      <c r="O26" s="353"/>
      <c r="P26" s="48"/>
      <c r="Q26" s="353"/>
      <c r="R26" s="51"/>
      <c r="S26" s="353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</row>
    <row r="27" spans="1:37" ht="12" customHeight="1">
      <c r="A27" s="52">
        <v>3</v>
      </c>
      <c r="B27" s="53" t="s">
        <v>45</v>
      </c>
      <c r="C27" s="54">
        <v>5</v>
      </c>
      <c r="D27" s="55">
        <v>1</v>
      </c>
      <c r="E27" s="43" t="s">
        <v>81</v>
      </c>
      <c r="F27" s="44" t="s">
        <v>82</v>
      </c>
      <c r="G27" s="44" t="s">
        <v>83</v>
      </c>
      <c r="H27" s="5" t="s">
        <v>20</v>
      </c>
      <c r="I27" s="45"/>
      <c r="J27" s="45"/>
      <c r="K27" s="45"/>
      <c r="L27" s="43"/>
      <c r="M27" s="351">
        <f>O27-1</f>
        <v>6.3</v>
      </c>
      <c r="N27" s="56"/>
      <c r="O27" s="351">
        <v>7.3</v>
      </c>
      <c r="P27" s="54"/>
      <c r="Q27" s="351" t="s">
        <v>49</v>
      </c>
      <c r="R27" s="57"/>
      <c r="S27" s="351">
        <f>0.48*0.48*0.32</f>
        <v>7.3728000000000002E-2</v>
      </c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</row>
    <row r="28" spans="1:37" ht="12" customHeight="1">
      <c r="A28" s="32"/>
      <c r="C28" s="33"/>
      <c r="E28" s="43" t="s">
        <v>84</v>
      </c>
      <c r="F28" s="44" t="s">
        <v>85</v>
      </c>
      <c r="G28" s="44" t="s">
        <v>86</v>
      </c>
      <c r="H28" s="5" t="s">
        <v>20</v>
      </c>
      <c r="I28" s="45"/>
      <c r="J28" s="45"/>
      <c r="K28" s="45"/>
      <c r="L28" s="43"/>
      <c r="M28" s="352"/>
      <c r="N28" s="40"/>
      <c r="O28" s="352"/>
      <c r="P28" s="33"/>
      <c r="Q28" s="352"/>
      <c r="R28" s="41"/>
      <c r="S28" s="35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</row>
    <row r="29" spans="1:37" ht="12" customHeight="1">
      <c r="A29" s="32"/>
      <c r="C29" s="33"/>
      <c r="E29" s="43" t="s">
        <v>84</v>
      </c>
      <c r="F29" s="44" t="s">
        <v>85</v>
      </c>
      <c r="G29" s="44" t="s">
        <v>87</v>
      </c>
      <c r="H29" s="5" t="s">
        <v>20</v>
      </c>
      <c r="I29" s="45"/>
      <c r="J29" s="45"/>
      <c r="K29" s="45"/>
      <c r="L29" s="43"/>
      <c r="M29" s="352"/>
      <c r="N29" s="40"/>
      <c r="O29" s="352"/>
      <c r="P29" s="33"/>
      <c r="Q29" s="352"/>
      <c r="R29" s="41"/>
      <c r="S29" s="35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</row>
    <row r="30" spans="1:37" ht="12" customHeight="1">
      <c r="A30" s="32"/>
      <c r="C30" s="33"/>
      <c r="E30" s="43" t="s">
        <v>84</v>
      </c>
      <c r="F30" s="44" t="s">
        <v>85</v>
      </c>
      <c r="G30" s="44" t="s">
        <v>88</v>
      </c>
      <c r="H30" s="5" t="s">
        <v>20</v>
      </c>
      <c r="I30" s="45"/>
      <c r="J30" s="45"/>
      <c r="K30" s="45"/>
      <c r="L30" s="43"/>
      <c r="M30" s="352"/>
      <c r="N30" s="40"/>
      <c r="O30" s="352"/>
      <c r="P30" s="33"/>
      <c r="Q30" s="352"/>
      <c r="R30" s="41"/>
      <c r="S30" s="35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</row>
    <row r="31" spans="1:37" ht="12" customHeight="1">
      <c r="A31" s="32"/>
      <c r="C31" s="33"/>
      <c r="E31" s="43" t="s">
        <v>89</v>
      </c>
      <c r="F31" s="44" t="s">
        <v>90</v>
      </c>
      <c r="G31" s="44" t="s">
        <v>68</v>
      </c>
      <c r="H31" s="5" t="s">
        <v>20</v>
      </c>
      <c r="I31" s="45"/>
      <c r="J31" s="45"/>
      <c r="K31" s="45"/>
      <c r="L31" s="43"/>
      <c r="M31" s="352"/>
      <c r="N31" s="40"/>
      <c r="O31" s="352"/>
      <c r="P31" s="33"/>
      <c r="Q31" s="352"/>
      <c r="R31" s="41"/>
      <c r="S31" s="35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</row>
    <row r="32" spans="1:37" ht="12" customHeight="1">
      <c r="A32" s="32"/>
      <c r="C32" s="33"/>
      <c r="E32" s="43" t="s">
        <v>89</v>
      </c>
      <c r="F32" s="44" t="s">
        <v>90</v>
      </c>
      <c r="G32" s="44" t="s">
        <v>91</v>
      </c>
      <c r="H32" s="5" t="s">
        <v>20</v>
      </c>
      <c r="I32" s="45"/>
      <c r="J32" s="45"/>
      <c r="K32" s="45"/>
      <c r="L32" s="43"/>
      <c r="M32" s="352"/>
      <c r="N32" s="40"/>
      <c r="O32" s="352"/>
      <c r="P32" s="33"/>
      <c r="Q32" s="352"/>
      <c r="R32" s="41"/>
      <c r="S32" s="35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</row>
    <row r="33" spans="1:37" ht="12" customHeight="1">
      <c r="A33" s="46"/>
      <c r="B33" s="47"/>
      <c r="C33" s="48"/>
      <c r="D33" s="49"/>
      <c r="E33" s="43" t="s">
        <v>89</v>
      </c>
      <c r="F33" s="44" t="s">
        <v>90</v>
      </c>
      <c r="G33" s="44" t="s">
        <v>48</v>
      </c>
      <c r="H33" s="5" t="s">
        <v>20</v>
      </c>
      <c r="I33" s="45"/>
      <c r="J33" s="45"/>
      <c r="K33" s="45"/>
      <c r="L33" s="43"/>
      <c r="M33" s="353"/>
      <c r="N33" s="50"/>
      <c r="O33" s="353"/>
      <c r="P33" s="48"/>
      <c r="Q33" s="353"/>
      <c r="R33" s="51"/>
      <c r="S33" s="353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</row>
    <row r="34" spans="1:37" ht="12" customHeight="1">
      <c r="A34" s="32">
        <v>4</v>
      </c>
      <c r="B34" s="20" t="s">
        <v>45</v>
      </c>
      <c r="C34" s="33">
        <v>5</v>
      </c>
      <c r="D34" s="34">
        <v>1</v>
      </c>
      <c r="E34" s="35" t="s">
        <v>92</v>
      </c>
      <c r="F34" s="36" t="s">
        <v>93</v>
      </c>
      <c r="G34" s="36" t="s">
        <v>70</v>
      </c>
      <c r="H34" s="5" t="s">
        <v>20</v>
      </c>
      <c r="I34" s="38"/>
      <c r="J34" s="38"/>
      <c r="K34" s="38"/>
      <c r="L34" s="43"/>
      <c r="M34" s="351">
        <f>O34-1</f>
        <v>6.5</v>
      </c>
      <c r="N34" s="40"/>
      <c r="O34" s="351">
        <v>7.5</v>
      </c>
      <c r="P34" s="33"/>
      <c r="Q34" s="351" t="s">
        <v>49</v>
      </c>
      <c r="R34" s="41"/>
      <c r="S34" s="351">
        <f>0.48*0.48*0.32</f>
        <v>7.3728000000000002E-2</v>
      </c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</row>
    <row r="35" spans="1:37" ht="12" customHeight="1">
      <c r="A35" s="32"/>
      <c r="C35" s="33"/>
      <c r="E35" s="43" t="s">
        <v>92</v>
      </c>
      <c r="F35" s="44" t="s">
        <v>93</v>
      </c>
      <c r="G35" s="44" t="s">
        <v>94</v>
      </c>
      <c r="H35" s="5" t="s">
        <v>20</v>
      </c>
      <c r="I35" s="45"/>
      <c r="J35" s="45"/>
      <c r="K35" s="45"/>
      <c r="L35" s="43"/>
      <c r="M35" s="352"/>
      <c r="N35" s="40"/>
      <c r="O35" s="352"/>
      <c r="P35" s="33"/>
      <c r="Q35" s="352"/>
      <c r="R35" s="41"/>
      <c r="S35" s="35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</row>
    <row r="36" spans="1:37" ht="12" customHeight="1">
      <c r="A36" s="32"/>
      <c r="C36" s="33"/>
      <c r="E36" s="43" t="s">
        <v>92</v>
      </c>
      <c r="F36" s="44" t="s">
        <v>93</v>
      </c>
      <c r="G36" s="44" t="s">
        <v>95</v>
      </c>
      <c r="H36" s="5" t="s">
        <v>20</v>
      </c>
      <c r="I36" s="45"/>
      <c r="J36" s="45"/>
      <c r="K36" s="45"/>
      <c r="L36" s="43"/>
      <c r="M36" s="352"/>
      <c r="N36" s="40"/>
      <c r="O36" s="352"/>
      <c r="P36" s="33"/>
      <c r="Q36" s="352"/>
      <c r="R36" s="41"/>
      <c r="S36" s="35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</row>
    <row r="37" spans="1:37" ht="12" customHeight="1">
      <c r="A37" s="32"/>
      <c r="C37" s="33"/>
      <c r="E37" s="43" t="s">
        <v>92</v>
      </c>
      <c r="F37" s="44" t="s">
        <v>93</v>
      </c>
      <c r="G37" s="44" t="s">
        <v>48</v>
      </c>
      <c r="H37" s="5" t="s">
        <v>20</v>
      </c>
      <c r="I37" s="45"/>
      <c r="J37" s="45"/>
      <c r="K37" s="45"/>
      <c r="L37" s="43"/>
      <c r="M37" s="352"/>
      <c r="N37" s="40"/>
      <c r="O37" s="352"/>
      <c r="P37" s="33"/>
      <c r="Q37" s="352"/>
      <c r="R37" s="41"/>
      <c r="S37" s="35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</row>
    <row r="38" spans="1:37" ht="12" customHeight="1">
      <c r="A38" s="32"/>
      <c r="C38" s="33"/>
      <c r="E38" s="43" t="s">
        <v>96</v>
      </c>
      <c r="F38" s="44" t="s">
        <v>97</v>
      </c>
      <c r="G38" s="44" t="s">
        <v>68</v>
      </c>
      <c r="H38" s="5" t="s">
        <v>20</v>
      </c>
      <c r="I38" s="45"/>
      <c r="J38" s="45"/>
      <c r="K38" s="45"/>
      <c r="L38" s="43"/>
      <c r="M38" s="352"/>
      <c r="N38" s="40"/>
      <c r="O38" s="352"/>
      <c r="P38" s="33"/>
      <c r="Q38" s="352"/>
      <c r="R38" s="41"/>
      <c r="S38" s="35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</row>
    <row r="39" spans="1:37" ht="12" customHeight="1">
      <c r="A39" s="32"/>
      <c r="C39" s="33"/>
      <c r="E39" s="43" t="s">
        <v>96</v>
      </c>
      <c r="F39" s="44" t="s">
        <v>97</v>
      </c>
      <c r="G39" s="44" t="s">
        <v>56</v>
      </c>
      <c r="H39" s="5" t="s">
        <v>20</v>
      </c>
      <c r="I39" s="45"/>
      <c r="J39" s="45"/>
      <c r="K39" s="45"/>
      <c r="L39" s="43"/>
      <c r="M39" s="352"/>
      <c r="N39" s="40"/>
      <c r="O39" s="352"/>
      <c r="P39" s="33"/>
      <c r="Q39" s="352"/>
      <c r="R39" s="41"/>
      <c r="S39" s="35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</row>
    <row r="40" spans="1:37" ht="12" customHeight="1">
      <c r="A40" s="46"/>
      <c r="B40" s="47"/>
      <c r="C40" s="48"/>
      <c r="D40" s="49"/>
      <c r="E40" s="43" t="s">
        <v>96</v>
      </c>
      <c r="F40" s="44" t="s">
        <v>97</v>
      </c>
      <c r="G40" s="44" t="s">
        <v>52</v>
      </c>
      <c r="H40" s="5" t="s">
        <v>20</v>
      </c>
      <c r="I40" s="45"/>
      <c r="J40" s="45"/>
      <c r="K40" s="45"/>
      <c r="L40" s="43"/>
      <c r="M40" s="353"/>
      <c r="N40" s="50"/>
      <c r="O40" s="353"/>
      <c r="P40" s="48"/>
      <c r="Q40" s="353"/>
      <c r="R40" s="51"/>
      <c r="S40" s="353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</row>
    <row r="41" spans="1:37" ht="12" customHeight="1">
      <c r="A41" s="32">
        <v>5</v>
      </c>
      <c r="B41" s="20" t="s">
        <v>45</v>
      </c>
      <c r="C41" s="33">
        <v>5</v>
      </c>
      <c r="D41" s="34">
        <v>1</v>
      </c>
      <c r="E41" s="35" t="s">
        <v>98</v>
      </c>
      <c r="F41" s="36" t="s">
        <v>99</v>
      </c>
      <c r="G41" s="36" t="s">
        <v>68</v>
      </c>
      <c r="H41" s="5" t="s">
        <v>20</v>
      </c>
      <c r="I41" s="38"/>
      <c r="J41" s="38"/>
      <c r="K41" s="38"/>
      <c r="L41" s="43"/>
      <c r="M41" s="351">
        <f>O41-1</f>
        <v>6.65</v>
      </c>
      <c r="N41" s="40"/>
      <c r="O41" s="351">
        <v>7.65</v>
      </c>
      <c r="P41" s="33"/>
      <c r="Q41" s="351" t="s">
        <v>69</v>
      </c>
      <c r="R41" s="41"/>
      <c r="S41" s="351">
        <f>0.55*0.48*0.32</f>
        <v>8.448E-2</v>
      </c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</row>
    <row r="42" spans="1:37" ht="12" customHeight="1">
      <c r="A42" s="32"/>
      <c r="C42" s="33"/>
      <c r="E42" s="43" t="s">
        <v>98</v>
      </c>
      <c r="F42" s="44" t="s">
        <v>99</v>
      </c>
      <c r="G42" s="44" t="s">
        <v>70</v>
      </c>
      <c r="H42" s="5" t="s">
        <v>20</v>
      </c>
      <c r="I42" s="45"/>
      <c r="J42" s="45"/>
      <c r="K42" s="45"/>
      <c r="L42" s="43"/>
      <c r="M42" s="352"/>
      <c r="N42" s="40"/>
      <c r="O42" s="352"/>
      <c r="P42" s="33"/>
      <c r="Q42" s="352"/>
      <c r="R42" s="41"/>
      <c r="S42" s="35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</row>
    <row r="43" spans="1:37" ht="12" customHeight="1">
      <c r="A43" s="32"/>
      <c r="C43" s="33"/>
      <c r="E43" s="43" t="s">
        <v>98</v>
      </c>
      <c r="F43" s="44" t="s">
        <v>99</v>
      </c>
      <c r="G43" s="44" t="s">
        <v>91</v>
      </c>
      <c r="H43" s="5" t="s">
        <v>20</v>
      </c>
      <c r="I43" s="45"/>
      <c r="J43" s="45"/>
      <c r="K43" s="45"/>
      <c r="L43" s="43"/>
      <c r="M43" s="352"/>
      <c r="N43" s="40"/>
      <c r="O43" s="352"/>
      <c r="P43" s="33"/>
      <c r="Q43" s="352"/>
      <c r="R43" s="41"/>
      <c r="S43" s="35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</row>
    <row r="44" spans="1:37" ht="12" customHeight="1">
      <c r="A44" s="32"/>
      <c r="C44" s="33"/>
      <c r="E44" s="43" t="s">
        <v>100</v>
      </c>
      <c r="F44" s="44" t="s">
        <v>101</v>
      </c>
      <c r="G44" s="44" t="s">
        <v>56</v>
      </c>
      <c r="H44" s="5" t="s">
        <v>20</v>
      </c>
      <c r="I44" s="45"/>
      <c r="J44" s="45"/>
      <c r="K44" s="45"/>
      <c r="L44" s="43"/>
      <c r="M44" s="352"/>
      <c r="N44" s="40"/>
      <c r="O44" s="352"/>
      <c r="P44" s="33"/>
      <c r="Q44" s="352"/>
      <c r="R44" s="41"/>
      <c r="S44" s="35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</row>
    <row r="45" spans="1:37" ht="12" customHeight="1">
      <c r="A45" s="32"/>
      <c r="C45" s="33"/>
      <c r="E45" s="43" t="s">
        <v>100</v>
      </c>
      <c r="F45" s="44" t="s">
        <v>101</v>
      </c>
      <c r="G45" s="44" t="s">
        <v>48</v>
      </c>
      <c r="H45" s="5" t="s">
        <v>20</v>
      </c>
      <c r="I45" s="45"/>
      <c r="J45" s="45"/>
      <c r="K45" s="45"/>
      <c r="L45" s="43"/>
      <c r="M45" s="352"/>
      <c r="N45" s="40"/>
      <c r="O45" s="352"/>
      <c r="P45" s="33"/>
      <c r="Q45" s="352"/>
      <c r="R45" s="41"/>
      <c r="S45" s="35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</row>
    <row r="46" spans="1:37" ht="12" customHeight="1">
      <c r="A46" s="32"/>
      <c r="C46" s="33"/>
      <c r="E46" s="43" t="s">
        <v>102</v>
      </c>
      <c r="F46" s="44" t="s">
        <v>103</v>
      </c>
      <c r="G46" s="44" t="s">
        <v>76</v>
      </c>
      <c r="H46" s="5" t="s">
        <v>20</v>
      </c>
      <c r="I46" s="45"/>
      <c r="J46" s="45"/>
      <c r="K46" s="45"/>
      <c r="L46" s="43"/>
      <c r="M46" s="352"/>
      <c r="N46" s="40"/>
      <c r="O46" s="352"/>
      <c r="P46" s="33"/>
      <c r="Q46" s="352"/>
      <c r="R46" s="41"/>
      <c r="S46" s="35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</row>
    <row r="47" spans="1:37" ht="12" customHeight="1">
      <c r="A47" s="32"/>
      <c r="C47" s="33"/>
      <c r="E47" s="43" t="s">
        <v>104</v>
      </c>
      <c r="F47" s="44" t="s">
        <v>105</v>
      </c>
      <c r="G47" s="44" t="s">
        <v>106</v>
      </c>
      <c r="H47" s="5" t="s">
        <v>20</v>
      </c>
      <c r="I47" s="45"/>
      <c r="J47" s="45"/>
      <c r="K47" s="45"/>
      <c r="L47" s="43"/>
      <c r="M47" s="352"/>
      <c r="N47" s="40"/>
      <c r="O47" s="352"/>
      <c r="P47" s="33"/>
      <c r="Q47" s="352"/>
      <c r="R47" s="41"/>
      <c r="S47" s="35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</row>
    <row r="48" spans="1:37" ht="12" customHeight="1">
      <c r="A48" s="46"/>
      <c r="B48" s="47"/>
      <c r="C48" s="48"/>
      <c r="D48" s="49"/>
      <c r="E48" s="43" t="s">
        <v>107</v>
      </c>
      <c r="F48" s="44" t="s">
        <v>108</v>
      </c>
      <c r="G48" s="44" t="s">
        <v>109</v>
      </c>
      <c r="H48" s="5" t="s">
        <v>20</v>
      </c>
      <c r="I48" s="45"/>
      <c r="J48" s="45"/>
      <c r="K48" s="45"/>
      <c r="L48" s="43"/>
      <c r="M48" s="353"/>
      <c r="N48" s="50"/>
      <c r="O48" s="353"/>
      <c r="P48" s="48"/>
      <c r="Q48" s="353"/>
      <c r="R48" s="51"/>
      <c r="S48" s="353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</row>
    <row r="49" spans="1:37" ht="12" customHeight="1">
      <c r="A49" s="58" t="s">
        <v>110</v>
      </c>
      <c r="B49" s="58"/>
      <c r="C49" s="58"/>
      <c r="D49" s="59">
        <f>SUM(D12:D48)</f>
        <v>5</v>
      </c>
      <c r="E49" s="60"/>
      <c r="F49" s="60"/>
      <c r="G49" s="60"/>
      <c r="H49" s="59"/>
      <c r="I49" s="61">
        <f t="shared" ref="I49:O49" si="0">SUM(I12:I48)</f>
        <v>0</v>
      </c>
      <c r="J49" s="61">
        <f t="shared" si="0"/>
        <v>0</v>
      </c>
      <c r="K49" s="61">
        <f t="shared" si="0"/>
        <v>0</v>
      </c>
      <c r="L49" s="61"/>
      <c r="M49" s="61">
        <f t="shared" si="0"/>
        <v>32.050000000000004</v>
      </c>
      <c r="N49" s="62">
        <f t="shared" si="0"/>
        <v>0</v>
      </c>
      <c r="O49" s="61">
        <f t="shared" si="0"/>
        <v>37.050000000000004</v>
      </c>
      <c r="P49" s="63"/>
      <c r="Q49" s="62"/>
      <c r="R49" s="64"/>
      <c r="S49" s="65">
        <f>SUM(S12:S48)</f>
        <v>0.39014400000000005</v>
      </c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</row>
    <row r="50" spans="1:37" ht="12" customHeight="1">
      <c r="A50" s="19"/>
      <c r="B50" s="19"/>
      <c r="C50" s="19"/>
      <c r="D50" s="66"/>
      <c r="E50" s="67"/>
      <c r="F50" s="67"/>
      <c r="G50" s="67"/>
      <c r="H50" s="66"/>
      <c r="I50" s="67"/>
      <c r="J50" s="67"/>
      <c r="K50" s="67"/>
      <c r="L50" s="67"/>
      <c r="M50" s="19"/>
      <c r="N50" s="66"/>
      <c r="O50" s="19"/>
      <c r="P50" s="19"/>
      <c r="Q50" s="66"/>
      <c r="R50" s="68"/>
      <c r="S50" s="19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</row>
    <row r="51" spans="1:37" ht="12" customHeight="1">
      <c r="A51" s="19" t="s">
        <v>111</v>
      </c>
      <c r="B51" s="19"/>
      <c r="C51" s="19"/>
      <c r="D51" s="69" t="s">
        <v>112</v>
      </c>
      <c r="E51" s="67"/>
      <c r="F51" s="67"/>
      <c r="G51" s="67"/>
      <c r="H51" s="66"/>
      <c r="I51" s="67"/>
      <c r="J51" s="67"/>
      <c r="K51" s="67"/>
      <c r="L51" s="67"/>
      <c r="M51" s="19"/>
      <c r="N51" s="66"/>
      <c r="O51" s="19"/>
      <c r="P51" s="19"/>
      <c r="Q51" s="66"/>
      <c r="R51" s="68"/>
      <c r="S51" s="19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</row>
    <row r="52" spans="1:37" ht="12" customHeight="1">
      <c r="A52" s="19"/>
      <c r="B52" s="19"/>
      <c r="C52" s="19"/>
      <c r="D52" s="69"/>
      <c r="E52" s="67"/>
      <c r="F52" s="67"/>
      <c r="G52" s="67"/>
      <c r="H52" s="66"/>
      <c r="I52" s="67"/>
      <c r="J52" s="67"/>
      <c r="K52" s="67"/>
      <c r="L52" s="67"/>
      <c r="M52" s="19"/>
      <c r="N52" s="66"/>
      <c r="O52" s="19"/>
      <c r="P52" s="19"/>
      <c r="Q52" s="66"/>
      <c r="R52" s="68"/>
      <c r="S52" s="19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</row>
    <row r="53" spans="1:37" ht="12.75" customHeight="1">
      <c r="A53" s="9"/>
      <c r="B53" s="16"/>
      <c r="C53" s="16"/>
      <c r="D53" s="16"/>
      <c r="E53" s="16"/>
      <c r="F53" s="16"/>
      <c r="G53" s="19"/>
      <c r="H53" s="70"/>
      <c r="I53" s="70"/>
      <c r="J53" s="70"/>
      <c r="K53" s="70"/>
      <c r="L53" s="70"/>
      <c r="M53" s="71"/>
      <c r="N53" s="12"/>
      <c r="O53" s="12"/>
      <c r="P53" s="15"/>
      <c r="Q53" s="15"/>
      <c r="R53" s="19"/>
      <c r="S53" s="19"/>
    </row>
    <row r="54" spans="1:37" ht="12.75" customHeight="1">
      <c r="A54" s="9"/>
      <c r="B54" s="16"/>
      <c r="C54" s="16"/>
      <c r="D54" s="16"/>
      <c r="E54" s="16"/>
      <c r="F54" s="16"/>
      <c r="G54" s="19"/>
      <c r="H54" s="70"/>
      <c r="I54" s="70"/>
      <c r="J54" s="70"/>
      <c r="K54" s="70"/>
      <c r="L54" s="70"/>
      <c r="M54" s="71"/>
      <c r="N54" s="12"/>
      <c r="O54" s="12"/>
      <c r="P54" s="15"/>
      <c r="Q54" s="15"/>
      <c r="R54" s="19"/>
      <c r="S54" s="19"/>
    </row>
    <row r="55" spans="1:37" ht="12.75" customHeight="1">
      <c r="A55" s="358"/>
      <c r="B55" s="358"/>
      <c r="C55" s="358"/>
      <c r="D55" s="358"/>
      <c r="E55" s="358"/>
      <c r="F55" s="16"/>
      <c r="G55" s="19"/>
      <c r="H55" s="70"/>
      <c r="I55" s="70"/>
      <c r="J55" s="70"/>
      <c r="K55" s="70"/>
      <c r="L55" s="70"/>
      <c r="M55" s="71"/>
      <c r="N55" s="12"/>
      <c r="O55" s="12"/>
      <c r="P55" s="15"/>
      <c r="Q55" s="15"/>
      <c r="R55" s="19"/>
      <c r="S55" s="19"/>
    </row>
    <row r="56" spans="1:37" ht="12.75" customHeight="1">
      <c r="A56" s="358"/>
      <c r="B56" s="358"/>
      <c r="C56" s="358"/>
      <c r="D56" s="358"/>
      <c r="E56" s="358"/>
      <c r="F56" s="16"/>
      <c r="G56" s="19"/>
      <c r="H56" s="70"/>
      <c r="I56" s="70"/>
      <c r="J56" s="70"/>
      <c r="K56" s="70"/>
      <c r="L56" s="70"/>
      <c r="M56" s="71"/>
      <c r="N56" s="12"/>
      <c r="O56" s="12"/>
      <c r="P56" s="15"/>
      <c r="Q56" s="15"/>
      <c r="R56" s="19"/>
      <c r="S56" s="19"/>
    </row>
    <row r="57" spans="1:37" ht="12.75" customHeight="1">
      <c r="A57" s="358"/>
      <c r="B57" s="358"/>
      <c r="C57" s="358"/>
      <c r="D57" s="358"/>
      <c r="E57" s="358"/>
      <c r="F57" s="16"/>
      <c r="G57" s="19"/>
      <c r="H57" s="70"/>
      <c r="I57" s="70"/>
      <c r="J57" s="70"/>
      <c r="K57" s="70"/>
      <c r="L57" s="70"/>
      <c r="M57" s="71"/>
      <c r="N57" s="12"/>
      <c r="O57" s="12"/>
      <c r="P57" s="15"/>
      <c r="Q57" s="15"/>
      <c r="R57" s="19"/>
      <c r="S57" s="19"/>
    </row>
    <row r="58" spans="1:37" ht="12.75" customHeight="1">
      <c r="A58" s="359"/>
      <c r="B58" s="359"/>
      <c r="C58" s="359"/>
      <c r="D58" s="359"/>
      <c r="E58" s="359"/>
      <c r="F58" s="72"/>
      <c r="G58" s="23"/>
      <c r="H58" s="73"/>
      <c r="I58" s="73"/>
      <c r="J58" s="73"/>
      <c r="K58" s="73"/>
      <c r="L58" s="73"/>
      <c r="M58" s="74"/>
      <c r="N58" s="75"/>
      <c r="O58" s="75"/>
      <c r="P58" s="76"/>
      <c r="Q58" s="76"/>
      <c r="R58" s="23"/>
      <c r="S58" s="23"/>
    </row>
    <row r="59" spans="1:37" ht="12" customHeight="1">
      <c r="A59" s="42"/>
      <c r="B59" s="42"/>
      <c r="C59" s="42"/>
      <c r="D59" s="77"/>
      <c r="E59" s="78"/>
      <c r="F59" s="78"/>
      <c r="G59" s="78"/>
      <c r="H59" s="77"/>
      <c r="I59" s="78"/>
      <c r="J59" s="78"/>
      <c r="K59" s="78"/>
      <c r="L59" s="78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</row>
    <row r="60" spans="1:37" ht="12" customHeight="1">
      <c r="A60" s="79"/>
      <c r="B60" s="79"/>
      <c r="C60" s="79"/>
      <c r="D60" s="77"/>
      <c r="E60" s="78"/>
      <c r="F60" s="78"/>
      <c r="G60" s="78"/>
      <c r="H60" s="77"/>
      <c r="I60" s="78"/>
      <c r="J60" s="78"/>
      <c r="K60" s="78"/>
      <c r="L60" s="78"/>
      <c r="M60" s="77"/>
      <c r="N60" s="80"/>
      <c r="O60" s="77"/>
      <c r="P60" s="77"/>
      <c r="Q60" s="80"/>
      <c r="R60" s="81"/>
      <c r="S60" s="78"/>
      <c r="T60" s="77"/>
      <c r="U60" s="77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</row>
    <row r="61" spans="1:37" ht="12" customHeight="1">
      <c r="A61" s="79"/>
      <c r="B61" s="79"/>
      <c r="C61" s="79"/>
      <c r="D61" s="77"/>
      <c r="E61" s="78"/>
      <c r="F61" s="78"/>
      <c r="G61" s="78"/>
      <c r="H61" s="77"/>
      <c r="I61" s="78"/>
      <c r="J61" s="78"/>
      <c r="K61" s="78"/>
      <c r="L61" s="78"/>
      <c r="M61" s="77"/>
      <c r="N61" s="80"/>
      <c r="O61" s="77"/>
      <c r="P61" s="77"/>
      <c r="Q61" s="80"/>
      <c r="R61" s="81"/>
      <c r="S61" s="78"/>
      <c r="T61" s="77"/>
      <c r="U61" s="77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</row>
    <row r="62" spans="1:37" ht="12" customHeight="1">
      <c r="A62" s="79"/>
      <c r="B62" s="79"/>
      <c r="C62" s="79"/>
      <c r="D62" s="77"/>
      <c r="E62" s="78"/>
      <c r="F62" s="78"/>
      <c r="G62" s="78"/>
      <c r="H62" s="77"/>
      <c r="I62" s="78"/>
      <c r="J62" s="78"/>
      <c r="K62" s="78"/>
      <c r="L62" s="78"/>
      <c r="M62" s="77"/>
      <c r="N62" s="80"/>
      <c r="O62" s="77"/>
      <c r="P62" s="77"/>
      <c r="Q62" s="80"/>
      <c r="R62" s="81"/>
      <c r="S62" s="78"/>
      <c r="T62" s="77"/>
      <c r="U62" s="77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</row>
    <row r="63" spans="1:37" ht="12" customHeight="1">
      <c r="A63" s="79"/>
      <c r="B63" s="79"/>
      <c r="C63" s="79"/>
      <c r="D63" s="77"/>
      <c r="E63" s="78"/>
      <c r="F63" s="78"/>
      <c r="G63" s="78"/>
      <c r="H63" s="77"/>
      <c r="I63" s="78"/>
      <c r="J63" s="78"/>
      <c r="K63" s="78"/>
      <c r="L63" s="78"/>
      <c r="M63" s="77"/>
      <c r="N63" s="80"/>
      <c r="O63" s="77"/>
      <c r="P63" s="77"/>
      <c r="Q63" s="80"/>
      <c r="R63" s="81"/>
      <c r="S63" s="78"/>
      <c r="T63" s="77"/>
      <c r="U63" s="77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</row>
    <row r="64" spans="1:37" ht="12" customHeight="1">
      <c r="A64" s="42"/>
      <c r="B64" s="42"/>
      <c r="C64" s="42"/>
      <c r="D64" s="77"/>
      <c r="E64" s="78"/>
      <c r="F64" s="78"/>
      <c r="G64" s="78"/>
      <c r="H64" s="77"/>
      <c r="I64" s="78"/>
      <c r="J64" s="78"/>
      <c r="K64" s="78"/>
      <c r="L64" s="78"/>
      <c r="M64" s="42"/>
      <c r="N64" s="42"/>
      <c r="O64" s="42"/>
      <c r="P64" s="42"/>
      <c r="Q64" s="42"/>
      <c r="R64" s="42"/>
      <c r="S64" s="42"/>
      <c r="T64" s="77"/>
      <c r="U64" s="77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</row>
    <row r="65" spans="1:37" ht="12" customHeight="1">
      <c r="A65" s="42"/>
      <c r="B65" s="42"/>
      <c r="C65" s="42"/>
      <c r="D65" s="77"/>
      <c r="E65" s="78"/>
      <c r="F65" s="78"/>
      <c r="G65" s="78"/>
      <c r="H65" s="77"/>
      <c r="I65" s="78"/>
      <c r="J65" s="78"/>
      <c r="K65" s="78"/>
      <c r="L65" s="78"/>
      <c r="M65" s="42"/>
      <c r="N65" s="42"/>
      <c r="O65" s="42"/>
      <c r="P65" s="42"/>
      <c r="Q65" s="42"/>
      <c r="R65" s="42"/>
      <c r="S65" s="42"/>
      <c r="T65" s="77"/>
      <c r="U65" s="77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</row>
    <row r="66" spans="1:37" ht="12" customHeight="1">
      <c r="A66" s="42"/>
      <c r="B66" s="42"/>
      <c r="C66" s="42"/>
      <c r="D66" s="77"/>
      <c r="E66" s="78"/>
      <c r="F66" s="78"/>
      <c r="G66" s="78"/>
      <c r="H66" s="77"/>
      <c r="I66" s="78"/>
      <c r="J66" s="78"/>
      <c r="K66" s="78"/>
      <c r="L66" s="78"/>
      <c r="M66" s="42"/>
      <c r="N66" s="42"/>
      <c r="O66" s="42"/>
      <c r="P66" s="42"/>
      <c r="Q66" s="42"/>
      <c r="R66" s="42"/>
      <c r="S66" s="42"/>
      <c r="T66" s="77"/>
      <c r="U66" s="77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</row>
    <row r="67" spans="1:37" ht="12" customHeight="1">
      <c r="A67" s="42"/>
      <c r="B67" s="42"/>
      <c r="C67" s="42"/>
      <c r="D67" s="77"/>
      <c r="E67" s="78"/>
      <c r="F67" s="78"/>
      <c r="G67" s="78"/>
      <c r="H67" s="77"/>
      <c r="I67" s="78"/>
      <c r="J67" s="78"/>
      <c r="K67" s="78"/>
      <c r="L67" s="78"/>
      <c r="M67" s="42"/>
      <c r="N67" s="42"/>
      <c r="O67" s="42"/>
      <c r="P67" s="42"/>
      <c r="Q67" s="42"/>
      <c r="R67" s="42"/>
      <c r="S67" s="42"/>
      <c r="T67" s="77"/>
      <c r="U67" s="77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</row>
    <row r="68" spans="1:37" ht="12" customHeight="1">
      <c r="A68" s="42"/>
      <c r="B68" s="42"/>
      <c r="C68" s="42"/>
      <c r="D68" s="77"/>
      <c r="E68" s="78"/>
      <c r="F68" s="78"/>
      <c r="G68" s="78"/>
      <c r="H68" s="77"/>
      <c r="I68" s="78"/>
      <c r="J68" s="78"/>
      <c r="K68" s="78"/>
      <c r="L68" s="78"/>
      <c r="M68" s="42"/>
      <c r="N68" s="42"/>
      <c r="O68" s="42"/>
      <c r="P68" s="42"/>
      <c r="Q68" s="42"/>
      <c r="R68" s="42"/>
      <c r="S68" s="42"/>
      <c r="T68" s="77"/>
      <c r="U68" s="77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</row>
    <row r="69" spans="1:37" ht="12" customHeight="1">
      <c r="A69" s="42"/>
      <c r="B69" s="42"/>
      <c r="C69" s="42"/>
      <c r="D69" s="77"/>
      <c r="E69" s="78"/>
      <c r="F69" s="78"/>
      <c r="G69" s="78"/>
      <c r="H69" s="77"/>
      <c r="I69" s="78"/>
      <c r="J69" s="78"/>
      <c r="K69" s="78"/>
      <c r="L69" s="78"/>
      <c r="M69" s="42"/>
      <c r="N69" s="42"/>
      <c r="O69" s="42"/>
      <c r="P69" s="42"/>
      <c r="Q69" s="42"/>
      <c r="R69" s="42"/>
      <c r="S69" s="42"/>
      <c r="T69" s="77"/>
      <c r="U69" s="77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</row>
    <row r="70" spans="1:37" ht="12" customHeight="1">
      <c r="A70" s="42"/>
      <c r="B70" s="42"/>
      <c r="C70" s="42"/>
      <c r="D70" s="77"/>
      <c r="E70" s="78"/>
      <c r="F70" s="78"/>
      <c r="G70" s="78"/>
      <c r="H70" s="77"/>
      <c r="I70" s="78"/>
      <c r="J70" s="78"/>
      <c r="K70" s="78"/>
      <c r="L70" s="78"/>
      <c r="M70" s="42"/>
      <c r="N70" s="42"/>
      <c r="O70" s="42"/>
      <c r="P70" s="42"/>
      <c r="Q70" s="42"/>
      <c r="R70" s="42"/>
      <c r="S70" s="42"/>
      <c r="T70" s="77"/>
      <c r="U70" s="77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</row>
    <row r="71" spans="1:37" ht="12" customHeight="1">
      <c r="A71" s="82"/>
      <c r="B71" s="82"/>
      <c r="C71" s="82"/>
      <c r="D71" s="83"/>
      <c r="E71" s="84"/>
      <c r="F71" s="78"/>
      <c r="G71" s="78"/>
      <c r="H71" s="77"/>
      <c r="I71" s="78"/>
      <c r="J71" s="78"/>
      <c r="K71" s="78"/>
      <c r="L71" s="78"/>
      <c r="M71" s="42"/>
      <c r="N71" s="42"/>
      <c r="O71" s="42"/>
      <c r="P71" s="42"/>
      <c r="Q71" s="42"/>
      <c r="R71" s="42"/>
      <c r="S71" s="42"/>
    </row>
    <row r="72" spans="1:37" ht="12" customHeight="1">
      <c r="A72" s="42"/>
      <c r="B72" s="42"/>
      <c r="C72" s="42"/>
      <c r="D72" s="77"/>
      <c r="E72" s="78"/>
      <c r="F72" s="78"/>
      <c r="G72" s="78"/>
      <c r="H72" s="77"/>
      <c r="I72" s="78"/>
      <c r="J72" s="78"/>
      <c r="K72" s="78"/>
      <c r="L72" s="78"/>
      <c r="M72" s="42"/>
      <c r="N72" s="42"/>
      <c r="O72" s="42"/>
      <c r="P72" s="42"/>
      <c r="Q72" s="42"/>
      <c r="R72" s="42"/>
      <c r="S72" s="42"/>
    </row>
    <row r="73" spans="1:37" ht="12" customHeight="1">
      <c r="A73" s="42"/>
      <c r="B73" s="42"/>
      <c r="C73" s="42"/>
      <c r="D73" s="77"/>
      <c r="E73" s="78"/>
      <c r="F73" s="78"/>
      <c r="G73" s="78"/>
      <c r="H73" s="77"/>
      <c r="I73" s="78"/>
      <c r="J73" s="78"/>
      <c r="K73" s="78"/>
      <c r="L73" s="78"/>
      <c r="M73" s="42"/>
      <c r="N73" s="42"/>
      <c r="O73" s="42"/>
      <c r="P73" s="42"/>
      <c r="Q73" s="42"/>
      <c r="R73" s="42"/>
      <c r="S73" s="42"/>
    </row>
    <row r="74" spans="1:37" ht="12" customHeight="1">
      <c r="A74" s="85"/>
      <c r="B74" s="85"/>
      <c r="C74" s="85"/>
      <c r="D74" s="86"/>
      <c r="E74" s="41"/>
      <c r="F74" s="41"/>
      <c r="G74" s="41"/>
      <c r="H74" s="34"/>
      <c r="I74" s="41"/>
      <c r="J74" s="41"/>
      <c r="K74" s="41"/>
      <c r="L74" s="41"/>
    </row>
    <row r="75" spans="1:37" ht="12" customHeight="1">
      <c r="A75" s="85"/>
      <c r="B75" s="85"/>
      <c r="C75" s="85"/>
      <c r="D75" s="86"/>
      <c r="E75" s="41"/>
      <c r="F75" s="41"/>
      <c r="G75" s="41"/>
      <c r="H75" s="34"/>
      <c r="I75" s="41"/>
      <c r="J75" s="41"/>
      <c r="K75" s="41"/>
      <c r="L75" s="41"/>
    </row>
    <row r="76" spans="1:37" ht="12" customHeight="1">
      <c r="A76" s="85"/>
      <c r="B76" s="85"/>
      <c r="C76" s="85"/>
      <c r="D76" s="86"/>
      <c r="E76" s="41"/>
      <c r="F76" s="41"/>
      <c r="G76" s="41"/>
      <c r="H76" s="34"/>
      <c r="I76" s="41"/>
      <c r="J76" s="41"/>
      <c r="K76" s="41"/>
      <c r="L76" s="41"/>
    </row>
    <row r="77" spans="1:37" ht="12" customHeight="1">
      <c r="A77" s="85"/>
      <c r="B77" s="85"/>
      <c r="C77" s="85"/>
      <c r="D77" s="86"/>
      <c r="E77" s="41"/>
      <c r="F77" s="41"/>
      <c r="G77" s="41"/>
      <c r="H77" s="34"/>
      <c r="I77" s="41"/>
      <c r="J77" s="41"/>
      <c r="K77" s="41"/>
      <c r="L77" s="41"/>
    </row>
    <row r="78" spans="1:37" ht="12" customHeight="1">
      <c r="A78" s="85"/>
      <c r="B78" s="85"/>
      <c r="C78" s="85"/>
      <c r="D78" s="86"/>
      <c r="E78" s="41"/>
      <c r="F78" s="41"/>
      <c r="G78" s="41"/>
      <c r="H78" s="34"/>
      <c r="I78" s="41"/>
      <c r="J78" s="41"/>
      <c r="K78" s="41"/>
      <c r="L78" s="41"/>
    </row>
    <row r="79" spans="1:37" ht="12" customHeight="1">
      <c r="A79" s="85"/>
      <c r="B79" s="85"/>
      <c r="C79" s="85"/>
      <c r="D79" s="86"/>
      <c r="E79" s="41"/>
      <c r="F79" s="41"/>
      <c r="G79" s="41"/>
      <c r="H79" s="34"/>
      <c r="I79" s="41"/>
      <c r="J79" s="41"/>
      <c r="K79" s="41"/>
      <c r="L79" s="41"/>
    </row>
    <row r="80" spans="1:37" ht="12" customHeight="1">
      <c r="A80" s="85"/>
      <c r="B80" s="85"/>
      <c r="C80" s="85"/>
      <c r="D80" s="86"/>
      <c r="E80" s="41"/>
      <c r="F80" s="41"/>
      <c r="G80" s="41"/>
      <c r="H80" s="34"/>
      <c r="I80" s="41"/>
      <c r="J80" s="41"/>
      <c r="K80" s="41"/>
      <c r="L80" s="41"/>
    </row>
    <row r="81" spans="1:12" ht="12" customHeight="1">
      <c r="A81" s="85"/>
      <c r="B81" s="85"/>
      <c r="C81" s="85"/>
      <c r="D81" s="86"/>
      <c r="E81" s="41"/>
      <c r="F81" s="41"/>
      <c r="G81" s="41"/>
      <c r="H81" s="34"/>
      <c r="I81" s="41"/>
      <c r="J81" s="41"/>
      <c r="K81" s="41"/>
      <c r="L81" s="41"/>
    </row>
    <row r="82" spans="1:12" ht="12" customHeight="1">
      <c r="A82" s="85"/>
      <c r="B82" s="85"/>
      <c r="C82" s="85"/>
      <c r="D82" s="86"/>
      <c r="E82" s="41"/>
      <c r="F82" s="41"/>
      <c r="G82" s="41"/>
      <c r="H82" s="34"/>
      <c r="I82" s="41"/>
      <c r="J82" s="41"/>
      <c r="K82" s="41"/>
      <c r="L82" s="41"/>
    </row>
  </sheetData>
  <mergeCells count="32">
    <mergeCell ref="Q7:S7"/>
    <mergeCell ref="A1:S1"/>
    <mergeCell ref="A2:S2"/>
    <mergeCell ref="A3:S3"/>
    <mergeCell ref="A4:S4"/>
    <mergeCell ref="Q6:S6"/>
    <mergeCell ref="A57:E57"/>
    <mergeCell ref="A58:E58"/>
    <mergeCell ref="M12:M18"/>
    <mergeCell ref="M19:M26"/>
    <mergeCell ref="M41:M48"/>
    <mergeCell ref="A55:E55"/>
    <mergeCell ref="O41:O48"/>
    <mergeCell ref="Q41:Q48"/>
    <mergeCell ref="S41:S48"/>
    <mergeCell ref="M34:M40"/>
    <mergeCell ref="A56:E56"/>
    <mergeCell ref="O12:O18"/>
    <mergeCell ref="Q12:Q18"/>
    <mergeCell ref="O34:O40"/>
    <mergeCell ref="Q34:Q40"/>
    <mergeCell ref="A9:S9"/>
    <mergeCell ref="A11:C11"/>
    <mergeCell ref="S12:S18"/>
    <mergeCell ref="O19:O26"/>
    <mergeCell ref="Q19:Q26"/>
    <mergeCell ref="S19:S26"/>
    <mergeCell ref="O27:O33"/>
    <mergeCell ref="Q27:Q33"/>
    <mergeCell ref="S27:S33"/>
    <mergeCell ref="M27:M33"/>
    <mergeCell ref="S34:S40"/>
  </mergeCells>
  <phoneticPr fontId="7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"/>
  <sheetViews>
    <sheetView workbookViewId="0">
      <selection activeCell="C37" sqref="C37"/>
    </sheetView>
  </sheetViews>
  <sheetFormatPr defaultRowHeight="12"/>
  <cols>
    <col min="1" max="1" width="20.33203125" customWidth="1"/>
    <col min="2" max="2" width="17.5" customWidth="1"/>
    <col min="3" max="3" width="19.1640625" customWidth="1"/>
    <col min="4" max="4" width="19.33203125" customWidth="1"/>
    <col min="5" max="5" width="20.1640625" customWidth="1"/>
    <col min="6" max="6" width="13.1640625" customWidth="1"/>
    <col min="7" max="7" width="17.6640625" customWidth="1"/>
    <col min="8" max="8" width="18" customWidth="1"/>
    <col min="9" max="9" width="29.5" customWidth="1"/>
  </cols>
  <sheetData>
    <row r="1" spans="1:9" ht="21">
      <c r="A1" s="365" t="s">
        <v>0</v>
      </c>
      <c r="B1" s="365"/>
      <c r="C1" s="365"/>
      <c r="D1" s="365"/>
      <c r="E1" s="365"/>
      <c r="F1" s="365"/>
      <c r="G1" s="365"/>
      <c r="H1" s="365"/>
      <c r="I1" s="365"/>
    </row>
    <row r="2" spans="1:9" ht="21">
      <c r="A2" s="366" t="s">
        <v>124</v>
      </c>
      <c r="B2" s="366"/>
      <c r="C2" s="366"/>
      <c r="D2" s="366"/>
      <c r="E2" s="366"/>
      <c r="F2" s="366"/>
      <c r="G2" s="366"/>
      <c r="H2" s="366"/>
      <c r="I2" s="366"/>
    </row>
    <row r="3" spans="1:9" ht="7.5" customHeight="1">
      <c r="A3" s="367"/>
      <c r="B3" s="367"/>
      <c r="C3" s="367"/>
      <c r="D3" s="367"/>
      <c r="E3" s="367"/>
      <c r="F3" s="367"/>
      <c r="G3" s="367"/>
      <c r="H3" s="367"/>
      <c r="I3" s="367"/>
    </row>
    <row r="4" spans="1:9" ht="23.25">
      <c r="A4" s="368" t="s">
        <v>142</v>
      </c>
      <c r="B4" s="368"/>
      <c r="C4" s="368"/>
      <c r="D4" s="368"/>
      <c r="E4" s="368"/>
      <c r="F4" s="368"/>
      <c r="G4" s="368"/>
      <c r="H4" s="368"/>
      <c r="I4" s="368"/>
    </row>
    <row r="5" spans="1:9" ht="23.25">
      <c r="A5" s="369" t="s">
        <v>3</v>
      </c>
      <c r="B5" s="370"/>
      <c r="C5" s="123"/>
      <c r="D5" s="124" t="s">
        <v>4</v>
      </c>
      <c r="E5" s="125"/>
      <c r="F5" s="102"/>
      <c r="G5" s="127"/>
      <c r="H5" s="122"/>
      <c r="I5" s="126"/>
    </row>
    <row r="6" spans="1:9" ht="12.75">
      <c r="A6" s="95" t="s">
        <v>131</v>
      </c>
      <c r="B6" s="96"/>
      <c r="C6" s="97" t="s">
        <v>5</v>
      </c>
      <c r="D6" s="178" t="s">
        <v>127</v>
      </c>
      <c r="E6" s="128"/>
      <c r="F6" s="122"/>
      <c r="G6" s="102" t="s">
        <v>6</v>
      </c>
      <c r="H6" s="129" t="s">
        <v>125</v>
      </c>
      <c r="I6" s="107"/>
    </row>
    <row r="7" spans="1:9" ht="12.75">
      <c r="A7" s="95" t="s">
        <v>146</v>
      </c>
      <c r="B7" s="96"/>
      <c r="C7" s="97" t="s">
        <v>7</v>
      </c>
      <c r="D7" s="130"/>
      <c r="E7" s="131"/>
      <c r="F7" s="122"/>
      <c r="G7" s="132" t="s">
        <v>8</v>
      </c>
      <c r="H7" s="181">
        <f ca="1">TODAY()</f>
        <v>45726</v>
      </c>
      <c r="I7" s="107"/>
    </row>
    <row r="8" spans="1:9" ht="12.75">
      <c r="A8" s="95" t="s">
        <v>145</v>
      </c>
      <c r="B8" s="96"/>
      <c r="C8" s="97" t="s">
        <v>9</v>
      </c>
      <c r="D8" s="130"/>
      <c r="E8" s="131"/>
      <c r="F8" s="122"/>
      <c r="G8" s="103" t="s">
        <v>126</v>
      </c>
      <c r="H8" s="101" t="s">
        <v>128</v>
      </c>
      <c r="I8" s="107"/>
    </row>
    <row r="9" spans="1:9" ht="12.75">
      <c r="A9" s="95" t="s">
        <v>132</v>
      </c>
      <c r="B9" s="96"/>
      <c r="C9" s="98"/>
      <c r="D9" s="130"/>
      <c r="E9" s="131"/>
      <c r="F9" s="122"/>
      <c r="G9" s="133" t="s">
        <v>135</v>
      </c>
      <c r="H9" s="101" t="s">
        <v>136</v>
      </c>
      <c r="I9" s="107"/>
    </row>
    <row r="10" spans="1:9" ht="12.75">
      <c r="A10" s="95" t="s">
        <v>133</v>
      </c>
      <c r="B10" s="96"/>
      <c r="C10" s="99"/>
      <c r="D10" s="130"/>
      <c r="E10" s="131"/>
      <c r="F10" s="122"/>
      <c r="G10" s="133" t="s">
        <v>10</v>
      </c>
      <c r="H10" s="134" t="s">
        <v>11</v>
      </c>
      <c r="I10" s="107"/>
    </row>
    <row r="11" spans="1:9" ht="12.75">
      <c r="A11" s="95" t="s">
        <v>134</v>
      </c>
      <c r="B11" s="96"/>
      <c r="C11" s="100"/>
      <c r="D11" s="130"/>
      <c r="E11" s="131"/>
      <c r="G11" s="102" t="s">
        <v>12</v>
      </c>
      <c r="H11" s="101" t="s">
        <v>137</v>
      </c>
      <c r="I11" s="136"/>
    </row>
    <row r="12" spans="1:9" ht="12.75">
      <c r="A12" s="137"/>
      <c r="B12" s="100"/>
      <c r="C12" s="100"/>
      <c r="D12" s="137"/>
      <c r="E12" s="135"/>
      <c r="F12" s="135"/>
      <c r="G12" s="135"/>
      <c r="H12" s="135"/>
      <c r="I12" s="135"/>
    </row>
    <row r="13" spans="1:9" ht="25.5">
      <c r="A13" s="104" t="s">
        <v>13</v>
      </c>
      <c r="B13" s="138" t="s">
        <v>14</v>
      </c>
      <c r="C13" s="138" t="s">
        <v>113</v>
      </c>
      <c r="D13" s="104" t="s">
        <v>15</v>
      </c>
      <c r="E13" s="138" t="s">
        <v>16</v>
      </c>
      <c r="F13" s="120" t="s">
        <v>17</v>
      </c>
      <c r="G13" s="120" t="s">
        <v>18</v>
      </c>
      <c r="H13" s="105" t="s">
        <v>19</v>
      </c>
      <c r="I13" s="139"/>
    </row>
    <row r="14" spans="1:9" ht="12.75">
      <c r="A14" s="140"/>
      <c r="B14" s="141"/>
      <c r="C14" s="142" t="s">
        <v>130</v>
      </c>
      <c r="D14" s="141"/>
      <c r="E14" s="121"/>
      <c r="F14" s="143"/>
      <c r="G14" s="144"/>
      <c r="H14" s="144">
        <f>F14*G14</f>
        <v>0</v>
      </c>
      <c r="I14" s="139"/>
    </row>
    <row r="15" spans="1:9" ht="12.75">
      <c r="A15" s="140"/>
      <c r="B15" s="141"/>
      <c r="C15" s="142" t="s">
        <v>130</v>
      </c>
      <c r="D15" s="141"/>
      <c r="E15" s="121"/>
      <c r="F15" s="143"/>
      <c r="G15" s="144"/>
      <c r="H15" s="144">
        <f t="shared" ref="H15:H30" si="0">F15*G15</f>
        <v>0</v>
      </c>
      <c r="I15" s="139"/>
    </row>
    <row r="16" spans="1:9" ht="12.75">
      <c r="A16" s="140"/>
      <c r="B16" s="141"/>
      <c r="C16" s="142" t="s">
        <v>130</v>
      </c>
      <c r="D16" s="141"/>
      <c r="E16" s="121"/>
      <c r="F16" s="143"/>
      <c r="G16" s="144"/>
      <c r="H16" s="144">
        <f t="shared" si="0"/>
        <v>0</v>
      </c>
      <c r="I16" s="139"/>
    </row>
    <row r="17" spans="1:9" ht="12.75">
      <c r="A17" s="140"/>
      <c r="B17" s="141"/>
      <c r="C17" s="142" t="s">
        <v>130</v>
      </c>
      <c r="D17" s="141"/>
      <c r="E17" s="121"/>
      <c r="F17" s="143"/>
      <c r="G17" s="144"/>
      <c r="H17" s="144">
        <f t="shared" si="0"/>
        <v>0</v>
      </c>
      <c r="I17" s="139"/>
    </row>
    <row r="18" spans="1:9" ht="12.75">
      <c r="A18" s="140"/>
      <c r="B18" s="141"/>
      <c r="C18" s="142" t="s">
        <v>130</v>
      </c>
      <c r="D18" s="141"/>
      <c r="E18" s="121"/>
      <c r="F18" s="143"/>
      <c r="G18" s="144"/>
      <c r="H18" s="144">
        <f t="shared" si="0"/>
        <v>0</v>
      </c>
      <c r="I18" s="139"/>
    </row>
    <row r="19" spans="1:9" ht="12.75">
      <c r="A19" s="140"/>
      <c r="B19" s="141"/>
      <c r="C19" s="142" t="s">
        <v>130</v>
      </c>
      <c r="D19" s="141"/>
      <c r="E19" s="121"/>
      <c r="F19" s="143"/>
      <c r="G19" s="144"/>
      <c r="H19" s="144">
        <f t="shared" si="0"/>
        <v>0</v>
      </c>
      <c r="I19" s="139"/>
    </row>
    <row r="20" spans="1:9" ht="12.75">
      <c r="A20" s="140"/>
      <c r="B20" s="141"/>
      <c r="C20" s="142" t="s">
        <v>130</v>
      </c>
      <c r="D20" s="141"/>
      <c r="E20" s="121"/>
      <c r="F20" s="143"/>
      <c r="G20" s="144"/>
      <c r="H20" s="144">
        <f t="shared" si="0"/>
        <v>0</v>
      </c>
      <c r="I20" s="139"/>
    </row>
    <row r="21" spans="1:9" ht="12.75">
      <c r="A21" s="140"/>
      <c r="B21" s="141"/>
      <c r="C21" s="142" t="s">
        <v>130</v>
      </c>
      <c r="D21" s="141"/>
      <c r="E21" s="121"/>
      <c r="F21" s="143"/>
      <c r="G21" s="144"/>
      <c r="H21" s="144">
        <f t="shared" si="0"/>
        <v>0</v>
      </c>
      <c r="I21" s="139"/>
    </row>
    <row r="22" spans="1:9" ht="12.75">
      <c r="A22" s="145"/>
      <c r="B22" s="141"/>
      <c r="C22" s="142" t="s">
        <v>130</v>
      </c>
      <c r="D22" s="141"/>
      <c r="E22" s="121"/>
      <c r="F22" s="143"/>
      <c r="G22" s="144"/>
      <c r="H22" s="144">
        <f t="shared" si="0"/>
        <v>0</v>
      </c>
      <c r="I22" s="139"/>
    </row>
    <row r="23" spans="1:9" ht="12.75">
      <c r="A23" s="145"/>
      <c r="B23" s="141"/>
      <c r="C23" s="142" t="s">
        <v>130</v>
      </c>
      <c r="D23" s="141"/>
      <c r="E23" s="121"/>
      <c r="F23" s="143"/>
      <c r="G23" s="144"/>
      <c r="H23" s="144">
        <f t="shared" si="0"/>
        <v>0</v>
      </c>
      <c r="I23" s="139"/>
    </row>
    <row r="24" spans="1:9" ht="12.75">
      <c r="A24" s="145"/>
      <c r="B24" s="141"/>
      <c r="C24" s="142" t="s">
        <v>130</v>
      </c>
      <c r="D24" s="141"/>
      <c r="E24" s="121"/>
      <c r="F24" s="143"/>
      <c r="G24" s="144"/>
      <c r="H24" s="144">
        <f t="shared" si="0"/>
        <v>0</v>
      </c>
      <c r="I24" s="139"/>
    </row>
    <row r="25" spans="1:9" ht="12.75">
      <c r="A25" s="145"/>
      <c r="B25" s="141"/>
      <c r="C25" s="142" t="s">
        <v>130</v>
      </c>
      <c r="D25" s="141"/>
      <c r="E25" s="146"/>
      <c r="F25" s="143"/>
      <c r="G25" s="144"/>
      <c r="H25" s="144">
        <f t="shared" si="0"/>
        <v>0</v>
      </c>
      <c r="I25" s="139"/>
    </row>
    <row r="26" spans="1:9" ht="12.75">
      <c r="A26" s="140"/>
      <c r="B26" s="141"/>
      <c r="C26" s="142" t="s">
        <v>130</v>
      </c>
      <c r="D26" s="141"/>
      <c r="E26" s="146"/>
      <c r="F26" s="143"/>
      <c r="G26" s="144"/>
      <c r="H26" s="144">
        <f t="shared" si="0"/>
        <v>0</v>
      </c>
      <c r="I26" s="139"/>
    </row>
    <row r="27" spans="1:9" ht="12.75">
      <c r="A27" s="140"/>
      <c r="B27" s="141"/>
      <c r="C27" s="142" t="s">
        <v>130</v>
      </c>
      <c r="D27" s="141"/>
      <c r="E27" s="146"/>
      <c r="F27" s="143"/>
      <c r="G27" s="144"/>
      <c r="H27" s="144">
        <f t="shared" si="0"/>
        <v>0</v>
      </c>
      <c r="I27" s="139"/>
    </row>
    <row r="28" spans="1:9" ht="12.75">
      <c r="A28" s="140"/>
      <c r="B28" s="141"/>
      <c r="C28" s="142" t="s">
        <v>130</v>
      </c>
      <c r="D28" s="141"/>
      <c r="E28" s="146"/>
      <c r="F28" s="143"/>
      <c r="G28" s="144"/>
      <c r="H28" s="144">
        <f t="shared" si="0"/>
        <v>0</v>
      </c>
      <c r="I28" s="139"/>
    </row>
    <row r="29" spans="1:9" ht="12.75">
      <c r="A29" s="140"/>
      <c r="B29" s="141"/>
      <c r="C29" s="142" t="s">
        <v>130</v>
      </c>
      <c r="D29" s="141"/>
      <c r="E29" s="146"/>
      <c r="F29" s="143"/>
      <c r="G29" s="144"/>
      <c r="H29" s="144">
        <f t="shared" si="0"/>
        <v>0</v>
      </c>
      <c r="I29" s="139"/>
    </row>
    <row r="30" spans="1:9" ht="12.75">
      <c r="A30" s="140"/>
      <c r="B30" s="141"/>
      <c r="C30" s="142" t="s">
        <v>130</v>
      </c>
      <c r="D30" s="141"/>
      <c r="E30" s="146"/>
      <c r="F30" s="143"/>
      <c r="G30" s="144"/>
      <c r="H30" s="144">
        <f t="shared" si="0"/>
        <v>0</v>
      </c>
      <c r="I30" s="139"/>
    </row>
    <row r="31" spans="1:9" ht="12.75">
      <c r="A31" s="147"/>
      <c r="B31" s="148"/>
      <c r="C31" s="149"/>
      <c r="D31" s="150"/>
      <c r="E31" s="151"/>
      <c r="F31" s="152"/>
      <c r="G31" s="153"/>
      <c r="H31" s="154"/>
      <c r="I31" s="139"/>
    </row>
    <row r="32" spans="1:9" ht="13.5" thickBot="1">
      <c r="A32" s="155" t="s">
        <v>21</v>
      </c>
      <c r="B32" s="156"/>
      <c r="C32" s="156"/>
      <c r="D32" s="156"/>
      <c r="E32" s="157"/>
      <c r="F32" s="106">
        <f>SUM(F14:F30)</f>
        <v>0</v>
      </c>
      <c r="G32" s="107"/>
      <c r="H32" s="108">
        <f>SUM(H14:H30)</f>
        <v>0</v>
      </c>
      <c r="I32" s="139"/>
    </row>
    <row r="33" spans="1:9" ht="13.5" thickTop="1">
      <c r="A33" s="155"/>
      <c r="B33" s="156"/>
      <c r="C33" s="156"/>
      <c r="D33" s="156"/>
      <c r="E33" s="157"/>
      <c r="F33" s="158"/>
      <c r="G33" s="159"/>
      <c r="H33" s="160"/>
      <c r="I33" s="107"/>
    </row>
    <row r="34" spans="1:9" ht="12.75">
      <c r="A34" s="180" t="s">
        <v>140</v>
      </c>
      <c r="B34" s="156"/>
      <c r="C34" s="156"/>
      <c r="D34" s="156"/>
      <c r="E34" s="157"/>
      <c r="F34" s="157"/>
      <c r="G34" s="161"/>
      <c r="H34" s="162"/>
      <c r="I34" s="163"/>
    </row>
    <row r="35" spans="1:9" ht="12.75">
      <c r="A35" s="109"/>
      <c r="B35" s="110"/>
      <c r="C35" s="110"/>
      <c r="D35" s="110"/>
      <c r="E35" s="164"/>
      <c r="F35" s="157"/>
      <c r="G35" s="157"/>
      <c r="H35" s="165"/>
      <c r="I35" s="166"/>
    </row>
    <row r="36" spans="1:9" ht="12.75">
      <c r="A36" s="111" t="s">
        <v>22</v>
      </c>
      <c r="B36" s="176" t="s">
        <v>141</v>
      </c>
      <c r="C36" s="109"/>
      <c r="D36" s="109"/>
      <c r="E36" s="164"/>
      <c r="F36" s="168"/>
      <c r="G36" s="168"/>
      <c r="H36" s="167"/>
      <c r="I36" s="169"/>
    </row>
    <row r="37" spans="1:9" ht="12.75">
      <c r="A37" s="112"/>
      <c r="B37" s="109"/>
      <c r="C37" s="109"/>
      <c r="D37" s="109"/>
      <c r="E37" s="164"/>
      <c r="F37" s="168"/>
      <c r="G37" s="168"/>
      <c r="H37" s="167"/>
      <c r="I37" s="169"/>
    </row>
    <row r="38" spans="1:9" ht="12.75">
      <c r="A38" s="111" t="s">
        <v>23</v>
      </c>
      <c r="B38" s="109" t="s">
        <v>24</v>
      </c>
      <c r="C38" s="109"/>
      <c r="D38" s="109"/>
      <c r="E38" s="164"/>
      <c r="F38" s="168"/>
      <c r="G38" s="168"/>
      <c r="H38" s="167"/>
      <c r="I38" s="169"/>
    </row>
    <row r="39" spans="1:9" ht="12.75">
      <c r="A39" s="112"/>
      <c r="B39" s="109"/>
      <c r="C39" s="109"/>
      <c r="D39" s="109"/>
      <c r="E39" s="164"/>
      <c r="F39" s="168"/>
      <c r="G39" s="168"/>
      <c r="H39" s="167"/>
      <c r="I39" s="169"/>
    </row>
    <row r="40" spans="1:9" ht="12.75">
      <c r="A40" s="113" t="s">
        <v>25</v>
      </c>
      <c r="B40" s="109" t="s">
        <v>144</v>
      </c>
      <c r="C40" s="170"/>
      <c r="D40" s="170"/>
      <c r="E40" s="170"/>
      <c r="F40" s="167"/>
      <c r="G40" s="167"/>
      <c r="H40" s="167"/>
      <c r="I40" s="169"/>
    </row>
    <row r="41" spans="1:9" ht="12.75">
      <c r="A41" s="114"/>
      <c r="B41" s="115" t="s">
        <v>26</v>
      </c>
      <c r="C41" s="170"/>
      <c r="D41" s="170"/>
      <c r="E41" s="170"/>
      <c r="F41" s="167"/>
      <c r="G41" s="167"/>
      <c r="H41" s="167"/>
      <c r="I41" s="169"/>
    </row>
    <row r="42" spans="1:9" ht="12.75">
      <c r="A42" s="114"/>
      <c r="B42" s="115" t="s">
        <v>129</v>
      </c>
      <c r="C42" s="170"/>
      <c r="D42" s="170"/>
      <c r="E42" s="170"/>
      <c r="F42" s="167"/>
      <c r="G42" s="167"/>
      <c r="H42" s="167"/>
      <c r="I42" s="169"/>
    </row>
    <row r="43" spans="1:9" ht="12.75">
      <c r="A43" s="114"/>
      <c r="B43" s="115"/>
      <c r="C43" s="170"/>
      <c r="D43" s="170"/>
      <c r="E43" s="170"/>
      <c r="F43" s="167"/>
      <c r="G43" s="167"/>
      <c r="H43" s="167"/>
      <c r="I43" s="169"/>
    </row>
    <row r="44" spans="1:9" ht="12.75">
      <c r="A44" s="111" t="s">
        <v>27</v>
      </c>
      <c r="B44" s="177" t="s">
        <v>138</v>
      </c>
      <c r="C44" s="109"/>
      <c r="D44" s="109"/>
      <c r="E44" s="164"/>
      <c r="F44" s="168"/>
      <c r="G44" s="168"/>
      <c r="H44" s="167"/>
      <c r="I44" s="169"/>
    </row>
    <row r="45" spans="1:9" ht="12.75">
      <c r="A45" s="111"/>
      <c r="B45" s="171"/>
      <c r="C45" s="109"/>
      <c r="D45" s="109"/>
      <c r="E45" s="164"/>
      <c r="F45" s="168"/>
      <c r="G45" s="168"/>
      <c r="H45" s="167"/>
      <c r="I45" s="169"/>
    </row>
    <row r="46" spans="1:9" ht="12.75">
      <c r="A46" s="113" t="s">
        <v>28</v>
      </c>
      <c r="B46" s="116" t="s">
        <v>29</v>
      </c>
      <c r="C46" s="116"/>
      <c r="D46" s="116"/>
      <c r="E46" s="172"/>
      <c r="F46" s="155"/>
      <c r="G46" s="155"/>
      <c r="H46" s="155"/>
      <c r="I46" s="169"/>
    </row>
    <row r="47" spans="1:9" ht="12.75">
      <c r="A47" s="117"/>
      <c r="B47" s="109"/>
      <c r="C47" s="109"/>
      <c r="D47" s="109"/>
      <c r="E47" s="164"/>
      <c r="F47" s="167"/>
      <c r="G47" s="167"/>
      <c r="H47" s="165"/>
      <c r="I47" s="169"/>
    </row>
    <row r="48" spans="1:9" ht="12.75">
      <c r="A48" s="118" t="s">
        <v>30</v>
      </c>
      <c r="B48" s="179" t="s">
        <v>139</v>
      </c>
      <c r="C48" s="119"/>
      <c r="D48" s="119"/>
      <c r="E48" s="173"/>
      <c r="F48" s="174"/>
      <c r="G48" s="174"/>
      <c r="H48" s="174"/>
      <c r="I48" s="175"/>
    </row>
  </sheetData>
  <mergeCells count="5">
    <mergeCell ref="A1:I1"/>
    <mergeCell ref="A2:I2"/>
    <mergeCell ref="A3:I3"/>
    <mergeCell ref="A4:I4"/>
    <mergeCell ref="A5:B5"/>
  </mergeCells>
  <phoneticPr fontId="76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view="pageBreakPreview" zoomScale="70" zoomScaleSheetLayoutView="70" workbookViewId="0">
      <selection activeCell="K12" sqref="K12"/>
    </sheetView>
  </sheetViews>
  <sheetFormatPr defaultRowHeight="15.75"/>
  <cols>
    <col min="1" max="1" width="20" style="183" customWidth="1"/>
    <col min="2" max="2" width="18.5" style="183" customWidth="1"/>
    <col min="3" max="3" width="27.5" style="183" bestFit="1" customWidth="1"/>
    <col min="4" max="4" width="15.6640625" style="183" customWidth="1"/>
    <col min="5" max="5" width="47.1640625" style="183" customWidth="1"/>
    <col min="6" max="6" width="19" style="183" customWidth="1"/>
    <col min="7" max="7" width="25.33203125" style="183" customWidth="1"/>
    <col min="8" max="8" width="16.5" style="183" customWidth="1"/>
    <col min="9" max="9" width="14.5" style="183" bestFit="1" customWidth="1"/>
    <col min="10" max="10" width="14.83203125" style="183" bestFit="1" customWidth="1"/>
    <col min="11" max="11" width="18" style="183" customWidth="1"/>
    <col min="12" max="12" width="18.5" style="183" customWidth="1"/>
    <col min="13" max="13" width="21" style="183" customWidth="1"/>
    <col min="14" max="16384" width="9.33203125" style="183"/>
  </cols>
  <sheetData>
    <row r="1" spans="1:14" ht="21" customHeight="1">
      <c r="A1" s="383" t="s">
        <v>148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182"/>
    </row>
    <row r="2" spans="1:14" ht="21" customHeight="1">
      <c r="A2" s="383" t="s">
        <v>149</v>
      </c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184"/>
    </row>
    <row r="3" spans="1:14" ht="21" customHeight="1">
      <c r="A3" s="383" t="s">
        <v>150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185"/>
    </row>
    <row r="4" spans="1:14" ht="9" customHeight="1">
      <c r="A4" s="312"/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185"/>
    </row>
    <row r="5" spans="1:14" ht="21" customHeight="1">
      <c r="A5" s="385" t="s">
        <v>166</v>
      </c>
      <c r="B5" s="386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186"/>
    </row>
    <row r="6" spans="1:14" ht="15" customHeight="1">
      <c r="A6" s="187"/>
      <c r="B6" s="188"/>
      <c r="C6" s="188"/>
      <c r="D6" s="188"/>
      <c r="E6" s="188"/>
      <c r="F6" s="188"/>
      <c r="G6" s="188"/>
      <c r="H6" s="188"/>
      <c r="I6" s="188"/>
      <c r="J6" s="188"/>
      <c r="K6" s="189"/>
      <c r="L6" s="189"/>
      <c r="M6" s="189"/>
      <c r="N6" s="186"/>
    </row>
    <row r="7" spans="1:14">
      <c r="A7" s="239" t="s">
        <v>154</v>
      </c>
      <c r="B7" s="188"/>
      <c r="C7" s="188"/>
      <c r="D7" s="188"/>
      <c r="E7" s="188"/>
      <c r="F7" s="188"/>
      <c r="G7" s="188"/>
      <c r="H7" s="188"/>
      <c r="I7" s="188"/>
      <c r="J7" s="188"/>
      <c r="K7" s="189"/>
      <c r="L7" s="189"/>
      <c r="M7" s="189"/>
      <c r="N7" s="186"/>
    </row>
    <row r="8" spans="1:14">
      <c r="A8" s="239"/>
      <c r="B8" s="290" t="s">
        <v>167</v>
      </c>
      <c r="C8" s="188"/>
      <c r="D8" s="188"/>
      <c r="E8" s="188"/>
      <c r="F8" s="188"/>
      <c r="G8" s="188"/>
      <c r="H8" s="188"/>
      <c r="I8" s="188"/>
      <c r="J8" s="188"/>
      <c r="K8" s="189"/>
      <c r="L8" s="189"/>
      <c r="M8" s="189"/>
      <c r="N8" s="186"/>
    </row>
    <row r="9" spans="1:14" ht="22.5" customHeight="1">
      <c r="A9" s="381"/>
      <c r="B9" s="382"/>
      <c r="C9" s="382"/>
      <c r="D9" s="240" t="s">
        <v>4</v>
      </c>
      <c r="E9" s="311"/>
      <c r="F9" s="311"/>
      <c r="G9" s="241"/>
      <c r="H9" s="241"/>
      <c r="I9" s="241"/>
      <c r="J9" s="241"/>
      <c r="K9" s="193"/>
      <c r="L9" s="242"/>
      <c r="M9" s="194"/>
      <c r="N9" s="190"/>
    </row>
    <row r="10" spans="1:14" ht="20.25" customHeight="1">
      <c r="A10" s="243"/>
      <c r="B10" s="244"/>
      <c r="C10" s="245"/>
      <c r="D10" s="302" t="s">
        <v>161</v>
      </c>
      <c r="E10" s="309"/>
      <c r="F10" s="303"/>
      <c r="G10" s="316" t="s">
        <v>6</v>
      </c>
      <c r="H10" s="337"/>
      <c r="I10" s="337"/>
      <c r="J10" s="337"/>
      <c r="K10" s="317"/>
      <c r="L10" s="246"/>
      <c r="M10" s="247"/>
      <c r="N10" s="191"/>
    </row>
    <row r="11" spans="1:14" ht="20.25" customHeight="1">
      <c r="A11" s="191"/>
      <c r="B11" s="244"/>
      <c r="C11" s="248"/>
      <c r="D11" s="249" t="s">
        <v>162</v>
      </c>
      <c r="E11" s="309"/>
      <c r="F11" s="191"/>
      <c r="G11" s="318" t="s">
        <v>157</v>
      </c>
      <c r="H11" s="338"/>
      <c r="I11" s="338"/>
      <c r="J11" s="338"/>
      <c r="K11" s="319"/>
      <c r="L11" s="275"/>
      <c r="M11" s="276"/>
      <c r="N11" s="191"/>
    </row>
    <row r="12" spans="1:14" ht="20.25" customHeight="1">
      <c r="A12" s="191"/>
      <c r="B12" s="244"/>
      <c r="C12" s="248"/>
      <c r="D12" s="249" t="s">
        <v>163</v>
      </c>
      <c r="E12" s="309"/>
      <c r="F12" s="191"/>
      <c r="G12" s="320" t="s">
        <v>126</v>
      </c>
      <c r="H12" s="320"/>
      <c r="I12" s="320"/>
      <c r="J12" s="320"/>
      <c r="K12" s="321"/>
      <c r="L12" s="195"/>
      <c r="M12" s="195"/>
      <c r="N12" s="191"/>
    </row>
    <row r="13" spans="1:14" ht="20.25" customHeight="1">
      <c r="A13" s="191"/>
      <c r="B13" s="244"/>
      <c r="C13" s="248"/>
      <c r="D13" s="250"/>
      <c r="E13" s="309"/>
      <c r="F13" s="191"/>
      <c r="G13" s="318" t="s">
        <v>170</v>
      </c>
      <c r="H13" s="338"/>
      <c r="I13" s="338"/>
      <c r="J13" s="338"/>
      <c r="K13" s="321"/>
      <c r="L13" s="195"/>
      <c r="M13" s="195"/>
      <c r="N13" s="191"/>
    </row>
    <row r="14" spans="1:14" ht="20.25" customHeight="1">
      <c r="A14" s="191"/>
      <c r="B14" s="244"/>
      <c r="C14" s="248"/>
      <c r="D14" s="251"/>
      <c r="E14" s="309"/>
      <c r="F14" s="191"/>
      <c r="G14" s="318" t="s">
        <v>10</v>
      </c>
      <c r="H14" s="338"/>
      <c r="I14" s="338"/>
      <c r="J14" s="338"/>
      <c r="K14" s="322" t="s">
        <v>11</v>
      </c>
      <c r="L14" s="194"/>
      <c r="M14" s="194"/>
      <c r="N14" s="191"/>
    </row>
    <row r="15" spans="1:14" ht="20.25" customHeight="1">
      <c r="A15" s="191"/>
      <c r="B15" s="244"/>
      <c r="C15" s="248"/>
      <c r="D15" s="252"/>
      <c r="E15" s="309"/>
      <c r="F15" s="191"/>
      <c r="G15" s="323" t="s">
        <v>12</v>
      </c>
      <c r="H15" s="339"/>
      <c r="I15" s="339"/>
      <c r="J15" s="339"/>
      <c r="K15" s="321"/>
      <c r="L15" s="195"/>
      <c r="M15" s="195"/>
      <c r="N15" s="192"/>
    </row>
    <row r="16" spans="1:14" ht="15" customHeight="1">
      <c r="A16" s="191"/>
      <c r="B16" s="244"/>
      <c r="C16" s="248"/>
      <c r="D16" s="252"/>
      <c r="E16" s="277"/>
      <c r="F16" s="191"/>
      <c r="G16" s="253"/>
      <c r="H16" s="340"/>
      <c r="I16" s="340"/>
      <c r="J16" s="340"/>
      <c r="K16" s="184"/>
      <c r="L16" s="184"/>
      <c r="M16" s="184"/>
      <c r="N16" s="192"/>
    </row>
    <row r="17" spans="1:14" ht="50.25" customHeight="1">
      <c r="A17" s="254" t="s">
        <v>113</v>
      </c>
      <c r="B17" s="254" t="s">
        <v>151</v>
      </c>
      <c r="C17" s="255" t="s">
        <v>13</v>
      </c>
      <c r="D17" s="255" t="s">
        <v>14</v>
      </c>
      <c r="E17" s="254" t="s">
        <v>15</v>
      </c>
      <c r="F17" s="278" t="s">
        <v>155</v>
      </c>
      <c r="G17" s="255" t="s">
        <v>16</v>
      </c>
      <c r="H17" s="315" t="s">
        <v>175</v>
      </c>
      <c r="I17" s="315" t="s">
        <v>176</v>
      </c>
      <c r="J17" s="314" t="s">
        <v>17</v>
      </c>
      <c r="K17" s="315" t="s">
        <v>152</v>
      </c>
      <c r="L17" s="314" t="s">
        <v>153</v>
      </c>
      <c r="M17" s="256" t="s">
        <v>19</v>
      </c>
      <c r="N17" s="191"/>
    </row>
    <row r="18" spans="1:14" ht="34.5" customHeight="1">
      <c r="A18" s="324"/>
      <c r="B18" s="342"/>
      <c r="C18" s="333"/>
      <c r="D18" s="332"/>
      <c r="E18" s="334"/>
      <c r="F18" s="334"/>
      <c r="G18" s="274"/>
      <c r="H18" s="274"/>
      <c r="I18" s="274"/>
      <c r="J18" s="274"/>
      <c r="K18" s="308"/>
      <c r="L18" s="343"/>
      <c r="M18" s="310"/>
      <c r="N18" s="277"/>
    </row>
    <row r="19" spans="1:14" ht="21" customHeight="1">
      <c r="A19" s="375" t="s">
        <v>21</v>
      </c>
      <c r="B19" s="375"/>
      <c r="C19" s="375"/>
      <c r="D19" s="375"/>
      <c r="E19" s="375"/>
      <c r="F19" s="375"/>
      <c r="G19" s="375"/>
      <c r="H19" s="329"/>
      <c r="I19" s="329"/>
      <c r="J19" s="329"/>
      <c r="K19" s="378">
        <f>SUM(K18:K18)</f>
        <v>0</v>
      </c>
      <c r="L19" s="379"/>
      <c r="M19" s="377">
        <f>SUM(M18:M18)</f>
        <v>0</v>
      </c>
    </row>
    <row r="20" spans="1:14" ht="21" customHeight="1">
      <c r="A20" s="376"/>
      <c r="B20" s="376"/>
      <c r="C20" s="376"/>
      <c r="D20" s="376"/>
      <c r="E20" s="376"/>
      <c r="F20" s="376"/>
      <c r="G20" s="376"/>
      <c r="H20" s="330"/>
      <c r="I20" s="330"/>
      <c r="J20" s="330"/>
      <c r="K20" s="378"/>
      <c r="L20" s="380"/>
      <c r="M20" s="377"/>
    </row>
    <row r="21" spans="1:14">
      <c r="A21" s="257"/>
      <c r="B21" s="257"/>
      <c r="C21" s="258"/>
      <c r="D21" s="258"/>
      <c r="E21" s="258"/>
      <c r="F21" s="258"/>
      <c r="G21" s="259"/>
      <c r="H21" s="259"/>
      <c r="I21" s="259"/>
      <c r="J21" s="259"/>
      <c r="K21" s="259"/>
      <c r="L21" s="260"/>
      <c r="M21" s="261"/>
    </row>
    <row r="22" spans="1:14">
      <c r="A22" s="293"/>
      <c r="B22" s="293"/>
      <c r="C22" s="304"/>
      <c r="D22" s="294"/>
      <c r="E22" s="294"/>
      <c r="F22" s="294"/>
      <c r="G22" s="373" t="s">
        <v>158</v>
      </c>
      <c r="H22" s="374"/>
      <c r="I22" s="374"/>
      <c r="J22" s="374"/>
      <c r="K22" s="374"/>
      <c r="L22" s="374"/>
      <c r="M22" s="374"/>
    </row>
    <row r="23" spans="1:14">
      <c r="A23" s="262"/>
      <c r="B23" s="262"/>
      <c r="C23" s="263"/>
      <c r="D23" s="263"/>
      <c r="E23" s="263"/>
      <c r="F23" s="263"/>
      <c r="G23" s="373" t="s">
        <v>159</v>
      </c>
      <c r="H23" s="374"/>
      <c r="I23" s="374"/>
      <c r="J23" s="374"/>
      <c r="K23" s="374"/>
      <c r="L23" s="374"/>
      <c r="M23" s="374"/>
    </row>
    <row r="24" spans="1:14" ht="17.25" customHeight="1">
      <c r="A24" s="264" t="s">
        <v>22</v>
      </c>
      <c r="C24" s="265"/>
      <c r="D24" s="262"/>
      <c r="E24" s="262"/>
      <c r="F24" s="262"/>
      <c r="G24" s="266"/>
      <c r="H24" s="266"/>
      <c r="I24" s="266"/>
      <c r="J24" s="266"/>
      <c r="K24" s="267"/>
      <c r="L24" s="267"/>
      <c r="M24" s="268"/>
    </row>
    <row r="25" spans="1:14" ht="9.75" customHeight="1">
      <c r="A25" s="264"/>
      <c r="C25" s="265"/>
      <c r="D25" s="262"/>
      <c r="E25" s="262"/>
      <c r="F25" s="262"/>
      <c r="G25" s="266"/>
      <c r="H25" s="266"/>
      <c r="I25" s="266"/>
      <c r="J25" s="266"/>
      <c r="K25" s="267"/>
      <c r="L25" s="267"/>
      <c r="M25" s="268"/>
    </row>
    <row r="26" spans="1:14" ht="17.25" customHeight="1">
      <c r="A26" s="264" t="s">
        <v>23</v>
      </c>
      <c r="C26" s="262" t="s">
        <v>24</v>
      </c>
      <c r="D26" s="262"/>
      <c r="E26" s="262"/>
      <c r="F26" s="262"/>
      <c r="G26" s="266"/>
      <c r="H26" s="266"/>
      <c r="I26" s="266"/>
      <c r="J26" s="266"/>
      <c r="K26" s="267"/>
      <c r="L26" s="267"/>
      <c r="M26" s="268"/>
    </row>
    <row r="27" spans="1:14" ht="9.75" customHeight="1">
      <c r="A27" s="264"/>
      <c r="C27" s="262"/>
      <c r="D27" s="262"/>
      <c r="E27" s="262"/>
      <c r="F27" s="262"/>
      <c r="G27" s="266"/>
      <c r="H27" s="266"/>
      <c r="I27" s="266"/>
      <c r="J27" s="266"/>
      <c r="K27" s="267"/>
      <c r="L27" s="267"/>
      <c r="M27" s="268"/>
    </row>
    <row r="28" spans="1:14" ht="17.25" customHeight="1">
      <c r="A28" s="264" t="s">
        <v>27</v>
      </c>
      <c r="C28" s="280" t="s">
        <v>147</v>
      </c>
      <c r="D28" s="262"/>
      <c r="E28" s="262"/>
      <c r="F28" s="262"/>
      <c r="G28" s="266"/>
      <c r="H28" s="266"/>
      <c r="I28" s="266"/>
      <c r="J28" s="266"/>
      <c r="K28" s="267"/>
      <c r="L28" s="267"/>
      <c r="M28" s="268"/>
    </row>
    <row r="29" spans="1:14" ht="9.75" customHeight="1">
      <c r="A29" s="264"/>
      <c r="C29" s="279"/>
      <c r="D29" s="262"/>
      <c r="E29" s="262"/>
      <c r="F29" s="262"/>
      <c r="G29" s="269"/>
      <c r="H29" s="341"/>
      <c r="I29" s="341"/>
      <c r="J29" s="341"/>
      <c r="K29" s="270"/>
      <c r="L29" s="270"/>
      <c r="M29" s="271"/>
    </row>
    <row r="30" spans="1:14" ht="17.25" customHeight="1">
      <c r="A30" s="272" t="s">
        <v>28</v>
      </c>
      <c r="C30" s="265"/>
      <c r="D30" s="273"/>
      <c r="E30" s="273"/>
      <c r="F30" s="273"/>
      <c r="G30" s="371" t="s">
        <v>160</v>
      </c>
      <c r="H30" s="372"/>
      <c r="I30" s="372"/>
      <c r="J30" s="372"/>
      <c r="K30" s="372"/>
      <c r="L30" s="372"/>
      <c r="M30" s="372"/>
    </row>
    <row r="31" spans="1:14">
      <c r="A31" s="209"/>
      <c r="B31" s="210"/>
      <c r="D31" s="211"/>
      <c r="E31" s="211"/>
      <c r="F31" s="211"/>
      <c r="G31" s="212"/>
      <c r="H31" s="212"/>
      <c r="I31" s="212"/>
      <c r="J31" s="212"/>
      <c r="K31" s="213"/>
      <c r="L31" s="213"/>
      <c r="M31" s="214"/>
    </row>
  </sheetData>
  <mergeCells count="12">
    <mergeCell ref="A9:C9"/>
    <mergeCell ref="A1:M1"/>
    <mergeCell ref="A2:M2"/>
    <mergeCell ref="A3:M3"/>
    <mergeCell ref="A5:M5"/>
    <mergeCell ref="G30:M30"/>
    <mergeCell ref="G22:M22"/>
    <mergeCell ref="G23:M23"/>
    <mergeCell ref="A19:G20"/>
    <mergeCell ref="M19:M20"/>
    <mergeCell ref="K19:K20"/>
    <mergeCell ref="L19:L20"/>
  </mergeCells>
  <phoneticPr fontId="42" type="noConversion"/>
  <hyperlinks>
    <hyperlink ref="A3" r:id="rId1" display="TEL:886-4-25688746  FAX:886-4-25689884"/>
  </hyperlinks>
  <printOptions horizontalCentered="1"/>
  <pageMargins left="0.23622047244094499" right="0.23622047244094499" top="0.23622047244094499" bottom="0.23622047244094499" header="0.196850393700787" footer="0.15748031496063"/>
  <pageSetup scale="60" orientation="landscape" r:id="rId2"/>
  <headerFooter>
    <oddFooter>&amp;C&amp;"Times New Roman,Regular"&amp;12Page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W26"/>
  <sheetViews>
    <sheetView tabSelected="1" view="pageBreakPreview" zoomScale="70" zoomScaleSheetLayoutView="70" workbookViewId="0">
      <selection activeCell="R9" sqref="R9"/>
    </sheetView>
  </sheetViews>
  <sheetFormatPr defaultRowHeight="15.75"/>
  <cols>
    <col min="1" max="1" width="5.33203125" style="183" customWidth="1"/>
    <col min="2" max="2" width="2.5" style="183" customWidth="1"/>
    <col min="3" max="3" width="5.1640625" style="183" customWidth="1"/>
    <col min="4" max="4" width="8.83203125" style="183" customWidth="1"/>
    <col min="5" max="5" width="17.5" style="183" customWidth="1"/>
    <col min="6" max="6" width="12.5" style="183" customWidth="1"/>
    <col min="7" max="7" width="23.33203125" style="183" customWidth="1"/>
    <col min="8" max="8" width="41.5" style="183" customWidth="1"/>
    <col min="9" max="9" width="13.33203125" style="183" customWidth="1"/>
    <col min="10" max="10" width="24" style="183" bestFit="1" customWidth="1"/>
    <col min="11" max="11" width="10.33203125" style="183" customWidth="1"/>
    <col min="12" max="12" width="10.5" style="183" customWidth="1"/>
    <col min="13" max="13" width="11.6640625" style="183" customWidth="1"/>
    <col min="14" max="14" width="10.6640625" style="183" customWidth="1"/>
    <col min="15" max="15" width="10.83203125" style="183" customWidth="1"/>
    <col min="16" max="16" width="11.83203125" style="183" customWidth="1"/>
    <col min="17" max="17" width="12.5" style="281" customWidth="1"/>
    <col min="18" max="18" width="16.1640625" style="297" customWidth="1"/>
    <col min="19" max="21" width="6.83203125" style="183" customWidth="1"/>
    <col min="22" max="22" width="11.33203125" style="183" customWidth="1"/>
    <col min="23" max="23" width="9.33203125" style="183"/>
    <col min="24" max="26" width="9.6640625" style="183" customWidth="1"/>
    <col min="27" max="16384" width="9.33203125" style="183"/>
  </cols>
  <sheetData>
    <row r="1" spans="1:23" ht="20.25" customHeight="1">
      <c r="A1" s="392" t="str">
        <f>INV!A1:M1</f>
        <v xml:space="preserve">YIH SHUO FOOTWEAR CO., LTD 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182"/>
    </row>
    <row r="2" spans="1:23" ht="20.25" customHeight="1">
      <c r="A2" s="394" t="str">
        <f>INV!A2:M2</f>
        <v>RESIDENTIAL AREA 1, MY AN TOWNLET, THAP MUOI DISTRICT, DONG THAP PROVINCE, VIETNAM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184"/>
    </row>
    <row r="3" spans="1:23" ht="20.25" customHeight="1">
      <c r="A3" s="394" t="str">
        <f>INV!A3:M3</f>
        <v xml:space="preserve">TEL#: 02773 940 888 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185"/>
    </row>
    <row r="4" spans="1:23" ht="6.75" customHeight="1">
      <c r="A4" s="306"/>
      <c r="B4" s="307"/>
      <c r="C4" s="307"/>
      <c r="D4" s="307"/>
      <c r="E4" s="307"/>
      <c r="F4" s="307"/>
      <c r="G4" s="307"/>
      <c r="H4" s="307"/>
      <c r="I4" s="226"/>
      <c r="J4" s="307"/>
      <c r="K4" s="307"/>
      <c r="L4" s="307"/>
      <c r="M4" s="307"/>
      <c r="N4" s="307"/>
      <c r="O4" s="307"/>
      <c r="P4" s="307"/>
      <c r="Q4" s="307"/>
      <c r="R4" s="299"/>
      <c r="S4" s="307"/>
      <c r="T4" s="307"/>
      <c r="U4" s="307"/>
      <c r="V4" s="307"/>
      <c r="W4" s="185"/>
    </row>
    <row r="5" spans="1:23" ht="20.25" customHeight="1">
      <c r="A5" s="396" t="s">
        <v>31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  <c r="Q5" s="397"/>
      <c r="R5" s="397"/>
      <c r="S5" s="397"/>
      <c r="T5" s="397"/>
      <c r="U5" s="397"/>
      <c r="V5" s="397"/>
      <c r="W5" s="186"/>
    </row>
    <row r="6" spans="1:23">
      <c r="A6" s="196"/>
      <c r="B6" s="197"/>
      <c r="C6" s="197"/>
      <c r="D6" s="197"/>
      <c r="E6" s="197"/>
      <c r="F6" s="197"/>
      <c r="G6" s="197"/>
      <c r="H6" s="197"/>
      <c r="I6" s="198"/>
      <c r="J6" s="197"/>
      <c r="K6" s="197"/>
      <c r="L6" s="197"/>
      <c r="M6" s="197"/>
      <c r="N6" s="197"/>
      <c r="O6" s="197"/>
      <c r="P6" s="197"/>
      <c r="Q6" s="197"/>
      <c r="R6" s="300"/>
      <c r="S6" s="188"/>
      <c r="T6" s="188"/>
      <c r="U6" s="188"/>
      <c r="V6" s="197"/>
      <c r="W6" s="186"/>
    </row>
    <row r="7" spans="1:23" s="229" customFormat="1" ht="18.75">
      <c r="A7" s="219" t="s">
        <v>154</v>
      </c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8" t="s">
        <v>6</v>
      </c>
      <c r="Q7" s="282"/>
      <c r="R7" s="325">
        <f>INV!K10</f>
        <v>0</v>
      </c>
      <c r="S7" s="326"/>
      <c r="T7" s="326"/>
      <c r="U7" s="326"/>
      <c r="V7" s="230"/>
      <c r="W7" s="231"/>
    </row>
    <row r="8" spans="1:23" s="229" customFormat="1" ht="18.75">
      <c r="A8" s="220" t="s">
        <v>168</v>
      </c>
      <c r="B8" s="232"/>
      <c r="C8" s="232"/>
      <c r="D8" s="232"/>
      <c r="E8" s="232"/>
      <c r="F8" s="222"/>
      <c r="G8" s="232"/>
      <c r="H8" s="233"/>
      <c r="I8" s="233"/>
      <c r="J8" s="233"/>
      <c r="K8" s="233"/>
      <c r="L8" s="233"/>
      <c r="M8" s="233"/>
      <c r="N8" s="233"/>
      <c r="O8" s="233"/>
      <c r="P8" s="234" t="s">
        <v>157</v>
      </c>
      <c r="Q8" s="282"/>
      <c r="R8" s="344">
        <f>INV!K11</f>
        <v>0</v>
      </c>
      <c r="S8" s="345"/>
      <c r="T8" s="331"/>
      <c r="U8" s="331"/>
      <c r="V8" s="235"/>
      <c r="W8" s="236"/>
    </row>
    <row r="9" spans="1:23" s="229" customFormat="1" ht="18.75">
      <c r="A9" s="219" t="s">
        <v>171</v>
      </c>
      <c r="B9" s="233"/>
      <c r="C9" s="221"/>
      <c r="D9" s="221"/>
      <c r="E9" s="221"/>
      <c r="F9" s="223"/>
      <c r="G9" s="233"/>
      <c r="H9" s="233"/>
      <c r="I9" s="233"/>
      <c r="J9" s="233"/>
      <c r="K9" s="233"/>
      <c r="L9" s="233"/>
      <c r="M9" s="233"/>
      <c r="N9" s="233"/>
      <c r="O9" s="233"/>
      <c r="P9" s="237" t="s">
        <v>12</v>
      </c>
      <c r="Q9" s="282"/>
      <c r="R9" s="327">
        <f>INV!K15</f>
        <v>0</v>
      </c>
      <c r="S9" s="326"/>
      <c r="T9" s="326"/>
      <c r="U9" s="326"/>
      <c r="V9" s="238"/>
      <c r="W9" s="236"/>
    </row>
    <row r="10" spans="1:23" s="229" customFormat="1" ht="18.75">
      <c r="A10" s="283"/>
      <c r="B10" s="284"/>
      <c r="C10" s="285"/>
      <c r="D10" s="285"/>
      <c r="E10" s="285"/>
      <c r="F10" s="286"/>
      <c r="G10" s="284"/>
      <c r="H10" s="284"/>
      <c r="I10" s="284"/>
      <c r="J10" s="284"/>
      <c r="K10" s="284"/>
      <c r="L10" s="284"/>
      <c r="M10" s="284"/>
      <c r="N10" s="284"/>
      <c r="O10" s="284"/>
      <c r="P10" s="287"/>
      <c r="Q10" s="282"/>
      <c r="R10" s="298"/>
      <c r="S10" s="289"/>
      <c r="T10" s="289"/>
      <c r="U10" s="289"/>
      <c r="V10" s="288"/>
      <c r="W10" s="236"/>
    </row>
    <row r="11" spans="1:23" ht="30" customHeight="1">
      <c r="A11" s="402" t="str">
        <f>INV!K12&amp;"-"&amp;INV!K13</f>
        <v>-</v>
      </c>
      <c r="B11" s="403"/>
      <c r="C11" s="403"/>
      <c r="D11" s="403"/>
      <c r="E11" s="403"/>
      <c r="F11" s="403"/>
      <c r="G11" s="403"/>
      <c r="H11" s="403"/>
      <c r="I11" s="403"/>
      <c r="J11" s="403"/>
      <c r="K11" s="403"/>
      <c r="L11" s="403"/>
      <c r="M11" s="403"/>
      <c r="N11" s="403"/>
      <c r="O11" s="403"/>
      <c r="P11" s="403"/>
      <c r="Q11" s="403"/>
      <c r="R11" s="403"/>
      <c r="S11" s="403"/>
      <c r="T11" s="403"/>
      <c r="U11" s="403"/>
      <c r="V11" s="403"/>
      <c r="W11" s="191"/>
    </row>
    <row r="12" spans="1:23">
      <c r="A12" s="199"/>
      <c r="B12" s="199"/>
      <c r="C12" s="199"/>
      <c r="D12" s="200"/>
      <c r="E12" s="200"/>
      <c r="F12" s="201"/>
      <c r="G12" s="201"/>
      <c r="H12" s="199"/>
      <c r="I12" s="199"/>
      <c r="J12" s="202"/>
      <c r="K12" s="202"/>
      <c r="L12" s="202"/>
      <c r="M12" s="202"/>
      <c r="N12" s="202"/>
      <c r="O12" s="202"/>
      <c r="P12" s="203"/>
      <c r="Q12" s="203"/>
      <c r="R12" s="202"/>
      <c r="S12" s="335"/>
      <c r="T12" s="335"/>
      <c r="U12" s="335"/>
      <c r="V12" s="194"/>
      <c r="W12" s="191"/>
    </row>
    <row r="13" spans="1:23" ht="21.75" customHeight="1">
      <c r="A13" s="404" t="s">
        <v>37</v>
      </c>
      <c r="B13" s="405"/>
      <c r="C13" s="405"/>
      <c r="D13" s="408" t="s">
        <v>38</v>
      </c>
      <c r="E13" s="401" t="s">
        <v>151</v>
      </c>
      <c r="F13" s="400" t="s">
        <v>39</v>
      </c>
      <c r="G13" s="401" t="s">
        <v>40</v>
      </c>
      <c r="H13" s="401" t="s">
        <v>41</v>
      </c>
      <c r="I13" s="400" t="s">
        <v>156</v>
      </c>
      <c r="J13" s="401" t="s">
        <v>169</v>
      </c>
      <c r="K13" s="399" t="s">
        <v>118</v>
      </c>
      <c r="L13" s="399" t="s">
        <v>119</v>
      </c>
      <c r="M13" s="398" t="s">
        <v>143</v>
      </c>
      <c r="N13" s="398" t="s">
        <v>152</v>
      </c>
      <c r="O13" s="398" t="s">
        <v>165</v>
      </c>
      <c r="P13" s="409" t="s">
        <v>164</v>
      </c>
      <c r="Q13" s="409" t="s">
        <v>122</v>
      </c>
      <c r="R13" s="409" t="s">
        <v>123</v>
      </c>
      <c r="S13" s="410" t="s">
        <v>43</v>
      </c>
      <c r="T13" s="410"/>
      <c r="U13" s="410"/>
      <c r="V13" s="409" t="s">
        <v>44</v>
      </c>
      <c r="W13" s="191"/>
    </row>
    <row r="14" spans="1:23" ht="39.75" customHeight="1">
      <c r="A14" s="406"/>
      <c r="B14" s="407"/>
      <c r="C14" s="407"/>
      <c r="D14" s="408"/>
      <c r="E14" s="401"/>
      <c r="F14" s="400"/>
      <c r="G14" s="401"/>
      <c r="H14" s="401"/>
      <c r="I14" s="401"/>
      <c r="J14" s="401"/>
      <c r="K14" s="399"/>
      <c r="L14" s="399"/>
      <c r="M14" s="398"/>
      <c r="N14" s="398"/>
      <c r="O14" s="398"/>
      <c r="P14" s="409"/>
      <c r="Q14" s="409"/>
      <c r="R14" s="409"/>
      <c r="S14" s="346" t="s">
        <v>172</v>
      </c>
      <c r="T14" s="346" t="s">
        <v>173</v>
      </c>
      <c r="U14" s="346" t="s">
        <v>174</v>
      </c>
      <c r="V14" s="409"/>
      <c r="W14" s="192"/>
    </row>
    <row r="15" spans="1:23" s="297" customFormat="1" ht="31.5" customHeight="1">
      <c r="A15" s="347"/>
      <c r="B15" s="348"/>
      <c r="C15" s="348"/>
      <c r="D15" s="348"/>
      <c r="E15" s="349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50"/>
      <c r="Q15" s="350"/>
      <c r="R15" s="350"/>
      <c r="S15" s="350"/>
      <c r="T15" s="350"/>
      <c r="U15" s="350"/>
      <c r="V15" s="350"/>
    </row>
    <row r="16" spans="1:23" ht="50.25" customHeight="1">
      <c r="A16" s="291" t="s">
        <v>111</v>
      </c>
      <c r="B16" s="292"/>
      <c r="C16" s="291"/>
      <c r="D16" s="305"/>
      <c r="E16" s="224"/>
      <c r="F16" s="225"/>
      <c r="G16" s="225"/>
      <c r="H16" s="225"/>
      <c r="I16" s="225"/>
      <c r="J16" s="224"/>
      <c r="K16" s="224"/>
      <c r="L16" s="224"/>
      <c r="M16" s="224"/>
      <c r="N16" s="224"/>
      <c r="O16" s="224"/>
      <c r="P16" s="328"/>
      <c r="Q16" s="296"/>
      <c r="R16" s="296"/>
      <c r="S16" s="296"/>
      <c r="T16" s="296"/>
      <c r="U16" s="296"/>
      <c r="V16" s="295"/>
    </row>
    <row r="17" spans="1:22">
      <c r="A17" s="204"/>
      <c r="B17" s="205"/>
      <c r="C17" s="205"/>
      <c r="D17" s="206"/>
      <c r="E17" s="206"/>
      <c r="F17" s="207"/>
      <c r="G17" s="207"/>
      <c r="H17" s="207"/>
      <c r="I17" s="207"/>
      <c r="J17" s="206"/>
      <c r="K17" s="206"/>
      <c r="L17" s="206"/>
      <c r="M17" s="207"/>
      <c r="N17" s="207"/>
      <c r="O17" s="207"/>
      <c r="P17" s="205"/>
      <c r="Q17" s="206"/>
      <c r="R17" s="206"/>
      <c r="S17" s="336"/>
      <c r="T17" s="336"/>
      <c r="U17" s="336"/>
      <c r="V17" s="208"/>
    </row>
    <row r="18" spans="1:22" ht="23.25" customHeight="1">
      <c r="A18" s="209"/>
      <c r="B18" s="210"/>
      <c r="C18" s="211"/>
      <c r="D18" s="210"/>
      <c r="E18" s="210"/>
      <c r="F18" s="212"/>
      <c r="G18" s="212"/>
      <c r="H18" s="212"/>
      <c r="I18" s="212"/>
      <c r="J18" s="213"/>
      <c r="K18" s="213"/>
      <c r="L18" s="214"/>
      <c r="M18" s="214"/>
      <c r="N18" s="214"/>
      <c r="O18" s="214"/>
      <c r="P18" s="214"/>
      <c r="Q18" s="389" t="s">
        <v>158</v>
      </c>
      <c r="R18" s="390"/>
      <c r="S18" s="390"/>
      <c r="T18" s="390"/>
      <c r="U18" s="390"/>
      <c r="V18" s="390"/>
    </row>
    <row r="19" spans="1:22" ht="23.25" customHeight="1">
      <c r="A19" s="215"/>
      <c r="B19" s="216"/>
      <c r="C19" s="217"/>
      <c r="D19" s="216"/>
      <c r="E19" s="216"/>
      <c r="F19" s="218"/>
      <c r="G19" s="218"/>
      <c r="H19" s="218"/>
      <c r="I19" s="218"/>
      <c r="J19" s="191"/>
      <c r="K19" s="191"/>
      <c r="L19" s="191"/>
      <c r="M19" s="191"/>
      <c r="N19" s="191"/>
      <c r="O19" s="191"/>
      <c r="P19" s="191"/>
      <c r="Q19" s="391" t="s">
        <v>159</v>
      </c>
      <c r="R19" s="391"/>
      <c r="S19" s="391"/>
      <c r="T19" s="391"/>
      <c r="U19" s="391"/>
      <c r="V19" s="391"/>
    </row>
    <row r="20" spans="1:22" ht="23.25" customHeight="1">
      <c r="A20" s="215"/>
      <c r="B20" s="216"/>
      <c r="C20" s="217"/>
      <c r="D20" s="216"/>
      <c r="E20" s="216"/>
      <c r="F20" s="218"/>
      <c r="G20" s="218"/>
      <c r="H20" s="218"/>
      <c r="I20" s="218"/>
      <c r="J20" s="191"/>
      <c r="K20" s="191"/>
      <c r="L20" s="191"/>
      <c r="M20" s="191"/>
      <c r="N20" s="191"/>
      <c r="O20" s="191"/>
      <c r="P20" s="191"/>
      <c r="Q20" s="218"/>
      <c r="R20" s="301"/>
      <c r="S20" s="191"/>
      <c r="T20" s="191"/>
      <c r="U20" s="191"/>
      <c r="V20" s="191"/>
    </row>
    <row r="21" spans="1:22" ht="23.25" customHeight="1">
      <c r="A21" s="215"/>
      <c r="B21" s="216"/>
      <c r="C21" s="217"/>
      <c r="D21" s="216"/>
      <c r="E21" s="216"/>
      <c r="F21" s="218"/>
      <c r="G21" s="218"/>
      <c r="H21" s="218"/>
      <c r="I21" s="218"/>
      <c r="J21" s="191"/>
      <c r="K21" s="191"/>
      <c r="L21" s="191"/>
      <c r="M21" s="191"/>
      <c r="N21" s="191"/>
      <c r="O21" s="191"/>
      <c r="P21" s="191"/>
      <c r="Q21" s="218"/>
      <c r="R21" s="301"/>
      <c r="S21" s="191"/>
      <c r="T21" s="191"/>
      <c r="U21" s="191"/>
      <c r="V21" s="191"/>
    </row>
    <row r="22" spans="1:22" ht="23.25" customHeight="1">
      <c r="A22" s="215"/>
      <c r="B22" s="216"/>
      <c r="C22" s="217"/>
      <c r="D22" s="216"/>
      <c r="E22" s="216"/>
      <c r="F22" s="218"/>
      <c r="G22" s="218"/>
      <c r="H22" s="218"/>
      <c r="I22" s="218"/>
      <c r="J22" s="191"/>
      <c r="K22" s="191"/>
      <c r="L22" s="191"/>
      <c r="M22" s="191"/>
      <c r="N22" s="191"/>
      <c r="O22" s="191"/>
      <c r="P22" s="191"/>
      <c r="Q22" s="218"/>
      <c r="R22" s="301"/>
      <c r="S22" s="191"/>
      <c r="T22" s="191"/>
      <c r="U22" s="191"/>
      <c r="V22" s="191"/>
    </row>
    <row r="23" spans="1:22" ht="23.25" customHeight="1">
      <c r="A23" s="215"/>
      <c r="B23" s="216"/>
      <c r="C23" s="217"/>
      <c r="D23" s="216"/>
      <c r="E23" s="216"/>
      <c r="F23" s="218"/>
      <c r="G23" s="218"/>
      <c r="H23" s="218"/>
      <c r="I23" s="218"/>
      <c r="J23" s="191"/>
      <c r="K23" s="191"/>
      <c r="L23" s="191"/>
      <c r="M23" s="191"/>
      <c r="N23" s="191"/>
      <c r="O23" s="191"/>
      <c r="P23" s="191"/>
      <c r="Q23" s="218"/>
      <c r="R23" s="301"/>
      <c r="S23" s="191"/>
      <c r="T23" s="191"/>
      <c r="U23" s="191"/>
      <c r="V23" s="191"/>
    </row>
    <row r="24" spans="1:22" ht="23.25" customHeight="1">
      <c r="A24" s="215"/>
      <c r="B24" s="216"/>
      <c r="C24" s="217"/>
      <c r="D24" s="216"/>
      <c r="E24" s="216"/>
      <c r="F24" s="218"/>
      <c r="G24" s="218"/>
      <c r="H24" s="218"/>
      <c r="I24" s="218"/>
      <c r="J24" s="191"/>
      <c r="K24" s="191"/>
      <c r="L24" s="191"/>
      <c r="M24" s="191"/>
      <c r="N24" s="191"/>
      <c r="O24" s="191"/>
      <c r="P24" s="191"/>
      <c r="Q24" s="218"/>
      <c r="R24" s="301"/>
      <c r="S24" s="191"/>
      <c r="T24" s="191"/>
      <c r="U24" s="191"/>
      <c r="V24" s="191"/>
    </row>
    <row r="25" spans="1:22" ht="23.25" customHeight="1">
      <c r="A25" s="215"/>
      <c r="B25" s="216"/>
      <c r="C25" s="217"/>
      <c r="D25" s="216"/>
      <c r="E25" s="216"/>
      <c r="F25" s="218"/>
      <c r="G25" s="218"/>
      <c r="H25" s="218"/>
      <c r="I25" s="218"/>
      <c r="J25" s="191"/>
      <c r="K25" s="191"/>
      <c r="L25" s="191"/>
      <c r="M25" s="191"/>
      <c r="N25" s="191"/>
      <c r="O25" s="191"/>
      <c r="P25" s="191"/>
      <c r="Q25" s="218"/>
      <c r="R25" s="301"/>
      <c r="S25" s="191"/>
      <c r="T25" s="191"/>
      <c r="U25" s="191"/>
      <c r="V25" s="191"/>
    </row>
    <row r="26" spans="1:22" ht="23.25" customHeight="1">
      <c r="Q26" s="387" t="s">
        <v>160</v>
      </c>
      <c r="R26" s="388"/>
      <c r="S26" s="388"/>
      <c r="T26" s="388"/>
      <c r="U26" s="388"/>
      <c r="V26" s="388"/>
    </row>
  </sheetData>
  <mergeCells count="26">
    <mergeCell ref="P13:P14"/>
    <mergeCell ref="E13:E14"/>
    <mergeCell ref="J13:J14"/>
    <mergeCell ref="V13:V14"/>
    <mergeCell ref="R13:R14"/>
    <mergeCell ref="M13:M14"/>
    <mergeCell ref="K13:K14"/>
    <mergeCell ref="N13:N14"/>
    <mergeCell ref="Q13:Q14"/>
    <mergeCell ref="S13:U13"/>
    <mergeCell ref="Q26:V26"/>
    <mergeCell ref="Q18:V18"/>
    <mergeCell ref="Q19:V19"/>
    <mergeCell ref="A1:V1"/>
    <mergeCell ref="A2:V2"/>
    <mergeCell ref="A3:V3"/>
    <mergeCell ref="A5:V5"/>
    <mergeCell ref="O13:O14"/>
    <mergeCell ref="L13:L14"/>
    <mergeCell ref="I13:I14"/>
    <mergeCell ref="A11:V11"/>
    <mergeCell ref="A13:C14"/>
    <mergeCell ref="D13:D14"/>
    <mergeCell ref="F13:F14"/>
    <mergeCell ref="G13:G14"/>
    <mergeCell ref="H13:H14"/>
  </mergeCells>
  <phoneticPr fontId="42" type="noConversion"/>
  <printOptions horizontalCentered="1"/>
  <pageMargins left="0.196850393700787" right="0.196850393700787" top="0.23622047244094499" bottom="0.23622047244094499" header="0.23622047244094499" footer="0.23622047244094499"/>
  <pageSetup scale="58" orientation="landscape" r:id="rId1"/>
  <headerFooter>
    <oddFooter>&amp;C&amp;"Times New Roman,Regular"&amp;12Page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AK83"/>
  <sheetViews>
    <sheetView workbookViewId="0">
      <selection activeCell="V29" sqref="V29"/>
    </sheetView>
  </sheetViews>
  <sheetFormatPr defaultColWidth="12" defaultRowHeight="12" customHeight="1"/>
  <cols>
    <col min="1" max="1" width="3.33203125" style="20" customWidth="1"/>
    <col min="2" max="2" width="1.83203125" style="20" customWidth="1"/>
    <col min="3" max="3" width="3.33203125" style="20" customWidth="1"/>
    <col min="4" max="4" width="6.83203125" style="34" customWidth="1"/>
    <col min="5" max="5" width="12.5" style="87" customWidth="1"/>
    <col min="6" max="6" width="23.33203125" style="87" customWidth="1"/>
    <col min="7" max="7" width="21.1640625" style="10" customWidth="1"/>
    <col min="8" max="8" width="8.5" style="87" customWidth="1"/>
    <col min="9" max="9" width="12.83203125" style="87" customWidth="1"/>
    <col min="10" max="10" width="13" style="87" customWidth="1"/>
    <col min="11" max="12" width="12.83203125" style="87" customWidth="1"/>
    <col min="13" max="13" width="10.33203125" style="20" customWidth="1"/>
    <col min="14" max="14" width="1.6640625" style="20" customWidth="1"/>
    <col min="15" max="15" width="10.33203125" style="20" customWidth="1"/>
    <col min="16" max="16" width="2" style="20" customWidth="1"/>
    <col min="17" max="17" width="11.1640625" style="20" customWidth="1"/>
    <col min="18" max="18" width="2" style="20" customWidth="1"/>
    <col min="19" max="19" width="9.6640625" style="20" customWidth="1"/>
    <col min="20" max="16384" width="12" style="20"/>
  </cols>
  <sheetData>
    <row r="1" spans="1:37" s="2" customFormat="1" ht="25.5">
      <c r="A1" s="411" t="s">
        <v>0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3"/>
    </row>
    <row r="2" spans="1:37" s="2" customFormat="1" ht="25.5">
      <c r="A2" s="414" t="s">
        <v>1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</row>
    <row r="3" spans="1:37" s="2" customFormat="1" ht="25.5">
      <c r="A3" s="362" t="s">
        <v>2</v>
      </c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</row>
    <row r="4" spans="1:37" s="2" customFormat="1" ht="12.75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1"/>
      <c r="N4" s="1"/>
      <c r="O4" s="1"/>
      <c r="P4" s="1"/>
      <c r="Q4" s="1"/>
      <c r="R4" s="1"/>
      <c r="S4" s="1"/>
    </row>
    <row r="5" spans="1:37" s="10" customFormat="1" ht="22.5">
      <c r="A5" s="415" t="s">
        <v>114</v>
      </c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</row>
    <row r="6" spans="1:37" s="10" customFormat="1" ht="12.7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  <c r="O6" s="9"/>
      <c r="P6" s="9"/>
      <c r="Q6" s="9"/>
      <c r="R6" s="9"/>
      <c r="S6" s="9"/>
    </row>
    <row r="7" spans="1:37" s="10" customFormat="1" ht="12.75">
      <c r="A7" s="11" t="s">
        <v>32</v>
      </c>
      <c r="B7" s="12"/>
      <c r="C7" s="12"/>
      <c r="D7" s="12"/>
      <c r="E7" s="12" t="s">
        <v>33</v>
      </c>
      <c r="F7" s="12"/>
      <c r="G7" s="13"/>
      <c r="H7" s="13"/>
      <c r="I7" s="13"/>
      <c r="J7" s="13"/>
      <c r="K7" s="13"/>
      <c r="L7" s="13"/>
      <c r="M7" s="14" t="s">
        <v>8</v>
      </c>
      <c r="N7" s="9"/>
      <c r="O7" s="9"/>
      <c r="P7" s="15"/>
      <c r="Q7" s="364"/>
      <c r="R7" s="364"/>
      <c r="S7" s="364"/>
    </row>
    <row r="8" spans="1:37" ht="12.75">
      <c r="A8" s="16" t="s">
        <v>115</v>
      </c>
      <c r="B8" s="13"/>
      <c r="C8" s="17"/>
      <c r="D8" s="17"/>
      <c r="E8" s="13"/>
      <c r="F8" s="13"/>
      <c r="G8" s="13"/>
      <c r="H8" s="13"/>
      <c r="I8" s="13"/>
      <c r="J8" s="13"/>
      <c r="K8" s="13"/>
      <c r="L8" s="13"/>
      <c r="M8" s="18" t="s">
        <v>35</v>
      </c>
      <c r="N8" s="19"/>
      <c r="O8" s="19"/>
      <c r="P8" s="15"/>
      <c r="Q8" s="360"/>
      <c r="R8" s="360"/>
      <c r="S8" s="360"/>
    </row>
    <row r="9" spans="1:37" ht="12.75">
      <c r="A9" s="19"/>
      <c r="B9" s="16"/>
      <c r="C9" s="16"/>
      <c r="D9" s="13"/>
      <c r="E9" s="13"/>
      <c r="F9" s="13"/>
      <c r="G9" s="13"/>
      <c r="H9" s="13"/>
      <c r="I9" s="13"/>
      <c r="J9" s="13"/>
      <c r="K9" s="13"/>
      <c r="L9" s="13"/>
      <c r="M9" s="21" t="s">
        <v>12</v>
      </c>
      <c r="N9" s="12"/>
      <c r="O9" s="22"/>
      <c r="P9" s="15"/>
      <c r="Q9" s="15"/>
      <c r="R9" s="19"/>
      <c r="S9" s="19"/>
    </row>
    <row r="10" spans="1:37" ht="15.75">
      <c r="A10" s="354" t="s">
        <v>116</v>
      </c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37" ht="12.75" customHeight="1">
      <c r="A11" s="23"/>
      <c r="B11" s="23"/>
      <c r="C11" s="23"/>
      <c r="D11" s="24"/>
      <c r="E11" s="25"/>
      <c r="F11" s="25"/>
      <c r="G11" s="26"/>
      <c r="H11" s="27"/>
      <c r="I11" s="27"/>
      <c r="J11" s="27"/>
      <c r="K11" s="27"/>
      <c r="L11" s="27"/>
      <c r="M11" s="28"/>
      <c r="N11" s="29"/>
      <c r="O11" s="29"/>
      <c r="P11" s="30"/>
      <c r="Q11" s="30"/>
      <c r="R11" s="23"/>
      <c r="S11" s="23"/>
    </row>
    <row r="12" spans="1:37" ht="27" customHeight="1">
      <c r="A12" s="355" t="s">
        <v>37</v>
      </c>
      <c r="B12" s="356"/>
      <c r="C12" s="357"/>
      <c r="D12" s="92" t="s">
        <v>38</v>
      </c>
      <c r="E12" s="31" t="s">
        <v>39</v>
      </c>
      <c r="F12" s="31" t="s">
        <v>40</v>
      </c>
      <c r="G12" s="31" t="s">
        <v>41</v>
      </c>
      <c r="H12" s="31" t="s">
        <v>42</v>
      </c>
      <c r="I12" s="3" t="s">
        <v>118</v>
      </c>
      <c r="J12" s="3" t="s">
        <v>119</v>
      </c>
      <c r="K12" s="4" t="s">
        <v>120</v>
      </c>
      <c r="L12" s="90" t="s">
        <v>121</v>
      </c>
      <c r="M12" s="93" t="s">
        <v>122</v>
      </c>
      <c r="N12" s="93"/>
      <c r="O12" s="93" t="s">
        <v>123</v>
      </c>
      <c r="P12" s="93"/>
      <c r="Q12" s="93" t="s">
        <v>43</v>
      </c>
      <c r="R12" s="93"/>
      <c r="S12" s="94" t="s">
        <v>44</v>
      </c>
    </row>
    <row r="13" spans="1:37" ht="12" customHeight="1">
      <c r="A13" s="32">
        <v>1</v>
      </c>
      <c r="B13" s="20" t="s">
        <v>45</v>
      </c>
      <c r="C13" s="33">
        <v>5</v>
      </c>
      <c r="D13" s="34">
        <v>1</v>
      </c>
      <c r="E13" s="35" t="s">
        <v>46</v>
      </c>
      <c r="F13" s="36" t="s">
        <v>47</v>
      </c>
      <c r="G13" s="36" t="s">
        <v>48</v>
      </c>
      <c r="H13" s="38" t="s">
        <v>20</v>
      </c>
      <c r="I13" s="38"/>
      <c r="J13" s="38"/>
      <c r="K13" s="39">
        <f>I13+J13</f>
        <v>0</v>
      </c>
      <c r="L13" s="91"/>
      <c r="M13" s="351">
        <f>O13-1</f>
        <v>6.2</v>
      </c>
      <c r="N13" s="40"/>
      <c r="O13" s="351">
        <v>7.2</v>
      </c>
      <c r="P13" s="33"/>
      <c r="Q13" s="351" t="s">
        <v>49</v>
      </c>
      <c r="R13" s="41"/>
      <c r="S13" s="351">
        <f>0.48*0.48*0.32</f>
        <v>7.3728000000000002E-2</v>
      </c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</row>
    <row r="14" spans="1:37" ht="12" customHeight="1">
      <c r="A14" s="32"/>
      <c r="C14" s="33"/>
      <c r="E14" s="43" t="s">
        <v>50</v>
      </c>
      <c r="F14" s="44" t="s">
        <v>51</v>
      </c>
      <c r="G14" s="44" t="s">
        <v>52</v>
      </c>
      <c r="H14" s="45" t="s">
        <v>20</v>
      </c>
      <c r="I14" s="45"/>
      <c r="J14" s="45"/>
      <c r="K14" s="45"/>
      <c r="L14" s="43"/>
      <c r="M14" s="352"/>
      <c r="N14" s="40"/>
      <c r="O14" s="352"/>
      <c r="P14" s="33"/>
      <c r="Q14" s="352"/>
      <c r="R14" s="41"/>
      <c r="S14" s="35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</row>
    <row r="15" spans="1:37" ht="12" customHeight="1">
      <c r="A15" s="32"/>
      <c r="C15" s="33"/>
      <c r="E15" s="43" t="s">
        <v>53</v>
      </c>
      <c r="F15" s="44" t="s">
        <v>54</v>
      </c>
      <c r="G15" s="44" t="s">
        <v>55</v>
      </c>
      <c r="H15" s="45" t="s">
        <v>20</v>
      </c>
      <c r="I15" s="45"/>
      <c r="J15" s="45"/>
      <c r="K15" s="45"/>
      <c r="L15" s="43"/>
      <c r="M15" s="352"/>
      <c r="N15" s="40"/>
      <c r="O15" s="352"/>
      <c r="P15" s="33"/>
      <c r="Q15" s="352"/>
      <c r="R15" s="41"/>
      <c r="S15" s="35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</row>
    <row r="16" spans="1:37" ht="12" customHeight="1">
      <c r="A16" s="32"/>
      <c r="C16" s="33"/>
      <c r="E16" s="43" t="s">
        <v>53</v>
      </c>
      <c r="F16" s="44" t="s">
        <v>54</v>
      </c>
      <c r="G16" s="44" t="s">
        <v>56</v>
      </c>
      <c r="H16" s="45" t="s">
        <v>20</v>
      </c>
      <c r="I16" s="45"/>
      <c r="J16" s="45"/>
      <c r="K16" s="45"/>
      <c r="L16" s="43"/>
      <c r="M16" s="352"/>
      <c r="N16" s="40"/>
      <c r="O16" s="352"/>
      <c r="P16" s="33"/>
      <c r="Q16" s="352"/>
      <c r="R16" s="41"/>
      <c r="S16" s="35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</row>
    <row r="17" spans="1:37" ht="12" customHeight="1">
      <c r="A17" s="32"/>
      <c r="C17" s="33"/>
      <c r="E17" s="43" t="s">
        <v>57</v>
      </c>
      <c r="F17" s="44" t="s">
        <v>58</v>
      </c>
      <c r="G17" s="44" t="s">
        <v>59</v>
      </c>
      <c r="H17" s="45" t="s">
        <v>20</v>
      </c>
      <c r="I17" s="45"/>
      <c r="J17" s="45"/>
      <c r="K17" s="45"/>
      <c r="L17" s="43"/>
      <c r="M17" s="352"/>
      <c r="N17" s="40"/>
      <c r="O17" s="352"/>
      <c r="P17" s="33"/>
      <c r="Q17" s="352"/>
      <c r="R17" s="41"/>
      <c r="S17" s="35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</row>
    <row r="18" spans="1:37" ht="12" customHeight="1">
      <c r="A18" s="32"/>
      <c r="C18" s="33"/>
      <c r="E18" s="43" t="s">
        <v>60</v>
      </c>
      <c r="F18" s="44" t="s">
        <v>61</v>
      </c>
      <c r="G18" s="44" t="s">
        <v>62</v>
      </c>
      <c r="H18" s="45" t="s">
        <v>20</v>
      </c>
      <c r="I18" s="45"/>
      <c r="J18" s="45"/>
      <c r="K18" s="45"/>
      <c r="L18" s="43"/>
      <c r="M18" s="352"/>
      <c r="N18" s="40"/>
      <c r="O18" s="352"/>
      <c r="P18" s="33"/>
      <c r="Q18" s="352"/>
      <c r="R18" s="41"/>
      <c r="S18" s="35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</row>
    <row r="19" spans="1:37" ht="12" customHeight="1">
      <c r="A19" s="46"/>
      <c r="B19" s="47"/>
      <c r="C19" s="48"/>
      <c r="D19" s="49"/>
      <c r="E19" s="43" t="s">
        <v>63</v>
      </c>
      <c r="F19" s="44" t="s">
        <v>64</v>
      </c>
      <c r="G19" s="44" t="s">
        <v>65</v>
      </c>
      <c r="H19" s="45" t="s">
        <v>20</v>
      </c>
      <c r="I19" s="45"/>
      <c r="J19" s="45"/>
      <c r="K19" s="45"/>
      <c r="L19" s="43"/>
      <c r="M19" s="353"/>
      <c r="N19" s="50"/>
      <c r="O19" s="353"/>
      <c r="P19" s="48"/>
      <c r="Q19" s="353"/>
      <c r="R19" s="51"/>
      <c r="S19" s="353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</row>
    <row r="20" spans="1:37" ht="12" customHeight="1">
      <c r="A20" s="52">
        <v>2</v>
      </c>
      <c r="B20" s="53" t="s">
        <v>45</v>
      </c>
      <c r="C20" s="54">
        <v>5</v>
      </c>
      <c r="D20" s="55">
        <v>1</v>
      </c>
      <c r="E20" s="43" t="s">
        <v>66</v>
      </c>
      <c r="F20" s="44" t="s">
        <v>67</v>
      </c>
      <c r="G20" s="44" t="s">
        <v>68</v>
      </c>
      <c r="H20" s="45" t="s">
        <v>20</v>
      </c>
      <c r="I20" s="45"/>
      <c r="J20" s="45"/>
      <c r="K20" s="45"/>
      <c r="L20" s="43"/>
      <c r="M20" s="351">
        <f>O20-1</f>
        <v>6.4</v>
      </c>
      <c r="N20" s="56"/>
      <c r="O20" s="351">
        <v>7.4</v>
      </c>
      <c r="P20" s="54"/>
      <c r="Q20" s="351" t="s">
        <v>69</v>
      </c>
      <c r="R20" s="57"/>
      <c r="S20" s="351">
        <f>0.55*0.48*0.32</f>
        <v>8.448E-2</v>
      </c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</row>
    <row r="21" spans="1:37" ht="12" customHeight="1">
      <c r="A21" s="32"/>
      <c r="C21" s="33"/>
      <c r="E21" s="43" t="s">
        <v>66</v>
      </c>
      <c r="F21" s="44" t="s">
        <v>67</v>
      </c>
      <c r="G21" s="44" t="s">
        <v>70</v>
      </c>
      <c r="H21" s="45" t="s">
        <v>20</v>
      </c>
      <c r="I21" s="45"/>
      <c r="J21" s="45"/>
      <c r="K21" s="45"/>
      <c r="L21" s="43"/>
      <c r="M21" s="352"/>
      <c r="N21" s="40"/>
      <c r="O21" s="352"/>
      <c r="P21" s="33"/>
      <c r="Q21" s="352"/>
      <c r="R21" s="41"/>
      <c r="S21" s="35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</row>
    <row r="22" spans="1:37" ht="12" customHeight="1">
      <c r="A22" s="32"/>
      <c r="C22" s="33"/>
      <c r="E22" s="43" t="s">
        <v>66</v>
      </c>
      <c r="F22" s="44" t="s">
        <v>67</v>
      </c>
      <c r="G22" s="44" t="s">
        <v>71</v>
      </c>
      <c r="H22" s="45" t="s">
        <v>20</v>
      </c>
      <c r="I22" s="45"/>
      <c r="J22" s="45"/>
      <c r="K22" s="45"/>
      <c r="L22" s="43"/>
      <c r="M22" s="352"/>
      <c r="N22" s="40"/>
      <c r="O22" s="352"/>
      <c r="P22" s="33"/>
      <c r="Q22" s="352"/>
      <c r="R22" s="41"/>
      <c r="S22" s="35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</row>
    <row r="23" spans="1:37" ht="12" customHeight="1">
      <c r="A23" s="32"/>
      <c r="C23" s="33"/>
      <c r="E23" s="43" t="s">
        <v>72</v>
      </c>
      <c r="F23" s="44" t="s">
        <v>73</v>
      </c>
      <c r="G23" s="44" t="s">
        <v>74</v>
      </c>
      <c r="H23" s="45" t="s">
        <v>20</v>
      </c>
      <c r="I23" s="45"/>
      <c r="J23" s="45"/>
      <c r="K23" s="45"/>
      <c r="L23" s="43"/>
      <c r="M23" s="352"/>
      <c r="N23" s="40"/>
      <c r="O23" s="352"/>
      <c r="P23" s="33"/>
      <c r="Q23" s="352"/>
      <c r="R23" s="41"/>
      <c r="S23" s="35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</row>
    <row r="24" spans="1:37" ht="12" customHeight="1">
      <c r="A24" s="32"/>
      <c r="C24" s="33"/>
      <c r="E24" s="43" t="s">
        <v>72</v>
      </c>
      <c r="F24" s="44" t="s">
        <v>73</v>
      </c>
      <c r="G24" s="44" t="s">
        <v>75</v>
      </c>
      <c r="H24" s="45" t="s">
        <v>20</v>
      </c>
      <c r="I24" s="45"/>
      <c r="J24" s="45"/>
      <c r="K24" s="45"/>
      <c r="L24" s="43"/>
      <c r="M24" s="352"/>
      <c r="N24" s="40"/>
      <c r="O24" s="352"/>
      <c r="P24" s="33"/>
      <c r="Q24" s="352"/>
      <c r="R24" s="41"/>
      <c r="S24" s="35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</row>
    <row r="25" spans="1:37" ht="12" customHeight="1">
      <c r="A25" s="32"/>
      <c r="C25" s="33"/>
      <c r="E25" s="43" t="s">
        <v>72</v>
      </c>
      <c r="F25" s="44" t="s">
        <v>73</v>
      </c>
      <c r="G25" s="44" t="s">
        <v>76</v>
      </c>
      <c r="H25" s="45" t="s">
        <v>20</v>
      </c>
      <c r="I25" s="45"/>
      <c r="J25" s="45"/>
      <c r="K25" s="45"/>
      <c r="L25" s="43"/>
      <c r="M25" s="352"/>
      <c r="N25" s="40"/>
      <c r="O25" s="352"/>
      <c r="P25" s="33"/>
      <c r="Q25" s="352"/>
      <c r="R25" s="41"/>
      <c r="S25" s="35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</row>
    <row r="26" spans="1:37" ht="12" customHeight="1">
      <c r="A26" s="32"/>
      <c r="C26" s="33"/>
      <c r="E26" s="43" t="s">
        <v>77</v>
      </c>
      <c r="F26" s="44" t="s">
        <v>78</v>
      </c>
      <c r="G26" s="44" t="s">
        <v>79</v>
      </c>
      <c r="H26" s="45" t="s">
        <v>20</v>
      </c>
      <c r="I26" s="45"/>
      <c r="J26" s="45"/>
      <c r="K26" s="45"/>
      <c r="L26" s="43"/>
      <c r="M26" s="352"/>
      <c r="N26" s="40"/>
      <c r="O26" s="352"/>
      <c r="P26" s="33"/>
      <c r="Q26" s="352"/>
      <c r="R26" s="41"/>
      <c r="S26" s="35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</row>
    <row r="27" spans="1:37" ht="12" customHeight="1">
      <c r="A27" s="46"/>
      <c r="B27" s="47"/>
      <c r="C27" s="48"/>
      <c r="D27" s="49"/>
      <c r="E27" s="43" t="s">
        <v>77</v>
      </c>
      <c r="F27" s="44" t="s">
        <v>78</v>
      </c>
      <c r="G27" s="44" t="s">
        <v>80</v>
      </c>
      <c r="H27" s="45" t="s">
        <v>20</v>
      </c>
      <c r="I27" s="45"/>
      <c r="J27" s="45"/>
      <c r="K27" s="45"/>
      <c r="L27" s="43"/>
      <c r="M27" s="353"/>
      <c r="N27" s="50"/>
      <c r="O27" s="353"/>
      <c r="P27" s="48"/>
      <c r="Q27" s="353"/>
      <c r="R27" s="51"/>
      <c r="S27" s="353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</row>
    <row r="28" spans="1:37" ht="12" customHeight="1">
      <c r="A28" s="52">
        <v>3</v>
      </c>
      <c r="B28" s="53" t="s">
        <v>45</v>
      </c>
      <c r="C28" s="54">
        <v>5</v>
      </c>
      <c r="D28" s="55">
        <v>1</v>
      </c>
      <c r="E28" s="43" t="s">
        <v>81</v>
      </c>
      <c r="F28" s="44" t="s">
        <v>82</v>
      </c>
      <c r="G28" s="44" t="s">
        <v>83</v>
      </c>
      <c r="H28" s="45" t="s">
        <v>20</v>
      </c>
      <c r="I28" s="45"/>
      <c r="J28" s="45"/>
      <c r="K28" s="45"/>
      <c r="L28" s="43"/>
      <c r="M28" s="351">
        <f>O28-1</f>
        <v>6.3</v>
      </c>
      <c r="N28" s="56"/>
      <c r="O28" s="351">
        <v>7.3</v>
      </c>
      <c r="P28" s="54"/>
      <c r="Q28" s="351" t="s">
        <v>49</v>
      </c>
      <c r="R28" s="57"/>
      <c r="S28" s="351">
        <f>0.48*0.48*0.32</f>
        <v>7.3728000000000002E-2</v>
      </c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</row>
    <row r="29" spans="1:37" ht="12" customHeight="1">
      <c r="A29" s="32"/>
      <c r="C29" s="33"/>
      <c r="E29" s="43" t="s">
        <v>84</v>
      </c>
      <c r="F29" s="44" t="s">
        <v>85</v>
      </c>
      <c r="G29" s="44" t="s">
        <v>86</v>
      </c>
      <c r="H29" s="45" t="s">
        <v>20</v>
      </c>
      <c r="I29" s="45"/>
      <c r="J29" s="45"/>
      <c r="K29" s="45"/>
      <c r="L29" s="43"/>
      <c r="M29" s="352"/>
      <c r="N29" s="40"/>
      <c r="O29" s="352"/>
      <c r="P29" s="33"/>
      <c r="Q29" s="352"/>
      <c r="R29" s="41"/>
      <c r="S29" s="35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</row>
    <row r="30" spans="1:37" ht="12" customHeight="1">
      <c r="A30" s="32"/>
      <c r="C30" s="33"/>
      <c r="E30" s="43" t="s">
        <v>84</v>
      </c>
      <c r="F30" s="44" t="s">
        <v>85</v>
      </c>
      <c r="G30" s="44" t="s">
        <v>87</v>
      </c>
      <c r="H30" s="45" t="s">
        <v>20</v>
      </c>
      <c r="I30" s="45"/>
      <c r="J30" s="45"/>
      <c r="K30" s="45"/>
      <c r="L30" s="43"/>
      <c r="M30" s="352"/>
      <c r="N30" s="40"/>
      <c r="O30" s="352"/>
      <c r="P30" s="33"/>
      <c r="Q30" s="352"/>
      <c r="R30" s="41"/>
      <c r="S30" s="35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</row>
    <row r="31" spans="1:37" ht="12" customHeight="1">
      <c r="A31" s="32"/>
      <c r="C31" s="33"/>
      <c r="E31" s="43" t="s">
        <v>84</v>
      </c>
      <c r="F31" s="44" t="s">
        <v>85</v>
      </c>
      <c r="G31" s="44" t="s">
        <v>88</v>
      </c>
      <c r="H31" s="45" t="s">
        <v>20</v>
      </c>
      <c r="I31" s="45"/>
      <c r="J31" s="45"/>
      <c r="K31" s="45"/>
      <c r="L31" s="43"/>
      <c r="M31" s="352"/>
      <c r="N31" s="40"/>
      <c r="O31" s="352"/>
      <c r="P31" s="33"/>
      <c r="Q31" s="352"/>
      <c r="R31" s="41"/>
      <c r="S31" s="35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</row>
    <row r="32" spans="1:37" ht="12" customHeight="1">
      <c r="A32" s="32"/>
      <c r="C32" s="33"/>
      <c r="E32" s="43" t="s">
        <v>89</v>
      </c>
      <c r="F32" s="44" t="s">
        <v>90</v>
      </c>
      <c r="G32" s="44" t="s">
        <v>68</v>
      </c>
      <c r="H32" s="45" t="s">
        <v>20</v>
      </c>
      <c r="I32" s="45"/>
      <c r="J32" s="45"/>
      <c r="K32" s="45"/>
      <c r="L32" s="43"/>
      <c r="M32" s="352"/>
      <c r="N32" s="40"/>
      <c r="O32" s="352"/>
      <c r="P32" s="33"/>
      <c r="Q32" s="352"/>
      <c r="R32" s="41"/>
      <c r="S32" s="35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</row>
    <row r="33" spans="1:37" ht="12" customHeight="1">
      <c r="A33" s="32"/>
      <c r="C33" s="33"/>
      <c r="E33" s="43" t="s">
        <v>89</v>
      </c>
      <c r="F33" s="44" t="s">
        <v>90</v>
      </c>
      <c r="G33" s="44" t="s">
        <v>91</v>
      </c>
      <c r="H33" s="45" t="s">
        <v>20</v>
      </c>
      <c r="I33" s="45"/>
      <c r="J33" s="45"/>
      <c r="K33" s="45"/>
      <c r="L33" s="43"/>
      <c r="M33" s="352"/>
      <c r="N33" s="40"/>
      <c r="O33" s="352"/>
      <c r="P33" s="33"/>
      <c r="Q33" s="352"/>
      <c r="R33" s="41"/>
      <c r="S33" s="35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</row>
    <row r="34" spans="1:37" ht="12" customHeight="1">
      <c r="A34" s="46"/>
      <c r="B34" s="47"/>
      <c r="C34" s="48"/>
      <c r="D34" s="49"/>
      <c r="E34" s="43" t="s">
        <v>89</v>
      </c>
      <c r="F34" s="44" t="s">
        <v>90</v>
      </c>
      <c r="G34" s="44" t="s">
        <v>48</v>
      </c>
      <c r="H34" s="45" t="s">
        <v>20</v>
      </c>
      <c r="I34" s="45"/>
      <c r="J34" s="45"/>
      <c r="K34" s="45"/>
      <c r="L34" s="43"/>
      <c r="M34" s="353"/>
      <c r="N34" s="50"/>
      <c r="O34" s="353"/>
      <c r="P34" s="48"/>
      <c r="Q34" s="353"/>
      <c r="R34" s="51"/>
      <c r="S34" s="353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</row>
    <row r="35" spans="1:37" ht="12" customHeight="1">
      <c r="A35" s="32">
        <v>4</v>
      </c>
      <c r="B35" s="20" t="s">
        <v>45</v>
      </c>
      <c r="C35" s="33">
        <v>5</v>
      </c>
      <c r="D35" s="34">
        <v>1</v>
      </c>
      <c r="E35" s="35" t="s">
        <v>92</v>
      </c>
      <c r="F35" s="36" t="s">
        <v>93</v>
      </c>
      <c r="G35" s="36" t="s">
        <v>70</v>
      </c>
      <c r="H35" s="45" t="s">
        <v>20</v>
      </c>
      <c r="I35" s="38"/>
      <c r="J35" s="38"/>
      <c r="K35" s="38"/>
      <c r="L35" s="43"/>
      <c r="M35" s="351">
        <f>O35-1</f>
        <v>6.5</v>
      </c>
      <c r="N35" s="40"/>
      <c r="O35" s="351">
        <v>7.5</v>
      </c>
      <c r="P35" s="33"/>
      <c r="Q35" s="351" t="s">
        <v>49</v>
      </c>
      <c r="R35" s="41"/>
      <c r="S35" s="351">
        <f>0.48*0.48*0.32</f>
        <v>7.3728000000000002E-2</v>
      </c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</row>
    <row r="36" spans="1:37" ht="12" customHeight="1">
      <c r="A36" s="32"/>
      <c r="C36" s="33"/>
      <c r="E36" s="43" t="s">
        <v>92</v>
      </c>
      <c r="F36" s="44" t="s">
        <v>93</v>
      </c>
      <c r="G36" s="44" t="s">
        <v>94</v>
      </c>
      <c r="H36" s="45" t="s">
        <v>20</v>
      </c>
      <c r="I36" s="45"/>
      <c r="J36" s="45"/>
      <c r="K36" s="45"/>
      <c r="L36" s="43"/>
      <c r="M36" s="352"/>
      <c r="N36" s="40"/>
      <c r="O36" s="352"/>
      <c r="P36" s="33"/>
      <c r="Q36" s="352"/>
      <c r="R36" s="41"/>
      <c r="S36" s="35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</row>
    <row r="37" spans="1:37" ht="12" customHeight="1">
      <c r="A37" s="32"/>
      <c r="C37" s="33"/>
      <c r="E37" s="43" t="s">
        <v>92</v>
      </c>
      <c r="F37" s="44" t="s">
        <v>93</v>
      </c>
      <c r="G37" s="44" t="s">
        <v>95</v>
      </c>
      <c r="H37" s="45" t="s">
        <v>20</v>
      </c>
      <c r="I37" s="45"/>
      <c r="J37" s="45"/>
      <c r="K37" s="45"/>
      <c r="L37" s="43"/>
      <c r="M37" s="352"/>
      <c r="N37" s="40"/>
      <c r="O37" s="352"/>
      <c r="P37" s="33"/>
      <c r="Q37" s="352"/>
      <c r="R37" s="41"/>
      <c r="S37" s="35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</row>
    <row r="38" spans="1:37" ht="12" customHeight="1">
      <c r="A38" s="32"/>
      <c r="C38" s="33"/>
      <c r="E38" s="43" t="s">
        <v>92</v>
      </c>
      <c r="F38" s="44" t="s">
        <v>93</v>
      </c>
      <c r="G38" s="44" t="s">
        <v>48</v>
      </c>
      <c r="H38" s="45" t="s">
        <v>20</v>
      </c>
      <c r="I38" s="45"/>
      <c r="J38" s="45"/>
      <c r="K38" s="45"/>
      <c r="L38" s="43"/>
      <c r="M38" s="352"/>
      <c r="N38" s="40"/>
      <c r="O38" s="352"/>
      <c r="P38" s="33"/>
      <c r="Q38" s="352"/>
      <c r="R38" s="41"/>
      <c r="S38" s="35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</row>
    <row r="39" spans="1:37" ht="12" customHeight="1">
      <c r="A39" s="32"/>
      <c r="C39" s="33"/>
      <c r="E39" s="43" t="s">
        <v>96</v>
      </c>
      <c r="F39" s="44" t="s">
        <v>97</v>
      </c>
      <c r="G39" s="44" t="s">
        <v>68</v>
      </c>
      <c r="H39" s="45" t="s">
        <v>20</v>
      </c>
      <c r="I39" s="45"/>
      <c r="J39" s="45"/>
      <c r="K39" s="45"/>
      <c r="L39" s="43"/>
      <c r="M39" s="352"/>
      <c r="N39" s="40"/>
      <c r="O39" s="352"/>
      <c r="P39" s="33"/>
      <c r="Q39" s="352"/>
      <c r="R39" s="41"/>
      <c r="S39" s="35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</row>
    <row r="40" spans="1:37" ht="12" customHeight="1">
      <c r="A40" s="32"/>
      <c r="C40" s="33"/>
      <c r="E40" s="43" t="s">
        <v>96</v>
      </c>
      <c r="F40" s="44" t="s">
        <v>97</v>
      </c>
      <c r="G40" s="44" t="s">
        <v>56</v>
      </c>
      <c r="H40" s="45" t="s">
        <v>20</v>
      </c>
      <c r="I40" s="45"/>
      <c r="J40" s="45"/>
      <c r="K40" s="45"/>
      <c r="L40" s="43"/>
      <c r="M40" s="352"/>
      <c r="N40" s="40"/>
      <c r="O40" s="352"/>
      <c r="P40" s="33"/>
      <c r="Q40" s="352"/>
      <c r="R40" s="41"/>
      <c r="S40" s="35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</row>
    <row r="41" spans="1:37" ht="12" customHeight="1">
      <c r="A41" s="46"/>
      <c r="B41" s="47"/>
      <c r="C41" s="48"/>
      <c r="D41" s="49"/>
      <c r="E41" s="43" t="s">
        <v>96</v>
      </c>
      <c r="F41" s="44" t="s">
        <v>97</v>
      </c>
      <c r="G41" s="44" t="s">
        <v>52</v>
      </c>
      <c r="H41" s="45" t="s">
        <v>20</v>
      </c>
      <c r="I41" s="45"/>
      <c r="J41" s="45"/>
      <c r="K41" s="45"/>
      <c r="L41" s="43"/>
      <c r="M41" s="353"/>
      <c r="N41" s="50"/>
      <c r="O41" s="353"/>
      <c r="P41" s="48"/>
      <c r="Q41" s="353"/>
      <c r="R41" s="51"/>
      <c r="S41" s="353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</row>
    <row r="42" spans="1:37" ht="12" customHeight="1">
      <c r="A42" s="32">
        <v>5</v>
      </c>
      <c r="B42" s="20" t="s">
        <v>45</v>
      </c>
      <c r="C42" s="33">
        <v>5</v>
      </c>
      <c r="D42" s="34">
        <v>1</v>
      </c>
      <c r="E42" s="35" t="s">
        <v>98</v>
      </c>
      <c r="F42" s="36" t="s">
        <v>99</v>
      </c>
      <c r="G42" s="36" t="s">
        <v>68</v>
      </c>
      <c r="H42" s="45" t="s">
        <v>20</v>
      </c>
      <c r="I42" s="38"/>
      <c r="J42" s="38"/>
      <c r="K42" s="38"/>
      <c r="L42" s="43"/>
      <c r="M42" s="351">
        <f>O42-1</f>
        <v>6.65</v>
      </c>
      <c r="N42" s="40"/>
      <c r="O42" s="351">
        <v>7.65</v>
      </c>
      <c r="P42" s="33"/>
      <c r="Q42" s="351" t="s">
        <v>69</v>
      </c>
      <c r="R42" s="41"/>
      <c r="S42" s="351">
        <f>0.55*0.48*0.32</f>
        <v>8.448E-2</v>
      </c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</row>
    <row r="43" spans="1:37" ht="12" customHeight="1">
      <c r="A43" s="32"/>
      <c r="C43" s="33"/>
      <c r="E43" s="43" t="s">
        <v>98</v>
      </c>
      <c r="F43" s="44" t="s">
        <v>99</v>
      </c>
      <c r="G43" s="44" t="s">
        <v>70</v>
      </c>
      <c r="H43" s="45" t="s">
        <v>20</v>
      </c>
      <c r="I43" s="45"/>
      <c r="J43" s="45"/>
      <c r="K43" s="45"/>
      <c r="L43" s="43"/>
      <c r="M43" s="352"/>
      <c r="N43" s="40"/>
      <c r="O43" s="352"/>
      <c r="P43" s="33"/>
      <c r="Q43" s="352"/>
      <c r="R43" s="41"/>
      <c r="S43" s="35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</row>
    <row r="44" spans="1:37" ht="12" customHeight="1">
      <c r="A44" s="32"/>
      <c r="C44" s="33"/>
      <c r="E44" s="43" t="s">
        <v>98</v>
      </c>
      <c r="F44" s="44" t="s">
        <v>99</v>
      </c>
      <c r="G44" s="44" t="s">
        <v>91</v>
      </c>
      <c r="H44" s="45" t="s">
        <v>20</v>
      </c>
      <c r="I44" s="45"/>
      <c r="J44" s="45"/>
      <c r="K44" s="45"/>
      <c r="L44" s="43"/>
      <c r="M44" s="352"/>
      <c r="N44" s="40"/>
      <c r="O44" s="352"/>
      <c r="P44" s="33"/>
      <c r="Q44" s="352"/>
      <c r="R44" s="41"/>
      <c r="S44" s="35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</row>
    <row r="45" spans="1:37" ht="12" customHeight="1">
      <c r="A45" s="32"/>
      <c r="C45" s="33"/>
      <c r="E45" s="43" t="s">
        <v>100</v>
      </c>
      <c r="F45" s="44" t="s">
        <v>101</v>
      </c>
      <c r="G45" s="44" t="s">
        <v>56</v>
      </c>
      <c r="H45" s="45" t="s">
        <v>20</v>
      </c>
      <c r="I45" s="45"/>
      <c r="J45" s="45"/>
      <c r="K45" s="45"/>
      <c r="L45" s="43"/>
      <c r="M45" s="352"/>
      <c r="N45" s="40"/>
      <c r="O45" s="352"/>
      <c r="P45" s="33"/>
      <c r="Q45" s="352"/>
      <c r="R45" s="41"/>
      <c r="S45" s="35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</row>
    <row r="46" spans="1:37" ht="12" customHeight="1">
      <c r="A46" s="32"/>
      <c r="C46" s="33"/>
      <c r="E46" s="43" t="s">
        <v>100</v>
      </c>
      <c r="F46" s="44" t="s">
        <v>101</v>
      </c>
      <c r="G46" s="44" t="s">
        <v>48</v>
      </c>
      <c r="H46" s="45" t="s">
        <v>20</v>
      </c>
      <c r="I46" s="45"/>
      <c r="J46" s="45"/>
      <c r="K46" s="45"/>
      <c r="L46" s="43"/>
      <c r="M46" s="352"/>
      <c r="N46" s="40"/>
      <c r="O46" s="352"/>
      <c r="P46" s="33"/>
      <c r="Q46" s="352"/>
      <c r="R46" s="41"/>
      <c r="S46" s="35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</row>
    <row r="47" spans="1:37" ht="12" customHeight="1">
      <c r="A47" s="32"/>
      <c r="C47" s="33"/>
      <c r="E47" s="43" t="s">
        <v>102</v>
      </c>
      <c r="F47" s="44" t="s">
        <v>103</v>
      </c>
      <c r="G47" s="44" t="s">
        <v>76</v>
      </c>
      <c r="H47" s="45" t="s">
        <v>20</v>
      </c>
      <c r="I47" s="45"/>
      <c r="J47" s="45"/>
      <c r="K47" s="45"/>
      <c r="L47" s="43"/>
      <c r="M47" s="352"/>
      <c r="N47" s="40"/>
      <c r="O47" s="352"/>
      <c r="P47" s="33"/>
      <c r="Q47" s="352"/>
      <c r="R47" s="41"/>
      <c r="S47" s="35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</row>
    <row r="48" spans="1:37" ht="12" customHeight="1">
      <c r="A48" s="32"/>
      <c r="C48" s="33"/>
      <c r="E48" s="43" t="s">
        <v>104</v>
      </c>
      <c r="F48" s="44" t="s">
        <v>105</v>
      </c>
      <c r="G48" s="44" t="s">
        <v>106</v>
      </c>
      <c r="H48" s="45" t="s">
        <v>20</v>
      </c>
      <c r="I48" s="45"/>
      <c r="J48" s="45"/>
      <c r="K48" s="45"/>
      <c r="L48" s="43"/>
      <c r="M48" s="352"/>
      <c r="N48" s="40"/>
      <c r="O48" s="352"/>
      <c r="P48" s="33"/>
      <c r="Q48" s="352"/>
      <c r="R48" s="41"/>
      <c r="S48" s="35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</row>
    <row r="49" spans="1:37" ht="12" customHeight="1">
      <c r="A49" s="46"/>
      <c r="B49" s="47"/>
      <c r="C49" s="48"/>
      <c r="D49" s="49"/>
      <c r="E49" s="43" t="s">
        <v>107</v>
      </c>
      <c r="F49" s="44" t="s">
        <v>108</v>
      </c>
      <c r="G49" s="44" t="s">
        <v>109</v>
      </c>
      <c r="H49" s="45" t="s">
        <v>20</v>
      </c>
      <c r="I49" s="45"/>
      <c r="J49" s="45"/>
      <c r="K49" s="45"/>
      <c r="L49" s="43"/>
      <c r="M49" s="353"/>
      <c r="N49" s="50"/>
      <c r="O49" s="353"/>
      <c r="P49" s="48"/>
      <c r="Q49" s="353"/>
      <c r="R49" s="51"/>
      <c r="S49" s="353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</row>
    <row r="50" spans="1:37" ht="12" customHeight="1">
      <c r="A50" s="58" t="s">
        <v>117</v>
      </c>
      <c r="B50" s="58"/>
      <c r="C50" s="58"/>
      <c r="D50" s="59">
        <f>SUM(D13:D49)</f>
        <v>5</v>
      </c>
      <c r="E50" s="60"/>
      <c r="F50" s="60"/>
      <c r="G50" s="60"/>
      <c r="H50" s="60"/>
      <c r="I50" s="61">
        <f t="shared" ref="I50:O50" si="0">SUM(I13:I49)</f>
        <v>0</v>
      </c>
      <c r="J50" s="61">
        <f t="shared" si="0"/>
        <v>0</v>
      </c>
      <c r="K50" s="61">
        <f t="shared" si="0"/>
        <v>0</v>
      </c>
      <c r="L50" s="61"/>
      <c r="M50" s="61">
        <f t="shared" si="0"/>
        <v>32.050000000000004</v>
      </c>
      <c r="N50" s="62">
        <f t="shared" si="0"/>
        <v>0</v>
      </c>
      <c r="O50" s="61">
        <f t="shared" si="0"/>
        <v>37.050000000000004</v>
      </c>
      <c r="P50" s="63"/>
      <c r="Q50" s="62"/>
      <c r="R50" s="64"/>
      <c r="S50" s="65">
        <f>SUM(S13:S49)</f>
        <v>0.39014400000000005</v>
      </c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</row>
    <row r="51" spans="1:37" ht="12" customHeight="1">
      <c r="A51" s="19"/>
      <c r="B51" s="19"/>
      <c r="C51" s="19"/>
      <c r="D51" s="66"/>
      <c r="E51" s="67"/>
      <c r="F51" s="67"/>
      <c r="G51" s="67"/>
      <c r="H51" s="67"/>
      <c r="I51" s="67"/>
      <c r="J51" s="67"/>
      <c r="K51" s="67"/>
      <c r="L51" s="67"/>
      <c r="M51" s="19"/>
      <c r="N51" s="66"/>
      <c r="O51" s="19"/>
      <c r="P51" s="19"/>
      <c r="Q51" s="66"/>
      <c r="R51" s="68"/>
      <c r="S51" s="19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</row>
    <row r="52" spans="1:37" ht="12" customHeight="1">
      <c r="A52" s="19" t="s">
        <v>111</v>
      </c>
      <c r="B52" s="19"/>
      <c r="C52" s="19"/>
      <c r="D52" s="69" t="s">
        <v>112</v>
      </c>
      <c r="E52" s="67"/>
      <c r="F52" s="67"/>
      <c r="G52" s="67"/>
      <c r="H52" s="67"/>
      <c r="I52" s="67"/>
      <c r="J52" s="67"/>
      <c r="K52" s="67"/>
      <c r="L52" s="67"/>
      <c r="M52" s="19"/>
      <c r="N52" s="66"/>
      <c r="O52" s="19"/>
      <c r="P52" s="19"/>
      <c r="Q52" s="66"/>
      <c r="R52" s="68"/>
      <c r="S52" s="19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</row>
    <row r="53" spans="1:37" ht="12" customHeight="1">
      <c r="A53" s="19"/>
      <c r="B53" s="19"/>
      <c r="C53" s="19"/>
      <c r="D53" s="69"/>
      <c r="E53" s="67"/>
      <c r="F53" s="67"/>
      <c r="G53" s="67"/>
      <c r="H53" s="67"/>
      <c r="I53" s="67"/>
      <c r="J53" s="67"/>
      <c r="K53" s="67"/>
      <c r="L53" s="67"/>
      <c r="M53" s="19"/>
      <c r="N53" s="66"/>
      <c r="O53" s="19"/>
      <c r="P53" s="19"/>
      <c r="Q53" s="66"/>
      <c r="R53" s="68"/>
      <c r="S53" s="19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</row>
    <row r="54" spans="1:37" ht="12.75" customHeight="1">
      <c r="A54" s="9"/>
      <c r="B54" s="16"/>
      <c r="C54" s="16"/>
      <c r="D54" s="16"/>
      <c r="E54" s="16"/>
      <c r="F54" s="16"/>
      <c r="G54" s="19"/>
      <c r="H54" s="70"/>
      <c r="I54" s="70"/>
      <c r="J54" s="70"/>
      <c r="K54" s="70"/>
      <c r="L54" s="70"/>
      <c r="M54" s="71"/>
      <c r="N54" s="12"/>
      <c r="O54" s="12"/>
      <c r="P54" s="15"/>
      <c r="Q54" s="15"/>
      <c r="R54" s="19"/>
      <c r="S54" s="19"/>
    </row>
    <row r="55" spans="1:37" ht="12.75" customHeight="1">
      <c r="A55" s="9"/>
      <c r="B55" s="16"/>
      <c r="C55" s="16"/>
      <c r="D55" s="16"/>
      <c r="E55" s="16"/>
      <c r="F55" s="16"/>
      <c r="G55" s="19"/>
      <c r="H55" s="70"/>
      <c r="I55" s="70"/>
      <c r="J55" s="70"/>
      <c r="K55" s="70"/>
      <c r="L55" s="70"/>
      <c r="M55" s="71"/>
      <c r="N55" s="12"/>
      <c r="O55" s="12"/>
      <c r="P55" s="15"/>
      <c r="Q55" s="15"/>
      <c r="R55" s="19"/>
      <c r="S55" s="19"/>
    </row>
    <row r="56" spans="1:37" ht="12.75" customHeight="1">
      <c r="A56" s="358"/>
      <c r="B56" s="358"/>
      <c r="C56" s="358"/>
      <c r="D56" s="358"/>
      <c r="E56" s="358"/>
      <c r="F56" s="16"/>
      <c r="G56" s="19"/>
      <c r="H56" s="70"/>
      <c r="I56" s="70"/>
      <c r="J56" s="70"/>
      <c r="K56" s="70"/>
      <c r="L56" s="70"/>
      <c r="M56" s="71"/>
      <c r="N56" s="12"/>
      <c r="O56" s="12"/>
      <c r="P56" s="15"/>
      <c r="Q56" s="15"/>
      <c r="R56" s="19"/>
      <c r="S56" s="19"/>
    </row>
    <row r="57" spans="1:37" ht="12.75" customHeight="1">
      <c r="A57" s="358"/>
      <c r="B57" s="358"/>
      <c r="C57" s="358"/>
      <c r="D57" s="358"/>
      <c r="E57" s="358"/>
      <c r="F57" s="16"/>
      <c r="G57" s="19"/>
      <c r="H57" s="70"/>
      <c r="I57" s="70"/>
      <c r="J57" s="70"/>
      <c r="K57" s="70"/>
      <c r="L57" s="70"/>
      <c r="M57" s="71"/>
      <c r="N57" s="12"/>
      <c r="O57" s="12"/>
      <c r="P57" s="15"/>
      <c r="Q57" s="15"/>
      <c r="R57" s="19"/>
      <c r="S57" s="19"/>
    </row>
    <row r="58" spans="1:37" ht="12.75" customHeight="1">
      <c r="A58" s="358"/>
      <c r="B58" s="358"/>
      <c r="C58" s="358"/>
      <c r="D58" s="358"/>
      <c r="E58" s="358"/>
      <c r="F58" s="16"/>
      <c r="G58" s="19"/>
      <c r="H58" s="70"/>
      <c r="I58" s="70"/>
      <c r="J58" s="70"/>
      <c r="K58" s="70"/>
      <c r="L58" s="70"/>
      <c r="M58" s="71"/>
      <c r="N58" s="12"/>
      <c r="O58" s="12"/>
      <c r="P58" s="15"/>
      <c r="Q58" s="15"/>
      <c r="R58" s="19"/>
      <c r="S58" s="19"/>
    </row>
    <row r="59" spans="1:37" ht="12.75" customHeight="1">
      <c r="A59" s="359"/>
      <c r="B59" s="359"/>
      <c r="C59" s="359"/>
      <c r="D59" s="359"/>
      <c r="E59" s="359"/>
      <c r="F59" s="72"/>
      <c r="G59" s="23"/>
      <c r="H59" s="73"/>
      <c r="I59" s="73"/>
      <c r="J59" s="73"/>
      <c r="K59" s="73"/>
      <c r="L59" s="73"/>
      <c r="M59" s="74"/>
      <c r="N59" s="75"/>
      <c r="O59" s="75"/>
      <c r="P59" s="76"/>
      <c r="Q59" s="76"/>
      <c r="R59" s="23"/>
      <c r="S59" s="23"/>
    </row>
    <row r="60" spans="1:37" ht="12" customHeight="1">
      <c r="A60" s="42"/>
      <c r="B60" s="42"/>
      <c r="C60" s="42"/>
      <c r="D60" s="77"/>
      <c r="E60" s="78"/>
      <c r="F60" s="78"/>
      <c r="G60" s="78"/>
      <c r="H60" s="78"/>
      <c r="I60" s="78"/>
      <c r="J60" s="78"/>
      <c r="K60" s="78"/>
      <c r="L60" s="78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</row>
    <row r="61" spans="1:37" ht="12" customHeight="1">
      <c r="A61" s="79"/>
      <c r="B61" s="79"/>
      <c r="C61" s="79"/>
      <c r="D61" s="77"/>
      <c r="E61" s="78"/>
      <c r="F61" s="78"/>
      <c r="G61" s="78"/>
      <c r="H61" s="78"/>
      <c r="I61" s="78"/>
      <c r="J61" s="78"/>
      <c r="K61" s="78"/>
      <c r="L61" s="78"/>
      <c r="M61" s="77"/>
      <c r="N61" s="80"/>
      <c r="O61" s="77"/>
      <c r="P61" s="77"/>
      <c r="Q61" s="80"/>
      <c r="R61" s="81"/>
      <c r="S61" s="78"/>
      <c r="T61" s="77"/>
      <c r="U61" s="77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</row>
    <row r="62" spans="1:37" ht="12" customHeight="1">
      <c r="A62" s="79"/>
      <c r="B62" s="79"/>
      <c r="C62" s="79"/>
      <c r="D62" s="77"/>
      <c r="E62" s="78"/>
      <c r="F62" s="78"/>
      <c r="G62" s="78"/>
      <c r="H62" s="78"/>
      <c r="I62" s="78"/>
      <c r="J62" s="78"/>
      <c r="K62" s="78"/>
      <c r="L62" s="78"/>
      <c r="M62" s="77"/>
      <c r="N62" s="80"/>
      <c r="O62" s="77"/>
      <c r="P62" s="77"/>
      <c r="Q62" s="80"/>
      <c r="R62" s="81"/>
      <c r="S62" s="78"/>
      <c r="T62" s="77"/>
      <c r="U62" s="77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</row>
    <row r="63" spans="1:37" ht="12" customHeight="1">
      <c r="A63" s="79"/>
      <c r="B63" s="79"/>
      <c r="C63" s="79"/>
      <c r="D63" s="77"/>
      <c r="E63" s="78"/>
      <c r="F63" s="78"/>
      <c r="G63" s="78"/>
      <c r="H63" s="78"/>
      <c r="I63" s="78"/>
      <c r="J63" s="78"/>
      <c r="K63" s="78"/>
      <c r="L63" s="78"/>
      <c r="M63" s="77"/>
      <c r="N63" s="80"/>
      <c r="O63" s="77"/>
      <c r="P63" s="77"/>
      <c r="Q63" s="80"/>
      <c r="R63" s="81"/>
      <c r="S63" s="78"/>
      <c r="T63" s="77"/>
      <c r="U63" s="77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</row>
    <row r="64" spans="1:37" ht="12" customHeight="1">
      <c r="A64" s="79"/>
      <c r="B64" s="79"/>
      <c r="C64" s="79"/>
      <c r="D64" s="77"/>
      <c r="E64" s="78"/>
      <c r="F64" s="78"/>
      <c r="G64" s="78"/>
      <c r="H64" s="78"/>
      <c r="I64" s="78"/>
      <c r="J64" s="78"/>
      <c r="K64" s="78"/>
      <c r="L64" s="78"/>
      <c r="M64" s="77"/>
      <c r="N64" s="80"/>
      <c r="O64" s="77"/>
      <c r="P64" s="77"/>
      <c r="Q64" s="80"/>
      <c r="R64" s="81"/>
      <c r="S64" s="78"/>
      <c r="T64" s="77"/>
      <c r="U64" s="77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</row>
    <row r="65" spans="1:37" ht="12" customHeight="1">
      <c r="A65" s="42"/>
      <c r="B65" s="42"/>
      <c r="C65" s="42"/>
      <c r="D65" s="77"/>
      <c r="E65" s="78"/>
      <c r="F65" s="78"/>
      <c r="G65" s="78"/>
      <c r="H65" s="78"/>
      <c r="I65" s="78"/>
      <c r="J65" s="78"/>
      <c r="K65" s="78"/>
      <c r="L65" s="78"/>
      <c r="M65" s="42"/>
      <c r="N65" s="42"/>
      <c r="O65" s="42"/>
      <c r="P65" s="42"/>
      <c r="Q65" s="42"/>
      <c r="R65" s="42"/>
      <c r="S65" s="42"/>
      <c r="T65" s="77"/>
      <c r="U65" s="77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</row>
    <row r="66" spans="1:37" ht="12" customHeight="1">
      <c r="A66" s="42"/>
      <c r="B66" s="42"/>
      <c r="C66" s="42"/>
      <c r="D66" s="77"/>
      <c r="E66" s="78"/>
      <c r="F66" s="78"/>
      <c r="G66" s="78"/>
      <c r="H66" s="78"/>
      <c r="I66" s="78"/>
      <c r="J66" s="78"/>
      <c r="K66" s="78"/>
      <c r="L66" s="78"/>
      <c r="M66" s="42"/>
      <c r="N66" s="42"/>
      <c r="O66" s="42"/>
      <c r="P66" s="42"/>
      <c r="Q66" s="42"/>
      <c r="R66" s="42"/>
      <c r="S66" s="42"/>
      <c r="T66" s="77"/>
      <c r="U66" s="77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</row>
    <row r="67" spans="1:37" ht="12" customHeight="1">
      <c r="A67" s="42"/>
      <c r="B67" s="42"/>
      <c r="C67" s="42"/>
      <c r="D67" s="77"/>
      <c r="E67" s="78"/>
      <c r="F67" s="78"/>
      <c r="G67" s="78"/>
      <c r="H67" s="78"/>
      <c r="I67" s="78"/>
      <c r="J67" s="78"/>
      <c r="K67" s="78"/>
      <c r="L67" s="78"/>
      <c r="M67" s="42"/>
      <c r="N67" s="42"/>
      <c r="O67" s="42"/>
      <c r="P67" s="42"/>
      <c r="Q67" s="42"/>
      <c r="R67" s="42"/>
      <c r="S67" s="42"/>
      <c r="T67" s="77"/>
      <c r="U67" s="77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</row>
    <row r="68" spans="1:37" ht="12" customHeight="1">
      <c r="A68" s="42"/>
      <c r="B68" s="42"/>
      <c r="C68" s="42"/>
      <c r="D68" s="77"/>
      <c r="E68" s="78"/>
      <c r="F68" s="78"/>
      <c r="G68" s="78"/>
      <c r="H68" s="78"/>
      <c r="I68" s="78"/>
      <c r="J68" s="78"/>
      <c r="K68" s="78"/>
      <c r="L68" s="78"/>
      <c r="M68" s="42"/>
      <c r="N68" s="42"/>
      <c r="O68" s="42"/>
      <c r="P68" s="42"/>
      <c r="Q68" s="42"/>
      <c r="R68" s="42"/>
      <c r="S68" s="42"/>
      <c r="T68" s="77"/>
      <c r="U68" s="77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</row>
    <row r="69" spans="1:37" ht="12" customHeight="1">
      <c r="A69" s="42"/>
      <c r="B69" s="42"/>
      <c r="C69" s="42"/>
      <c r="D69" s="77"/>
      <c r="E69" s="78"/>
      <c r="F69" s="78"/>
      <c r="G69" s="78"/>
      <c r="H69" s="78"/>
      <c r="I69" s="78"/>
      <c r="J69" s="78"/>
      <c r="K69" s="78"/>
      <c r="L69" s="78"/>
      <c r="M69" s="42"/>
      <c r="N69" s="42"/>
      <c r="O69" s="42"/>
      <c r="P69" s="42"/>
      <c r="Q69" s="42"/>
      <c r="R69" s="42"/>
      <c r="S69" s="42"/>
      <c r="T69" s="77"/>
      <c r="U69" s="77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</row>
    <row r="70" spans="1:37" ht="12" customHeight="1">
      <c r="A70" s="42"/>
      <c r="B70" s="42"/>
      <c r="C70" s="42"/>
      <c r="D70" s="77"/>
      <c r="E70" s="78"/>
      <c r="F70" s="78"/>
      <c r="G70" s="78"/>
      <c r="H70" s="78"/>
      <c r="I70" s="78"/>
      <c r="J70" s="78"/>
      <c r="K70" s="78"/>
      <c r="L70" s="78"/>
      <c r="M70" s="42"/>
      <c r="N70" s="42"/>
      <c r="O70" s="42"/>
      <c r="P70" s="42"/>
      <c r="Q70" s="42"/>
      <c r="R70" s="42"/>
      <c r="S70" s="42"/>
      <c r="T70" s="77"/>
      <c r="U70" s="77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</row>
    <row r="71" spans="1:37" ht="12" customHeight="1">
      <c r="A71" s="42"/>
      <c r="B71" s="42"/>
      <c r="C71" s="42"/>
      <c r="D71" s="77"/>
      <c r="E71" s="78"/>
      <c r="F71" s="78"/>
      <c r="G71" s="78"/>
      <c r="H71" s="78"/>
      <c r="I71" s="78"/>
      <c r="J71" s="78"/>
      <c r="K71" s="78"/>
      <c r="L71" s="78"/>
      <c r="M71" s="42"/>
      <c r="N71" s="42"/>
      <c r="O71" s="42"/>
      <c r="P71" s="42"/>
      <c r="Q71" s="42"/>
      <c r="R71" s="42"/>
      <c r="S71" s="42"/>
      <c r="T71" s="77"/>
      <c r="U71" s="77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</row>
    <row r="72" spans="1:37" ht="12" customHeight="1">
      <c r="A72" s="82"/>
      <c r="B72" s="82"/>
      <c r="C72" s="82"/>
      <c r="D72" s="83"/>
      <c r="E72" s="84"/>
      <c r="F72" s="78"/>
      <c r="G72" s="78"/>
      <c r="H72" s="78"/>
      <c r="I72" s="78"/>
      <c r="J72" s="78"/>
      <c r="K72" s="78"/>
      <c r="L72" s="78"/>
      <c r="M72" s="42"/>
      <c r="N72" s="42"/>
      <c r="O72" s="42"/>
      <c r="P72" s="42"/>
      <c r="Q72" s="42"/>
      <c r="R72" s="42"/>
      <c r="S72" s="42"/>
    </row>
    <row r="73" spans="1:37" ht="12" customHeight="1">
      <c r="A73" s="42"/>
      <c r="B73" s="42"/>
      <c r="C73" s="42"/>
      <c r="D73" s="77"/>
      <c r="E73" s="78"/>
      <c r="F73" s="78"/>
      <c r="G73" s="78"/>
      <c r="H73" s="78"/>
      <c r="I73" s="78"/>
      <c r="J73" s="78"/>
      <c r="K73" s="78"/>
      <c r="L73" s="78"/>
      <c r="M73" s="42"/>
      <c r="N73" s="42"/>
      <c r="O73" s="42"/>
      <c r="P73" s="42"/>
      <c r="Q73" s="42"/>
      <c r="R73" s="42"/>
      <c r="S73" s="42"/>
    </row>
    <row r="74" spans="1:37" ht="12" customHeight="1">
      <c r="A74" s="42"/>
      <c r="B74" s="42"/>
      <c r="C74" s="42"/>
      <c r="D74" s="77"/>
      <c r="E74" s="78"/>
      <c r="F74" s="78"/>
      <c r="G74" s="78"/>
      <c r="H74" s="78"/>
      <c r="I74" s="78"/>
      <c r="J74" s="78"/>
      <c r="K74" s="78"/>
      <c r="L74" s="78"/>
      <c r="M74" s="42"/>
      <c r="N74" s="42"/>
      <c r="O74" s="42"/>
      <c r="P74" s="42"/>
      <c r="Q74" s="42"/>
      <c r="R74" s="42"/>
      <c r="S74" s="42"/>
    </row>
    <row r="75" spans="1:37" ht="12" customHeight="1">
      <c r="A75" s="85"/>
      <c r="B75" s="85"/>
      <c r="C75" s="85"/>
      <c r="D75" s="86"/>
      <c r="E75" s="41"/>
      <c r="F75" s="41"/>
      <c r="G75" s="41"/>
      <c r="H75" s="41"/>
      <c r="I75" s="41"/>
      <c r="J75" s="41"/>
      <c r="K75" s="41"/>
      <c r="L75" s="41"/>
    </row>
    <row r="76" spans="1:37" ht="12" customHeight="1">
      <c r="A76" s="85"/>
      <c r="B76" s="85"/>
      <c r="C76" s="85"/>
      <c r="D76" s="86"/>
      <c r="E76" s="41"/>
      <c r="F76" s="41"/>
      <c r="G76" s="41"/>
      <c r="H76" s="41"/>
      <c r="I76" s="41"/>
      <c r="J76" s="41"/>
      <c r="K76" s="41"/>
      <c r="L76" s="41"/>
    </row>
    <row r="77" spans="1:37" ht="12" customHeight="1">
      <c r="A77" s="85"/>
      <c r="B77" s="85"/>
      <c r="C77" s="85"/>
      <c r="D77" s="86"/>
      <c r="E77" s="41"/>
      <c r="F77" s="41"/>
      <c r="G77" s="41"/>
      <c r="H77" s="41"/>
      <c r="I77" s="41"/>
      <c r="J77" s="41"/>
      <c r="K77" s="41"/>
      <c r="L77" s="41"/>
    </row>
    <row r="78" spans="1:37" ht="12" customHeight="1">
      <c r="A78" s="85"/>
      <c r="B78" s="85"/>
      <c r="C78" s="85"/>
      <c r="D78" s="86"/>
      <c r="E78" s="41"/>
      <c r="F78" s="41"/>
      <c r="G78" s="41"/>
      <c r="H78" s="41"/>
      <c r="I78" s="41"/>
      <c r="J78" s="41"/>
      <c r="K78" s="41"/>
      <c r="L78" s="41"/>
    </row>
    <row r="79" spans="1:37" ht="12" customHeight="1">
      <c r="A79" s="85"/>
      <c r="B79" s="85"/>
      <c r="C79" s="85"/>
      <c r="D79" s="86"/>
      <c r="E79" s="41"/>
      <c r="F79" s="41"/>
      <c r="G79" s="41"/>
      <c r="H79" s="41"/>
      <c r="I79" s="41"/>
      <c r="J79" s="41"/>
      <c r="K79" s="41"/>
      <c r="L79" s="41"/>
    </row>
    <row r="80" spans="1:37" ht="12" customHeight="1">
      <c r="A80" s="85"/>
      <c r="B80" s="85"/>
      <c r="C80" s="85"/>
      <c r="D80" s="86"/>
      <c r="E80" s="41"/>
      <c r="F80" s="41"/>
      <c r="G80" s="41"/>
      <c r="H80" s="41"/>
      <c r="I80" s="41"/>
      <c r="J80" s="41"/>
      <c r="K80" s="41"/>
      <c r="L80" s="41"/>
    </row>
    <row r="81" spans="1:12" ht="12" customHeight="1">
      <c r="A81" s="85"/>
      <c r="B81" s="85"/>
      <c r="C81" s="85"/>
      <c r="D81" s="86"/>
      <c r="E81" s="41"/>
      <c r="F81" s="41"/>
      <c r="G81" s="41"/>
      <c r="H81" s="41"/>
      <c r="I81" s="41"/>
      <c r="J81" s="41"/>
      <c r="K81" s="41"/>
      <c r="L81" s="41"/>
    </row>
    <row r="82" spans="1:12" ht="12" customHeight="1">
      <c r="A82" s="85"/>
      <c r="B82" s="85"/>
      <c r="C82" s="85"/>
      <c r="D82" s="86"/>
      <c r="E82" s="41"/>
      <c r="F82" s="41"/>
      <c r="G82" s="41"/>
      <c r="H82" s="41"/>
      <c r="I82" s="41"/>
      <c r="J82" s="41"/>
      <c r="K82" s="41"/>
      <c r="L82" s="41"/>
    </row>
    <row r="83" spans="1:12" ht="12" customHeight="1">
      <c r="A83" s="85"/>
      <c r="B83" s="85"/>
      <c r="C83" s="85"/>
      <c r="D83" s="86"/>
      <c r="E83" s="41"/>
      <c r="F83" s="41"/>
      <c r="G83" s="41"/>
      <c r="H83" s="41"/>
      <c r="I83" s="41"/>
      <c r="J83" s="41"/>
      <c r="K83" s="41"/>
      <c r="L83" s="41"/>
    </row>
  </sheetData>
  <mergeCells count="32">
    <mergeCell ref="S42:S49"/>
    <mergeCell ref="S28:S34"/>
    <mergeCell ref="Q8:S8"/>
    <mergeCell ref="A1:S1"/>
    <mergeCell ref="A2:S2"/>
    <mergeCell ref="A3:S3"/>
    <mergeCell ref="A5:S5"/>
    <mergeCell ref="Q7:S7"/>
    <mergeCell ref="S35:S41"/>
    <mergeCell ref="M28:M34"/>
    <mergeCell ref="O28:O34"/>
    <mergeCell ref="Q28:Q34"/>
    <mergeCell ref="A10:S10"/>
    <mergeCell ref="S13:S19"/>
    <mergeCell ref="M20:M27"/>
    <mergeCell ref="O20:O27"/>
    <mergeCell ref="A56:E56"/>
    <mergeCell ref="A57:E57"/>
    <mergeCell ref="A58:E58"/>
    <mergeCell ref="A59:E59"/>
    <mergeCell ref="A12:C12"/>
    <mergeCell ref="Q20:Q27"/>
    <mergeCell ref="S20:S27"/>
    <mergeCell ref="M13:M19"/>
    <mergeCell ref="O13:O19"/>
    <mergeCell ref="Q13:Q19"/>
    <mergeCell ref="M42:M49"/>
    <mergeCell ref="O42:O49"/>
    <mergeCell ref="Q42:Q49"/>
    <mergeCell ref="M35:M41"/>
    <mergeCell ref="O35:O41"/>
    <mergeCell ref="Q35:Q41"/>
  </mergeCells>
  <phoneticPr fontId="7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"/>
  <sheetData/>
  <phoneticPr fontId="7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"/>
  <sheetData/>
  <phoneticPr fontId="7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125B1B584F21478027970FDE6D5C66" ma:contentTypeVersion="12" ma:contentTypeDescription="Create a new document." ma:contentTypeScope="" ma:versionID="eb49204df833fe9617d790b9fc2c5338">
  <xsd:schema xmlns:xsd="http://www.w3.org/2001/XMLSchema" xmlns:xs="http://www.w3.org/2001/XMLSchema" xmlns:p="http://schemas.microsoft.com/office/2006/metadata/properties" xmlns:ns2="fab5a003-2b42-41dd-afc4-35d3319d5f8e" xmlns:ns3="5aecae05-993f-44e3-b25d-bc0559b77a63" targetNamespace="http://schemas.microsoft.com/office/2006/metadata/properties" ma:root="true" ma:fieldsID="3a5567e9f244b4aec606c922ad43bb5b" ns2:_="" ns3:_="">
    <xsd:import namespace="fab5a003-2b42-41dd-afc4-35d3319d5f8e"/>
    <xsd:import namespace="5aecae05-993f-44e3-b25d-bc0559b77a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b5a003-2b42-41dd-afc4-35d3319d5f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cae05-993f-44e3-b25d-bc0559b77a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29769F-514C-4480-B6FA-1D7468E0F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44160E-D49A-4484-9906-037D6D9DE4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b5a003-2b42-41dd-afc4-35d3319d5f8e"/>
    <ds:schemaRef ds:uri="5aecae05-993f-44e3-b25d-bc0559b77a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C321A7-85B2-4B99-B43B-E2E1E2390E44}">
  <ds:schemaRefs>
    <ds:schemaRef ds:uri="5aecae05-993f-44e3-b25d-bc0559b77a63"/>
    <ds:schemaRef ds:uri="http://schemas.microsoft.com/office/2006/documentManagement/types"/>
    <ds:schemaRef ds:uri="http://schemas.microsoft.com/office/infopath/2007/PartnerControls"/>
    <ds:schemaRef ds:uri="fab5a003-2b42-41dd-afc4-35d3319d5f8e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US PL</vt:lpstr>
      <vt:lpstr>US Pair (Footwear)</vt:lpstr>
      <vt:lpstr>INV</vt:lpstr>
      <vt:lpstr>PKL</vt:lpstr>
      <vt:lpstr>International PL</vt:lpstr>
      <vt:lpstr>EMEA CI</vt:lpstr>
      <vt:lpstr>EMEA PL</vt:lpstr>
      <vt:lpstr>INV!Print_Area</vt:lpstr>
      <vt:lpstr>PKL!Print_Area</vt:lpstr>
      <vt:lpstr>INV!Print_Titles</vt:lpstr>
      <vt:lpstr>PKL!Print_Titles</vt:lpstr>
    </vt:vector>
  </TitlesOfParts>
  <Company>Deckers Outdoor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Norton</dc:creator>
  <cp:lastModifiedBy>tythacad</cp:lastModifiedBy>
  <cp:lastPrinted>2025-02-11T03:10:04Z</cp:lastPrinted>
  <dcterms:created xsi:type="dcterms:W3CDTF">2018-08-28T18:33:10Z</dcterms:created>
  <dcterms:modified xsi:type="dcterms:W3CDTF">2025-03-10T06:35:46Z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0x010100A8125B1B584F21478027970FDE6D5C66</vt:lpwstr>
  </property>
</Properties>
</file>