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7350"/>
  </bookViews>
  <sheets>
    <sheet name="EXLCEL" sheetId="1" r:id="rId1"/>
  </sheets>
  <externalReferences>
    <externalReference r:id="rId2"/>
  </externalReferences>
  <definedNames>
    <definedName name="_2001_7_12">#REF!</definedName>
    <definedName name="_xlnm._FilterDatabase" localSheetId="0" hidden="1">EXLCEL!$C$1:$C$82</definedName>
    <definedName name="Assy_Begin">#REF!</definedName>
    <definedName name="Assy_End">#REF!</definedName>
    <definedName name="B">[1]MAY!$A$6:$A$97</definedName>
    <definedName name="C_D">#REF!</definedName>
    <definedName name="CFM">#REF!</definedName>
    <definedName name="CFMD">#REF!</definedName>
    <definedName name="CustomID">#REF!</definedName>
    <definedName name="Cut_Begin">#REF!</definedName>
    <definedName name="Cut_End">#REF!</definedName>
    <definedName name="D">[1]MAY!$W$6:$W$97</definedName>
    <definedName name="Delay">#REF!</definedName>
    <definedName name="EMI_Staff">#REF!</definedName>
    <definedName name="ETA">#REF!</definedName>
    <definedName name="F">[1]MAY!$Y$6:$Y$97</definedName>
    <definedName name="FACTORY">#REF!</definedName>
    <definedName name="FTY_PO">#REF!</definedName>
    <definedName name="JUN">[1]MAY!$L$6:$L$97</definedName>
    <definedName name="L_C">#REF!</definedName>
    <definedName name="P">#REF!</definedName>
    <definedName name="PO">#REF!</definedName>
    <definedName name="POE">#REF!</definedName>
    <definedName name="_xlnm.Print_Area" localSheetId="0">EXLCEL!$A$1:$O$58</definedName>
    <definedName name="_xlnm.Print_Titles" localSheetId="0">EXLCEL!$11:$14</definedName>
    <definedName name="Qty">#REF!</definedName>
    <definedName name="REQ_ETA">#REF!</definedName>
    <definedName name="RQSD">#REF!</definedName>
    <definedName name="RVSD">#REF!</definedName>
    <definedName name="S">#REF!</definedName>
    <definedName name="S_D">#REF!</definedName>
    <definedName name="Ship_Qty">#REF!</definedName>
    <definedName name="ShoeColor">#REF!</definedName>
    <definedName name="ShoeName">#REF!</definedName>
    <definedName name="SKU">#REF!</definedName>
    <definedName name="Stitch_Begin">#REF!</definedName>
    <definedName name="Stitch_End">#REF!</definedName>
    <definedName name="tblExportProdSch">#REF!</definedName>
    <definedName name="Vessel_Name">#REF!</definedName>
    <definedName name="Week">#REF!</definedName>
  </definedName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0" i="1" l="1"/>
  <c r="D41" i="1" l="1"/>
  <c r="G17" i="1"/>
  <c r="G33" i="1" s="1"/>
  <c r="H17" i="1"/>
  <c r="F62" i="1" l="1"/>
  <c r="F63" i="1" s="1"/>
  <c r="H33" i="1"/>
  <c r="G40" i="1" l="1"/>
  <c r="K40" i="1"/>
</calcChain>
</file>

<file path=xl/sharedStrings.xml><?xml version="1.0" encoding="utf-8"?>
<sst xmlns="http://schemas.openxmlformats.org/spreadsheetml/2006/main" count="90" uniqueCount="84">
  <si>
    <t>PHỤ LỤC VIII</t>
  </si>
  <si>
    <t>(ban hành kèm theo Thông tư số 05/2018/TT-BCT ngày 03 tháng 4 năm 2018 quy định về xuất xứ hàng hóa)</t>
  </si>
  <si>
    <t xml:space="preserve">Tên Thương nhân: </t>
  </si>
  <si>
    <t>Công ty TNHH TỶ THẠC</t>
  </si>
  <si>
    <t>CTH, RVC 55% BD</t>
  </si>
  <si>
    <t xml:space="preserve">Mã số thuế: </t>
  </si>
  <si>
    <t>1401405051</t>
  </si>
  <si>
    <t>Giày thể thao (có đế ngoài bằng cao su và mũ giày bằng vải) hiệu HOKA ONE ONE</t>
  </si>
  <si>
    <t xml:space="preserve">Tờ khai hải quan xuất khẩu số: </t>
  </si>
  <si>
    <t>307076833950/E62/49C1</t>
  </si>
  <si>
    <t>ĐÔI</t>
  </si>
  <si>
    <t>USD</t>
  </si>
  <si>
    <r>
      <t xml:space="preserve">Mã hải Quan
</t>
    </r>
    <r>
      <rPr>
        <sz val="10"/>
        <color rgb="FF0033CC"/>
        <rFont val="Times New Roman"/>
        <family val="1"/>
      </rPr>
      <t>Customs code</t>
    </r>
  </si>
  <si>
    <r>
      <t xml:space="preserve">Các loại chi phí 
</t>
    </r>
    <r>
      <rPr>
        <sz val="10"/>
        <color indexed="12"/>
        <rFont val="Times New Roman"/>
        <family val="1"/>
      </rPr>
      <t>Types of costs/ material names</t>
    </r>
  </si>
  <si>
    <r>
      <t xml:space="preserve">Mã HS (6 số)
</t>
    </r>
    <r>
      <rPr>
        <sz val="10"/>
        <color indexed="12"/>
        <rFont val="Times New Roman"/>
        <family val="1"/>
      </rPr>
      <t>HS Code (6 digits)</t>
    </r>
  </si>
  <si>
    <r>
      <t xml:space="preserve">Đơn vị tính
</t>
    </r>
    <r>
      <rPr>
        <sz val="10"/>
        <color indexed="12"/>
        <rFont val="Times New Roman"/>
        <family val="1"/>
      </rPr>
      <t>Unit</t>
    </r>
  </si>
  <si>
    <r>
      <t xml:space="preserve">Định mức/sản phẩm, kể cả hao hụt
</t>
    </r>
    <r>
      <rPr>
        <sz val="10"/>
        <color rgb="FF0000FF"/>
        <rFont val="Times New Roman"/>
        <family val="1"/>
      </rPr>
      <t>Material Usage</t>
    </r>
  </si>
  <si>
    <r>
      <t xml:space="preserve">Nhu cầu nguyên liệu sử dụng cho lô hàng
</t>
    </r>
    <r>
      <rPr>
        <sz val="10"/>
        <color rgb="FF0000FF"/>
        <rFont val="Times New Roman"/>
        <family val="1"/>
      </rPr>
      <t>The material needs for the order</t>
    </r>
  </si>
  <si>
    <r>
      <t xml:space="preserve">Nước xuất xứ
</t>
    </r>
    <r>
      <rPr>
        <sz val="10"/>
        <color rgb="FF0000FF"/>
        <rFont val="Times New Roman"/>
        <family val="1"/>
      </rPr>
      <t>country of origin for materials</t>
    </r>
  </si>
  <si>
    <r>
      <t>Tờ khai hải quan nhập khẩu/Hóa đơn giá trị gia tăng
I</t>
    </r>
    <r>
      <rPr>
        <sz val="10"/>
        <color rgb="FF0000FF"/>
        <rFont val="Times New Roman"/>
        <family val="1"/>
      </rPr>
      <t>mport declartion./ VAT invoice</t>
    </r>
  </si>
  <si>
    <t>C/O ưu đãi nhập khẩu/ Bản khai báo của nhà sản xuất/nhà cung cấp nguyên liệu trong nước</t>
  </si>
  <si>
    <t>CÔNG TY XUẤT KHẨU</t>
  </si>
  <si>
    <r>
      <t xml:space="preserve">Đơn giá (CIF)
</t>
    </r>
    <r>
      <rPr>
        <sz val="10"/>
        <color rgb="FF0000FF"/>
        <rFont val="Times New Roman"/>
        <family val="1"/>
      </rPr>
      <t>Material Unit price
USD</t>
    </r>
  </si>
  <si>
    <t>Trị giá (USD) Amount (USD)</t>
  </si>
  <si>
    <r>
      <t xml:space="preserve">Có xuất xứ FTA
</t>
    </r>
    <r>
      <rPr>
        <sz val="10"/>
        <color indexed="12"/>
        <rFont val="Times New Roman"/>
        <family val="1"/>
      </rPr>
      <t>(Originating FTA)</t>
    </r>
  </si>
  <si>
    <r>
      <t xml:space="preserve">Không có xuất xứ FTA </t>
    </r>
    <r>
      <rPr>
        <sz val="10"/>
        <color rgb="FF0000FF"/>
        <rFont val="Times New Roman"/>
        <family val="1"/>
      </rPr>
      <t xml:space="preserve"> (non-originating FTA)
</t>
    </r>
  </si>
  <si>
    <r>
      <t xml:space="preserve">Số
</t>
    </r>
    <r>
      <rPr>
        <sz val="10"/>
        <color rgb="FF0000FF"/>
        <rFont val="Times New Roman"/>
        <family val="1"/>
      </rPr>
      <t>Number</t>
    </r>
  </si>
  <si>
    <r>
      <t xml:space="preserve">Ngày
</t>
    </r>
    <r>
      <rPr>
        <sz val="10"/>
        <color rgb="FF0000FF"/>
        <rFont val="Times New Roman"/>
        <family val="1"/>
      </rPr>
      <t>Date</t>
    </r>
  </si>
  <si>
    <t>Số
Number</t>
  </si>
  <si>
    <t>Ngày
Date</t>
  </si>
  <si>
    <t>I</t>
  </si>
  <si>
    <t>Chi phí nguyên liệu:</t>
  </si>
  <si>
    <t>Tổng I</t>
  </si>
  <si>
    <t>Chi phí nhân công trực tiếp:</t>
  </si>
  <si>
    <t>Lương, thưởng</t>
  </si>
  <si>
    <t>Phúc lợi y tế</t>
  </si>
  <si>
    <t>…..</t>
  </si>
  <si>
    <t>Tổng II</t>
  </si>
  <si>
    <t>III</t>
  </si>
  <si>
    <t>Chi phí phân bổ trực tiếp:</t>
  </si>
  <si>
    <t>Phí thuê nhà xưởng</t>
  </si>
  <si>
    <t>Phí khấu hao nhà xưởng, máy móc; bảo hiểm, bảo dưỡng</t>
  </si>
  <si>
    <t>…</t>
  </si>
  <si>
    <t>Tổng III</t>
  </si>
  <si>
    <t>IV</t>
  </si>
  <si>
    <t>Chi phí xuất xưởng (Tổng I+II+III):</t>
  </si>
  <si>
    <t>V</t>
  </si>
  <si>
    <t>Lợi nhuận</t>
  </si>
  <si>
    <t>VI</t>
  </si>
  <si>
    <t>Giá xuất xưởng (Tổng IV+V)</t>
  </si>
  <si>
    <t>VII</t>
  </si>
  <si>
    <t>Các chi phí khác</t>
  </si>
  <si>
    <t>(chi phí vận chuyển, lưu kho, dịch vụ...)</t>
  </si>
  <si>
    <t>VIII</t>
  </si>
  <si>
    <t>Trị giá FOB (Tổng VI+VII)</t>
  </si>
  <si>
    <t>a) Công thức tính RVC trực tiếp</t>
  </si>
  <si>
    <t>=</t>
  </si>
  <si>
    <t>VOM</t>
  </si>
  <si>
    <t>X100</t>
  </si>
  <si>
    <t>Trị giá hàng hóa</t>
  </si>
  <si>
    <t>hoặc</t>
  </si>
  <si>
    <r>
      <t xml:space="preserve">b) Công thức tính RVC gián tiếp </t>
    </r>
    <r>
      <rPr>
        <sz val="12"/>
        <color indexed="12"/>
        <rFont val="Times New Roman"/>
        <family val="1"/>
      </rPr>
      <t>(formula for RVC indirectly)</t>
    </r>
  </si>
  <si>
    <r>
      <t xml:space="preserve">Trị giá hàng hóa </t>
    </r>
    <r>
      <rPr>
        <sz val="12"/>
        <color indexed="12"/>
        <rFont val="Times New Roman"/>
        <family val="1"/>
      </rPr>
      <t>(FOB value)</t>
    </r>
  </si>
  <si>
    <t>-</t>
  </si>
  <si>
    <r>
      <t>VNM</t>
    </r>
    <r>
      <rPr>
        <sz val="12"/>
        <color indexed="12"/>
        <rFont val="Times New Roman"/>
        <family val="1"/>
      </rPr>
      <t xml:space="preserve"> (non-originating materials value)</t>
    </r>
  </si>
  <si>
    <t>Kết luận: Hàng hóa đáp ứng tiêu chí "CTH" + "RVC 55% BD"</t>
  </si>
  <si>
    <t>Công ty cam kết số liệu khai trên là đúng và xin chịu trách nhiệm trước pháp luật về thông tin, số liệu đã khai.</t>
  </si>
  <si>
    <t>ĐỒNG THÁP  , ngày …….…...... tháng …... ….…….năm  2025</t>
  </si>
  <si>
    <t>Người đại diện theo pháp luật của thương nhân</t>
  </si>
  <si>
    <t>(Ký, đóng dấu, ghi rõ họ, tên)</t>
  </si>
  <si>
    <t>MANAGER</t>
  </si>
  <si>
    <t>PHAN THỊ QUYẾN</t>
  </si>
  <si>
    <r>
      <t>Ghi chú:</t>
    </r>
    <r>
      <rPr>
        <sz val="12"/>
        <rFont val="Times New Roman"/>
        <family val="1"/>
      </rPr>
      <t xml:space="preserve"> </t>
    </r>
  </si>
  <si>
    <t>- Thương nhân lựa chọn công thức tính RVC trong Chương Quy tắc xuất xứ hàng hóa thuộc các FTA mà Việt Nam ký kết hoặc gia nhập thực hiện theo quy định tại các văn bản quy phạm pháp luật của Bộ Công Thương hướng dẫn các FTA đó.</t>
  </si>
  <si>
    <t>- Thương nhân nộp bản in Tờ khai hải quan nhập khẩu và bản sao các chứng từ (có đóng dấu sao y bản chính): Hóa đơn giá trị gia tăng, C/O ưu đãi nhập khẩu, Bản khai báo của nhà sản xuất/nhà cung cấp nguyên liệu trong nước để đối chiếu với thông tin kê khai từ cột (9) đến cột (13).</t>
  </si>
  <si>
    <t>BONDI 7 1110519-BHBI</t>
  </si>
  <si>
    <t>Tiêu chí áp dụng: Applicable criteria:</t>
  </si>
  <si>
    <t>Tên hàng hóa: Export goods name</t>
  </si>
  <si>
    <t>Mã HS của hàng hóa (6 số): HS Code (6 digits)</t>
  </si>
  <si>
    <t>Mã sx hàng RY:</t>
  </si>
  <si>
    <t xml:space="preserve">Số lượng: Quantity: </t>
  </si>
  <si>
    <t>Trị giá (FOB): Total VN value</t>
  </si>
  <si>
    <r>
      <t xml:space="preserve">BẢNG KÊ KHAI HÀNG HÓA XUẤT KHẨU ĐẠT TIÊU CHÍ "CTH" +"RVC"
</t>
    </r>
    <r>
      <rPr>
        <b/>
        <sz val="12"/>
        <color rgb="FF0000FF"/>
        <rFont val="Times New Roman"/>
        <family val="1"/>
      </rPr>
      <t xml:space="preserve"> DECLARATION SHEET OF EXPORT GOODS THAT MEET "CTH" +"RVC" CRITERIA</t>
    </r>
  </si>
  <si>
    <t>Chỉ lệnh</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</si>
</sst>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_(* #,##0.00_);_(* \(#,##0.00\);_(* &quot;-&quot;??_);_(@_)"/>
    <numFmt numFmtId="177" formatCode="0.0000"/>
    <numFmt numFmtId="178" formatCode="_-* #&quot;,&quot;##0.00_-;\-* #&quot;,&quot;##0.00_-;_-* &quot;-&quot;??_-;_-@_-"/>
    <numFmt numFmtId="180" formatCode="dd/mm/yyyy"/>
  </numFmts>
  <fonts count="19" x14ac:knownFonts="1">
    <font>
      <sz val="12"/>
      <name val="新細明體"/>
      <family val="1"/>
      <charset val="136"/>
    </font>
    <font>
      <sz val="11"/>
      <color theme="1"/>
      <name val="新細明體"/>
      <family val="2"/>
      <scheme val="minor"/>
    </font>
    <font>
      <sz val="11"/>
      <color theme="1"/>
      <name val="新細明體"/>
      <family val="2"/>
      <scheme val="minor"/>
    </font>
    <font>
      <b/>
      <sz val="12"/>
      <color theme="1"/>
      <name val="Times New Roman"/>
      <family val="1"/>
    </font>
    <font>
      <sz val="12"/>
      <name val="新細明體"/>
      <family val="1"/>
      <charset val="136"/>
    </font>
    <font>
      <b/>
      <sz val="12"/>
      <name val="Times New Roman"/>
      <family val="1"/>
    </font>
    <font>
      <b/>
      <i/>
      <sz val="12"/>
      <color theme="1"/>
      <name val="Times New Roman"/>
      <family val="1"/>
    </font>
    <font>
      <sz val="10"/>
      <name val="Times New Roman"/>
      <family val="1"/>
    </font>
    <font>
      <sz val="10"/>
      <color rgb="FF0033CC"/>
      <name val="Times New Roman"/>
      <family val="1"/>
    </font>
    <font>
      <sz val="10"/>
      <color indexed="12"/>
      <name val="Times New Roman"/>
      <family val="1"/>
    </font>
    <font>
      <sz val="10"/>
      <color rgb="FF0000FF"/>
      <name val="Times New Roman"/>
      <family val="1"/>
    </font>
    <font>
      <sz val="10"/>
      <color indexed="8"/>
      <name val="ARIAL"/>
      <family val="2"/>
    </font>
    <font>
      <sz val="11"/>
      <color theme="1"/>
      <name val="Times New Roman"/>
      <family val="2"/>
    </font>
    <font>
      <sz val="12"/>
      <color indexed="8"/>
      <name val="Times New Roman"/>
      <family val="1"/>
    </font>
    <font>
      <sz val="12"/>
      <name val="Times New Roman"/>
      <family val="1"/>
    </font>
    <font>
      <sz val="12"/>
      <color indexed="12"/>
      <name val="Times New Roman"/>
      <family val="1"/>
    </font>
    <font>
      <i/>
      <sz val="12"/>
      <name val="Times New Roman"/>
      <family val="1"/>
    </font>
    <font>
      <b/>
      <sz val="12"/>
      <color rgb="FF0000FF"/>
      <name val="Times New Roman"/>
      <family val="1"/>
    </font>
    <font>
      <sz val="9"/>
      <name val="新細明體"/>
      <family val="1"/>
      <charset val="136"/>
    </font>
  </fonts>
  <fills count="5">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theme="9"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8"/>
      </left>
      <right style="hair">
        <color indexed="8"/>
      </right>
      <top style="hair">
        <color indexed="8"/>
      </top>
      <bottom style="hair">
        <color indexed="8"/>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style="thin">
        <color indexed="64"/>
      </top>
      <bottom/>
      <diagonal/>
    </border>
  </borders>
  <cellStyleXfs count="12">
    <xf numFmtId="0" fontId="0" fillId="0" borderId="0"/>
    <xf numFmtId="178" fontId="4" fillId="0" borderId="0" applyFont="0" applyFill="0" applyBorder="0" applyAlignment="0" applyProtection="0"/>
    <xf numFmtId="9" fontId="4" fillId="0" borderId="0" applyFont="0" applyFill="0" applyBorder="0" applyAlignment="0" applyProtection="0"/>
    <xf numFmtId="0" fontId="2" fillId="0" borderId="0"/>
    <xf numFmtId="0" fontId="4" fillId="0" borderId="0"/>
    <xf numFmtId="0" fontId="11" fillId="0" borderId="0">
      <alignment vertical="top"/>
    </xf>
    <xf numFmtId="0" fontId="12" fillId="0" borderId="0"/>
    <xf numFmtId="0" fontId="12" fillId="0" borderId="0"/>
    <xf numFmtId="0" fontId="4" fillId="0" borderId="0" applyFont="0" applyFill="0" applyBorder="0" applyAlignment="0" applyProtection="0"/>
    <xf numFmtId="9" fontId="1" fillId="0" borderId="0" applyFont="0" applyFill="0" applyBorder="0" applyAlignment="0" applyProtection="0"/>
    <xf numFmtId="0" fontId="14" fillId="0" borderId="0"/>
    <xf numFmtId="0" fontId="4" fillId="0" borderId="0"/>
  </cellStyleXfs>
  <cellXfs count="108">
    <xf numFmtId="0" fontId="0" fillId="0" borderId="0" xfId="0"/>
    <xf numFmtId="0" fontId="5" fillId="0" borderId="0" xfId="4" applyFont="1" applyFill="1" applyAlignment="1">
      <alignment vertical="center"/>
    </xf>
    <xf numFmtId="0" fontId="3" fillId="2" borderId="0" xfId="3" applyFont="1" applyFill="1" applyAlignment="1"/>
    <xf numFmtId="0" fontId="3" fillId="2" borderId="0" xfId="3" applyFont="1" applyFill="1" applyAlignment="1">
      <alignment horizontal="center"/>
    </xf>
    <xf numFmtId="9" fontId="3" fillId="2" borderId="0" xfId="3" applyNumberFormat="1" applyFont="1" applyFill="1" applyAlignment="1">
      <alignment horizontal="left"/>
    </xf>
    <xf numFmtId="0" fontId="3" fillId="2" borderId="0" xfId="3" applyFont="1" applyFill="1"/>
    <xf numFmtId="0" fontId="3" fillId="2" borderId="0" xfId="3" quotePrefix="1" applyFont="1" applyFill="1" applyAlignment="1"/>
    <xf numFmtId="0" fontId="3" fillId="2" borderId="0" xfId="3" applyFont="1" applyFill="1" applyAlignment="1">
      <alignment horizontal="left"/>
    </xf>
    <xf numFmtId="0" fontId="3" fillId="2" borderId="0" xfId="3" applyFont="1" applyFill="1" applyAlignment="1">
      <alignment vertical="top" wrapText="1"/>
    </xf>
    <xf numFmtId="4" fontId="3" fillId="2" borderId="0" xfId="3" applyNumberFormat="1" applyFont="1" applyFill="1" applyAlignment="1">
      <alignment horizontal="center"/>
    </xf>
    <xf numFmtId="3" fontId="3" fillId="2" borderId="0" xfId="0" applyNumberFormat="1" applyFont="1" applyFill="1" applyAlignment="1">
      <alignment horizontal="left"/>
    </xf>
    <xf numFmtId="4" fontId="3" fillId="2" borderId="0" xfId="3" applyNumberFormat="1" applyFont="1" applyFill="1" applyAlignment="1">
      <alignment horizontal="left"/>
    </xf>
    <xf numFmtId="0" fontId="3" fillId="2" borderId="0" xfId="4" applyFont="1" applyFill="1" applyAlignment="1">
      <alignment horizontal="center" vertical="center"/>
    </xf>
    <xf numFmtId="0" fontId="3" fillId="2" borderId="0" xfId="5" applyFont="1" applyFill="1" applyAlignment="1">
      <alignment horizontal="center" vertical="center"/>
    </xf>
    <xf numFmtId="0" fontId="5" fillId="0" borderId="0" xfId="5" applyFont="1" applyFill="1" applyAlignment="1">
      <alignment horizontal="center" vertical="center"/>
    </xf>
    <xf numFmtId="0" fontId="3" fillId="2" borderId="2" xfId="5" quotePrefix="1" applyFont="1" applyFill="1" applyBorder="1" applyAlignment="1">
      <alignment horizontal="center" vertical="center"/>
    </xf>
    <xf numFmtId="0" fontId="3" fillId="2" borderId="2" xfId="3" applyFont="1" applyFill="1" applyBorder="1" applyAlignment="1">
      <alignment horizontal="center" wrapText="1"/>
    </xf>
    <xf numFmtId="0" fontId="3" fillId="2" borderId="2" xfId="3" applyFont="1" applyFill="1" applyBorder="1" applyAlignment="1">
      <alignment vertical="center" wrapText="1"/>
    </xf>
    <xf numFmtId="0" fontId="3" fillId="2" borderId="2" xfId="5" applyFont="1" applyFill="1" applyBorder="1" applyAlignment="1">
      <alignment horizontal="center" vertical="center"/>
    </xf>
    <xf numFmtId="0" fontId="13" fillId="2" borderId="3" xfId="6" applyNumberFormat="1" applyFont="1" applyFill="1" applyBorder="1" applyAlignment="1">
      <alignment horizontal="center"/>
    </xf>
    <xf numFmtId="0" fontId="5" fillId="2" borderId="2" xfId="3" applyFont="1" applyFill="1" applyBorder="1" applyAlignment="1">
      <alignment vertical="center" wrapText="1"/>
    </xf>
    <xf numFmtId="0" fontId="14" fillId="2" borderId="2" xfId="3" applyFont="1" applyFill="1" applyBorder="1" applyAlignment="1">
      <alignment horizontal="center" wrapText="1"/>
    </xf>
    <xf numFmtId="177" fontId="14" fillId="2" borderId="2" xfId="3" applyNumberFormat="1" applyFont="1" applyFill="1" applyBorder="1" applyAlignment="1">
      <alignment horizontal="center" wrapText="1"/>
    </xf>
    <xf numFmtId="176" fontId="3" fillId="2" borderId="2" xfId="8" applyNumberFormat="1" applyFont="1" applyFill="1" applyBorder="1" applyAlignment="1">
      <alignment horizontal="center" vertical="center"/>
    </xf>
    <xf numFmtId="0" fontId="14" fillId="2" borderId="2" xfId="4" applyFont="1" applyFill="1" applyBorder="1"/>
    <xf numFmtId="0" fontId="14" fillId="2" borderId="0" xfId="4" applyFont="1" applyFill="1" applyAlignment="1"/>
    <xf numFmtId="0" fontId="14" fillId="2" borderId="0" xfId="4" applyFont="1" applyFill="1"/>
    <xf numFmtId="0" fontId="14" fillId="0" borderId="0" xfId="4" applyFont="1" applyFill="1"/>
    <xf numFmtId="0" fontId="14" fillId="2" borderId="2" xfId="3" applyFont="1" applyFill="1" applyBorder="1" applyAlignment="1">
      <alignment vertical="center" wrapText="1"/>
    </xf>
    <xf numFmtId="0" fontId="5" fillId="2" borderId="2" xfId="3" applyFont="1" applyFill="1" applyBorder="1" applyAlignment="1">
      <alignment horizontal="center" wrapText="1"/>
    </xf>
    <xf numFmtId="0" fontId="14" fillId="2" borderId="2" xfId="4" applyFont="1" applyFill="1" applyBorder="1" applyAlignment="1">
      <alignment vertical="center"/>
    </xf>
    <xf numFmtId="0" fontId="14" fillId="2" borderId="0" xfId="4" applyFont="1" applyFill="1" applyAlignment="1">
      <alignment vertical="center"/>
    </xf>
    <xf numFmtId="0" fontId="14" fillId="0" borderId="0" xfId="4" applyFont="1" applyFill="1" applyAlignment="1">
      <alignment vertical="center"/>
    </xf>
    <xf numFmtId="0" fontId="14" fillId="2" borderId="0" xfId="4" applyFont="1" applyFill="1" applyAlignment="1">
      <alignment horizontal="center" vertical="center"/>
    </xf>
    <xf numFmtId="0" fontId="14" fillId="0" borderId="0" xfId="4" applyFont="1" applyFill="1" applyAlignment="1">
      <alignment horizontal="center" vertical="center"/>
    </xf>
    <xf numFmtId="0" fontId="14" fillId="2" borderId="2" xfId="3" applyFont="1" applyFill="1" applyBorder="1" applyAlignment="1">
      <alignment horizontal="center" vertical="top" wrapText="1"/>
    </xf>
    <xf numFmtId="0" fontId="5" fillId="2" borderId="2" xfId="3" applyFont="1" applyFill="1" applyBorder="1" applyAlignment="1">
      <alignment horizontal="center" vertical="top" wrapText="1"/>
    </xf>
    <xf numFmtId="0" fontId="14" fillId="2" borderId="2" xfId="3" applyFont="1" applyFill="1" applyBorder="1" applyAlignment="1">
      <alignment vertical="top" wrapText="1"/>
    </xf>
    <xf numFmtId="0" fontId="14" fillId="2" borderId="2" xfId="3" applyFont="1" applyFill="1" applyBorder="1" applyAlignment="1">
      <alignment wrapText="1"/>
    </xf>
    <xf numFmtId="178" fontId="5" fillId="2" borderId="2" xfId="1" applyFont="1" applyFill="1" applyBorder="1" applyAlignment="1">
      <alignment horizontal="center" vertical="center" wrapText="1"/>
    </xf>
    <xf numFmtId="4" fontId="5" fillId="2" borderId="2" xfId="3" applyNumberFormat="1" applyFont="1" applyFill="1" applyBorder="1" applyAlignment="1">
      <alignment horizontal="center" vertical="center" wrapText="1"/>
    </xf>
    <xf numFmtId="0" fontId="14" fillId="0" borderId="0" xfId="3" applyFont="1" applyFill="1"/>
    <xf numFmtId="0" fontId="14" fillId="0" borderId="0" xfId="3" applyFont="1" applyFill="1" applyAlignment="1">
      <alignment horizontal="center"/>
    </xf>
    <xf numFmtId="0" fontId="14" fillId="2" borderId="4" xfId="3" applyFont="1" applyFill="1" applyBorder="1" applyAlignment="1">
      <alignment horizontal="center" vertical="center" wrapText="1"/>
    </xf>
    <xf numFmtId="0" fontId="14" fillId="2" borderId="0" xfId="3" applyFont="1" applyFill="1" applyBorder="1" applyAlignment="1">
      <alignment horizontal="center" vertical="center" wrapText="1"/>
    </xf>
    <xf numFmtId="0" fontId="14" fillId="0" borderId="0" xfId="3" applyFont="1" applyFill="1" applyBorder="1" applyAlignment="1">
      <alignment horizontal="center" vertical="center" wrapText="1"/>
    </xf>
    <xf numFmtId="0" fontId="14" fillId="2" borderId="0" xfId="3" applyFont="1" applyFill="1" applyBorder="1" applyAlignment="1">
      <alignment wrapText="1"/>
    </xf>
    <xf numFmtId="0" fontId="14" fillId="0" borderId="0" xfId="3" applyFont="1" applyFill="1" applyBorder="1" applyAlignment="1">
      <alignment wrapText="1"/>
    </xf>
    <xf numFmtId="0" fontId="14" fillId="2" borderId="0" xfId="3" applyFont="1" applyFill="1"/>
    <xf numFmtId="0" fontId="14" fillId="2" borderId="0" xfId="3" applyFont="1" applyFill="1" applyAlignment="1">
      <alignment horizontal="center"/>
    </xf>
    <xf numFmtId="0" fontId="14" fillId="2" borderId="6" xfId="3" applyFont="1" applyFill="1" applyBorder="1" applyAlignment="1">
      <alignment horizontal="center" vertical="center" wrapText="1"/>
    </xf>
    <xf numFmtId="0" fontId="14" fillId="0" borderId="0" xfId="3" applyFont="1" applyFill="1" applyBorder="1"/>
    <xf numFmtId="0" fontId="14" fillId="2" borderId="0" xfId="3" applyFont="1" applyFill="1" applyAlignment="1">
      <alignment horizontal="center" vertical="center" wrapText="1"/>
    </xf>
    <xf numFmtId="0" fontId="5" fillId="2" borderId="6" xfId="3" applyFont="1" applyFill="1" applyBorder="1" applyAlignment="1">
      <alignment horizontal="center" vertical="center" wrapText="1"/>
    </xf>
    <xf numFmtId="0" fontId="5" fillId="2" borderId="0" xfId="3" applyFont="1" applyFill="1"/>
    <xf numFmtId="0" fontId="14" fillId="0" borderId="0" xfId="3" applyFont="1" applyFill="1" applyAlignment="1">
      <alignment vertical="top" wrapText="1"/>
    </xf>
    <xf numFmtId="0" fontId="16" fillId="0" borderId="0" xfId="3" applyFont="1" applyFill="1" applyAlignment="1">
      <alignment horizontal="center" vertical="top" wrapText="1"/>
    </xf>
    <xf numFmtId="0" fontId="14" fillId="0" borderId="0" xfId="3" applyFont="1" applyFill="1" applyAlignment="1">
      <alignment horizontal="center" vertical="center"/>
    </xf>
    <xf numFmtId="0" fontId="14" fillId="0" borderId="0" xfId="11" applyFont="1" applyFill="1" applyAlignment="1">
      <alignment vertical="center"/>
    </xf>
    <xf numFmtId="0" fontId="14" fillId="0" borderId="0" xfId="3" applyFont="1" applyFill="1" applyAlignment="1">
      <alignment vertical="center"/>
    </xf>
    <xf numFmtId="0" fontId="16" fillId="0" borderId="0" xfId="3" applyFont="1" applyFill="1"/>
    <xf numFmtId="4" fontId="14" fillId="0" borderId="0" xfId="3" applyNumberFormat="1" applyFont="1" applyFill="1" applyAlignment="1">
      <alignment horizontal="center"/>
    </xf>
    <xf numFmtId="10" fontId="14" fillId="0" borderId="0" xfId="2" applyNumberFormat="1" applyFont="1" applyFill="1" applyAlignment="1">
      <alignment horizontal="center"/>
    </xf>
    <xf numFmtId="0" fontId="5" fillId="2" borderId="0" xfId="4" applyFont="1" applyFill="1" applyAlignment="1">
      <alignment vertical="center"/>
    </xf>
    <xf numFmtId="0" fontId="5" fillId="2" borderId="0" xfId="4" applyFont="1" applyFill="1" applyAlignment="1">
      <alignment horizontal="center" vertical="center"/>
    </xf>
    <xf numFmtId="0" fontId="5" fillId="2" borderId="0" xfId="3" applyFont="1" applyFill="1" applyAlignment="1">
      <alignment horizontal="center"/>
    </xf>
    <xf numFmtId="0" fontId="5" fillId="2" borderId="0" xfId="5" applyFont="1" applyFill="1" applyAlignment="1">
      <alignment horizontal="center" vertical="center"/>
    </xf>
    <xf numFmtId="0" fontId="7" fillId="2" borderId="1" xfId="3" applyFont="1" applyFill="1" applyBorder="1" applyAlignment="1">
      <alignment horizontal="center" vertical="center" wrapText="1"/>
    </xf>
    <xf numFmtId="0" fontId="3" fillId="4" borderId="0" xfId="5" applyFont="1" applyFill="1" applyAlignment="1">
      <alignment vertical="center"/>
    </xf>
    <xf numFmtId="0" fontId="3" fillId="2" borderId="0" xfId="3" applyFont="1" applyFill="1" applyBorder="1" applyAlignment="1">
      <alignment horizontal="center" wrapText="1"/>
    </xf>
    <xf numFmtId="49" fontId="3" fillId="2" borderId="2" xfId="3" applyNumberFormat="1" applyFont="1" applyFill="1" applyBorder="1" applyAlignment="1">
      <alignment horizontal="center" wrapText="1"/>
    </xf>
    <xf numFmtId="0" fontId="3" fillId="2" borderId="0" xfId="3" applyFont="1" applyFill="1" applyAlignment="1">
      <alignment horizontal="left" vertical="center" wrapText="1"/>
    </xf>
    <xf numFmtId="0" fontId="3" fillId="2" borderId="0" xfId="3" applyFont="1" applyFill="1" applyAlignment="1">
      <alignment horizontal="center"/>
    </xf>
    <xf numFmtId="0" fontId="3" fillId="2" borderId="0" xfId="3" applyFont="1" applyFill="1" applyAlignment="1">
      <alignment horizontal="center" wrapText="1"/>
    </xf>
    <xf numFmtId="0" fontId="6" fillId="2" borderId="0" xfId="3" applyFont="1" applyFill="1" applyAlignment="1">
      <alignment horizontal="center"/>
    </xf>
    <xf numFmtId="0" fontId="3" fillId="2" borderId="0" xfId="3" applyFont="1" applyFill="1" applyAlignment="1"/>
    <xf numFmtId="0" fontId="7" fillId="2" borderId="1" xfId="3" applyFont="1" applyFill="1" applyBorder="1" applyAlignment="1">
      <alignment horizontal="center" vertical="center" wrapText="1"/>
    </xf>
    <xf numFmtId="0" fontId="14" fillId="2" borderId="0" xfId="3" applyFont="1" applyFill="1" applyAlignment="1">
      <alignment horizontal="center" vertical="center" wrapText="1"/>
    </xf>
    <xf numFmtId="0" fontId="5" fillId="2" borderId="2" xfId="3" applyFont="1" applyFill="1" applyBorder="1" applyAlignment="1">
      <alignment horizontal="center" vertical="center" wrapText="1"/>
    </xf>
    <xf numFmtId="0" fontId="14" fillId="2" borderId="0" xfId="3" applyFont="1" applyFill="1" applyAlignment="1">
      <alignment horizontal="center" vertical="center"/>
    </xf>
    <xf numFmtId="0" fontId="14" fillId="2" borderId="0" xfId="3" applyFont="1" applyFill="1" applyBorder="1" applyAlignment="1">
      <alignment horizontal="center" vertical="center" wrapText="1"/>
    </xf>
    <xf numFmtId="0" fontId="14" fillId="2" borderId="5" xfId="3" applyFont="1" applyFill="1" applyBorder="1" applyAlignment="1">
      <alignment horizontal="center" wrapText="1"/>
    </xf>
    <xf numFmtId="0" fontId="14" fillId="2" borderId="7" xfId="3" applyFont="1" applyFill="1" applyBorder="1" applyAlignment="1">
      <alignment horizontal="center" vertical="center" wrapText="1"/>
    </xf>
    <xf numFmtId="0" fontId="7" fillId="4" borderId="1" xfId="3" applyFont="1" applyFill="1" applyBorder="1" applyAlignment="1">
      <alignment horizontal="center" vertical="center" wrapText="1"/>
    </xf>
    <xf numFmtId="4" fontId="5" fillId="2" borderId="7" xfId="3" applyNumberFormat="1" applyFont="1" applyFill="1" applyBorder="1" applyAlignment="1">
      <alignment horizontal="center" vertical="center" wrapText="1"/>
    </xf>
    <xf numFmtId="0" fontId="14" fillId="0" borderId="0" xfId="3" applyFont="1" applyFill="1" applyAlignment="1">
      <alignment horizontal="left" vertical="center" wrapText="1"/>
    </xf>
    <xf numFmtId="0" fontId="14" fillId="0" borderId="0" xfId="3" applyFont="1" applyFill="1" applyAlignment="1">
      <alignment vertical="top" wrapText="1"/>
    </xf>
    <xf numFmtId="0" fontId="16" fillId="0" borderId="0" xfId="3" applyFont="1" applyFill="1" applyAlignment="1">
      <alignment horizontal="center" vertical="center" wrapText="1"/>
    </xf>
    <xf numFmtId="0" fontId="5" fillId="0" borderId="0" xfId="3" applyFont="1" applyFill="1" applyAlignment="1">
      <alignment horizontal="center" vertical="center" wrapText="1"/>
    </xf>
    <xf numFmtId="0" fontId="5" fillId="0" borderId="0" xfId="10" applyFont="1" applyFill="1" applyAlignment="1">
      <alignment horizontal="center" vertical="center"/>
    </xf>
    <xf numFmtId="0" fontId="5" fillId="0" borderId="0" xfId="10" applyFont="1" applyFill="1" applyBorder="1" applyAlignment="1">
      <alignment horizontal="center" vertical="center"/>
    </xf>
    <xf numFmtId="4" fontId="5" fillId="2" borderId="6" xfId="3" applyNumberFormat="1" applyFont="1" applyFill="1" applyBorder="1" applyAlignment="1">
      <alignment horizontal="center" vertical="center" wrapText="1"/>
    </xf>
    <xf numFmtId="4" fontId="5" fillId="2" borderId="0" xfId="3" applyNumberFormat="1" applyFont="1" applyFill="1" applyBorder="1" applyAlignment="1">
      <alignment horizontal="center" vertical="center" wrapText="1"/>
    </xf>
    <xf numFmtId="180" fontId="3" fillId="2" borderId="2" xfId="3" applyNumberFormat="1" applyFont="1" applyFill="1" applyBorder="1" applyAlignment="1">
      <alignment horizontal="center" wrapText="1"/>
    </xf>
    <xf numFmtId="180" fontId="3" fillId="2" borderId="0" xfId="3" applyNumberFormat="1" applyFont="1" applyFill="1"/>
    <xf numFmtId="180" fontId="5" fillId="2" borderId="0" xfId="3" applyNumberFormat="1" applyFont="1" applyFill="1"/>
    <xf numFmtId="180" fontId="7" fillId="2" borderId="1" xfId="3" applyNumberFormat="1" applyFont="1" applyFill="1" applyBorder="1" applyAlignment="1">
      <alignment horizontal="center" vertical="center" wrapText="1"/>
    </xf>
    <xf numFmtId="180" fontId="14" fillId="2" borderId="2" xfId="3" applyNumberFormat="1" applyFont="1" applyFill="1" applyBorder="1" applyAlignment="1">
      <alignment horizontal="center" wrapText="1"/>
    </xf>
    <xf numFmtId="180" fontId="14" fillId="2" borderId="2" xfId="3" applyNumberFormat="1" applyFont="1" applyFill="1" applyBorder="1" applyAlignment="1">
      <alignment vertical="top" wrapText="1"/>
    </xf>
    <xf numFmtId="180" fontId="14" fillId="0" borderId="0" xfId="3" applyNumberFormat="1" applyFont="1" applyFill="1"/>
    <xf numFmtId="180" fontId="14" fillId="2" borderId="0" xfId="3" applyNumberFormat="1" applyFont="1" applyFill="1" applyBorder="1" applyAlignment="1">
      <alignment horizontal="center" vertical="center" wrapText="1"/>
    </xf>
    <xf numFmtId="180" fontId="14" fillId="2" borderId="0" xfId="3" applyNumberFormat="1" applyFont="1" applyFill="1" applyBorder="1" applyAlignment="1">
      <alignment wrapText="1"/>
    </xf>
    <xf numFmtId="180" fontId="14" fillId="2" borderId="0" xfId="3" applyNumberFormat="1" applyFont="1" applyFill="1"/>
    <xf numFmtId="180" fontId="14" fillId="2" borderId="0" xfId="9" applyNumberFormat="1" applyFont="1" applyFill="1" applyBorder="1" applyAlignment="1">
      <alignment horizontal="center"/>
    </xf>
    <xf numFmtId="180" fontId="5" fillId="3" borderId="0" xfId="9" applyNumberFormat="1" applyFont="1" applyFill="1" applyBorder="1" applyAlignment="1">
      <alignment horizontal="center" vertical="center"/>
    </xf>
    <xf numFmtId="180" fontId="14" fillId="0" borderId="0" xfId="3" applyNumberFormat="1" applyFont="1" applyFill="1" applyAlignment="1">
      <alignment vertical="center"/>
    </xf>
    <xf numFmtId="180" fontId="14" fillId="0" borderId="0" xfId="4" applyNumberFormat="1" applyFont="1" applyFill="1" applyAlignment="1">
      <alignment horizontal="center" vertical="center"/>
    </xf>
    <xf numFmtId="0" fontId="3" fillId="2" borderId="2" xfId="3" applyNumberFormat="1" applyFont="1" applyFill="1" applyBorder="1" applyAlignment="1">
      <alignment horizontal="center" wrapText="1"/>
    </xf>
  </cellXfs>
  <cellStyles count="12">
    <cellStyle name="Comma" xfId="1" builtinId="3"/>
    <cellStyle name="Comma 15 2" xfId="8"/>
    <cellStyle name="Excel.Chart" xfId="4"/>
    <cellStyle name="Excel.Chart_CO TF-22 ( 5544  PRS) xuat ngay 25-05" xfId="11"/>
    <cellStyle name="Normal" xfId="0" builtinId="0"/>
    <cellStyle name="Normal 2" xfId="7"/>
    <cellStyle name="Normal 3" xfId="6"/>
    <cellStyle name="Normal 6" xfId="3"/>
    <cellStyle name="Percent" xfId="2" builtinId="5"/>
    <cellStyle name="Percent 2" xfId="9"/>
    <cellStyle name="Style 1 12" xfId="5"/>
    <cellStyle name="Style 1 3 2" xf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Prod%20Schedule%20Converse%20(May-R1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Y"/>
      <sheetName val="JUNE"/>
    </sheetNames>
    <sheetDataSet>
      <sheetData sheetId="0" refreshError="1">
        <row r="6">
          <cell r="A6">
            <v>319</v>
          </cell>
          <cell r="L6">
            <v>37008</v>
          </cell>
          <cell r="W6" t="str">
            <v xml:space="preserve"> 3/00629/01/00146</v>
          </cell>
          <cell r="Y6" t="str">
            <v>P</v>
          </cell>
        </row>
        <row r="7">
          <cell r="A7">
            <v>319</v>
          </cell>
          <cell r="L7">
            <v>37020</v>
          </cell>
          <cell r="W7" t="str">
            <v xml:space="preserve"> 3/00629/01/00146</v>
          </cell>
          <cell r="Y7" t="str">
            <v>P</v>
          </cell>
        </row>
        <row r="8">
          <cell r="A8">
            <v>319</v>
          </cell>
          <cell r="L8">
            <v>37016</v>
          </cell>
          <cell r="W8" t="str">
            <v xml:space="preserve"> 3/00629/01/00146</v>
          </cell>
          <cell r="Y8" t="str">
            <v>P</v>
          </cell>
        </row>
        <row r="9">
          <cell r="A9">
            <v>319</v>
          </cell>
          <cell r="L9">
            <v>37009</v>
          </cell>
          <cell r="W9" t="str">
            <v xml:space="preserve"> 3/00629/01/00146</v>
          </cell>
          <cell r="Y9" t="str">
            <v>P</v>
          </cell>
        </row>
        <row r="10">
          <cell r="A10">
            <v>319</v>
          </cell>
          <cell r="L10">
            <v>37007</v>
          </cell>
          <cell r="W10" t="str">
            <v xml:space="preserve"> 3/00629/01/00146</v>
          </cell>
          <cell r="Y10" t="str">
            <v>P</v>
          </cell>
        </row>
        <row r="11">
          <cell r="A11">
            <v>320</v>
          </cell>
          <cell r="L11">
            <v>37008</v>
          </cell>
          <cell r="W11" t="str">
            <v xml:space="preserve"> 3/00629/01/00146</v>
          </cell>
          <cell r="Y11" t="str">
            <v>P</v>
          </cell>
        </row>
        <row r="12">
          <cell r="A12">
            <v>320</v>
          </cell>
          <cell r="L12">
            <v>37020</v>
          </cell>
          <cell r="W12" t="str">
            <v xml:space="preserve"> 3/00629/01/00146</v>
          </cell>
          <cell r="Y12" t="str">
            <v>P</v>
          </cell>
        </row>
        <row r="13">
          <cell r="A13">
            <v>320</v>
          </cell>
          <cell r="L13">
            <v>37016</v>
          </cell>
          <cell r="W13" t="str">
            <v xml:space="preserve"> 3/00629/01/00146</v>
          </cell>
          <cell r="Y13" t="str">
            <v>P</v>
          </cell>
        </row>
        <row r="14">
          <cell r="A14">
            <v>320</v>
          </cell>
          <cell r="L14">
            <v>37009</v>
          </cell>
          <cell r="W14" t="str">
            <v xml:space="preserve"> 3/00629/01/00146</v>
          </cell>
          <cell r="Y14" t="str">
            <v>P</v>
          </cell>
        </row>
        <row r="15">
          <cell r="A15">
            <v>320</v>
          </cell>
          <cell r="L15">
            <v>37007</v>
          </cell>
          <cell r="W15" t="str">
            <v xml:space="preserve"> 3/00629/01/00146</v>
          </cell>
          <cell r="Y15" t="str">
            <v>P</v>
          </cell>
        </row>
        <row r="16">
          <cell r="A16">
            <v>321</v>
          </cell>
          <cell r="L16">
            <v>37025</v>
          </cell>
          <cell r="W16" t="str">
            <v xml:space="preserve"> 3/00630/01/00146</v>
          </cell>
          <cell r="Y16" t="str">
            <v>P</v>
          </cell>
        </row>
        <row r="17">
          <cell r="A17">
            <v>321</v>
          </cell>
          <cell r="L17">
            <v>37025</v>
          </cell>
          <cell r="W17" t="str">
            <v xml:space="preserve"> 3/00630/01/00146</v>
          </cell>
          <cell r="Y17" t="str">
            <v>P</v>
          </cell>
        </row>
        <row r="18">
          <cell r="A18">
            <v>322</v>
          </cell>
          <cell r="L18">
            <v>37047</v>
          </cell>
          <cell r="W18" t="str">
            <v xml:space="preserve"> 3/00630/01/00146</v>
          </cell>
          <cell r="Y18" t="str">
            <v>P</v>
          </cell>
        </row>
        <row r="19">
          <cell r="A19">
            <v>322</v>
          </cell>
          <cell r="L19">
            <v>37047</v>
          </cell>
          <cell r="W19" t="str">
            <v xml:space="preserve"> 3/00630/01/00146</v>
          </cell>
          <cell r="Y19" t="str">
            <v>P</v>
          </cell>
        </row>
        <row r="20">
          <cell r="A20">
            <v>322</v>
          </cell>
          <cell r="L20">
            <v>37047</v>
          </cell>
          <cell r="W20" t="str">
            <v xml:space="preserve"> 3/00630/01/00146</v>
          </cell>
          <cell r="Y20" t="str">
            <v>P</v>
          </cell>
        </row>
        <row r="21">
          <cell r="A21">
            <v>322</v>
          </cell>
          <cell r="L21">
            <v>37047</v>
          </cell>
          <cell r="W21" t="str">
            <v xml:space="preserve"> 3/00630/01/00146</v>
          </cell>
          <cell r="Y21" t="str">
            <v>P</v>
          </cell>
        </row>
        <row r="22">
          <cell r="A22" t="str">
            <v xml:space="preserve"> AS-0501 (K)</v>
          </cell>
          <cell r="L22">
            <v>37013</v>
          </cell>
          <cell r="W22" t="str">
            <v xml:space="preserve"> 2001IM00517</v>
          </cell>
          <cell r="Y22" t="str">
            <v>P</v>
          </cell>
        </row>
        <row r="23">
          <cell r="A23" t="str">
            <v xml:space="preserve"> AS-0501 (K)</v>
          </cell>
          <cell r="L23">
            <v>37022</v>
          </cell>
          <cell r="W23" t="str">
            <v xml:space="preserve"> 2001IM00517</v>
          </cell>
          <cell r="Y23" t="str">
            <v>P</v>
          </cell>
        </row>
        <row r="24">
          <cell r="A24" t="str">
            <v xml:space="preserve"> AS-0501 (K)</v>
          </cell>
          <cell r="L24">
            <v>37016</v>
          </cell>
          <cell r="W24" t="str">
            <v xml:space="preserve"> 2001IM00517</v>
          </cell>
          <cell r="Y24" t="str">
            <v>P</v>
          </cell>
        </row>
        <row r="25">
          <cell r="A25" t="str">
            <v xml:space="preserve"> AS-0501 (K)</v>
          </cell>
          <cell r="L25">
            <v>37020</v>
          </cell>
          <cell r="W25" t="str">
            <v xml:space="preserve"> 2001IM00517</v>
          </cell>
          <cell r="Y25" t="str">
            <v>P</v>
          </cell>
        </row>
        <row r="26">
          <cell r="A26" t="str">
            <v xml:space="preserve"> AS-0501 CORE OX (A)</v>
          </cell>
          <cell r="L26">
            <v>36993</v>
          </cell>
          <cell r="W26" t="str">
            <v xml:space="preserve"> 2001IM00517</v>
          </cell>
          <cell r="Y26" t="str">
            <v>P</v>
          </cell>
        </row>
        <row r="27">
          <cell r="A27" t="str">
            <v xml:space="preserve"> AS-0501 CORE OX (A)</v>
          </cell>
          <cell r="L27">
            <v>37004</v>
          </cell>
          <cell r="W27" t="str">
            <v xml:space="preserve"> 2001IM00517</v>
          </cell>
          <cell r="Y27" t="str">
            <v>P</v>
          </cell>
        </row>
        <row r="28">
          <cell r="A28" t="str">
            <v xml:space="preserve"> AS-0501 CORE OX (A)</v>
          </cell>
          <cell r="L28">
            <v>36990</v>
          </cell>
          <cell r="W28" t="str">
            <v xml:space="preserve"> 2001IM00517</v>
          </cell>
          <cell r="Y28" t="str">
            <v>P</v>
          </cell>
        </row>
        <row r="29">
          <cell r="A29" t="str">
            <v xml:space="preserve"> AS-0501 CORE OX (A)</v>
          </cell>
          <cell r="L29">
            <v>37008</v>
          </cell>
          <cell r="W29" t="str">
            <v xml:space="preserve"> 2001IM00517</v>
          </cell>
          <cell r="Y29" t="str">
            <v>P</v>
          </cell>
        </row>
        <row r="30">
          <cell r="A30" t="str">
            <v xml:space="preserve"> AS-0502</v>
          </cell>
          <cell r="L30">
            <v>37014</v>
          </cell>
          <cell r="W30" t="str">
            <v xml:space="preserve"> 2001IM00517</v>
          </cell>
          <cell r="Y30" t="str">
            <v>P</v>
          </cell>
        </row>
        <row r="31">
          <cell r="A31" t="str">
            <v xml:space="preserve"> AS-0502</v>
          </cell>
          <cell r="L31">
            <v>37022</v>
          </cell>
          <cell r="W31" t="str">
            <v xml:space="preserve"> 2001IM00517</v>
          </cell>
          <cell r="Y31" t="str">
            <v>P</v>
          </cell>
        </row>
        <row r="32">
          <cell r="A32" t="str">
            <v xml:space="preserve"> AS-0502</v>
          </cell>
          <cell r="L32">
            <v>37019</v>
          </cell>
          <cell r="W32" t="str">
            <v xml:space="preserve"> 2001IM00517</v>
          </cell>
          <cell r="Y32" t="str">
            <v>P</v>
          </cell>
        </row>
        <row r="33">
          <cell r="A33" t="str">
            <v xml:space="preserve"> AS-0502</v>
          </cell>
          <cell r="L33">
            <v>37022</v>
          </cell>
          <cell r="W33" t="str">
            <v xml:space="preserve"> 2001IM00517</v>
          </cell>
          <cell r="Y33" t="str">
            <v>P</v>
          </cell>
        </row>
        <row r="34">
          <cell r="A34" t="str">
            <v xml:space="preserve"> AS-0504</v>
          </cell>
          <cell r="L34">
            <v>36991</v>
          </cell>
          <cell r="W34" t="str">
            <v xml:space="preserve"> 2001IM00517</v>
          </cell>
          <cell r="Y34" t="str">
            <v>P</v>
          </cell>
        </row>
        <row r="35">
          <cell r="A35" t="str">
            <v xml:space="preserve"> AS-0504</v>
          </cell>
          <cell r="L35">
            <v>37004</v>
          </cell>
          <cell r="W35" t="str">
            <v xml:space="preserve"> 2001IM00517</v>
          </cell>
          <cell r="Y35" t="str">
            <v>P</v>
          </cell>
        </row>
        <row r="36">
          <cell r="A36" t="str">
            <v xml:space="preserve"> AS-0504</v>
          </cell>
          <cell r="L36">
            <v>36990</v>
          </cell>
          <cell r="W36" t="str">
            <v xml:space="preserve"> 2001IM00517</v>
          </cell>
          <cell r="Y36" t="str">
            <v>P</v>
          </cell>
        </row>
        <row r="37">
          <cell r="A37" t="str">
            <v xml:space="preserve"> AS-0504</v>
          </cell>
          <cell r="L37">
            <v>37007</v>
          </cell>
          <cell r="W37" t="str">
            <v xml:space="preserve"> 2001IM00517</v>
          </cell>
          <cell r="Y37" t="str">
            <v>P</v>
          </cell>
        </row>
        <row r="38">
          <cell r="A38" t="str">
            <v xml:space="preserve"> AS-0505</v>
          </cell>
          <cell r="L38">
            <v>37032</v>
          </cell>
          <cell r="W38" t="str">
            <v xml:space="preserve"> 2001IM00517</v>
          </cell>
          <cell r="Y38" t="str">
            <v>P</v>
          </cell>
        </row>
        <row r="39">
          <cell r="A39" t="str">
            <v xml:space="preserve"> AS-0505</v>
          </cell>
          <cell r="L39">
            <v>37044</v>
          </cell>
          <cell r="W39" t="str">
            <v xml:space="preserve"> 2001IM00517</v>
          </cell>
          <cell r="Y39" t="str">
            <v>P</v>
          </cell>
        </row>
        <row r="40">
          <cell r="A40" t="str">
            <v xml:space="preserve"> AS-0505</v>
          </cell>
          <cell r="L40">
            <v>37035</v>
          </cell>
          <cell r="W40" t="str">
            <v xml:space="preserve"> 2001IM00517</v>
          </cell>
          <cell r="Y40" t="str">
            <v>P</v>
          </cell>
        </row>
        <row r="41">
          <cell r="A41" t="str">
            <v xml:space="preserve"> AS-0505</v>
          </cell>
          <cell r="L41">
            <v>37039</v>
          </cell>
          <cell r="W41" t="str">
            <v xml:space="preserve"> 2001IM00517</v>
          </cell>
          <cell r="Y41" t="str">
            <v>P</v>
          </cell>
        </row>
        <row r="42">
          <cell r="A42" t="str">
            <v xml:space="preserve"> AS-0505</v>
          </cell>
          <cell r="L42">
            <v>37044</v>
          </cell>
          <cell r="W42" t="str">
            <v xml:space="preserve"> 2001IM00517</v>
          </cell>
          <cell r="Y42" t="str">
            <v>P</v>
          </cell>
        </row>
        <row r="43">
          <cell r="A43" t="str">
            <v xml:space="preserve"> AS-0506</v>
          </cell>
          <cell r="L43">
            <v>37032</v>
          </cell>
          <cell r="W43" t="str">
            <v xml:space="preserve"> 2001IM00517</v>
          </cell>
          <cell r="Y43" t="str">
            <v>P</v>
          </cell>
        </row>
        <row r="44">
          <cell r="A44" t="str">
            <v xml:space="preserve"> AS-0506</v>
          </cell>
          <cell r="L44">
            <v>37044</v>
          </cell>
          <cell r="W44" t="str">
            <v xml:space="preserve"> 2001IM00517</v>
          </cell>
          <cell r="Y44" t="str">
            <v>P</v>
          </cell>
        </row>
        <row r="45">
          <cell r="A45" t="str">
            <v xml:space="preserve"> AS-0506</v>
          </cell>
          <cell r="L45">
            <v>37034</v>
          </cell>
          <cell r="W45" t="str">
            <v xml:space="preserve"> 2001IM00517</v>
          </cell>
        </row>
        <row r="46">
          <cell r="A46" t="str">
            <v xml:space="preserve"> AS-0506</v>
          </cell>
          <cell r="L46">
            <v>37039</v>
          </cell>
          <cell r="W46" t="str">
            <v xml:space="preserve"> 2001IM00517</v>
          </cell>
          <cell r="Y46" t="str">
            <v>P</v>
          </cell>
        </row>
        <row r="47">
          <cell r="A47" t="str">
            <v xml:space="preserve"> AS-0506</v>
          </cell>
          <cell r="L47">
            <v>37044</v>
          </cell>
          <cell r="W47" t="str">
            <v xml:space="preserve"> 2001IM00517</v>
          </cell>
        </row>
        <row r="48">
          <cell r="A48" t="str">
            <v xml:space="preserve"> AS-0507</v>
          </cell>
          <cell r="L48">
            <v>37032</v>
          </cell>
          <cell r="W48" t="str">
            <v xml:space="preserve"> 2001IM00517</v>
          </cell>
          <cell r="Y48" t="str">
            <v>P</v>
          </cell>
        </row>
        <row r="49">
          <cell r="A49" t="str">
            <v xml:space="preserve"> AS-0507</v>
          </cell>
          <cell r="L49">
            <v>37044</v>
          </cell>
          <cell r="W49" t="str">
            <v xml:space="preserve"> 2001IM00517</v>
          </cell>
          <cell r="Y49" t="str">
            <v>P</v>
          </cell>
        </row>
        <row r="50">
          <cell r="A50" t="str">
            <v xml:space="preserve"> AS-0507</v>
          </cell>
          <cell r="L50">
            <v>37034</v>
          </cell>
          <cell r="W50" t="str">
            <v xml:space="preserve"> 2001IM00517</v>
          </cell>
          <cell r="Y50" t="str">
            <v>P</v>
          </cell>
        </row>
        <row r="51">
          <cell r="A51" t="str">
            <v xml:space="preserve"> AS-0507</v>
          </cell>
          <cell r="L51">
            <v>37039</v>
          </cell>
          <cell r="W51" t="str">
            <v xml:space="preserve"> 2001IM00517</v>
          </cell>
          <cell r="Y51" t="str">
            <v>P</v>
          </cell>
        </row>
        <row r="52">
          <cell r="A52" t="str">
            <v xml:space="preserve"> AS-0507</v>
          </cell>
          <cell r="L52">
            <v>37044</v>
          </cell>
          <cell r="W52" t="str">
            <v xml:space="preserve"> 2001IM00517</v>
          </cell>
          <cell r="Y52" t="str">
            <v>P</v>
          </cell>
        </row>
        <row r="53">
          <cell r="A53" t="str">
            <v xml:space="preserve"> JP-0502</v>
          </cell>
          <cell r="L53">
            <v>37039</v>
          </cell>
          <cell r="W53" t="str">
            <v xml:space="preserve"> 2001IM00517</v>
          </cell>
        </row>
        <row r="54">
          <cell r="A54" t="str">
            <v xml:space="preserve"> JP-0502</v>
          </cell>
          <cell r="L54">
            <v>37040</v>
          </cell>
          <cell r="W54" t="str">
            <v xml:space="preserve"> 2001IM00517</v>
          </cell>
        </row>
        <row r="55">
          <cell r="A55" t="str">
            <v xml:space="preserve"> JP-0502</v>
          </cell>
          <cell r="L55">
            <v>37039</v>
          </cell>
          <cell r="W55" t="str">
            <v xml:space="preserve"> 2001IM00517</v>
          </cell>
          <cell r="Y55" t="str">
            <v>P</v>
          </cell>
        </row>
        <row r="56">
          <cell r="A56" t="str">
            <v xml:space="preserve"> JP-0503</v>
          </cell>
          <cell r="L56">
            <v>37039</v>
          </cell>
          <cell r="W56" t="str">
            <v xml:space="preserve"> 2001IM00517</v>
          </cell>
        </row>
        <row r="57">
          <cell r="A57" t="str">
            <v xml:space="preserve"> JP-0503</v>
          </cell>
          <cell r="L57">
            <v>37040</v>
          </cell>
          <cell r="W57" t="str">
            <v xml:space="preserve"> 2001IM00517</v>
          </cell>
        </row>
        <row r="58">
          <cell r="A58" t="str">
            <v xml:space="preserve"> JP-0503</v>
          </cell>
          <cell r="L58">
            <v>37040</v>
          </cell>
          <cell r="W58" t="str">
            <v xml:space="preserve"> 2001IM00517</v>
          </cell>
        </row>
        <row r="59">
          <cell r="A59" t="str">
            <v xml:space="preserve"> SK-0501</v>
          </cell>
          <cell r="L59">
            <v>37051</v>
          </cell>
          <cell r="W59" t="str">
            <v xml:space="preserve"> 2001IM00517</v>
          </cell>
        </row>
        <row r="60">
          <cell r="A60" t="str">
            <v xml:space="preserve"> SK-0501</v>
          </cell>
          <cell r="L60">
            <v>37051</v>
          </cell>
          <cell r="W60" t="str">
            <v xml:space="preserve"> 2001IM00517</v>
          </cell>
        </row>
        <row r="61">
          <cell r="A61" t="str">
            <v xml:space="preserve"> SK-0502</v>
          </cell>
          <cell r="L61">
            <v>37051</v>
          </cell>
          <cell r="W61" t="str">
            <v xml:space="preserve"> 2001IM00517</v>
          </cell>
          <cell r="Y61" t="str">
            <v>P</v>
          </cell>
        </row>
        <row r="62">
          <cell r="A62" t="str">
            <v xml:space="preserve"> SK-0502</v>
          </cell>
          <cell r="L62">
            <v>37051</v>
          </cell>
          <cell r="W62" t="str">
            <v xml:space="preserve"> 2001IM00517</v>
          </cell>
        </row>
        <row r="63">
          <cell r="A63" t="str">
            <v>001-01FZ</v>
          </cell>
          <cell r="L63">
            <v>37020</v>
          </cell>
          <cell r="W63" t="str">
            <v xml:space="preserve"> PA06M0100502</v>
          </cell>
          <cell r="Y63" t="str">
            <v>P</v>
          </cell>
        </row>
        <row r="64">
          <cell r="A64" t="str">
            <v>001-01FZ</v>
          </cell>
          <cell r="L64">
            <v>37016</v>
          </cell>
          <cell r="W64" t="str">
            <v xml:space="preserve"> PA06M0100502</v>
          </cell>
          <cell r="Y64" t="str">
            <v>P</v>
          </cell>
        </row>
        <row r="65">
          <cell r="A65" t="str">
            <v>001-01FZ</v>
          </cell>
          <cell r="L65">
            <v>37018</v>
          </cell>
          <cell r="W65" t="str">
            <v xml:space="preserve"> PA06M0100502</v>
          </cell>
          <cell r="Y65" t="str">
            <v>P</v>
          </cell>
        </row>
        <row r="66">
          <cell r="A66" t="str">
            <v>001-01FZ</v>
          </cell>
          <cell r="L66">
            <v>36993</v>
          </cell>
          <cell r="W66" t="str">
            <v xml:space="preserve"> PA06M0100502</v>
          </cell>
          <cell r="Y66" t="str">
            <v>P</v>
          </cell>
        </row>
        <row r="67">
          <cell r="A67" t="str">
            <v>001-01FZ</v>
          </cell>
          <cell r="L67">
            <v>36991</v>
          </cell>
          <cell r="W67" t="str">
            <v xml:space="preserve"> PA06M0100502</v>
          </cell>
          <cell r="Y67" t="str">
            <v>P</v>
          </cell>
        </row>
        <row r="68">
          <cell r="A68" t="str">
            <v>001-01FZ</v>
          </cell>
          <cell r="L68">
            <v>37005</v>
          </cell>
          <cell r="W68" t="str">
            <v xml:space="preserve"> PA06M0100502</v>
          </cell>
          <cell r="Y68" t="str">
            <v>P</v>
          </cell>
        </row>
        <row r="69">
          <cell r="A69" t="str">
            <v>002-01FZ</v>
          </cell>
          <cell r="L69">
            <v>37025</v>
          </cell>
          <cell r="W69" t="str">
            <v xml:space="preserve"> PA06M0100510</v>
          </cell>
          <cell r="Y69" t="str">
            <v>P</v>
          </cell>
        </row>
        <row r="70">
          <cell r="A70" t="str">
            <v>002-01FZ</v>
          </cell>
          <cell r="L70">
            <v>37019</v>
          </cell>
          <cell r="W70" t="str">
            <v xml:space="preserve"> PA06M0100510</v>
          </cell>
          <cell r="Y70" t="str">
            <v>P</v>
          </cell>
        </row>
        <row r="71">
          <cell r="A71" t="str">
            <v>002-01FZ</v>
          </cell>
          <cell r="L71">
            <v>37019</v>
          </cell>
          <cell r="W71" t="str">
            <v xml:space="preserve"> PA06M0100510</v>
          </cell>
          <cell r="Y71" t="str">
            <v>P</v>
          </cell>
        </row>
        <row r="72">
          <cell r="A72" t="str">
            <v>002-01FZ</v>
          </cell>
          <cell r="L72">
            <v>37028</v>
          </cell>
          <cell r="W72" t="str">
            <v xml:space="preserve"> PA06M0100510</v>
          </cell>
          <cell r="Y72" t="str">
            <v>P</v>
          </cell>
        </row>
        <row r="73">
          <cell r="A73" t="str">
            <v>002-01FZ</v>
          </cell>
          <cell r="L73">
            <v>37039</v>
          </cell>
          <cell r="W73" t="str">
            <v xml:space="preserve"> PA06M0100510</v>
          </cell>
          <cell r="Y73" t="str">
            <v>P</v>
          </cell>
        </row>
        <row r="74">
          <cell r="A74" t="str">
            <v>002-01FZ</v>
          </cell>
          <cell r="L74">
            <v>36995</v>
          </cell>
          <cell r="W74" t="str">
            <v xml:space="preserve"> PA06M0100510</v>
          </cell>
          <cell r="Y74" t="str">
            <v>P</v>
          </cell>
        </row>
        <row r="75">
          <cell r="A75" t="str">
            <v>002-01FZ</v>
          </cell>
          <cell r="L75">
            <v>37005</v>
          </cell>
          <cell r="W75" t="str">
            <v xml:space="preserve"> PA06M0100510</v>
          </cell>
          <cell r="Y75" t="str">
            <v>P</v>
          </cell>
        </row>
        <row r="76">
          <cell r="A76" t="str">
            <v>002-01FZ</v>
          </cell>
          <cell r="L76">
            <v>37025</v>
          </cell>
          <cell r="W76" t="str">
            <v xml:space="preserve"> PA06M0100510</v>
          </cell>
          <cell r="Y76" t="str">
            <v>P</v>
          </cell>
        </row>
        <row r="77">
          <cell r="A77" t="str">
            <v>002-01FZ</v>
          </cell>
          <cell r="L77">
            <v>36991</v>
          </cell>
          <cell r="W77" t="str">
            <v xml:space="preserve"> PA06M0100510</v>
          </cell>
          <cell r="Y77" t="str">
            <v>P</v>
          </cell>
        </row>
        <row r="78">
          <cell r="A78" t="str">
            <v>002-01FZ</v>
          </cell>
          <cell r="L78">
            <v>37037</v>
          </cell>
          <cell r="W78" t="str">
            <v xml:space="preserve"> PA06M0100510</v>
          </cell>
          <cell r="Y78" t="str">
            <v>P</v>
          </cell>
        </row>
        <row r="79">
          <cell r="A79" t="str">
            <v>4 A 045929 6X</v>
          </cell>
          <cell r="L79">
            <v>37000</v>
          </cell>
          <cell r="W79" t="str">
            <v>I172604K</v>
          </cell>
          <cell r="Y79" t="str">
            <v>P</v>
          </cell>
        </row>
        <row r="80">
          <cell r="A80" t="str">
            <v>4 A 045931 6X</v>
          </cell>
          <cell r="L80">
            <v>37000</v>
          </cell>
          <cell r="W80" t="str">
            <v>I172604K</v>
          </cell>
          <cell r="Y80" t="str">
            <v>P</v>
          </cell>
        </row>
        <row r="81">
          <cell r="A81" t="str">
            <v>5A046103-6X R00</v>
          </cell>
          <cell r="L81">
            <v>37008</v>
          </cell>
          <cell r="W81" t="str">
            <v>I172604K</v>
          </cell>
          <cell r="Y81" t="str">
            <v>P</v>
          </cell>
        </row>
        <row r="82">
          <cell r="A82" t="str">
            <v>5A046104-6X R00</v>
          </cell>
          <cell r="L82">
            <v>37008</v>
          </cell>
          <cell r="W82" t="str">
            <v>I172604K</v>
          </cell>
          <cell r="Y82" t="str">
            <v>P</v>
          </cell>
        </row>
        <row r="83">
          <cell r="A83" t="str">
            <v>5A046105-6X R00</v>
          </cell>
          <cell r="L83">
            <v>37008</v>
          </cell>
          <cell r="W83" t="str">
            <v>I172604K</v>
          </cell>
          <cell r="Y83" t="str">
            <v>P</v>
          </cell>
        </row>
        <row r="84">
          <cell r="A84" t="str">
            <v>5A046106-6X R00</v>
          </cell>
          <cell r="L84">
            <v>37008</v>
          </cell>
          <cell r="W84" t="str">
            <v>I172604K</v>
          </cell>
          <cell r="Y84" t="str">
            <v>P</v>
          </cell>
        </row>
        <row r="85">
          <cell r="A85" t="str">
            <v>5A046107-6X R00</v>
          </cell>
          <cell r="L85">
            <v>37000</v>
          </cell>
          <cell r="W85" t="str">
            <v>I172604K</v>
          </cell>
          <cell r="Y85" t="str">
            <v>P</v>
          </cell>
        </row>
        <row r="86">
          <cell r="A86" t="str">
            <v>5A046108-6X R00</v>
          </cell>
          <cell r="L86">
            <v>36995</v>
          </cell>
          <cell r="W86" t="str">
            <v>I172604K</v>
          </cell>
          <cell r="Y86" t="str">
            <v>P</v>
          </cell>
        </row>
        <row r="87">
          <cell r="A87" t="str">
            <v>5A046109-6X R00</v>
          </cell>
          <cell r="L87">
            <v>37000</v>
          </cell>
          <cell r="W87" t="str">
            <v>I172604K</v>
          </cell>
          <cell r="Y87" t="str">
            <v>P</v>
          </cell>
        </row>
        <row r="88">
          <cell r="A88" t="str">
            <v>5A046110-6X R00</v>
          </cell>
          <cell r="L88">
            <v>37000</v>
          </cell>
          <cell r="W88" t="str">
            <v>I172604K</v>
          </cell>
          <cell r="Y88" t="str">
            <v>P</v>
          </cell>
        </row>
        <row r="89">
          <cell r="A89" t="str">
            <v>5A046111-6X R00</v>
          </cell>
          <cell r="L89">
            <v>37011</v>
          </cell>
          <cell r="W89" t="str">
            <v>I172604K</v>
          </cell>
          <cell r="Y89" t="str">
            <v>P</v>
          </cell>
        </row>
        <row r="90">
          <cell r="A90" t="str">
            <v>5A046112-6X R00</v>
          </cell>
          <cell r="L90">
            <v>37009</v>
          </cell>
          <cell r="W90" t="str">
            <v>I172604K</v>
          </cell>
          <cell r="Y90" t="str">
            <v>P</v>
          </cell>
        </row>
        <row r="91">
          <cell r="A91" t="str">
            <v>5A046113-6X R00</v>
          </cell>
          <cell r="L91">
            <v>37009</v>
          </cell>
          <cell r="W91" t="str">
            <v>I172604K</v>
          </cell>
          <cell r="Y91" t="str">
            <v>P</v>
          </cell>
        </row>
        <row r="92">
          <cell r="A92" t="str">
            <v>5A046114-6X R00</v>
          </cell>
          <cell r="L92">
            <v>37008</v>
          </cell>
          <cell r="W92" t="str">
            <v>I172604K</v>
          </cell>
          <cell r="Y92" t="str">
            <v>P</v>
          </cell>
        </row>
        <row r="93">
          <cell r="A93" t="str">
            <v>5A046115-6X R00</v>
          </cell>
          <cell r="L93">
            <v>37008</v>
          </cell>
          <cell r="W93" t="str">
            <v>I172604K</v>
          </cell>
          <cell r="Y93" t="str">
            <v>P</v>
          </cell>
        </row>
        <row r="94">
          <cell r="A94" t="str">
            <v>5A046116-6X R00</v>
          </cell>
          <cell r="L94">
            <v>37001</v>
          </cell>
          <cell r="W94" t="str">
            <v>I172604K</v>
          </cell>
          <cell r="Y94" t="str">
            <v>P</v>
          </cell>
        </row>
        <row r="95">
          <cell r="A95" t="str">
            <v>5A046117-6X R00</v>
          </cell>
          <cell r="L95">
            <v>37001</v>
          </cell>
          <cell r="W95" t="str">
            <v>I172604K</v>
          </cell>
          <cell r="Y95" t="str">
            <v>P</v>
          </cell>
        </row>
        <row r="96">
          <cell r="A96" t="str">
            <v>5A046118-6X R00</v>
          </cell>
          <cell r="L96">
            <v>36995</v>
          </cell>
          <cell r="W96" t="str">
            <v>I172604K</v>
          </cell>
          <cell r="Y96" t="str">
            <v>P</v>
          </cell>
        </row>
        <row r="97">
          <cell r="A97" t="str">
            <v>5A046119-6X R00</v>
          </cell>
          <cell r="L97">
            <v>36995</v>
          </cell>
          <cell r="W97" t="str">
            <v>I172604K</v>
          </cell>
          <cell r="Y97" t="str">
            <v>P</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2"/>
  <sheetViews>
    <sheetView tabSelected="1" view="pageBreakPreview" zoomScale="70" zoomScaleSheetLayoutView="70" workbookViewId="0">
      <selection activeCell="L35" sqref="L35"/>
    </sheetView>
  </sheetViews>
  <sheetFormatPr defaultRowHeight="15.75" x14ac:dyDescent="0.25"/>
  <cols>
    <col min="1" max="1" width="11.625" style="32" customWidth="1"/>
    <col min="2" max="2" width="79.5" style="32" customWidth="1"/>
    <col min="3" max="3" width="13.125" style="34" customWidth="1"/>
    <col min="4" max="4" width="12.25" style="34" customWidth="1"/>
    <col min="5" max="5" width="13.375" style="34" customWidth="1"/>
    <col min="6" max="6" width="14.25" style="34" customWidth="1"/>
    <col min="7" max="7" width="13" style="34" customWidth="1"/>
    <col min="8" max="8" width="14.625" style="34" customWidth="1"/>
    <col min="9" max="9" width="17.875" style="34" customWidth="1"/>
    <col min="10" max="10" width="14.5" style="34" customWidth="1"/>
    <col min="11" max="11" width="14.875" style="106" customWidth="1"/>
    <col min="12" max="12" width="16.75" style="32" customWidth="1"/>
    <col min="13" max="13" width="15.375" style="32" customWidth="1"/>
    <col min="14" max="14" width="22.625" style="32" customWidth="1"/>
    <col min="15" max="15" width="15.875" style="32" customWidth="1"/>
    <col min="16" max="16" width="10.25" style="32" bestFit="1" customWidth="1"/>
    <col min="17" max="17" width="12.375" style="32" bestFit="1" customWidth="1"/>
    <col min="18" max="18" width="9" style="32"/>
    <col min="19" max="19" width="9.125" style="32" bestFit="1" customWidth="1"/>
    <col min="20" max="16384" width="9" style="32"/>
  </cols>
  <sheetData>
    <row r="1" spans="1:19" s="1" customFormat="1" ht="18" customHeight="1" x14ac:dyDescent="0.25">
      <c r="A1" s="72" t="s">
        <v>0</v>
      </c>
      <c r="B1" s="72"/>
      <c r="C1" s="72"/>
      <c r="D1" s="72"/>
      <c r="E1" s="72"/>
      <c r="F1" s="72"/>
      <c r="G1" s="72"/>
      <c r="H1" s="72"/>
      <c r="I1" s="72"/>
      <c r="J1" s="72"/>
      <c r="K1" s="72"/>
      <c r="L1" s="72"/>
      <c r="M1" s="72"/>
    </row>
    <row r="2" spans="1:19" s="1" customFormat="1" ht="39.75" customHeight="1" x14ac:dyDescent="0.25">
      <c r="A2" s="73" t="s">
        <v>82</v>
      </c>
      <c r="B2" s="72"/>
      <c r="C2" s="72"/>
      <c r="D2" s="72"/>
      <c r="E2" s="72"/>
      <c r="F2" s="72"/>
      <c r="G2" s="72"/>
      <c r="H2" s="72"/>
      <c r="I2" s="72"/>
      <c r="J2" s="72"/>
      <c r="K2" s="72"/>
      <c r="L2" s="72"/>
      <c r="M2" s="72"/>
    </row>
    <row r="3" spans="1:19" s="1" customFormat="1" ht="18" customHeight="1" x14ac:dyDescent="0.25">
      <c r="A3" s="74" t="s">
        <v>1</v>
      </c>
      <c r="B3" s="74"/>
      <c r="C3" s="74"/>
      <c r="D3" s="74"/>
      <c r="E3" s="74"/>
      <c r="F3" s="74"/>
      <c r="G3" s="74"/>
      <c r="H3" s="74"/>
      <c r="I3" s="74"/>
      <c r="J3" s="74"/>
      <c r="K3" s="74"/>
      <c r="L3" s="74"/>
      <c r="M3" s="74"/>
    </row>
    <row r="4" spans="1:19" s="1" customFormat="1" ht="18" customHeight="1" x14ac:dyDescent="0.25">
      <c r="A4" s="71" t="s">
        <v>2</v>
      </c>
      <c r="B4" s="71"/>
      <c r="C4" s="2" t="s">
        <v>3</v>
      </c>
      <c r="D4" s="2"/>
      <c r="E4" s="3"/>
      <c r="F4" s="71" t="s">
        <v>76</v>
      </c>
      <c r="G4" s="71"/>
      <c r="H4" s="71"/>
      <c r="I4" s="4" t="s">
        <v>4</v>
      </c>
      <c r="J4" s="5"/>
      <c r="K4" s="94"/>
      <c r="L4" s="5"/>
      <c r="M4" s="5"/>
    </row>
    <row r="5" spans="1:19" s="1" customFormat="1" ht="18" customHeight="1" x14ac:dyDescent="0.25">
      <c r="A5" s="71" t="s">
        <v>5</v>
      </c>
      <c r="B5" s="71"/>
      <c r="C5" s="6" t="s">
        <v>6</v>
      </c>
      <c r="D5" s="2"/>
      <c r="E5" s="3"/>
      <c r="F5" s="71" t="s">
        <v>77</v>
      </c>
      <c r="G5" s="71"/>
      <c r="H5" s="71"/>
      <c r="I5" s="7" t="s">
        <v>7</v>
      </c>
      <c r="J5" s="5"/>
      <c r="K5" s="94"/>
      <c r="L5" s="5"/>
      <c r="M5" s="5"/>
    </row>
    <row r="6" spans="1:19" s="1" customFormat="1" ht="30.75" customHeight="1" x14ac:dyDescent="0.25">
      <c r="A6" s="71" t="s">
        <v>8</v>
      </c>
      <c r="B6" s="71"/>
      <c r="C6" s="75" t="s">
        <v>9</v>
      </c>
      <c r="D6" s="75"/>
      <c r="E6" s="3"/>
      <c r="F6" s="71" t="s">
        <v>78</v>
      </c>
      <c r="G6" s="71"/>
      <c r="H6" s="71"/>
      <c r="I6" s="7">
        <v>6404.11</v>
      </c>
      <c r="J6" s="5"/>
      <c r="K6" s="94"/>
      <c r="L6" s="5"/>
      <c r="M6" s="5"/>
    </row>
    <row r="7" spans="1:19" s="63" customFormat="1" ht="18" customHeight="1" x14ac:dyDescent="0.25">
      <c r="A7" s="8"/>
      <c r="B7" s="8"/>
      <c r="C7" s="3"/>
      <c r="D7" s="3"/>
      <c r="E7" s="3"/>
      <c r="F7" s="71" t="s">
        <v>79</v>
      </c>
      <c r="G7" s="71"/>
      <c r="H7" s="71"/>
      <c r="I7" s="7"/>
      <c r="J7" s="5"/>
      <c r="K7" s="94"/>
      <c r="L7" s="5"/>
      <c r="M7" s="5"/>
    </row>
    <row r="8" spans="1:19" s="63" customFormat="1" ht="18" customHeight="1" x14ac:dyDescent="0.25">
      <c r="A8" s="8"/>
      <c r="B8" s="8"/>
      <c r="C8" s="3"/>
      <c r="D8" s="3"/>
      <c r="E8" s="9"/>
      <c r="F8" s="71" t="s">
        <v>80</v>
      </c>
      <c r="G8" s="71"/>
      <c r="H8" s="71"/>
      <c r="I8" s="10"/>
      <c r="J8" s="5" t="s">
        <v>10</v>
      </c>
      <c r="K8" s="94"/>
      <c r="L8" s="5"/>
      <c r="M8" s="5"/>
    </row>
    <row r="9" spans="1:19" s="64" customFormat="1" ht="18" customHeight="1" x14ac:dyDescent="0.25">
      <c r="A9" s="8"/>
      <c r="B9" s="8"/>
      <c r="C9" s="3"/>
      <c r="D9" s="9"/>
      <c r="E9" s="3"/>
      <c r="F9" s="71" t="s">
        <v>81</v>
      </c>
      <c r="G9" s="71"/>
      <c r="H9" s="71"/>
      <c r="I9" s="11"/>
      <c r="J9" s="5" t="s">
        <v>11</v>
      </c>
      <c r="K9" s="94"/>
      <c r="L9" s="5"/>
      <c r="M9" s="5"/>
      <c r="O9" s="63"/>
    </row>
    <row r="10" spans="1:19" s="64" customFormat="1" ht="18" customHeight="1" x14ac:dyDescent="0.25">
      <c r="A10" s="54"/>
      <c r="B10" s="54"/>
      <c r="C10" s="65"/>
      <c r="D10" s="65"/>
      <c r="E10" s="65"/>
      <c r="F10" s="65"/>
      <c r="G10" s="65"/>
      <c r="H10" s="65"/>
      <c r="I10" s="65"/>
      <c r="J10" s="54"/>
      <c r="K10" s="95"/>
      <c r="L10" s="54"/>
      <c r="M10" s="54"/>
      <c r="O10" s="63"/>
    </row>
    <row r="11" spans="1:19" s="64" customFormat="1" ht="24" customHeight="1" x14ac:dyDescent="0.25">
      <c r="A11" s="76" t="s">
        <v>12</v>
      </c>
      <c r="B11" s="76" t="s">
        <v>13</v>
      </c>
      <c r="C11" s="76" t="s">
        <v>14</v>
      </c>
      <c r="D11" s="76" t="s">
        <v>15</v>
      </c>
      <c r="E11" s="76" t="s">
        <v>16</v>
      </c>
      <c r="F11" s="76" t="s">
        <v>17</v>
      </c>
      <c r="G11" s="76"/>
      <c r="H11" s="76"/>
      <c r="I11" s="76" t="s">
        <v>18</v>
      </c>
      <c r="J11" s="76" t="s">
        <v>19</v>
      </c>
      <c r="K11" s="76"/>
      <c r="L11" s="76" t="s">
        <v>20</v>
      </c>
      <c r="M11" s="76"/>
      <c r="N11" s="76" t="s">
        <v>21</v>
      </c>
      <c r="O11" s="83" t="s">
        <v>83</v>
      </c>
      <c r="P11" s="12"/>
      <c r="Q11" s="12"/>
      <c r="R11" s="12"/>
      <c r="S11" s="12"/>
    </row>
    <row r="12" spans="1:19" s="66" customFormat="1" ht="27.75" customHeight="1" x14ac:dyDescent="0.25">
      <c r="A12" s="76"/>
      <c r="B12" s="76"/>
      <c r="C12" s="76"/>
      <c r="D12" s="76"/>
      <c r="E12" s="76"/>
      <c r="F12" s="76" t="s">
        <v>22</v>
      </c>
      <c r="G12" s="76" t="s">
        <v>23</v>
      </c>
      <c r="H12" s="76"/>
      <c r="I12" s="76"/>
      <c r="J12" s="76"/>
      <c r="K12" s="76"/>
      <c r="L12" s="76"/>
      <c r="M12" s="76"/>
      <c r="N12" s="76"/>
      <c r="O12" s="83"/>
      <c r="P12" s="13"/>
      <c r="Q12" s="13"/>
      <c r="R12" s="13"/>
      <c r="S12" s="13"/>
    </row>
    <row r="13" spans="1:19" s="66" customFormat="1" ht="46.5" customHeight="1" x14ac:dyDescent="0.25">
      <c r="A13" s="76"/>
      <c r="B13" s="76"/>
      <c r="C13" s="76"/>
      <c r="D13" s="76"/>
      <c r="E13" s="76"/>
      <c r="F13" s="76"/>
      <c r="G13" s="67" t="s">
        <v>24</v>
      </c>
      <c r="H13" s="67" t="s">
        <v>25</v>
      </c>
      <c r="I13" s="76"/>
      <c r="J13" s="67" t="s">
        <v>26</v>
      </c>
      <c r="K13" s="96" t="s">
        <v>27</v>
      </c>
      <c r="L13" s="67" t="s">
        <v>28</v>
      </c>
      <c r="M13" s="67" t="s">
        <v>29</v>
      </c>
      <c r="N13" s="76"/>
      <c r="O13" s="83"/>
      <c r="P13" s="13"/>
      <c r="Q13" s="13"/>
      <c r="R13" s="13"/>
      <c r="S13" s="13"/>
    </row>
    <row r="14" spans="1:19" s="14" customFormat="1" ht="15" customHeight="1" x14ac:dyDescent="0.25">
      <c r="A14" s="16">
        <v>-1</v>
      </c>
      <c r="B14" s="16">
        <v>-2</v>
      </c>
      <c r="C14" s="16">
        <v>-3</v>
      </c>
      <c r="D14" s="16">
        <v>-4</v>
      </c>
      <c r="E14" s="16">
        <v>-5</v>
      </c>
      <c r="F14" s="16">
        <v>-6</v>
      </c>
      <c r="G14" s="16">
        <v>-7</v>
      </c>
      <c r="H14" s="16">
        <v>-8</v>
      </c>
      <c r="I14" s="16">
        <v>-9</v>
      </c>
      <c r="J14" s="16">
        <v>-10</v>
      </c>
      <c r="K14" s="107">
        <v>-11</v>
      </c>
      <c r="L14" s="16">
        <v>-12</v>
      </c>
      <c r="M14" s="16">
        <v>-13</v>
      </c>
      <c r="N14" s="15"/>
      <c r="O14" s="68"/>
      <c r="P14" s="13"/>
      <c r="Q14" s="13"/>
      <c r="R14" s="13"/>
      <c r="S14" s="13"/>
    </row>
    <row r="15" spans="1:19" s="14" customFormat="1" ht="15" customHeight="1" x14ac:dyDescent="0.25">
      <c r="A15" s="16" t="s">
        <v>30</v>
      </c>
      <c r="B15" s="17" t="s">
        <v>31</v>
      </c>
      <c r="C15" s="16"/>
      <c r="D15" s="16"/>
      <c r="E15" s="16"/>
      <c r="F15" s="16"/>
      <c r="G15" s="16"/>
      <c r="H15" s="16"/>
      <c r="I15" s="16"/>
      <c r="J15" s="16"/>
      <c r="K15" s="93"/>
      <c r="L15" s="16"/>
      <c r="M15" s="16"/>
      <c r="N15" s="18"/>
      <c r="O15" s="68"/>
      <c r="P15" s="13"/>
      <c r="Q15" s="13"/>
      <c r="R15" s="13"/>
      <c r="S15" s="13"/>
    </row>
    <row r="16" spans="1:19" s="14" customFormat="1" ht="15" customHeight="1" x14ac:dyDescent="0.25">
      <c r="A16" s="69"/>
      <c r="B16" s="17"/>
      <c r="C16" s="16"/>
      <c r="D16" s="16"/>
      <c r="E16" s="16"/>
      <c r="F16" s="16"/>
      <c r="G16" s="16"/>
      <c r="H16" s="16"/>
      <c r="I16" s="16"/>
      <c r="J16" s="70"/>
      <c r="K16" s="93"/>
      <c r="L16" s="16"/>
      <c r="M16" s="16"/>
      <c r="N16" s="18"/>
      <c r="O16" s="68"/>
      <c r="P16" s="13"/>
      <c r="Q16" s="13"/>
      <c r="R16" s="13"/>
      <c r="S16" s="13"/>
    </row>
    <row r="17" spans="1:19" s="26" customFormat="1" ht="24.95" customHeight="1" x14ac:dyDescent="0.25">
      <c r="A17" s="19"/>
      <c r="B17" s="20" t="s">
        <v>32</v>
      </c>
      <c r="C17" s="21"/>
      <c r="D17" s="21"/>
      <c r="E17" s="21"/>
      <c r="F17" s="22"/>
      <c r="G17" s="23" t="e">
        <f>SUM(#REF!)</f>
        <v>#REF!</v>
      </c>
      <c r="H17" s="23" t="e">
        <f>SUM(#REF!)</f>
        <v>#REF!</v>
      </c>
      <c r="I17" s="21"/>
      <c r="J17" s="21"/>
      <c r="K17" s="97"/>
      <c r="L17" s="21"/>
      <c r="M17" s="21"/>
      <c r="N17" s="24"/>
      <c r="O17" s="25"/>
    </row>
    <row r="18" spans="1:19" s="27" customFormat="1" ht="30" hidden="1" customHeight="1" x14ac:dyDescent="0.25">
      <c r="A18" s="19"/>
      <c r="B18" s="20" t="s">
        <v>33</v>
      </c>
      <c r="C18" s="21"/>
      <c r="D18" s="21"/>
      <c r="E18" s="21"/>
      <c r="F18" s="21"/>
      <c r="G18" s="21"/>
      <c r="H18" s="21"/>
      <c r="I18" s="21"/>
      <c r="J18" s="21"/>
      <c r="K18" s="97"/>
      <c r="L18" s="21"/>
      <c r="M18" s="21"/>
      <c r="N18" s="24"/>
      <c r="O18" s="25"/>
      <c r="P18" s="26"/>
      <c r="Q18" s="26"/>
      <c r="R18" s="26"/>
      <c r="S18" s="26"/>
    </row>
    <row r="19" spans="1:19" s="27" customFormat="1" ht="30" hidden="1" customHeight="1" x14ac:dyDescent="0.25">
      <c r="A19" s="21"/>
      <c r="B19" s="28" t="s">
        <v>34</v>
      </c>
      <c r="C19" s="21"/>
      <c r="D19" s="21"/>
      <c r="E19" s="21"/>
      <c r="F19" s="21"/>
      <c r="G19" s="21"/>
      <c r="H19" s="21"/>
      <c r="I19" s="21"/>
      <c r="J19" s="21"/>
      <c r="K19" s="97"/>
      <c r="L19" s="21"/>
      <c r="M19" s="21"/>
      <c r="N19" s="24"/>
      <c r="O19" s="25"/>
      <c r="P19" s="26"/>
      <c r="Q19" s="26"/>
      <c r="R19" s="26"/>
      <c r="S19" s="26"/>
    </row>
    <row r="20" spans="1:19" s="27" customFormat="1" ht="30" hidden="1" customHeight="1" x14ac:dyDescent="0.25">
      <c r="A20" s="21"/>
      <c r="B20" s="28" t="s">
        <v>35</v>
      </c>
      <c r="C20" s="21"/>
      <c r="D20" s="21"/>
      <c r="E20" s="21"/>
      <c r="F20" s="21"/>
      <c r="G20" s="21"/>
      <c r="H20" s="21"/>
      <c r="I20" s="21"/>
      <c r="J20" s="21"/>
      <c r="K20" s="97"/>
      <c r="L20" s="21"/>
      <c r="M20" s="21"/>
      <c r="N20" s="24"/>
      <c r="O20" s="25"/>
      <c r="P20" s="26"/>
      <c r="Q20" s="26"/>
      <c r="R20" s="26"/>
      <c r="S20" s="26"/>
    </row>
    <row r="21" spans="1:19" s="27" customFormat="1" ht="30" hidden="1" customHeight="1" x14ac:dyDescent="0.25">
      <c r="A21" s="21"/>
      <c r="B21" s="28" t="s">
        <v>36</v>
      </c>
      <c r="C21" s="21"/>
      <c r="D21" s="21"/>
      <c r="E21" s="21"/>
      <c r="F21" s="21"/>
      <c r="G21" s="21"/>
      <c r="H21" s="21"/>
      <c r="I21" s="21"/>
      <c r="J21" s="21"/>
      <c r="K21" s="97"/>
      <c r="L21" s="21"/>
      <c r="M21" s="21"/>
      <c r="N21" s="24"/>
      <c r="O21" s="25"/>
      <c r="P21" s="26"/>
      <c r="Q21" s="26"/>
      <c r="R21" s="26"/>
      <c r="S21" s="26"/>
    </row>
    <row r="22" spans="1:19" s="27" customFormat="1" ht="30" hidden="1" customHeight="1" x14ac:dyDescent="0.25">
      <c r="A22" s="29"/>
      <c r="B22" s="20" t="s">
        <v>37</v>
      </c>
      <c r="C22" s="21"/>
      <c r="D22" s="21"/>
      <c r="E22" s="21"/>
      <c r="F22" s="21"/>
      <c r="G22" s="21"/>
      <c r="H22" s="21"/>
      <c r="I22" s="21"/>
      <c r="J22" s="21"/>
      <c r="K22" s="97"/>
      <c r="L22" s="21"/>
      <c r="M22" s="21"/>
      <c r="N22" s="24"/>
      <c r="O22" s="25"/>
      <c r="P22" s="26"/>
      <c r="Q22" s="26"/>
      <c r="R22" s="26"/>
      <c r="S22" s="26"/>
    </row>
    <row r="23" spans="1:19" ht="30" hidden="1" customHeight="1" x14ac:dyDescent="0.25">
      <c r="A23" s="29" t="s">
        <v>38</v>
      </c>
      <c r="B23" s="20" t="s">
        <v>39</v>
      </c>
      <c r="C23" s="21"/>
      <c r="D23" s="21"/>
      <c r="E23" s="21"/>
      <c r="F23" s="21"/>
      <c r="G23" s="21"/>
      <c r="H23" s="21"/>
      <c r="I23" s="21"/>
      <c r="J23" s="21"/>
      <c r="K23" s="97"/>
      <c r="L23" s="21"/>
      <c r="M23" s="21"/>
      <c r="N23" s="30"/>
      <c r="O23" s="31"/>
      <c r="P23" s="31"/>
      <c r="Q23" s="31"/>
      <c r="R23" s="31"/>
      <c r="S23" s="31"/>
    </row>
    <row r="24" spans="1:19" ht="30" hidden="1" customHeight="1" x14ac:dyDescent="0.25">
      <c r="A24" s="21"/>
      <c r="B24" s="28" t="s">
        <v>40</v>
      </c>
      <c r="C24" s="21"/>
      <c r="D24" s="21"/>
      <c r="E24" s="21"/>
      <c r="F24" s="21"/>
      <c r="G24" s="21"/>
      <c r="H24" s="21"/>
      <c r="I24" s="21"/>
      <c r="J24" s="21"/>
      <c r="K24" s="97"/>
      <c r="L24" s="21"/>
      <c r="M24" s="21"/>
      <c r="N24" s="30"/>
      <c r="O24" s="31"/>
      <c r="P24" s="31"/>
      <c r="Q24" s="31"/>
      <c r="R24" s="31"/>
      <c r="S24" s="31"/>
    </row>
    <row r="25" spans="1:19" ht="30" hidden="1" customHeight="1" x14ac:dyDescent="0.25">
      <c r="A25" s="21"/>
      <c r="B25" s="28" t="s">
        <v>41</v>
      </c>
      <c r="C25" s="21"/>
      <c r="D25" s="21"/>
      <c r="E25" s="21"/>
      <c r="F25" s="21"/>
      <c r="G25" s="21"/>
      <c r="H25" s="21"/>
      <c r="I25" s="21"/>
      <c r="J25" s="21"/>
      <c r="K25" s="97"/>
      <c r="L25" s="21"/>
      <c r="M25" s="21"/>
      <c r="N25" s="30"/>
      <c r="O25" s="31"/>
      <c r="P25" s="31"/>
      <c r="Q25" s="31"/>
      <c r="R25" s="31"/>
      <c r="S25" s="31"/>
    </row>
    <row r="26" spans="1:19" ht="30" hidden="1" customHeight="1" x14ac:dyDescent="0.25">
      <c r="A26" s="21"/>
      <c r="B26" s="28" t="s">
        <v>42</v>
      </c>
      <c r="C26" s="21"/>
      <c r="D26" s="21"/>
      <c r="E26" s="21"/>
      <c r="F26" s="21"/>
      <c r="G26" s="21"/>
      <c r="H26" s="21"/>
      <c r="I26" s="21"/>
      <c r="J26" s="21"/>
      <c r="K26" s="97"/>
      <c r="L26" s="21"/>
      <c r="M26" s="21"/>
      <c r="N26" s="30"/>
      <c r="O26" s="31"/>
      <c r="P26" s="31"/>
      <c r="Q26" s="31"/>
      <c r="R26" s="31"/>
      <c r="S26" s="31"/>
    </row>
    <row r="27" spans="1:19" s="34" customFormat="1" ht="30" hidden="1" customHeight="1" x14ac:dyDescent="0.25">
      <c r="A27" s="29"/>
      <c r="B27" s="20" t="s">
        <v>43</v>
      </c>
      <c r="C27" s="21"/>
      <c r="D27" s="21"/>
      <c r="E27" s="21"/>
      <c r="F27" s="21"/>
      <c r="G27" s="21"/>
      <c r="H27" s="21"/>
      <c r="I27" s="21"/>
      <c r="J27" s="21"/>
      <c r="K27" s="97"/>
      <c r="L27" s="21"/>
      <c r="M27" s="21"/>
      <c r="N27" s="30"/>
      <c r="O27" s="31"/>
      <c r="P27" s="33"/>
      <c r="Q27" s="33"/>
      <c r="R27" s="33"/>
      <c r="S27" s="33"/>
    </row>
    <row r="28" spans="1:19" ht="30" hidden="1" customHeight="1" x14ac:dyDescent="0.25">
      <c r="A28" s="29" t="s">
        <v>44</v>
      </c>
      <c r="B28" s="20" t="s">
        <v>45</v>
      </c>
      <c r="C28" s="21"/>
      <c r="D28" s="21"/>
      <c r="E28" s="21"/>
      <c r="F28" s="21"/>
      <c r="G28" s="21"/>
      <c r="H28" s="21"/>
      <c r="I28" s="21"/>
      <c r="J28" s="21"/>
      <c r="K28" s="97"/>
      <c r="L28" s="21"/>
      <c r="M28" s="21"/>
      <c r="N28" s="30"/>
      <c r="O28" s="31"/>
      <c r="P28" s="31"/>
      <c r="Q28" s="31"/>
      <c r="R28" s="31"/>
      <c r="S28" s="31"/>
    </row>
    <row r="29" spans="1:19" ht="30" hidden="1" customHeight="1" x14ac:dyDescent="0.25">
      <c r="A29" s="29" t="s">
        <v>46</v>
      </c>
      <c r="B29" s="20" t="s">
        <v>47</v>
      </c>
      <c r="C29" s="21"/>
      <c r="D29" s="21"/>
      <c r="E29" s="21"/>
      <c r="F29" s="21"/>
      <c r="G29" s="21"/>
      <c r="H29" s="21"/>
      <c r="I29" s="21"/>
      <c r="J29" s="21"/>
      <c r="K29" s="97"/>
      <c r="L29" s="21"/>
      <c r="M29" s="21"/>
      <c r="N29" s="30"/>
      <c r="O29" s="31"/>
      <c r="P29" s="31"/>
      <c r="Q29" s="31"/>
      <c r="R29" s="31"/>
      <c r="S29" s="31"/>
    </row>
    <row r="30" spans="1:19" ht="30" hidden="1" customHeight="1" x14ac:dyDescent="0.25">
      <c r="A30" s="29" t="s">
        <v>48</v>
      </c>
      <c r="B30" s="20" t="s">
        <v>49</v>
      </c>
      <c r="C30" s="21"/>
      <c r="D30" s="21"/>
      <c r="E30" s="21"/>
      <c r="F30" s="21"/>
      <c r="G30" s="21"/>
      <c r="H30" s="21"/>
      <c r="I30" s="21"/>
      <c r="J30" s="21"/>
      <c r="K30" s="97"/>
      <c r="L30" s="21"/>
      <c r="M30" s="21"/>
      <c r="N30" s="30"/>
      <c r="O30" s="31"/>
      <c r="P30" s="31"/>
      <c r="Q30" s="31"/>
      <c r="R30" s="31"/>
      <c r="S30" s="31"/>
    </row>
    <row r="31" spans="1:19" ht="30" hidden="1" customHeight="1" x14ac:dyDescent="0.25">
      <c r="A31" s="78" t="s">
        <v>50</v>
      </c>
      <c r="B31" s="20" t="s">
        <v>51</v>
      </c>
      <c r="C31" s="35"/>
      <c r="D31" s="35"/>
      <c r="E31" s="35"/>
      <c r="F31" s="35"/>
      <c r="G31" s="36"/>
      <c r="H31" s="36"/>
      <c r="I31" s="35"/>
      <c r="J31" s="37"/>
      <c r="K31" s="98"/>
      <c r="L31" s="38"/>
      <c r="M31" s="38"/>
      <c r="N31" s="30"/>
      <c r="O31" s="31"/>
      <c r="P31" s="31"/>
      <c r="Q31" s="31"/>
      <c r="R31" s="31"/>
      <c r="S31" s="31"/>
    </row>
    <row r="32" spans="1:19" ht="30" hidden="1" customHeight="1" x14ac:dyDescent="0.25">
      <c r="A32" s="78"/>
      <c r="B32" s="28" t="s">
        <v>52</v>
      </c>
      <c r="C32" s="35"/>
      <c r="D32" s="35"/>
      <c r="E32" s="35"/>
      <c r="F32" s="35"/>
      <c r="G32" s="36"/>
      <c r="H32" s="36"/>
      <c r="I32" s="35"/>
      <c r="J32" s="37"/>
      <c r="K32" s="98"/>
      <c r="L32" s="38"/>
      <c r="M32" s="38"/>
      <c r="N32" s="30"/>
      <c r="O32" s="31"/>
      <c r="P32" s="31"/>
      <c r="Q32" s="31"/>
      <c r="R32" s="31"/>
      <c r="S32" s="31"/>
    </row>
    <row r="33" spans="1:19" ht="22.5" customHeight="1" x14ac:dyDescent="0.25">
      <c r="A33" s="36" t="s">
        <v>53</v>
      </c>
      <c r="B33" s="20" t="s">
        <v>54</v>
      </c>
      <c r="C33" s="35"/>
      <c r="D33" s="35"/>
      <c r="E33" s="35"/>
      <c r="F33" s="35"/>
      <c r="G33" s="39" t="e">
        <f>G17+G22+G27</f>
        <v>#REF!</v>
      </c>
      <c r="H33" s="40" t="e">
        <f>H17+H22+H27</f>
        <v>#REF!</v>
      </c>
      <c r="I33" s="35"/>
      <c r="J33" s="37"/>
      <c r="K33" s="98"/>
      <c r="L33" s="21"/>
      <c r="M33" s="21"/>
      <c r="N33" s="30"/>
      <c r="O33" s="31"/>
      <c r="P33" s="31"/>
      <c r="Q33" s="31"/>
      <c r="R33" s="31"/>
      <c r="S33" s="31"/>
    </row>
    <row r="34" spans="1:19" ht="22.5" customHeight="1" x14ac:dyDescent="0.25">
      <c r="A34" s="41"/>
      <c r="B34" s="41"/>
      <c r="C34" s="42"/>
      <c r="D34" s="42"/>
      <c r="E34" s="42"/>
      <c r="F34" s="42"/>
      <c r="G34" s="42"/>
      <c r="H34" s="42"/>
      <c r="I34" s="42"/>
      <c r="J34" s="41"/>
      <c r="K34" s="99"/>
      <c r="L34" s="41"/>
      <c r="M34" s="41"/>
    </row>
    <row r="35" spans="1:19" ht="130.5" customHeight="1" thickBot="1" x14ac:dyDescent="0.3">
      <c r="A35" s="79" t="s">
        <v>55</v>
      </c>
      <c r="B35" s="79"/>
      <c r="C35" s="77" t="s">
        <v>56</v>
      </c>
      <c r="D35" s="43"/>
      <c r="E35" s="43"/>
      <c r="F35" s="43" t="s">
        <v>57</v>
      </c>
      <c r="G35" s="33"/>
      <c r="H35" s="33"/>
      <c r="I35" s="80" t="s">
        <v>58</v>
      </c>
      <c r="J35" s="44"/>
      <c r="K35" s="100"/>
      <c r="L35" s="45"/>
      <c r="M35" s="41"/>
    </row>
    <row r="36" spans="1:19" x14ac:dyDescent="0.25">
      <c r="A36" s="79"/>
      <c r="B36" s="79"/>
      <c r="C36" s="77"/>
      <c r="D36" s="81" t="s">
        <v>59</v>
      </c>
      <c r="E36" s="81"/>
      <c r="F36" s="81"/>
      <c r="G36" s="81"/>
      <c r="H36" s="81"/>
      <c r="I36" s="80"/>
      <c r="J36" s="46"/>
      <c r="K36" s="101"/>
      <c r="L36" s="47"/>
      <c r="M36" s="41"/>
    </row>
    <row r="37" spans="1:19" ht="21" customHeight="1" x14ac:dyDescent="0.25">
      <c r="A37" s="48" t="s">
        <v>60</v>
      </c>
      <c r="B37" s="48"/>
      <c r="C37" s="49"/>
      <c r="D37" s="49"/>
      <c r="E37" s="49"/>
      <c r="F37" s="49"/>
      <c r="G37" s="49"/>
      <c r="H37" s="49"/>
      <c r="I37" s="49"/>
      <c r="J37" s="48"/>
      <c r="K37" s="102"/>
      <c r="L37" s="41"/>
      <c r="M37" s="41"/>
    </row>
    <row r="38" spans="1:19" ht="66" customHeight="1" x14ac:dyDescent="0.25">
      <c r="A38" s="77" t="s">
        <v>61</v>
      </c>
      <c r="B38" s="77"/>
      <c r="C38" s="77" t="s">
        <v>56</v>
      </c>
      <c r="D38" s="50" t="s">
        <v>62</v>
      </c>
      <c r="E38" s="33"/>
      <c r="F38" s="50" t="s">
        <v>63</v>
      </c>
      <c r="G38" s="50"/>
      <c r="H38" s="50" t="s">
        <v>64</v>
      </c>
      <c r="I38" s="50"/>
      <c r="J38" s="79"/>
      <c r="K38" s="103"/>
      <c r="L38" s="51"/>
      <c r="M38" s="41"/>
    </row>
    <row r="39" spans="1:19" ht="60.75" customHeight="1" x14ac:dyDescent="0.25">
      <c r="A39" s="77"/>
      <c r="B39" s="77"/>
      <c r="C39" s="77"/>
      <c r="D39" s="82" t="s">
        <v>62</v>
      </c>
      <c r="E39" s="82"/>
      <c r="F39" s="82"/>
      <c r="G39" s="82"/>
      <c r="H39" s="82"/>
      <c r="I39" s="82"/>
      <c r="J39" s="79"/>
      <c r="K39" s="103"/>
      <c r="L39" s="47"/>
      <c r="M39" s="41"/>
    </row>
    <row r="40" spans="1:19" ht="34.5" customHeight="1" x14ac:dyDescent="0.25">
      <c r="A40" s="52"/>
      <c r="B40" s="52"/>
      <c r="C40" s="77" t="s">
        <v>56</v>
      </c>
      <c r="D40" s="91">
        <f>I9</f>
        <v>0</v>
      </c>
      <c r="E40" s="91"/>
      <c r="F40" s="53" t="s">
        <v>63</v>
      </c>
      <c r="G40" s="91" t="e">
        <f>H33</f>
        <v>#REF!</v>
      </c>
      <c r="H40" s="91"/>
      <c r="I40" s="92" t="s">
        <v>58</v>
      </c>
      <c r="J40" s="77" t="s">
        <v>56</v>
      </c>
      <c r="K40" s="104" t="e">
        <f>(I9-H33)/I9</f>
        <v>#REF!</v>
      </c>
      <c r="L40" s="47"/>
      <c r="M40" s="41"/>
    </row>
    <row r="41" spans="1:19" ht="41.25" customHeight="1" x14ac:dyDescent="0.25">
      <c r="A41" s="52"/>
      <c r="B41" s="52"/>
      <c r="C41" s="77"/>
      <c r="D41" s="84">
        <f>I9</f>
        <v>0</v>
      </c>
      <c r="E41" s="84"/>
      <c r="F41" s="84"/>
      <c r="G41" s="84"/>
      <c r="H41" s="84"/>
      <c r="I41" s="92"/>
      <c r="J41" s="77"/>
      <c r="K41" s="104"/>
      <c r="L41" s="47"/>
      <c r="M41" s="41"/>
    </row>
    <row r="42" spans="1:19" x14ac:dyDescent="0.25">
      <c r="A42" s="54" t="s">
        <v>65</v>
      </c>
      <c r="B42" s="48"/>
      <c r="C42" s="49"/>
      <c r="D42" s="49"/>
      <c r="E42" s="49"/>
      <c r="F42" s="49"/>
      <c r="G42" s="49"/>
      <c r="H42" s="49"/>
      <c r="I42" s="49"/>
      <c r="J42" s="48"/>
      <c r="K42" s="102"/>
      <c r="L42" s="41"/>
      <c r="M42" s="41"/>
    </row>
    <row r="43" spans="1:19" x14ac:dyDescent="0.25">
      <c r="A43" s="48" t="s">
        <v>66</v>
      </c>
      <c r="B43" s="48"/>
      <c r="C43" s="49"/>
      <c r="D43" s="49"/>
      <c r="E43" s="49"/>
      <c r="F43" s="49"/>
      <c r="G43" s="49"/>
      <c r="H43" s="49"/>
      <c r="I43" s="49"/>
      <c r="J43" s="48"/>
      <c r="K43" s="102"/>
      <c r="L43" s="41"/>
      <c r="M43" s="41"/>
    </row>
    <row r="44" spans="1:19" x14ac:dyDescent="0.25">
      <c r="A44" s="41"/>
      <c r="B44" s="41"/>
      <c r="C44" s="42"/>
      <c r="D44" s="42"/>
      <c r="E44" s="42"/>
      <c r="F44" s="42"/>
      <c r="G44" s="42"/>
      <c r="H44" s="42"/>
      <c r="I44" s="42"/>
      <c r="J44" s="41"/>
      <c r="K44" s="99"/>
      <c r="L44" s="41"/>
      <c r="M44" s="41"/>
    </row>
    <row r="45" spans="1:19" x14ac:dyDescent="0.25">
      <c r="A45" s="86"/>
      <c r="B45" s="41"/>
      <c r="C45" s="42"/>
      <c r="D45" s="42"/>
      <c r="E45" s="42"/>
      <c r="F45" s="42"/>
      <c r="G45" s="42"/>
      <c r="H45" s="87" t="s">
        <v>67</v>
      </c>
      <c r="I45" s="87"/>
      <c r="J45" s="87"/>
      <c r="K45" s="87"/>
      <c r="L45" s="87"/>
      <c r="M45" s="87"/>
    </row>
    <row r="46" spans="1:19" x14ac:dyDescent="0.25">
      <c r="A46" s="86"/>
      <c r="B46" s="41"/>
      <c r="C46" s="42"/>
      <c r="D46" s="42"/>
      <c r="E46" s="42"/>
      <c r="F46" s="42"/>
      <c r="G46" s="42"/>
      <c r="H46" s="88" t="s">
        <v>68</v>
      </c>
      <c r="I46" s="88"/>
      <c r="J46" s="88"/>
      <c r="K46" s="88"/>
      <c r="L46" s="88"/>
      <c r="M46" s="88"/>
    </row>
    <row r="47" spans="1:19" x14ac:dyDescent="0.25">
      <c r="A47" s="86"/>
      <c r="B47" s="41"/>
      <c r="C47" s="42"/>
      <c r="D47" s="42"/>
      <c r="E47" s="42"/>
      <c r="F47" s="42"/>
      <c r="G47" s="42"/>
      <c r="H47" s="87" t="s">
        <v>69</v>
      </c>
      <c r="I47" s="87"/>
      <c r="J47" s="87"/>
      <c r="K47" s="87"/>
      <c r="L47" s="87"/>
      <c r="M47" s="87"/>
    </row>
    <row r="48" spans="1:19" x14ac:dyDescent="0.25">
      <c r="A48" s="55"/>
      <c r="B48" s="41"/>
      <c r="C48" s="42"/>
      <c r="D48" s="42"/>
      <c r="E48" s="42"/>
      <c r="F48" s="42"/>
      <c r="G48" s="42"/>
      <c r="H48" s="56"/>
      <c r="I48" s="89" t="s">
        <v>70</v>
      </c>
      <c r="J48" s="89"/>
      <c r="K48" s="89"/>
      <c r="L48" s="89"/>
      <c r="M48" s="56"/>
    </row>
    <row r="49" spans="1:13" x14ac:dyDescent="0.25">
      <c r="A49" s="55"/>
      <c r="B49" s="41"/>
      <c r="C49" s="42"/>
      <c r="D49" s="42"/>
      <c r="E49" s="42"/>
      <c r="F49" s="42"/>
      <c r="G49" s="42"/>
      <c r="H49" s="56"/>
      <c r="I49" s="57"/>
      <c r="J49" s="58"/>
      <c r="K49" s="105"/>
      <c r="L49" s="56"/>
      <c r="M49" s="56"/>
    </row>
    <row r="50" spans="1:13" x14ac:dyDescent="0.25">
      <c r="A50" s="55"/>
      <c r="B50" s="41"/>
      <c r="C50" s="42"/>
      <c r="D50" s="42"/>
      <c r="E50" s="42"/>
      <c r="F50" s="42"/>
      <c r="G50" s="42"/>
      <c r="H50" s="56"/>
      <c r="I50" s="57"/>
      <c r="J50" s="58"/>
      <c r="K50" s="105"/>
      <c r="L50" s="56"/>
      <c r="M50" s="56"/>
    </row>
    <row r="51" spans="1:13" x14ac:dyDescent="0.25">
      <c r="A51" s="55"/>
      <c r="B51" s="41"/>
      <c r="C51" s="42"/>
      <c r="D51" s="42"/>
      <c r="E51" s="42"/>
      <c r="F51" s="42"/>
      <c r="G51" s="42"/>
      <c r="H51" s="56"/>
      <c r="I51" s="57"/>
      <c r="J51" s="58"/>
      <c r="K51" s="105"/>
      <c r="L51" s="56"/>
      <c r="M51" s="56"/>
    </row>
    <row r="52" spans="1:13" x14ac:dyDescent="0.25">
      <c r="A52" s="55"/>
      <c r="B52" s="41"/>
      <c r="C52" s="42"/>
      <c r="D52" s="42"/>
      <c r="E52" s="42"/>
      <c r="F52" s="42"/>
      <c r="G52" s="42"/>
      <c r="H52" s="56"/>
      <c r="I52" s="57"/>
      <c r="J52" s="58"/>
      <c r="K52" s="105"/>
      <c r="L52" s="56"/>
      <c r="M52" s="56"/>
    </row>
    <row r="53" spans="1:13" x14ac:dyDescent="0.25">
      <c r="A53" s="55"/>
      <c r="B53" s="41"/>
      <c r="C53" s="42"/>
      <c r="D53" s="42"/>
      <c r="E53" s="42"/>
      <c r="F53" s="42"/>
      <c r="G53" s="42"/>
      <c r="H53" s="56"/>
      <c r="I53" s="57"/>
      <c r="J53" s="59"/>
      <c r="K53" s="105"/>
      <c r="L53" s="56"/>
      <c r="M53" s="56"/>
    </row>
    <row r="54" spans="1:13" x14ac:dyDescent="0.25">
      <c r="A54" s="55"/>
      <c r="B54" s="41"/>
      <c r="C54" s="42"/>
      <c r="D54" s="42"/>
      <c r="E54" s="42"/>
      <c r="F54" s="42"/>
      <c r="G54" s="42"/>
      <c r="H54" s="56"/>
      <c r="I54" s="90" t="s">
        <v>71</v>
      </c>
      <c r="J54" s="90"/>
      <c r="K54" s="90"/>
      <c r="L54" s="90"/>
      <c r="M54" s="56"/>
    </row>
    <row r="55" spans="1:13" x14ac:dyDescent="0.25">
      <c r="A55" s="60" t="s">
        <v>72</v>
      </c>
      <c r="B55" s="41"/>
      <c r="C55" s="42"/>
      <c r="D55" s="42"/>
      <c r="E55" s="42"/>
      <c r="F55" s="42"/>
      <c r="G55" s="42"/>
      <c r="H55" s="42"/>
      <c r="I55" s="42"/>
      <c r="J55" s="41"/>
      <c r="K55" s="99"/>
      <c r="L55" s="41"/>
      <c r="M55" s="41"/>
    </row>
    <row r="56" spans="1:13" x14ac:dyDescent="0.25">
      <c r="A56" s="41" t="s">
        <v>73</v>
      </c>
      <c r="B56" s="41"/>
      <c r="C56" s="42"/>
      <c r="D56" s="42"/>
      <c r="E56" s="42"/>
      <c r="F56" s="42"/>
      <c r="G56" s="42"/>
      <c r="H56" s="42"/>
      <c r="I56" s="42"/>
      <c r="J56" s="41"/>
      <c r="K56" s="99"/>
      <c r="L56" s="41"/>
      <c r="M56" s="41"/>
    </row>
    <row r="57" spans="1:13" x14ac:dyDescent="0.25">
      <c r="A57" s="85" t="s">
        <v>74</v>
      </c>
      <c r="B57" s="85"/>
      <c r="C57" s="85"/>
      <c r="D57" s="85"/>
      <c r="E57" s="85"/>
      <c r="F57" s="85"/>
      <c r="G57" s="85"/>
      <c r="H57" s="85"/>
      <c r="I57" s="85"/>
      <c r="J57" s="85"/>
      <c r="K57" s="85"/>
      <c r="L57" s="85"/>
      <c r="M57" s="85"/>
    </row>
    <row r="58" spans="1:13" x14ac:dyDescent="0.25">
      <c r="A58" s="85"/>
      <c r="B58" s="85"/>
      <c r="C58" s="85"/>
      <c r="D58" s="85"/>
      <c r="E58" s="85"/>
      <c r="F58" s="85"/>
      <c r="G58" s="85"/>
      <c r="H58" s="85"/>
      <c r="I58" s="85"/>
      <c r="J58" s="85"/>
      <c r="K58" s="85"/>
      <c r="L58" s="85"/>
      <c r="M58" s="85"/>
    </row>
    <row r="59" spans="1:13" x14ac:dyDescent="0.25">
      <c r="A59" s="41"/>
      <c r="B59" s="41"/>
      <c r="C59" s="42"/>
      <c r="D59" s="42"/>
      <c r="E59" s="42"/>
      <c r="F59" s="42"/>
      <c r="G59" s="42"/>
      <c r="H59" s="42"/>
      <c r="I59" s="42"/>
      <c r="J59" s="41"/>
      <c r="K59" s="99"/>
      <c r="L59" s="41"/>
      <c r="M59" s="41"/>
    </row>
    <row r="60" spans="1:13" x14ac:dyDescent="0.25">
      <c r="A60" s="41"/>
      <c r="B60" s="41"/>
      <c r="C60" s="42"/>
      <c r="D60" s="42"/>
      <c r="E60" s="42"/>
      <c r="F60" s="42"/>
      <c r="G60" s="42"/>
      <c r="H60" s="42"/>
      <c r="I60" s="42"/>
      <c r="J60" s="41"/>
      <c r="K60" s="99"/>
      <c r="L60" s="41"/>
      <c r="M60" s="41"/>
    </row>
    <row r="61" spans="1:13" x14ac:dyDescent="0.25">
      <c r="A61" s="41"/>
      <c r="B61" s="41"/>
      <c r="C61" s="42"/>
      <c r="D61" s="42"/>
      <c r="E61" s="42"/>
      <c r="F61" s="42"/>
      <c r="G61" s="42"/>
      <c r="H61" s="42"/>
      <c r="I61" s="42"/>
      <c r="J61" s="41"/>
      <c r="K61" s="99"/>
      <c r="L61" s="41"/>
      <c r="M61" s="41"/>
    </row>
    <row r="62" spans="1:13" x14ac:dyDescent="0.25">
      <c r="A62" s="41"/>
      <c r="B62" s="41"/>
      <c r="C62" s="42"/>
      <c r="D62" s="42"/>
      <c r="E62" s="42"/>
      <c r="F62" s="61" t="e">
        <f>I9-H17</f>
        <v>#REF!</v>
      </c>
      <c r="G62" s="42"/>
      <c r="H62" s="42"/>
      <c r="I62" s="42"/>
      <c r="J62" s="41"/>
      <c r="K62" s="99"/>
      <c r="L62" s="41"/>
      <c r="M62" s="41"/>
    </row>
    <row r="63" spans="1:13" x14ac:dyDescent="0.25">
      <c r="A63" s="41"/>
      <c r="B63" s="41"/>
      <c r="C63" s="42"/>
      <c r="D63" s="42"/>
      <c r="E63" s="42"/>
      <c r="F63" s="62" t="e">
        <f>+F62/I9</f>
        <v>#REF!</v>
      </c>
      <c r="G63" s="42"/>
      <c r="H63" s="42"/>
      <c r="I63" s="42"/>
      <c r="J63" s="41"/>
      <c r="K63" s="99"/>
      <c r="L63" s="41"/>
      <c r="M63" s="41"/>
    </row>
    <row r="82" spans="1:15" s="34" customFormat="1" x14ac:dyDescent="0.25">
      <c r="A82" s="32"/>
      <c r="B82" s="32"/>
      <c r="C82" s="34" t="s">
        <v>75</v>
      </c>
      <c r="K82" s="106"/>
      <c r="L82" s="32"/>
      <c r="M82" s="32"/>
      <c r="N82" s="32"/>
      <c r="O82" s="32"/>
    </row>
  </sheetData>
  <mergeCells count="50">
    <mergeCell ref="O11:O13"/>
    <mergeCell ref="K40:K41"/>
    <mergeCell ref="D41:H41"/>
    <mergeCell ref="A57:M58"/>
    <mergeCell ref="A45:A47"/>
    <mergeCell ref="H45:M45"/>
    <mergeCell ref="H46:M46"/>
    <mergeCell ref="H47:M47"/>
    <mergeCell ref="I48:L48"/>
    <mergeCell ref="I54:L54"/>
    <mergeCell ref="C40:C41"/>
    <mergeCell ref="D40:E40"/>
    <mergeCell ref="G40:H40"/>
    <mergeCell ref="I40:I41"/>
    <mergeCell ref="J40:J41"/>
    <mergeCell ref="A38:B39"/>
    <mergeCell ref="C38:C39"/>
    <mergeCell ref="I11:I13"/>
    <mergeCell ref="J11:K12"/>
    <mergeCell ref="L11:M12"/>
    <mergeCell ref="A31:A32"/>
    <mergeCell ref="A35:B36"/>
    <mergeCell ref="C35:C36"/>
    <mergeCell ref="I35:I36"/>
    <mergeCell ref="D36:H36"/>
    <mergeCell ref="J38:J39"/>
    <mergeCell ref="K38:K39"/>
    <mergeCell ref="D39:I39"/>
    <mergeCell ref="F12:F13"/>
    <mergeCell ref="G12:H12"/>
    <mergeCell ref="A11:A13"/>
    <mergeCell ref="B11:B13"/>
    <mergeCell ref="C11:C13"/>
    <mergeCell ref="D11:D13"/>
    <mergeCell ref="E11:E13"/>
    <mergeCell ref="F11:H11"/>
    <mergeCell ref="N11:N13"/>
    <mergeCell ref="F9:H9"/>
    <mergeCell ref="A1:M1"/>
    <mergeCell ref="A2:M2"/>
    <mergeCell ref="A3:M3"/>
    <mergeCell ref="A4:B4"/>
    <mergeCell ref="F4:H4"/>
    <mergeCell ref="A5:B5"/>
    <mergeCell ref="F5:H5"/>
    <mergeCell ref="A6:B6"/>
    <mergeCell ref="C6:D6"/>
    <mergeCell ref="F6:H6"/>
    <mergeCell ref="F7:H7"/>
    <mergeCell ref="F8:H8"/>
  </mergeCells>
  <phoneticPr fontId="18" type="noConversion"/>
  <printOptions horizontalCentered="1"/>
  <pageMargins left="0" right="0" top="0" bottom="0" header="0" footer="0"/>
  <pageSetup paperSize="9" scale="45" orientation="landscape" r:id="rId1"/>
  <headerFooter alignWithMargins="0"/>
  <rowBreaks count="2" manualBreakCount="2">
    <brk id="79" max="13" man="1"/>
    <brk id="127" max="3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EXLCEL</vt:lpstr>
      <vt:lpstr>EXLCEL!Print_Area</vt:lpstr>
      <vt:lpstr>EXLCEL!Print_Titles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CAM NHUNG</dc:creator>
  <cp:lastModifiedBy>Admin</cp:lastModifiedBy>
  <cp:lastPrinted>2025-01-22T02:56:28Z</cp:lastPrinted>
  <dcterms:created xsi:type="dcterms:W3CDTF">2025-01-21T01:27:06Z</dcterms:created>
  <dcterms:modified xsi:type="dcterms:W3CDTF">2025-02-18T02:58:24Z</dcterms:modified>
</cp:coreProperties>
</file>