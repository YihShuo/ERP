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45" windowWidth="12030" windowHeight="5205" tabRatio="854"/>
  </bookViews>
  <sheets>
    <sheet name="目   錄" sheetId="1" r:id="rId1"/>
    <sheet name="1.月份產能總表" sheetId="2" r:id="rId2"/>
    <sheet name="2.1年度品牌報表" sheetId="4" r:id="rId3"/>
    <sheet name="2.2月份預計出貨數量" sheetId="18" r:id="rId4"/>
    <sheet name="3-1.人員刷卡出勤" sheetId="9" r:id="rId5"/>
    <sheet name="3.2.A1廠人均時產能-針車" sheetId="25" r:id="rId6"/>
    <sheet name="3.3.A2廠人均時產能-針車" sheetId="22" r:id="rId7"/>
    <sheet name="3.4 A1廠人均時產能-成型" sheetId="26" r:id="rId8"/>
    <sheet name="3.5.A2廠人均時產能-成型" sheetId="20" r:id="rId9"/>
    <sheet name="3.6.A廠總計產能" sheetId="27" r:id="rId10"/>
    <sheet name="3.7.A廠人員分攤POH產能" sheetId="23" r:id="rId11"/>
    <sheet name="5.1 全廠線均產能" sheetId="24" r:id="rId12"/>
  </sheets>
  <externalReferences>
    <externalReference r:id="rId13"/>
    <externalReference r:id="rId14"/>
  </externalReferences>
  <calcPr calcId="124519"/>
</workbook>
</file>

<file path=xl/calcChain.xml><?xml version="1.0" encoding="utf-8"?>
<calcChain xmlns="http://schemas.openxmlformats.org/spreadsheetml/2006/main">
  <c r="F31" i="23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E3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E21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E1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E3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E22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E11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C30"/>
  <c r="D41"/>
  <c r="E41"/>
  <c r="E16" i="24" s="1"/>
  <c r="F41" i="23"/>
  <c r="F16" i="24" s="1"/>
  <c r="G41" i="23"/>
  <c r="G16" i="24" s="1"/>
  <c r="H41" i="23"/>
  <c r="H16" i="24" s="1"/>
  <c r="I41" i="23"/>
  <c r="I16" i="24" s="1"/>
  <c r="J41" i="23"/>
  <c r="J16" i="24" s="1"/>
  <c r="K41" i="23"/>
  <c r="K16" i="24" s="1"/>
  <c r="L41" i="23"/>
  <c r="L16" i="24" s="1"/>
  <c r="M41" i="23"/>
  <c r="M16" i="24" s="1"/>
  <c r="N41" i="23"/>
  <c r="N16" i="24" s="1"/>
  <c r="O41" i="23"/>
  <c r="O16" i="24" s="1"/>
  <c r="P41" i="23"/>
  <c r="P16" i="24" s="1"/>
  <c r="Q41" i="23"/>
  <c r="Q16" i="24" s="1"/>
  <c r="R41" i="23"/>
  <c r="R16" i="24" s="1"/>
  <c r="S41" i="23"/>
  <c r="S16" i="24" s="1"/>
  <c r="T41" i="23"/>
  <c r="T16" i="24" s="1"/>
  <c r="U41" i="23"/>
  <c r="U16" i="24" s="1"/>
  <c r="V41" i="23"/>
  <c r="V16" i="24" s="1"/>
  <c r="W41" i="23"/>
  <c r="W16" i="24" s="1"/>
  <c r="X41" i="23"/>
  <c r="X16" i="24" s="1"/>
  <c r="Y41" i="23"/>
  <c r="Y16" i="24" s="1"/>
  <c r="Z41" i="23"/>
  <c r="Z16" i="24" s="1"/>
  <c r="AA41" i="23"/>
  <c r="AA16" i="24" s="1"/>
  <c r="AB41" i="23"/>
  <c r="AB16" i="24" s="1"/>
  <c r="AC41" i="23"/>
  <c r="AC16" i="24" s="1"/>
  <c r="AD41" i="23"/>
  <c r="AD16" i="24" s="1"/>
  <c r="AE41" i="23"/>
  <c r="AE16" i="24" s="1"/>
  <c r="AF41" i="23"/>
  <c r="AF16" i="24" s="1"/>
  <c r="AG41" i="23"/>
  <c r="AG16" i="24" s="1"/>
  <c r="AH41" i="23"/>
  <c r="AH16" i="24" s="1"/>
  <c r="D40" i="23"/>
  <c r="E40"/>
  <c r="E15" i="24" s="1"/>
  <c r="F40" i="23"/>
  <c r="F15" i="24" s="1"/>
  <c r="G40" i="23"/>
  <c r="G15" i="24" s="1"/>
  <c r="H40" i="23"/>
  <c r="H15" i="24" s="1"/>
  <c r="I40" i="23"/>
  <c r="I15" i="24" s="1"/>
  <c r="J40" i="23"/>
  <c r="J15" i="24" s="1"/>
  <c r="K40" i="23"/>
  <c r="K15" i="24" s="1"/>
  <c r="L40" i="23"/>
  <c r="L15" i="24" s="1"/>
  <c r="M40" i="23"/>
  <c r="M15" i="24" s="1"/>
  <c r="N40" i="23"/>
  <c r="N15" i="24" s="1"/>
  <c r="O40" i="23"/>
  <c r="O15" i="24" s="1"/>
  <c r="P40" i="23"/>
  <c r="P15" i="24" s="1"/>
  <c r="Q40" i="23"/>
  <c r="Q15" i="24" s="1"/>
  <c r="R40" i="23"/>
  <c r="R15" i="24" s="1"/>
  <c r="S40" i="23"/>
  <c r="S15" i="24" s="1"/>
  <c r="T40" i="23"/>
  <c r="T15" i="24" s="1"/>
  <c r="U40" i="23"/>
  <c r="U15" i="24" s="1"/>
  <c r="V40" i="23"/>
  <c r="V15" i="24" s="1"/>
  <c r="W40" i="23"/>
  <c r="W15" i="24" s="1"/>
  <c r="X40" i="23"/>
  <c r="X15" i="24" s="1"/>
  <c r="Y40" i="23"/>
  <c r="Y15" i="24" s="1"/>
  <c r="Z40" i="23"/>
  <c r="Z15" i="24" s="1"/>
  <c r="AA40" i="23"/>
  <c r="AA15" i="24" s="1"/>
  <c r="AB40" i="23"/>
  <c r="AB15" i="24" s="1"/>
  <c r="AC40" i="23"/>
  <c r="AC15" i="24" s="1"/>
  <c r="AD40" i="23"/>
  <c r="AD15" i="24" s="1"/>
  <c r="AE40" i="23"/>
  <c r="AE15" i="24" s="1"/>
  <c r="AF40" i="23"/>
  <c r="AF15" i="24" s="1"/>
  <c r="AG40" i="23"/>
  <c r="AG15" i="24" s="1"/>
  <c r="AH40" i="23"/>
  <c r="AH15" i="24" s="1"/>
  <c r="D39" i="23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C37"/>
  <c r="C38"/>
  <c r="C39"/>
  <c r="C40"/>
  <c r="C41"/>
  <c r="D36"/>
  <c r="E36"/>
  <c r="E13" i="24" s="1"/>
  <c r="E14" s="1"/>
  <c r="F36" i="23"/>
  <c r="F13" i="24" s="1"/>
  <c r="F14" s="1"/>
  <c r="G36" i="23"/>
  <c r="G13" i="24" s="1"/>
  <c r="G14" s="1"/>
  <c r="H36" i="23"/>
  <c r="H13" i="24" s="1"/>
  <c r="H14" s="1"/>
  <c r="I36" i="23"/>
  <c r="I13" i="24" s="1"/>
  <c r="I14" s="1"/>
  <c r="J36" i="23"/>
  <c r="J13" i="24" s="1"/>
  <c r="J14" s="1"/>
  <c r="K36" i="23"/>
  <c r="K13" i="24" s="1"/>
  <c r="K14" s="1"/>
  <c r="L36" i="23"/>
  <c r="L13" i="24" s="1"/>
  <c r="M36" i="23"/>
  <c r="M13" i="24" s="1"/>
  <c r="M14" s="1"/>
  <c r="N36" i="23"/>
  <c r="N13" i="24" s="1"/>
  <c r="N14" s="1"/>
  <c r="O36" i="23"/>
  <c r="O13" i="24" s="1"/>
  <c r="O14" s="1"/>
  <c r="P36" i="23"/>
  <c r="P13" i="24" s="1"/>
  <c r="P14" s="1"/>
  <c r="Q36" i="23"/>
  <c r="Q13" i="24" s="1"/>
  <c r="Q14" s="1"/>
  <c r="R36" i="23"/>
  <c r="R13" i="24" s="1"/>
  <c r="R14" s="1"/>
  <c r="S36" i="23"/>
  <c r="S13" i="24" s="1"/>
  <c r="S14" s="1"/>
  <c r="T36" i="23"/>
  <c r="T13" i="24" s="1"/>
  <c r="T14" s="1"/>
  <c r="U36" i="23"/>
  <c r="U13" i="24" s="1"/>
  <c r="U14" s="1"/>
  <c r="V36" i="23"/>
  <c r="V13" i="24" s="1"/>
  <c r="V14" s="1"/>
  <c r="W36" i="23"/>
  <c r="W13" i="24" s="1"/>
  <c r="W14" s="1"/>
  <c r="X36" i="23"/>
  <c r="X13" i="24" s="1"/>
  <c r="X14" s="1"/>
  <c r="Y36" i="23"/>
  <c r="Y13" i="24" s="1"/>
  <c r="Z36" i="23"/>
  <c r="Z13" i="24" s="1"/>
  <c r="AA36" i="23"/>
  <c r="AA13" i="24" s="1"/>
  <c r="AA14" s="1"/>
  <c r="AB36" i="23"/>
  <c r="AB13" i="24" s="1"/>
  <c r="AC36" i="23"/>
  <c r="AC13" i="24" s="1"/>
  <c r="AC14" s="1"/>
  <c r="AD36" i="23"/>
  <c r="AD13" i="24" s="1"/>
  <c r="AD14" s="1"/>
  <c r="AE36" i="23"/>
  <c r="AE13" i="24" s="1"/>
  <c r="AE14" s="1"/>
  <c r="AF36" i="23"/>
  <c r="AF13" i="24" s="1"/>
  <c r="AF14" s="1"/>
  <c r="AG36" i="23"/>
  <c r="AG13" i="24" s="1"/>
  <c r="AG14" s="1"/>
  <c r="AH36" i="23"/>
  <c r="AH13" i="24" s="1"/>
  <c r="AH14" s="1"/>
  <c r="C36" i="23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C35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C34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D26"/>
  <c r="E26"/>
  <c r="E9" i="24" s="1"/>
  <c r="E10" s="1"/>
  <c r="F26" i="23"/>
  <c r="F9" i="24" s="1"/>
  <c r="F10" s="1"/>
  <c r="G26" i="23"/>
  <c r="G9" i="24" s="1"/>
  <c r="G10" s="1"/>
  <c r="H26" i="23"/>
  <c r="H9" i="24" s="1"/>
  <c r="H10" s="1"/>
  <c r="I26" i="23"/>
  <c r="I9" i="24" s="1"/>
  <c r="I10" s="1"/>
  <c r="J26" i="23"/>
  <c r="J9" i="24" s="1"/>
  <c r="J10" s="1"/>
  <c r="K26" i="23"/>
  <c r="K9" i="24" s="1"/>
  <c r="K10" s="1"/>
  <c r="L26" i="23"/>
  <c r="L9" i="24" s="1"/>
  <c r="L10" s="1"/>
  <c r="M26" i="23"/>
  <c r="M9" i="24" s="1"/>
  <c r="M10" s="1"/>
  <c r="N26" i="23"/>
  <c r="N9" i="24" s="1"/>
  <c r="N10" s="1"/>
  <c r="O26" i="23"/>
  <c r="O9" i="24" s="1"/>
  <c r="P26" i="23"/>
  <c r="P9" i="24" s="1"/>
  <c r="P10" s="1"/>
  <c r="Q26" i="23"/>
  <c r="Q9" i="24" s="1"/>
  <c r="Q10" s="1"/>
  <c r="R26" i="23"/>
  <c r="R9" i="24" s="1"/>
  <c r="R10" s="1"/>
  <c r="S26" i="23"/>
  <c r="S9" i="24" s="1"/>
  <c r="S10" s="1"/>
  <c r="T26" i="23"/>
  <c r="T9" i="24" s="1"/>
  <c r="T10" s="1"/>
  <c r="U26" i="23"/>
  <c r="U9" i="24" s="1"/>
  <c r="U10" s="1"/>
  <c r="V26" i="23"/>
  <c r="V9" i="24" s="1"/>
  <c r="W26" i="23"/>
  <c r="W9" i="24" s="1"/>
  <c r="X26" i="23"/>
  <c r="X9" i="24" s="1"/>
  <c r="X10" s="1"/>
  <c r="Y26" i="23"/>
  <c r="Y9" i="24" s="1"/>
  <c r="Y10" s="1"/>
  <c r="Z26" i="23"/>
  <c r="Z9" i="24" s="1"/>
  <c r="Z10" s="1"/>
  <c r="AA26" i="23"/>
  <c r="AA9" i="24" s="1"/>
  <c r="AA10" s="1"/>
  <c r="AB26" i="23"/>
  <c r="AB9" i="24" s="1"/>
  <c r="AB10" s="1"/>
  <c r="AC26" i="23"/>
  <c r="AC9" i="24" s="1"/>
  <c r="AC10" s="1"/>
  <c r="AD26" i="23"/>
  <c r="AD9" i="24" s="1"/>
  <c r="AD10" s="1"/>
  <c r="AE26" i="23"/>
  <c r="AE9" i="24" s="1"/>
  <c r="AF26" i="23"/>
  <c r="AF9" i="24" s="1"/>
  <c r="AF10" s="1"/>
  <c r="AG26" i="23"/>
  <c r="AG9" i="24" s="1"/>
  <c r="AG10" s="1"/>
  <c r="AH26" i="23"/>
  <c r="AH9" i="24" s="1"/>
  <c r="AH10" s="1"/>
  <c r="C26" i="23"/>
  <c r="C27"/>
  <c r="C28"/>
  <c r="C29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C25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C24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C17"/>
  <c r="C18"/>
  <c r="C19"/>
  <c r="C20"/>
  <c r="D16"/>
  <c r="E16"/>
  <c r="E5" i="24" s="1"/>
  <c r="E6" s="1"/>
  <c r="F16" i="23"/>
  <c r="F5" i="24" s="1"/>
  <c r="F6" s="1"/>
  <c r="G16" i="23"/>
  <c r="G5" i="24" s="1"/>
  <c r="G6" s="1"/>
  <c r="H16" i="23"/>
  <c r="H5" i="24" s="1"/>
  <c r="H6" s="1"/>
  <c r="I16" i="23"/>
  <c r="I5" i="24" s="1"/>
  <c r="I6" s="1"/>
  <c r="J16" i="23"/>
  <c r="J5" i="24" s="1"/>
  <c r="J6" s="1"/>
  <c r="K16" i="23"/>
  <c r="K5" i="24" s="1"/>
  <c r="K6" s="1"/>
  <c r="L16" i="23"/>
  <c r="L5" i="24" s="1"/>
  <c r="L6" s="1"/>
  <c r="M16" i="23"/>
  <c r="M5" i="24" s="1"/>
  <c r="M6" s="1"/>
  <c r="N16" i="23"/>
  <c r="N5" i="24" s="1"/>
  <c r="N6" s="1"/>
  <c r="O16" i="23"/>
  <c r="O5" i="24" s="1"/>
  <c r="O6" s="1"/>
  <c r="P16" i="23"/>
  <c r="P5" i="24" s="1"/>
  <c r="P6" s="1"/>
  <c r="Q16" i="23"/>
  <c r="Q5" i="24" s="1"/>
  <c r="Q6" s="1"/>
  <c r="R16" i="23"/>
  <c r="R5" i="24" s="1"/>
  <c r="R6" s="1"/>
  <c r="S16" i="23"/>
  <c r="S5" i="24" s="1"/>
  <c r="S6" s="1"/>
  <c r="T16" i="23"/>
  <c r="T5" i="24" s="1"/>
  <c r="T6" s="1"/>
  <c r="U16" i="23"/>
  <c r="U5" i="24" s="1"/>
  <c r="U6" s="1"/>
  <c r="V16" i="23"/>
  <c r="V5" i="24" s="1"/>
  <c r="V6" s="1"/>
  <c r="W16" i="23"/>
  <c r="W5" i="24" s="1"/>
  <c r="W6" s="1"/>
  <c r="X16" i="23"/>
  <c r="X5" i="24" s="1"/>
  <c r="X6" s="1"/>
  <c r="Y16" i="23"/>
  <c r="Y5" i="24" s="1"/>
  <c r="Y6" s="1"/>
  <c r="Z16" i="23"/>
  <c r="Z5" i="24" s="1"/>
  <c r="Z6" s="1"/>
  <c r="AA16" i="23"/>
  <c r="AA5" i="24" s="1"/>
  <c r="AA6" s="1"/>
  <c r="AB16" i="23"/>
  <c r="AB5" i="24" s="1"/>
  <c r="AB6" s="1"/>
  <c r="AC16" i="23"/>
  <c r="AC5" i="24" s="1"/>
  <c r="AC6" s="1"/>
  <c r="AD16" i="23"/>
  <c r="AD5" i="24" s="1"/>
  <c r="AD6" s="1"/>
  <c r="AE16" i="23"/>
  <c r="AE5" i="24" s="1"/>
  <c r="AE6" s="1"/>
  <c r="AF16" i="23"/>
  <c r="AF5" i="24" s="1"/>
  <c r="AF6" s="1"/>
  <c r="AG16" i="23"/>
  <c r="AG5" i="24" s="1"/>
  <c r="AG6" s="1"/>
  <c r="AH16" i="23"/>
  <c r="AH5" i="24" s="1"/>
  <c r="AH6" s="1"/>
  <c r="C16" i="23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C15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C14"/>
  <c r="D14"/>
  <c r="E14"/>
  <c r="C10"/>
  <c r="D10"/>
  <c r="C9"/>
  <c r="D9"/>
  <c r="C8"/>
  <c r="D8"/>
  <c r="C7"/>
  <c r="D7"/>
  <c r="C6"/>
  <c r="D6"/>
  <c r="C5"/>
  <c r="D5"/>
  <c r="C4"/>
  <c r="D4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F6"/>
  <c r="F17" i="24" s="1"/>
  <c r="G6" i="23"/>
  <c r="G17" i="24" s="1"/>
  <c r="H6" i="23"/>
  <c r="H17" i="24" s="1"/>
  <c r="I6" i="23"/>
  <c r="I17" i="24" s="1"/>
  <c r="J6" i="23"/>
  <c r="J17" i="24" s="1"/>
  <c r="K6" i="23"/>
  <c r="K17" i="24" s="1"/>
  <c r="L6" i="23"/>
  <c r="L17" i="24" s="1"/>
  <c r="M6" i="23"/>
  <c r="M17" i="24" s="1"/>
  <c r="N6" i="23"/>
  <c r="N17" i="24" s="1"/>
  <c r="O6" i="23"/>
  <c r="O17" i="24" s="1"/>
  <c r="P6" i="23"/>
  <c r="P17" i="24" s="1"/>
  <c r="Q6" i="23"/>
  <c r="Q17" i="24" s="1"/>
  <c r="R6" i="23"/>
  <c r="R17" i="24" s="1"/>
  <c r="S6" i="23"/>
  <c r="S17" i="24" s="1"/>
  <c r="T6" i="23"/>
  <c r="T17" i="24" s="1"/>
  <c r="U6" i="23"/>
  <c r="U17" i="24" s="1"/>
  <c r="V6" i="23"/>
  <c r="V17" i="24" s="1"/>
  <c r="W6" i="23"/>
  <c r="W17" i="24" s="1"/>
  <c r="X6" i="23"/>
  <c r="X17" i="24" s="1"/>
  <c r="Y6" i="23"/>
  <c r="Y17" i="24" s="1"/>
  <c r="Z6" i="23"/>
  <c r="Z17" i="24" s="1"/>
  <c r="AA6" i="23"/>
  <c r="AA17" i="24" s="1"/>
  <c r="AB6" i="23"/>
  <c r="AB17" i="24" s="1"/>
  <c r="AC6" i="23"/>
  <c r="AC17" i="24" s="1"/>
  <c r="AD6" i="23"/>
  <c r="AD17" i="24" s="1"/>
  <c r="AE6" i="23"/>
  <c r="AE17" i="24" s="1"/>
  <c r="AF6" i="23"/>
  <c r="AF17" i="24" s="1"/>
  <c r="AG6" i="23"/>
  <c r="AG17" i="24" s="1"/>
  <c r="AH6" i="23"/>
  <c r="AH17" i="24" s="1"/>
  <c r="F5" i="23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E5"/>
  <c r="E6"/>
  <c r="E17" i="24" s="1"/>
  <c r="E7" i="23"/>
  <c r="E8"/>
  <c r="E9"/>
  <c r="E10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E4"/>
  <c r="L14" i="24"/>
  <c r="Y14"/>
  <c r="Z14"/>
  <c r="AB14"/>
  <c r="O10"/>
  <c r="V10"/>
  <c r="W10"/>
  <c r="AE10"/>
  <c r="Y18" l="1"/>
  <c r="Q18"/>
  <c r="Z18"/>
  <c r="R18"/>
  <c r="W18"/>
  <c r="S18"/>
  <c r="AF18"/>
  <c r="AB18"/>
  <c r="P18"/>
  <c r="L18"/>
  <c r="AC18"/>
  <c r="U18"/>
  <c r="V18"/>
  <c r="N18"/>
  <c r="G18"/>
  <c r="AA19"/>
  <c r="AA13" i="23"/>
  <c r="AA20" i="24" s="1"/>
  <c r="O19"/>
  <c r="O13" i="23"/>
  <c r="O20" i="24" s="1"/>
  <c r="AH7"/>
  <c r="AH23" i="23"/>
  <c r="AH8" i="24" s="1"/>
  <c r="V7"/>
  <c r="V23" i="23"/>
  <c r="V8" i="24" s="1"/>
  <c r="R7"/>
  <c r="R23" i="23"/>
  <c r="R8" i="24" s="1"/>
  <c r="N7"/>
  <c r="N23" i="23"/>
  <c r="N8" i="24" s="1"/>
  <c r="J7"/>
  <c r="J23" i="23"/>
  <c r="J8" i="24" s="1"/>
  <c r="F7"/>
  <c r="F23" i="23"/>
  <c r="F8" i="24" s="1"/>
  <c r="AE11"/>
  <c r="AE33" i="23"/>
  <c r="AE12" i="24" s="1"/>
  <c r="AA11"/>
  <c r="AA33" i="23"/>
  <c r="AA12" i="24" s="1"/>
  <c r="W11"/>
  <c r="W33" i="23"/>
  <c r="W12" i="24" s="1"/>
  <c r="S11"/>
  <c r="S33" i="23"/>
  <c r="S12" i="24" s="1"/>
  <c r="O11"/>
  <c r="O33" i="23"/>
  <c r="O12" i="24" s="1"/>
  <c r="K11"/>
  <c r="K33" i="23"/>
  <c r="K12" i="24" s="1"/>
  <c r="G11"/>
  <c r="G33" i="23"/>
  <c r="G12" i="24" s="1"/>
  <c r="AF19"/>
  <c r="AF13" i="23"/>
  <c r="AF20" i="24" s="1"/>
  <c r="AB19"/>
  <c r="AB13" i="23"/>
  <c r="AB20" i="24" s="1"/>
  <c r="X19"/>
  <c r="X13" i="23"/>
  <c r="X20" i="24" s="1"/>
  <c r="T19"/>
  <c r="T13" i="23"/>
  <c r="T20" i="24" s="1"/>
  <c r="P19"/>
  <c r="P13" i="23"/>
  <c r="P20" i="24" s="1"/>
  <c r="L19"/>
  <c r="L13" i="23"/>
  <c r="L20" i="24" s="1"/>
  <c r="H19"/>
  <c r="H13" i="23"/>
  <c r="H20" i="24" s="1"/>
  <c r="AE23" i="23"/>
  <c r="AE8" i="24" s="1"/>
  <c r="AE7"/>
  <c r="AA23" i="23"/>
  <c r="AA8" i="24" s="1"/>
  <c r="AA7"/>
  <c r="W23" i="23"/>
  <c r="W8" i="24" s="1"/>
  <c r="W7"/>
  <c r="S23" i="23"/>
  <c r="S8" i="24" s="1"/>
  <c r="S7"/>
  <c r="O23" i="23"/>
  <c r="O8" i="24" s="1"/>
  <c r="O7"/>
  <c r="K23" i="23"/>
  <c r="K8" i="24" s="1"/>
  <c r="K7"/>
  <c r="G23" i="23"/>
  <c r="G8" i="24" s="1"/>
  <c r="G7"/>
  <c r="AF33" i="23"/>
  <c r="AF12" i="24" s="1"/>
  <c r="AF11"/>
  <c r="AB33" i="23"/>
  <c r="AB12" i="24" s="1"/>
  <c r="AB11"/>
  <c r="X11"/>
  <c r="X33" i="23"/>
  <c r="X12" i="24" s="1"/>
  <c r="T33" i="23"/>
  <c r="T12" i="24" s="1"/>
  <c r="T11"/>
  <c r="P33" i="23"/>
  <c r="P12" i="24" s="1"/>
  <c r="P11"/>
  <c r="L11"/>
  <c r="L33" i="23"/>
  <c r="L12" i="24" s="1"/>
  <c r="H33" i="23"/>
  <c r="H12" i="24" s="1"/>
  <c r="H11"/>
  <c r="C11" i="23"/>
  <c r="D11"/>
  <c r="C12"/>
  <c r="AE19" i="24"/>
  <c r="AE13" i="23"/>
  <c r="AE20" i="24" s="1"/>
  <c r="S19"/>
  <c r="S13" i="23"/>
  <c r="S20" i="24" s="1"/>
  <c r="G19"/>
  <c r="G13" i="23"/>
  <c r="G20" i="24" s="1"/>
  <c r="AD7"/>
  <c r="AD23" i="23"/>
  <c r="AD8" i="24" s="1"/>
  <c r="AG19"/>
  <c r="AG13" i="23"/>
  <c r="AG20" i="24" s="1"/>
  <c r="AC19"/>
  <c r="AC13" i="23"/>
  <c r="AC20" i="24" s="1"/>
  <c r="Y19"/>
  <c r="Y13" i="23"/>
  <c r="Y20" i="24" s="1"/>
  <c r="U19"/>
  <c r="U13" i="23"/>
  <c r="U20" i="24" s="1"/>
  <c r="Q19"/>
  <c r="Q13" i="23"/>
  <c r="Q20" i="24" s="1"/>
  <c r="M19"/>
  <c r="M13" i="23"/>
  <c r="M20" i="24" s="1"/>
  <c r="I19"/>
  <c r="I13" i="23"/>
  <c r="I20" i="24" s="1"/>
  <c r="AF23" i="23"/>
  <c r="AF8" i="24" s="1"/>
  <c r="AF7"/>
  <c r="AB23" i="23"/>
  <c r="AB8" i="24" s="1"/>
  <c r="AB7"/>
  <c r="X7"/>
  <c r="X23" i="23"/>
  <c r="X8" i="24" s="1"/>
  <c r="T7"/>
  <c r="T23" i="23"/>
  <c r="T8" i="24" s="1"/>
  <c r="P23" i="23"/>
  <c r="P8" i="24" s="1"/>
  <c r="P7"/>
  <c r="L7"/>
  <c r="L23" i="23"/>
  <c r="L8" i="24" s="1"/>
  <c r="H7"/>
  <c r="H23" i="23"/>
  <c r="H8" i="24" s="1"/>
  <c r="AG33" i="23"/>
  <c r="AG12" i="24" s="1"/>
  <c r="AG11"/>
  <c r="AC33" i="23"/>
  <c r="AC12" i="24" s="1"/>
  <c r="AC11"/>
  <c r="Y33" i="23"/>
  <c r="Y12" i="24" s="1"/>
  <c r="Y11"/>
  <c r="U33" i="23"/>
  <c r="U12" i="24" s="1"/>
  <c r="U11"/>
  <c r="Q33" i="23"/>
  <c r="Q12" i="24" s="1"/>
  <c r="Q11"/>
  <c r="M33" i="23"/>
  <c r="M12" i="24" s="1"/>
  <c r="M11"/>
  <c r="I33" i="23"/>
  <c r="I12" i="24" s="1"/>
  <c r="I11"/>
  <c r="E11"/>
  <c r="E33" i="23"/>
  <c r="E12" i="24" s="1"/>
  <c r="D12" i="23"/>
  <c r="E19" i="24"/>
  <c r="E13" i="23"/>
  <c r="E20" i="24" s="1"/>
  <c r="W19"/>
  <c r="W13" i="23"/>
  <c r="W20" i="24" s="1"/>
  <c r="K19"/>
  <c r="K13" i="23"/>
  <c r="K20" i="24" s="1"/>
  <c r="Z7"/>
  <c r="Z23" i="23"/>
  <c r="Z8" i="24" s="1"/>
  <c r="AH19"/>
  <c r="AH13" i="23"/>
  <c r="AH20" i="24" s="1"/>
  <c r="AD19"/>
  <c r="AD13" i="23"/>
  <c r="AD20" i="24" s="1"/>
  <c r="Z19"/>
  <c r="Z13" i="23"/>
  <c r="Z20" i="24" s="1"/>
  <c r="V19"/>
  <c r="V13" i="23"/>
  <c r="V20" i="24" s="1"/>
  <c r="R19"/>
  <c r="R13" i="23"/>
  <c r="R20" i="24" s="1"/>
  <c r="N19"/>
  <c r="N13" i="23"/>
  <c r="N20" i="24" s="1"/>
  <c r="J19"/>
  <c r="J13" i="23"/>
  <c r="J20" i="24" s="1"/>
  <c r="F19"/>
  <c r="F13" i="23"/>
  <c r="F20" i="24" s="1"/>
  <c r="AG7"/>
  <c r="AG23" i="23"/>
  <c r="AG8" i="24" s="1"/>
  <c r="AC7"/>
  <c r="AC23" i="23"/>
  <c r="AC8" i="24" s="1"/>
  <c r="Y7"/>
  <c r="Y23" i="23"/>
  <c r="Y8" i="24" s="1"/>
  <c r="U7"/>
  <c r="U23" i="23"/>
  <c r="U8" i="24" s="1"/>
  <c r="Q7"/>
  <c r="Q23" i="23"/>
  <c r="Q8" i="24" s="1"/>
  <c r="M7"/>
  <c r="M23" i="23"/>
  <c r="M8" i="24" s="1"/>
  <c r="I7"/>
  <c r="I23" i="23"/>
  <c r="I8" i="24" s="1"/>
  <c r="E7"/>
  <c r="E23" i="23"/>
  <c r="E8" i="24" s="1"/>
  <c r="AH11"/>
  <c r="AH33" i="23"/>
  <c r="AH12" i="24" s="1"/>
  <c r="AD11"/>
  <c r="AD33" i="23"/>
  <c r="AD12" i="24" s="1"/>
  <c r="Z33" i="23"/>
  <c r="Z12" i="24" s="1"/>
  <c r="Z11"/>
  <c r="V11"/>
  <c r="V33" i="23"/>
  <c r="V12" i="24" s="1"/>
  <c r="R11"/>
  <c r="R33" i="23"/>
  <c r="R12" i="24" s="1"/>
  <c r="N33" i="23"/>
  <c r="N12" i="24" s="1"/>
  <c r="N11"/>
  <c r="J33" i="23"/>
  <c r="J12" i="24" s="1"/>
  <c r="J11"/>
  <c r="F11"/>
  <c r="F33" i="23"/>
  <c r="F12" i="24" s="1"/>
  <c r="D21" i="23"/>
  <c r="D22"/>
  <c r="D31"/>
  <c r="D32"/>
  <c r="C31"/>
  <c r="C32"/>
  <c r="C21"/>
  <c r="C22"/>
  <c r="D16" i="24"/>
  <c r="D15"/>
  <c r="D14"/>
  <c r="D10"/>
  <c r="D6"/>
  <c r="D5"/>
  <c r="D9"/>
  <c r="D37"/>
  <c r="D33"/>
  <c r="D32"/>
  <c r="B30"/>
  <c r="D29"/>
  <c r="D28"/>
  <c r="D26"/>
  <c r="D25"/>
  <c r="D24"/>
  <c r="D22"/>
  <c r="B17"/>
  <c r="B34" l="1"/>
  <c r="AA18"/>
  <c r="AD18"/>
  <c r="E18"/>
  <c r="T18"/>
  <c r="K18"/>
  <c r="AE18"/>
  <c r="AH18"/>
  <c r="AG18"/>
  <c r="F18"/>
  <c r="I18"/>
  <c r="H18"/>
  <c r="X18"/>
  <c r="O18"/>
  <c r="J18"/>
  <c r="M18"/>
  <c r="C23" i="23"/>
  <c r="D11" i="24"/>
  <c r="D12"/>
  <c r="D33" i="23"/>
  <c r="C33"/>
  <c r="D7" i="24"/>
  <c r="D8"/>
  <c r="D23" i="23"/>
  <c r="D19" i="24"/>
  <c r="D20"/>
  <c r="D13" i="23"/>
  <c r="C13"/>
  <c r="D36" i="24"/>
  <c r="D23"/>
  <c r="D13"/>
  <c r="D27"/>
  <c r="D18" l="1"/>
  <c r="D35"/>
  <c r="D17"/>
  <c r="D30"/>
  <c r="D31"/>
  <c r="D34"/>
</calcChain>
</file>

<file path=xl/sharedStrings.xml><?xml version="1.0" encoding="utf-8"?>
<sst xmlns="http://schemas.openxmlformats.org/spreadsheetml/2006/main" count="1044" uniqueCount="255">
  <si>
    <t>序號</t>
  </si>
  <si>
    <t>備注</t>
  </si>
  <si>
    <t>項目</t>
  </si>
  <si>
    <t>實際產量</t>
  </si>
  <si>
    <t>回到首頁</t>
  </si>
  <si>
    <t>10月</t>
  </si>
  <si>
    <t>11月</t>
  </si>
  <si>
    <t>12月</t>
  </si>
  <si>
    <t>01月</t>
  </si>
  <si>
    <t>02月</t>
  </si>
  <si>
    <t>03月</t>
  </si>
  <si>
    <t>04月</t>
  </si>
  <si>
    <t>05月</t>
  </si>
  <si>
    <t>06月</t>
  </si>
  <si>
    <t>07月</t>
  </si>
  <si>
    <t>08月</t>
  </si>
  <si>
    <t>09月</t>
  </si>
  <si>
    <t>小計</t>
  </si>
  <si>
    <t>1.月份產能總表</t>
    <phoneticPr fontId="33" type="noConversion"/>
  </si>
  <si>
    <t>客人</t>
  </si>
  <si>
    <t>品牌</t>
    <phoneticPr fontId="6" type="noConversion"/>
  </si>
  <si>
    <t>出貨階段</t>
    <phoneticPr fontId="6" type="noConversion"/>
  </si>
  <si>
    <t>各品牌月份預計出貨</t>
    <phoneticPr fontId="31" type="noConversion"/>
  </si>
  <si>
    <r>
      <t>2017</t>
    </r>
    <r>
      <rPr>
        <b/>
        <sz val="18"/>
        <color indexed="12"/>
        <rFont val="細明體"/>
        <family val="3"/>
        <charset val="136"/>
      </rPr>
      <t>年綜合報表目錄</t>
    </r>
    <phoneticPr fontId="32" type="noConversion"/>
  </si>
  <si>
    <t>單位項目</t>
    <phoneticPr fontId="2" type="noConversion"/>
  </si>
  <si>
    <t>接單雙數</t>
  </si>
  <si>
    <t>提前生產</t>
  </si>
  <si>
    <t>欠數</t>
  </si>
  <si>
    <t>備註：</t>
  </si>
  <si>
    <t>Converse</t>
  </si>
  <si>
    <t>CONS外銷</t>
    <phoneticPr fontId="2" type="noConversion"/>
  </si>
  <si>
    <t>完成雙數</t>
    <phoneticPr fontId="2" type="noConversion"/>
  </si>
  <si>
    <t>CONS內銷</t>
    <phoneticPr fontId="2" type="noConversion"/>
  </si>
  <si>
    <t>實際產量</t>
    <phoneticPr fontId="2" type="noConversion"/>
  </si>
  <si>
    <t>目標與實際差異</t>
    <phoneticPr fontId="2" type="noConversion"/>
  </si>
  <si>
    <t>標準與實際差異</t>
    <phoneticPr fontId="2" type="noConversion"/>
  </si>
  <si>
    <t>目標與實際達成率</t>
    <phoneticPr fontId="2" type="noConversion"/>
  </si>
  <si>
    <t>實際出貨數</t>
  </si>
  <si>
    <t>差異數</t>
    <phoneticPr fontId="31" type="noConversion"/>
  </si>
  <si>
    <t>預計出貨數</t>
  </si>
  <si>
    <r>
      <t>2017</t>
    </r>
    <r>
      <rPr>
        <b/>
        <sz val="16"/>
        <color indexed="30"/>
        <rFont val="細明體"/>
        <family val="3"/>
        <charset val="136"/>
      </rPr>
      <t>年度品牌接單生產報表</t>
    </r>
    <r>
      <rPr>
        <b/>
        <sz val="16"/>
        <color indexed="30"/>
        <rFont val="Calibri"/>
        <family val="2"/>
      </rPr>
      <t>-</t>
    </r>
    <r>
      <rPr>
        <b/>
        <sz val="16"/>
        <color indexed="30"/>
        <rFont val="細明體"/>
        <family val="3"/>
        <charset val="136"/>
      </rPr>
      <t>每天更新（以月份訂單統計）</t>
    </r>
    <phoneticPr fontId="7" type="noConversion"/>
  </si>
  <si>
    <t>2.2月份預計出貨數量</t>
    <phoneticPr fontId="31" type="noConversion"/>
  </si>
  <si>
    <t>2.1年度品牌報表</t>
    <phoneticPr fontId="31" type="noConversion"/>
  </si>
  <si>
    <t>項目</t>
    <phoneticPr fontId="37" type="noConversion"/>
  </si>
  <si>
    <t>總計</t>
    <phoneticPr fontId="37" type="noConversion"/>
  </si>
  <si>
    <t>標準產量</t>
    <phoneticPr fontId="37" type="noConversion"/>
  </si>
  <si>
    <t>目標產量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</si>
  <si>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</si>
  <si>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</si>
  <si>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</si>
  <si>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</si>
  <si>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</si>
  <si>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</si>
  <si>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Total</t>
  </si>
  <si>
    <t>總計</t>
    <phoneticPr fontId="31" type="noConversion"/>
  </si>
  <si>
    <t>標準產量</t>
    <phoneticPr fontId="31" type="noConversion"/>
  </si>
  <si>
    <t>A1廠成型</t>
    <phoneticPr fontId="31" type="noConversion"/>
  </si>
  <si>
    <t>目標產量</t>
    <phoneticPr fontId="2" type="noConversion"/>
  </si>
  <si>
    <t>A2廠成型</t>
    <phoneticPr fontId="31" type="noConversion"/>
  </si>
  <si>
    <t>標準與實際達成率</t>
    <phoneticPr fontId="2" type="noConversion"/>
  </si>
  <si>
    <t>目標產量</t>
    <phoneticPr fontId="31" type="noConversion"/>
  </si>
  <si>
    <t>實際產量</t>
    <phoneticPr fontId="31" type="noConversion"/>
  </si>
  <si>
    <t>目標與實際差異</t>
    <phoneticPr fontId="31" type="noConversion"/>
  </si>
  <si>
    <t>標準與實際差異</t>
    <phoneticPr fontId="31" type="noConversion"/>
  </si>
  <si>
    <t>目標與實際達成率</t>
    <phoneticPr fontId="31" type="noConversion"/>
  </si>
  <si>
    <t>標準與實際達成率</t>
    <phoneticPr fontId="31" type="noConversion"/>
  </si>
  <si>
    <t>單位:雙</t>
  </si>
  <si>
    <t>廠別</t>
  </si>
  <si>
    <t>線數</t>
  </si>
  <si>
    <t>平均</t>
  </si>
  <si>
    <t>A1成型</t>
  </si>
  <si>
    <t>線均產量</t>
  </si>
  <si>
    <t>線均時產</t>
    <phoneticPr fontId="116" type="noConversion"/>
  </si>
  <si>
    <t>人均時產</t>
    <phoneticPr fontId="31" type="noConversion"/>
  </si>
  <si>
    <t>A2成型</t>
  </si>
  <si>
    <t>BB</t>
  </si>
  <si>
    <t>A廠成型</t>
    <phoneticPr fontId="31" type="noConversion"/>
  </si>
  <si>
    <t>B1成型</t>
  </si>
  <si>
    <t>B7成型</t>
    <phoneticPr fontId="7" type="noConversion"/>
  </si>
  <si>
    <t>B廠成型</t>
    <phoneticPr fontId="31" type="noConversion"/>
  </si>
  <si>
    <t>全廠成型</t>
  </si>
  <si>
    <t>線均時產</t>
    <phoneticPr fontId="116" type="noConversion"/>
  </si>
  <si>
    <t>5.1.全廠線均產能</t>
    <phoneticPr fontId="31" type="noConversion"/>
  </si>
  <si>
    <t>Lean線</t>
    <phoneticPr fontId="37" type="noConversion"/>
  </si>
  <si>
    <t>日平均</t>
    <phoneticPr fontId="37" type="noConversion"/>
  </si>
  <si>
    <t>3-1.人員刷卡出勤</t>
    <phoneticPr fontId="31" type="noConversion"/>
  </si>
  <si>
    <t>A2</t>
    <phoneticPr fontId="37" type="noConversion"/>
  </si>
  <si>
    <t>BB</t>
    <phoneticPr fontId="37" type="noConversion"/>
  </si>
  <si>
    <t>Lean線</t>
    <phoneticPr fontId="37" type="noConversion"/>
  </si>
  <si>
    <t>總計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</si>
  <si>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</si>
  <si>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</si>
  <si>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</si>
  <si>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A1</t>
    <phoneticPr fontId="37" type="noConversion"/>
  </si>
  <si>
    <t>標準產量</t>
    <phoneticPr fontId="37" type="noConversion"/>
  </si>
  <si>
    <t>標準產量</t>
    <phoneticPr fontId="37" type="noConversion"/>
  </si>
  <si>
    <t>廠別</t>
    <phoneticPr fontId="37" type="noConversion"/>
  </si>
  <si>
    <t>廠內分攤</t>
    <phoneticPr fontId="37" type="noConversion"/>
  </si>
  <si>
    <t>廠外分攤</t>
    <phoneticPr fontId="37" type="noConversion"/>
  </si>
  <si>
    <t>3.2.A1廠人均時產能-針車</t>
    <phoneticPr fontId="31" type="noConversion"/>
  </si>
  <si>
    <t>3.3.A2廠人均時產能-針車</t>
    <phoneticPr fontId="31" type="noConversion"/>
  </si>
  <si>
    <t>3.4.A1廠人均時產能-成型</t>
    <phoneticPr fontId="31" type="noConversion"/>
  </si>
  <si>
    <t>3.5.A2廠人均時產能-成型</t>
    <phoneticPr fontId="31" type="noConversion"/>
  </si>
  <si>
    <t>3.6.A廠總計產能</t>
    <phoneticPr fontId="31" type="noConversion"/>
  </si>
  <si>
    <t>3.7.A廠人員分攤POH產能</t>
    <phoneticPr fontId="31" type="noConversion"/>
  </si>
  <si>
    <t>2017/03月A廠人員分攤POH產能</t>
    <phoneticPr fontId="31" type="noConversion"/>
  </si>
  <si>
    <t>廠內分攤</t>
    <phoneticPr fontId="37" type="noConversion"/>
  </si>
  <si>
    <t>廠外分攤</t>
    <phoneticPr fontId="37" type="noConversion"/>
  </si>
  <si>
    <t>時產能</t>
    <phoneticPr fontId="37" type="noConversion"/>
  </si>
  <si>
    <t>廠內分攤</t>
    <phoneticPr fontId="37" type="noConversion"/>
  </si>
  <si>
    <t>廠外分攤</t>
    <phoneticPr fontId="37" type="noConversion"/>
  </si>
  <si>
    <t>A1_LEAN5-21_G</t>
    <phoneticPr fontId="37" type="noConversion"/>
  </si>
  <si>
    <t>A1_LEAN5-21_M</t>
    <phoneticPr fontId="37" type="noConversion"/>
  </si>
  <si>
    <t>2017年度04月份產量達成狀況明細表</t>
    <phoneticPr fontId="31" type="noConversion"/>
  </si>
  <si>
    <t>日類計</t>
    <phoneticPr fontId="31" type="noConversion"/>
  </si>
  <si>
    <t>日平均</t>
    <phoneticPr fontId="31" type="noConversion"/>
  </si>
  <si>
    <t>A1.2廠樣品室</t>
    <phoneticPr fontId="31" type="noConversion"/>
  </si>
  <si>
    <t>A廠區小計</t>
    <phoneticPr fontId="31" type="noConversion"/>
  </si>
  <si>
    <t>2017/04月針車人均時產能報表</t>
    <phoneticPr fontId="31" type="noConversion"/>
  </si>
  <si>
    <t>項目</t>
    <phoneticPr fontId="37" type="noConversion"/>
  </si>
  <si>
    <t>日平均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</si>
  <si>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</si>
  <si>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</si>
  <si>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</si>
  <si>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</si>
  <si>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</si>
  <si>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</si>
  <si>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A1_LEAN1-01_M</t>
    <phoneticPr fontId="37" type="noConversion"/>
  </si>
  <si>
    <t>A1_LEAN1-02_M</t>
    <phoneticPr fontId="37" type="noConversion"/>
  </si>
  <si>
    <t>標準產量</t>
    <phoneticPr fontId="37" type="noConversion"/>
  </si>
  <si>
    <t>A1_LEAN1-03_M</t>
    <phoneticPr fontId="37" type="noConversion"/>
  </si>
  <si>
    <t>A1_LEAN1-04_M</t>
    <phoneticPr fontId="37" type="noConversion"/>
  </si>
  <si>
    <t>A1_LEAN2-05_M</t>
    <phoneticPr fontId="37" type="noConversion"/>
  </si>
  <si>
    <t>A1_LEAN2-06_M</t>
    <phoneticPr fontId="37" type="noConversion"/>
  </si>
  <si>
    <t>A1_LEAN2-07_M</t>
    <phoneticPr fontId="37" type="noConversion"/>
  </si>
  <si>
    <t>A1_LEAN2-08_M</t>
    <phoneticPr fontId="37" type="noConversion"/>
  </si>
  <si>
    <t>A1_LEAN3-09_M</t>
    <phoneticPr fontId="37" type="noConversion"/>
  </si>
  <si>
    <t>A1_LEAN3-10_M</t>
    <phoneticPr fontId="37" type="noConversion"/>
  </si>
  <si>
    <t>A1_LEAN3-11_M</t>
    <phoneticPr fontId="37" type="noConversion"/>
  </si>
  <si>
    <t>A1_LEAN3-12_M</t>
    <phoneticPr fontId="37" type="noConversion"/>
  </si>
  <si>
    <t>A1_LEAN4-13_M</t>
    <phoneticPr fontId="37" type="noConversion"/>
  </si>
  <si>
    <t>A1_LEAN4-14_M</t>
    <phoneticPr fontId="37" type="noConversion"/>
  </si>
  <si>
    <t>A1_LEAN4-15_M</t>
    <phoneticPr fontId="37" type="noConversion"/>
  </si>
  <si>
    <t>A1_LEAN4-16_M</t>
    <phoneticPr fontId="37" type="noConversion"/>
  </si>
  <si>
    <t>A1_LEAN5-17_M</t>
    <phoneticPr fontId="37" type="noConversion"/>
  </si>
  <si>
    <t>A1_LEAN5-18_M</t>
    <phoneticPr fontId="37" type="noConversion"/>
  </si>
  <si>
    <t>A1_LEAN5-19_M</t>
    <phoneticPr fontId="37" type="noConversion"/>
  </si>
  <si>
    <t>A1_LEAN5-20_M</t>
    <phoneticPr fontId="37" type="noConversion"/>
  </si>
  <si>
    <t>2017/04月針車人均時產能報表</t>
    <phoneticPr fontId="31" type="noConversion"/>
  </si>
  <si>
    <t>項目</t>
    <phoneticPr fontId="37" type="noConversion"/>
  </si>
  <si>
    <t>實際產量</t>
    <phoneticPr fontId="37" type="noConversion"/>
  </si>
  <si>
    <t>差異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</si>
  <si>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</si>
  <si>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</si>
  <si>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</si>
  <si>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A2_LEAN1-01_M</t>
    <phoneticPr fontId="37" type="noConversion"/>
  </si>
  <si>
    <t>A2_LEAN1-02_M</t>
    <phoneticPr fontId="37" type="noConversion"/>
  </si>
  <si>
    <t>標準產量</t>
    <phoneticPr fontId="37" type="noConversion"/>
  </si>
  <si>
    <t>A2_LEAN1-03_M</t>
    <phoneticPr fontId="37" type="noConversion"/>
  </si>
  <si>
    <t>A2_LEAN1-04_M</t>
    <phoneticPr fontId="37" type="noConversion"/>
  </si>
  <si>
    <t>A2_LEAN1-05_M</t>
    <phoneticPr fontId="37" type="noConversion"/>
  </si>
  <si>
    <t>A2_LEAN2-06_M</t>
    <phoneticPr fontId="37" type="noConversion"/>
  </si>
  <si>
    <t>A2_LEAN2-07_M</t>
    <phoneticPr fontId="37" type="noConversion"/>
  </si>
  <si>
    <t>A2_LEAN2-08_M</t>
    <phoneticPr fontId="37" type="noConversion"/>
  </si>
  <si>
    <t>A2_LEAN2-09_M</t>
    <phoneticPr fontId="37" type="noConversion"/>
  </si>
  <si>
    <t>A2_LEAN2-10_M</t>
    <phoneticPr fontId="37" type="noConversion"/>
  </si>
  <si>
    <t>A2_LEAN2-11_M</t>
    <phoneticPr fontId="37" type="noConversion"/>
  </si>
  <si>
    <t>A2_LEAN3-12_M</t>
    <phoneticPr fontId="37" type="noConversion"/>
  </si>
  <si>
    <t>A2_LEAN3-13_M</t>
    <phoneticPr fontId="37" type="noConversion"/>
  </si>
  <si>
    <t>A2_LEAN3-14_M</t>
    <phoneticPr fontId="37" type="noConversion"/>
  </si>
  <si>
    <t>A2_LEAN3-15_M</t>
    <phoneticPr fontId="37" type="noConversion"/>
  </si>
  <si>
    <t>A2_LEAN3-16_M</t>
    <phoneticPr fontId="37" type="noConversion"/>
  </si>
  <si>
    <t>A2_LEAN3-17_M</t>
    <phoneticPr fontId="37" type="noConversion"/>
  </si>
  <si>
    <t>2017/04月成型人均時產能報表</t>
    <phoneticPr fontId="31" type="noConversion"/>
  </si>
  <si>
    <t>項目</t>
    <phoneticPr fontId="37" type="noConversion"/>
  </si>
  <si>
    <t>實際產量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</si>
  <si>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</si>
  <si>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</si>
  <si>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</si>
  <si>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A1_LEAN1-01_G</t>
    <phoneticPr fontId="37" type="noConversion"/>
  </si>
  <si>
    <t>A1_LEAN1-02_G</t>
    <phoneticPr fontId="37" type="noConversion"/>
  </si>
  <si>
    <t>A1_LEAN1-03_G</t>
    <phoneticPr fontId="37" type="noConversion"/>
  </si>
  <si>
    <t>A1_LEAN1-04_G</t>
    <phoneticPr fontId="37" type="noConversion"/>
  </si>
  <si>
    <t>A1_LEAN2-05_G</t>
    <phoneticPr fontId="37" type="noConversion"/>
  </si>
  <si>
    <t>A1_LEAN2-06_G</t>
    <phoneticPr fontId="37" type="noConversion"/>
  </si>
  <si>
    <t>A1_LEAN2-07_G</t>
    <phoneticPr fontId="37" type="noConversion"/>
  </si>
  <si>
    <t>A1_LEAN2-08_G</t>
    <phoneticPr fontId="37" type="noConversion"/>
  </si>
  <si>
    <t>A1_LEAN3-09_G</t>
    <phoneticPr fontId="37" type="noConversion"/>
  </si>
  <si>
    <t>A1_LEAN3-10_G</t>
    <phoneticPr fontId="37" type="noConversion"/>
  </si>
  <si>
    <t>A1_LEAN3-11_G</t>
    <phoneticPr fontId="37" type="noConversion"/>
  </si>
  <si>
    <t>A1_LEAN3-12_G</t>
    <phoneticPr fontId="37" type="noConversion"/>
  </si>
  <si>
    <t>A1_LEAN4-13_G</t>
    <phoneticPr fontId="37" type="noConversion"/>
  </si>
  <si>
    <t>A1_LEAN4-14_G</t>
    <phoneticPr fontId="37" type="noConversion"/>
  </si>
  <si>
    <t>A1_LEAN4-15_G</t>
    <phoneticPr fontId="37" type="noConversion"/>
  </si>
  <si>
    <t>A1_LEAN4-16_G</t>
    <phoneticPr fontId="37" type="noConversion"/>
  </si>
  <si>
    <t>A1_LEAN5-17_G</t>
    <phoneticPr fontId="37" type="noConversion"/>
  </si>
  <si>
    <t>A1_LEAN5-18_G</t>
    <phoneticPr fontId="37" type="noConversion"/>
  </si>
  <si>
    <t>A1_LEAN5-19_G</t>
    <phoneticPr fontId="37" type="noConversion"/>
  </si>
  <si>
    <t>A1_LEAN5-20_G</t>
    <phoneticPr fontId="37" type="noConversion"/>
  </si>
  <si>
    <t>2017/04月成型人均時產能報表</t>
    <phoneticPr fontId="31" type="noConversion"/>
  </si>
  <si>
    <t>Lean線</t>
    <phoneticPr fontId="37" type="noConversion"/>
  </si>
  <si>
    <t>項目</t>
    <phoneticPr fontId="37" type="noConversion"/>
  </si>
  <si>
    <t>A2_LEAN1-01_G</t>
    <phoneticPr fontId="37" type="noConversion"/>
  </si>
  <si>
    <t>A2_LEAN1-02_G</t>
    <phoneticPr fontId="37" type="noConversion"/>
  </si>
  <si>
    <t>A2_LEAN1-03_G</t>
    <phoneticPr fontId="37" type="noConversion"/>
  </si>
  <si>
    <t>A2_LEAN1-04_G</t>
    <phoneticPr fontId="37" type="noConversion"/>
  </si>
  <si>
    <t>A2_LEAN1-05_G</t>
    <phoneticPr fontId="37" type="noConversion"/>
  </si>
  <si>
    <t>A2_LEAN2-06_G</t>
    <phoneticPr fontId="37" type="noConversion"/>
  </si>
  <si>
    <t>A2_LEAN2-07_G</t>
    <phoneticPr fontId="37" type="noConversion"/>
  </si>
  <si>
    <t>A2_LEAN2-08_G</t>
    <phoneticPr fontId="37" type="noConversion"/>
  </si>
  <si>
    <t>A2_LEAN2-09_G</t>
    <phoneticPr fontId="37" type="noConversion"/>
  </si>
  <si>
    <t>A2_LEAN2-10_G</t>
    <phoneticPr fontId="37" type="noConversion"/>
  </si>
  <si>
    <t>A2_LEAN2-11_G</t>
    <phoneticPr fontId="37" type="noConversion"/>
  </si>
  <si>
    <t>A2_LEAN3-12_G</t>
    <phoneticPr fontId="37" type="noConversion"/>
  </si>
  <si>
    <t>A2_LEAN3-13_G</t>
    <phoneticPr fontId="37" type="noConversion"/>
  </si>
  <si>
    <t>A2_LEAN3-14_G</t>
    <phoneticPr fontId="37" type="noConversion"/>
  </si>
  <si>
    <t>A2_LEAN3-15_G</t>
    <phoneticPr fontId="37" type="noConversion"/>
  </si>
  <si>
    <t>A2_LEAN3-16_G</t>
    <phoneticPr fontId="37" type="noConversion"/>
  </si>
  <si>
    <t>人均時產</t>
    <phoneticPr fontId="37" type="noConversion"/>
  </si>
  <si>
    <t>A2_LEAN3-17_G</t>
    <phoneticPr fontId="37" type="noConversion"/>
  </si>
  <si>
    <t>實際產量</t>
    <phoneticPr fontId="37" type="noConversion"/>
  </si>
  <si>
    <t>2017/04月成型人均時產能報表</t>
    <phoneticPr fontId="31" type="noConversion"/>
  </si>
  <si>
    <t>Lean線</t>
    <phoneticPr fontId="37" type="noConversion"/>
  </si>
  <si>
    <t>項目</t>
    <phoneticPr fontId="37" type="noConversion"/>
  </si>
  <si>
    <t>目標產量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</si>
  <si>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</si>
  <si>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</si>
  <si>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</si>
  <si>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目標產量</t>
    <phoneticPr fontId="37" type="noConversion"/>
  </si>
  <si>
    <t>04月人事刷卡出勤報表</t>
    <phoneticPr fontId="31" type="noConversion"/>
  </si>
  <si>
    <t>項目</t>
    <phoneticPr fontId="37" type="noConversion"/>
  </si>
  <si>
    <t>刷卡總數</t>
  </si>
  <si>
    <t>刷卡總數</t>
    <phoneticPr fontId="31" type="noConversion"/>
  </si>
  <si>
    <t>刷卡直工</t>
  </si>
  <si>
    <t>刷卡直工</t>
    <phoneticPr fontId="31" type="noConversion"/>
  </si>
  <si>
    <t>刷卡間工</t>
  </si>
  <si>
    <t>刷卡間工</t>
    <phoneticPr fontId="31" type="noConversion"/>
  </si>
  <si>
    <t>R3</t>
    <phoneticPr fontId="31" type="noConversion"/>
  </si>
  <si>
    <t>R2</t>
    <phoneticPr fontId="31" type="noConversion"/>
  </si>
  <si>
    <t>R1</t>
    <phoneticPr fontId="31" type="noConversion"/>
  </si>
  <si>
    <t>GC</t>
    <phoneticPr fontId="31" type="noConversion"/>
  </si>
  <si>
    <t>BR1</t>
    <phoneticPr fontId="31" type="noConversion"/>
  </si>
  <si>
    <t>BP</t>
    <phoneticPr fontId="31" type="noConversion"/>
  </si>
  <si>
    <t>B7</t>
    <phoneticPr fontId="31" type="noConversion"/>
  </si>
  <si>
    <t>B6</t>
    <phoneticPr fontId="31" type="noConversion"/>
  </si>
  <si>
    <t>B5</t>
    <phoneticPr fontId="31" type="noConversion"/>
  </si>
  <si>
    <t>B1</t>
    <phoneticPr fontId="31" type="noConversion"/>
  </si>
  <si>
    <t>B</t>
    <phoneticPr fontId="31" type="noConversion"/>
  </si>
  <si>
    <t>A2</t>
    <phoneticPr fontId="31" type="noConversion"/>
  </si>
  <si>
    <t>A1A2</t>
    <phoneticPr fontId="31" type="noConversion"/>
  </si>
  <si>
    <t>A1</t>
    <phoneticPr fontId="31" type="noConversion"/>
  </si>
  <si>
    <t>4月份</t>
    <phoneticPr fontId="6" type="noConversion"/>
  </si>
  <si>
    <t>2017年04月各廠線均，人均產量狀況表</t>
    <phoneticPr fontId="37" type="noConversion"/>
  </si>
  <si>
    <t>總公司</t>
    <phoneticPr fontId="31" type="noConversion"/>
  </si>
  <si>
    <t>BR2</t>
    <phoneticPr fontId="31" type="noConversion"/>
  </si>
</sst>
</file>

<file path=xl/styles.xml><?xml version="1.0" encoding="utf-8"?>
<styleSheet xmlns="http://schemas.openxmlformats.org/spreadsheetml/2006/main">
  <numFmts count="13">
    <numFmt numFmtId="43" formatCode="_(* #,##0.00_);_(* \(#,##0.00\);_(* &quot;-&quot;??_);_(@_)"/>
    <numFmt numFmtId="176" formatCode="_-* #,##0_-;\-* #,##0_-;_-* &quot;-&quot;_-;_-@_-"/>
    <numFmt numFmtId="177" formatCode="_-* #,##0.00_-;\-* #,##0.00_-;_-* &quot;-&quot;??_-;_-@_-"/>
    <numFmt numFmtId="178" formatCode="_-* #,##0_-;\-* #,##0_-;_-* &quot;-&quot;??_-;_-@_-"/>
    <numFmt numFmtId="179" formatCode="m/d;@"/>
    <numFmt numFmtId="180" formatCode="0;_쐀"/>
    <numFmt numFmtId="181" formatCode="0;_Ѐ"/>
    <numFmt numFmtId="182" formatCode="0_ ;[Red]\-0\ "/>
    <numFmt numFmtId="183" formatCode="0.0"/>
    <numFmt numFmtId="184" formatCode="#,##0.0"/>
    <numFmt numFmtId="185" formatCode="General\%"/>
    <numFmt numFmtId="186" formatCode="#,##0.00_ "/>
    <numFmt numFmtId="187" formatCode="0.00_ "/>
  </numFmts>
  <fonts count="131">
    <font>
      <sz val="11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2"/>
      <color indexed="8"/>
      <name val="!Ps2OcuAe"/>
      <family val="1"/>
      <charset val="136"/>
    </font>
    <font>
      <b/>
      <sz val="18"/>
      <color indexed="12"/>
      <name val="!Ps2OcuAe"/>
      <family val="1"/>
      <charset val="136"/>
    </font>
    <font>
      <sz val="18"/>
      <color indexed="8"/>
      <name val="¡Ps2OcuAe"/>
      <family val="3"/>
      <charset val="134"/>
    </font>
    <font>
      <sz val="12"/>
      <color indexed="18"/>
      <name val="¡Ps2OcuAe"/>
      <family val="3"/>
      <charset val="134"/>
    </font>
    <font>
      <sz val="12"/>
      <color indexed="8"/>
      <name val="¡Ps2OcuAe"/>
      <family val="3"/>
      <charset val="134"/>
    </font>
    <font>
      <b/>
      <sz val="12"/>
      <color indexed="12"/>
      <name val="!Ps2OcuAe"/>
      <family val="1"/>
      <charset val="136"/>
    </font>
    <font>
      <u/>
      <sz val="12"/>
      <color indexed="12"/>
      <name val="!Ps2OcuAe"/>
      <family val="1"/>
      <charset val="136"/>
    </font>
    <font>
      <u/>
      <sz val="12"/>
      <color indexed="12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0"/>
      <color indexed="12"/>
      <name val="新細明體"/>
      <family val="1"/>
      <charset val="136"/>
    </font>
    <font>
      <sz val="10"/>
      <color indexed="14"/>
      <name val="新細明體"/>
      <family val="1"/>
      <charset val="136"/>
    </font>
    <font>
      <b/>
      <sz val="10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b/>
      <sz val="16"/>
      <name val="新細明體"/>
      <family val="1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0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sz val="12"/>
      <color indexed="8"/>
      <name val="????"/>
      <family val="1"/>
      <charset val="136"/>
    </font>
    <font>
      <sz val="12"/>
      <name val="Times New Roman"/>
      <family val="1"/>
    </font>
    <font>
      <b/>
      <sz val="18"/>
      <color indexed="12"/>
      <name val="細明體"/>
      <family val="3"/>
      <charset val="136"/>
    </font>
    <font>
      <sz val="9"/>
      <name val="新細明體"/>
      <family val="1"/>
      <charset val="136"/>
    </font>
    <font>
      <sz val="9"/>
      <name val="!Ps2OcuAe"/>
      <family val="1"/>
      <charset val="136"/>
    </font>
    <font>
      <sz val="9"/>
      <name val="新細明體"/>
      <family val="1"/>
      <charset val="136"/>
    </font>
    <font>
      <b/>
      <sz val="16"/>
      <color indexed="30"/>
      <name val="Calibri"/>
      <family val="2"/>
    </font>
    <font>
      <sz val="10"/>
      <color rgb="FFFF00FF"/>
      <name val="新細明體"/>
      <family val="1"/>
      <charset val="136"/>
    </font>
    <font>
      <sz val="11"/>
      <color indexed="8"/>
      <name val="Arial"/>
      <family val="2"/>
    </font>
    <font>
      <sz val="9"/>
      <name val="細明體"/>
      <family val="3"/>
      <charset val="136"/>
    </font>
    <font>
      <sz val="12"/>
      <color indexed="18"/>
      <name val="細明體"/>
      <family val="3"/>
      <charset val="136"/>
    </font>
    <font>
      <sz val="12"/>
      <color indexed="8"/>
      <name val="¡Ps2OcuAe"/>
      <charset val="134"/>
    </font>
    <font>
      <sz val="12"/>
      <color indexed="8"/>
      <name val="!Ps2OcuAe"/>
      <family val="1"/>
    </font>
    <font>
      <sz val="12"/>
      <color indexed="8"/>
      <name val="·s²Ó©úÅé"/>
      <family val="2"/>
    </font>
    <font>
      <sz val="12"/>
      <name val="新細明體"/>
      <family val="1"/>
    </font>
    <font>
      <sz val="12"/>
      <color indexed="8"/>
      <name val="????"/>
      <family val="1"/>
    </font>
    <font>
      <sz val="12"/>
      <color indexed="8"/>
      <name val="·s²Ó©úÅé"/>
      <family val="2"/>
    </font>
    <font>
      <sz val="10"/>
      <color indexed="8"/>
      <name val="Arial"/>
      <family val="2"/>
    </font>
    <font>
      <sz val="12"/>
      <color indexed="8"/>
      <name val="·s²Ó©úÅé"/>
      <family val="1"/>
      <charset val="136"/>
    </font>
    <font>
      <sz val="12"/>
      <color indexed="8"/>
      <name val="¡Ps2OcuAe"/>
      <family val="1"/>
      <charset val="136"/>
    </font>
    <font>
      <sz val="11"/>
      <color indexed="8"/>
      <name val="!!OoE^"/>
      <family val="1"/>
    </font>
    <font>
      <sz val="11"/>
      <color indexed="9"/>
      <name val="!!OoE^"/>
      <family val="1"/>
    </font>
    <font>
      <sz val="11"/>
      <color indexed="17"/>
      <name val="§ºÊ^"/>
      <charset val="134"/>
    </font>
    <font>
      <sz val="11"/>
      <color indexed="17"/>
      <name val="宋体"/>
      <charset val="136"/>
    </font>
    <font>
      <sz val="11"/>
      <color indexed="17"/>
      <name val="¡±oE^"/>
      <charset val="134"/>
    </font>
    <font>
      <sz val="11"/>
      <color indexed="17"/>
      <name val="??"/>
      <family val="1"/>
    </font>
    <font>
      <sz val="11"/>
      <color indexed="17"/>
      <name val="!!OoE^"/>
      <family val="1"/>
    </font>
    <font>
      <sz val="11"/>
      <color indexed="17"/>
      <name val="!¡ÓoE^"/>
      <charset val="134"/>
    </font>
    <font>
      <sz val="12"/>
      <color indexed="8"/>
      <name val="VNI-Times"/>
    </font>
    <font>
      <sz val="11"/>
      <color indexed="20"/>
      <name val="!!OoE^"/>
      <family val="1"/>
    </font>
    <font>
      <sz val="11"/>
      <color indexed="20"/>
      <name val="§ºÊ^"/>
      <charset val="134"/>
    </font>
    <font>
      <sz val="11"/>
      <color indexed="20"/>
      <name val="宋体"/>
      <charset val="136"/>
    </font>
    <font>
      <sz val="11"/>
      <color indexed="20"/>
      <name val="¡±oE^"/>
      <charset val="134"/>
    </font>
    <font>
      <sz val="11"/>
      <color indexed="20"/>
      <name val="??"/>
      <family val="1"/>
    </font>
    <font>
      <sz val="11"/>
      <color indexed="20"/>
      <name val="!¡ÓoE^"/>
      <charset val="134"/>
    </font>
    <font>
      <sz val="11"/>
      <color indexed="60"/>
      <name val="!!OoE^"/>
      <family val="1"/>
    </font>
    <font>
      <i/>
      <sz val="11"/>
      <color indexed="23"/>
      <name val="!!OoE^"/>
      <family val="1"/>
    </font>
    <font>
      <sz val="11"/>
      <color indexed="62"/>
      <name val="!!OoE^"/>
      <family val="1"/>
    </font>
    <font>
      <b/>
      <sz val="11"/>
      <color indexed="63"/>
      <name val="!!OoE^"/>
      <family val="1"/>
    </font>
    <font>
      <sz val="11"/>
      <color indexed="10"/>
      <name val="!!OoE^"/>
      <family val="1"/>
    </font>
    <font>
      <b/>
      <sz val="18"/>
      <color indexed="56"/>
      <name val="!!OoE^"/>
      <family val="1"/>
    </font>
    <font>
      <b/>
      <sz val="15"/>
      <color indexed="56"/>
      <name val="!!OoE^"/>
      <family val="1"/>
    </font>
    <font>
      <b/>
      <sz val="13"/>
      <color indexed="56"/>
      <name val="!!OoE^"/>
      <family val="1"/>
    </font>
    <font>
      <b/>
      <sz val="11"/>
      <color indexed="56"/>
      <name val="!!OoE^"/>
      <family val="1"/>
    </font>
    <font>
      <b/>
      <sz val="18"/>
      <color indexed="56"/>
      <name val="§ºÊ^"/>
      <charset val="134"/>
    </font>
    <font>
      <b/>
      <sz val="11"/>
      <color indexed="9"/>
      <name val="!!OoE^"/>
      <family val="1"/>
    </font>
    <font>
      <b/>
      <sz val="11"/>
      <color indexed="8"/>
      <name val="!!OoE^"/>
      <family val="1"/>
    </font>
    <font>
      <b/>
      <sz val="11"/>
      <color indexed="52"/>
      <name val="!!OoE^"/>
      <family val="1"/>
    </font>
    <font>
      <sz val="11"/>
      <color indexed="52"/>
      <name val="!!OoE^"/>
      <family val="1"/>
    </font>
    <font>
      <sz val="12"/>
      <color theme="1"/>
      <name val="新細明體"/>
      <family val="2"/>
      <charset val="136"/>
      <scheme val="minor"/>
    </font>
    <font>
      <b/>
      <sz val="16"/>
      <color indexed="30"/>
      <name val="細明體"/>
      <family val="3"/>
      <charset val="136"/>
    </font>
    <font>
      <sz val="10"/>
      <color rgb="FFFF0000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rgb="FF0000FF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0"/>
      <color rgb="FFFF0000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sz val="12"/>
      <color rgb="FFFF00FF"/>
      <name val="新細明體"/>
      <family val="1"/>
      <charset val="136"/>
    </font>
    <font>
      <sz val="10"/>
      <color indexed="8"/>
      <name val="細明體"/>
      <family val="3"/>
      <charset val="136"/>
    </font>
    <font>
      <b/>
      <sz val="2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8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i/>
      <sz val="11"/>
      <color indexed="8"/>
      <name val="Calibri"/>
      <family val="2"/>
    </font>
    <font>
      <i/>
      <sz val="8"/>
      <color rgb="FFFF0000"/>
      <name val="新細明體"/>
      <family val="1"/>
      <charset val="136"/>
      <scheme val="minor"/>
    </font>
    <font>
      <sz val="8"/>
      <color rgb="FFFF0000"/>
      <name val="新細明體"/>
      <family val="1"/>
      <charset val="136"/>
      <scheme val="minor"/>
    </font>
    <font>
      <b/>
      <i/>
      <sz val="8"/>
      <color rgb="FFFF0000"/>
      <name val="新細明體"/>
      <family val="1"/>
      <charset val="136"/>
      <scheme val="minor"/>
    </font>
    <font>
      <b/>
      <sz val="8"/>
      <color rgb="FFFF0000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b/>
      <u/>
      <sz val="20"/>
      <color indexed="10"/>
      <name val="細明體"/>
      <family val="3"/>
      <charset val="136"/>
    </font>
    <font>
      <b/>
      <sz val="8"/>
      <color rgb="FF000000"/>
      <name val="新細明體"/>
      <family val="1"/>
      <charset val="136"/>
      <scheme val="minor"/>
    </font>
    <font>
      <sz val="8"/>
      <color rgb="FF000000"/>
      <name val="新細明體"/>
      <family val="1"/>
      <charset val="136"/>
      <scheme val="minor"/>
    </font>
    <font>
      <i/>
      <sz val="8"/>
      <color rgb="FF000000"/>
      <name val="新細明體"/>
      <family val="1"/>
      <charset val="136"/>
      <scheme val="minor"/>
    </font>
    <font>
      <b/>
      <i/>
      <sz val="8"/>
      <color rgb="FF000000"/>
      <name val="新細明體"/>
      <family val="1"/>
      <charset val="136"/>
      <scheme val="minor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i/>
      <sz val="11"/>
      <color rgb="FFFF0000"/>
      <name val="Calibri"/>
      <family val="2"/>
    </font>
    <font>
      <sz val="14"/>
      <color theme="1"/>
      <name val="新細明體"/>
      <family val="1"/>
      <charset val="136"/>
      <scheme val="minor"/>
    </font>
    <font>
      <sz val="11"/>
      <color rgb="FFFF0000"/>
      <name val="Arial"/>
      <family val="2"/>
    </font>
    <font>
      <i/>
      <sz val="11"/>
      <color rgb="FF000000"/>
      <name val="Calibri"/>
      <family val="2"/>
    </font>
    <font>
      <sz val="8"/>
      <color indexed="8"/>
      <name val="Calibri"/>
      <family val="2"/>
    </font>
    <font>
      <sz val="8"/>
      <color rgb="FFFF0000"/>
      <name val="Calibri"/>
      <family val="2"/>
    </font>
    <font>
      <sz val="11"/>
      <color indexed="8"/>
      <name val="Calibri"/>
      <family val="2"/>
    </font>
    <font>
      <b/>
      <u/>
      <sz val="10"/>
      <color indexed="10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6"/>
      <color indexed="8"/>
      <name val="新細明體"/>
      <family val="1"/>
      <charset val="136"/>
    </font>
    <font>
      <sz val="10"/>
      <color indexed="8"/>
      <name val="Tahoma"/>
      <family val="2"/>
    </font>
    <font>
      <u/>
      <sz val="11"/>
      <color indexed="20"/>
      <name val="Calibri"/>
      <family val="2"/>
    </font>
    <font>
      <sz val="10"/>
      <color rgb="FF0000CC"/>
      <name val="新細明體"/>
      <family val="1"/>
      <charset val="136"/>
    </font>
    <font>
      <i/>
      <sz val="12"/>
      <name val="標楷體"/>
      <family val="4"/>
      <charset val="136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indexed="8"/>
      <name val="Calibri"/>
      <family val="2"/>
    </font>
    <font>
      <i/>
      <sz val="8"/>
      <color rgb="FFFF0000"/>
      <name val="Calibri"/>
      <family val="2"/>
    </font>
    <font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i/>
      <sz val="12"/>
      <color rgb="FFFF0000"/>
      <name val="標楷體"/>
      <family val="4"/>
      <charset val="136"/>
    </font>
    <font>
      <sz val="12"/>
      <color rgb="FF000000"/>
      <name val="新細明體"/>
      <family val="1"/>
      <charset val="136"/>
      <scheme val="minor"/>
    </font>
    <font>
      <i/>
      <sz val="12"/>
      <color rgb="FF000000"/>
      <name val="新細明體"/>
      <family val="1"/>
      <charset val="136"/>
      <scheme val="minor"/>
    </font>
    <font>
      <sz val="12"/>
      <name val="新細明體"/>
      <family val="1"/>
      <charset val="136"/>
      <scheme val="major"/>
    </font>
    <font>
      <sz val="12"/>
      <color rgb="FF000000"/>
      <name val="新細明體"/>
      <family val="1"/>
      <charset val="136"/>
      <scheme val="major"/>
    </font>
    <font>
      <i/>
      <sz val="12"/>
      <color rgb="FF000000"/>
      <name val="新細明體"/>
      <family val="1"/>
      <charset val="136"/>
      <scheme val="maj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00FFFF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80">
    <xf numFmtId="0" fontId="0" fillId="0" borderId="0"/>
    <xf numFmtId="0" fontId="29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0" fontId="26" fillId="0" borderId="0"/>
    <xf numFmtId="0" fontId="28" fillId="0" borderId="0" applyProtection="0"/>
    <xf numFmtId="0" fontId="6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15" fillId="0" borderId="0">
      <alignment vertical="center"/>
    </xf>
    <xf numFmtId="0" fontId="15" fillId="0" borderId="0">
      <alignment vertical="center"/>
    </xf>
    <xf numFmtId="0" fontId="40" fillId="0" borderId="0" applyProtection="0"/>
    <xf numFmtId="0" fontId="41" fillId="0" borderId="0" applyProtection="0"/>
    <xf numFmtId="0" fontId="42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1" fillId="0" borderId="0" applyProtection="0"/>
    <xf numFmtId="0" fontId="42" fillId="0" borderId="0" applyProtection="0"/>
    <xf numFmtId="0" fontId="39" fillId="0" borderId="0" applyProtection="0"/>
    <xf numFmtId="0" fontId="41" fillId="0" borderId="0" applyProtection="0"/>
    <xf numFmtId="0" fontId="41" fillId="0" borderId="0" applyProtection="0"/>
    <xf numFmtId="0" fontId="41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3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0" fillId="0" borderId="0" applyProtection="0"/>
    <xf numFmtId="0" fontId="43" fillId="0" borderId="0" applyProtection="0"/>
    <xf numFmtId="0" fontId="43" fillId="0" borderId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44" fillId="0" borderId="0" applyProtection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42" fillId="0" borderId="0" applyProtection="0"/>
    <xf numFmtId="0" fontId="42" fillId="0" borderId="0" applyProtection="0"/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26" fillId="0" borderId="0"/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7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7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7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7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7" fillId="0" borderId="0" applyProtection="0"/>
    <xf numFmtId="0" fontId="47" fillId="0" borderId="0" applyProtection="0"/>
    <xf numFmtId="0" fontId="47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7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7" fillId="0" borderId="0" applyProtection="0"/>
    <xf numFmtId="0" fontId="47" fillId="0" borderId="0" applyProtection="0"/>
    <xf numFmtId="0" fontId="47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0" fillId="0" borderId="0" applyProtection="0"/>
    <xf numFmtId="0" fontId="41" fillId="0" borderId="0" applyProtection="0"/>
    <xf numFmtId="0" fontId="42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1" fillId="0" borderId="0" applyProtection="0"/>
    <xf numFmtId="0" fontId="42" fillId="0" borderId="0" applyProtection="0"/>
    <xf numFmtId="0" fontId="39" fillId="0" borderId="0" applyProtection="0"/>
    <xf numFmtId="0" fontId="41" fillId="0" borderId="0" applyProtection="0"/>
    <xf numFmtId="0" fontId="41" fillId="0" borderId="0" applyProtection="0"/>
    <xf numFmtId="0" fontId="41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3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0" fillId="0" borderId="0" applyProtection="0"/>
    <xf numFmtId="0" fontId="43" fillId="0" borderId="0" applyProtection="0"/>
    <xf numFmtId="0" fontId="43" fillId="0" borderId="0" applyProtection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26" fillId="0" borderId="0"/>
    <xf numFmtId="0" fontId="26" fillId="0" borderId="0"/>
    <xf numFmtId="0" fontId="29" fillId="0" borderId="0"/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1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26" fillId="0" borderId="0"/>
    <xf numFmtId="0" fontId="26" fillId="0" borderId="0"/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6" fillId="25" borderId="16" applyNumberFormat="0" applyFont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67" fillId="0" borderId="0" applyNumberFormat="0" applyFill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2" applyNumberFormat="0" applyFill="0" applyAlignment="0" applyProtection="0">
      <alignment vertical="center"/>
    </xf>
    <xf numFmtId="0" fontId="70" fillId="0" borderId="13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3" borderId="11" applyNumberFormat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5" fillId="22" borderId="10" applyNumberFormat="0" applyAlignment="0" applyProtection="0">
      <alignment vertical="center"/>
    </xf>
    <xf numFmtId="0" fontId="65" fillId="9" borderId="10" applyNumberFormat="0" applyAlignment="0" applyProtection="0">
      <alignment vertical="center"/>
    </xf>
    <xf numFmtId="0" fontId="66" fillId="22" borderId="17" applyNumberFormat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7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45" fillId="0" borderId="0">
      <alignment vertical="top"/>
    </xf>
    <xf numFmtId="0" fontId="3" fillId="0" borderId="0"/>
    <xf numFmtId="0" fontId="15" fillId="0" borderId="0"/>
    <xf numFmtId="0" fontId="2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>
      <alignment vertical="center"/>
    </xf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>
      <alignment vertical="center"/>
    </xf>
    <xf numFmtId="0" fontId="15" fillId="0" borderId="0"/>
    <xf numFmtId="0" fontId="1" fillId="0" borderId="0"/>
    <xf numFmtId="0" fontId="15" fillId="0" borderId="0"/>
    <xf numFmtId="0" fontId="1" fillId="0" borderId="0"/>
    <xf numFmtId="177" fontId="15" fillId="0" borderId="0" applyFont="0" applyFill="0" applyBorder="0" applyAlignment="0" applyProtection="0"/>
    <xf numFmtId="0" fontId="29" fillId="0" borderId="0"/>
    <xf numFmtId="43" fontId="111" fillId="0" borderId="0" applyFont="0" applyFill="0" applyBorder="0" applyAlignment="0" applyProtection="0">
      <alignment vertical="center"/>
    </xf>
    <xf numFmtId="0" fontId="6" fillId="0" borderId="0"/>
    <xf numFmtId="0" fontId="115" fillId="0" borderId="0">
      <alignment vertical="center"/>
    </xf>
  </cellStyleXfs>
  <cellXfs count="411">
    <xf numFmtId="0" fontId="0" fillId="0" borderId="0" xfId="0"/>
    <xf numFmtId="0" fontId="9" fillId="0" borderId="1" xfId="16" applyFont="1" applyBorder="1" applyAlignment="1">
      <alignment horizontal="center"/>
    </xf>
    <xf numFmtId="0" fontId="17" fillId="0" borderId="0" xfId="0" applyFont="1" applyAlignment="1">
      <alignment vertical="center"/>
    </xf>
    <xf numFmtId="0" fontId="24" fillId="0" borderId="0" xfId="17" applyFont="1" applyAlignment="1">
      <alignment horizontal="center" vertical="center" wrapText="1"/>
    </xf>
    <xf numFmtId="0" fontId="24" fillId="0" borderId="0" xfId="17" applyFont="1" applyAlignment="1">
      <alignment horizontal="center"/>
    </xf>
    <xf numFmtId="0" fontId="24" fillId="0" borderId="0" xfId="17" applyFont="1" applyAlignment="1">
      <alignment horizontal="center" vertical="center"/>
    </xf>
    <xf numFmtId="0" fontId="25" fillId="0" borderId="0" xfId="4" applyFont="1"/>
    <xf numFmtId="0" fontId="22" fillId="0" borderId="0" xfId="4" applyFont="1"/>
    <xf numFmtId="0" fontId="0" fillId="0" borderId="0" xfId="0" applyAlignment="1">
      <alignment vertical="center"/>
    </xf>
    <xf numFmtId="0" fontId="27" fillId="0" borderId="0" xfId="10" applyFont="1">
      <alignment vertical="center"/>
    </xf>
    <xf numFmtId="0" fontId="27" fillId="0" borderId="0" xfId="10" applyFont="1" applyFill="1">
      <alignment vertical="center"/>
    </xf>
    <xf numFmtId="0" fontId="13" fillId="0" borderId="1" xfId="18" applyBorder="1" applyAlignment="1" applyProtection="1">
      <alignment horizontal="left" vertical="center"/>
    </xf>
    <xf numFmtId="0" fontId="17" fillId="0" borderId="0" xfId="0" applyFont="1" applyFill="1" applyAlignment="1">
      <alignment horizontal="center" vertical="center" shrinkToFit="1"/>
    </xf>
    <xf numFmtId="0" fontId="9" fillId="0" borderId="1" xfId="16" applyFont="1" applyBorder="1" applyAlignment="1">
      <alignment horizontal="center" wrapText="1"/>
    </xf>
    <xf numFmtId="0" fontId="10" fillId="0" borderId="0" xfId="16" applyFont="1" applyAlignment="1">
      <alignment horizontal="center" wrapText="1"/>
    </xf>
    <xf numFmtId="0" fontId="8" fillId="0" borderId="0" xfId="16" applyFont="1" applyAlignment="1">
      <alignment horizontal="center"/>
    </xf>
    <xf numFmtId="0" fontId="10" fillId="0" borderId="0" xfId="16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16" applyFont="1" applyAlignment="1">
      <alignment horizontal="left"/>
    </xf>
    <xf numFmtId="0" fontId="10" fillId="0" borderId="1" xfId="16" applyFont="1" applyBorder="1" applyAlignment="1">
      <alignment horizontal="center" vertical="center"/>
    </xf>
    <xf numFmtId="0" fontId="11" fillId="0" borderId="1" xfId="16" applyFont="1" applyBorder="1" applyAlignment="1">
      <alignment horizontal="center" vertical="center"/>
    </xf>
    <xf numFmtId="0" fontId="34" fillId="0" borderId="8" xfId="0" applyFont="1" applyBorder="1" applyAlignment="1">
      <alignment vertical="center"/>
    </xf>
    <xf numFmtId="0" fontId="13" fillId="0" borderId="1" xfId="18" applyBorder="1" applyAlignment="1" applyProtection="1"/>
    <xf numFmtId="0" fontId="36" fillId="0" borderId="0" xfId="10" applyFont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78" fontId="35" fillId="0" borderId="7" xfId="3" applyNumberFormat="1" applyFont="1" applyBorder="1" applyAlignment="1">
      <alignment horizontal="center" vertical="center"/>
    </xf>
    <xf numFmtId="0" fontId="38" fillId="0" borderId="1" xfId="16" applyFont="1" applyBorder="1" applyAlignment="1">
      <alignment horizontal="center"/>
    </xf>
    <xf numFmtId="179" fontId="16" fillId="0" borderId="1" xfId="10" applyNumberFormat="1" applyFont="1" applyBorder="1" applyAlignment="1">
      <alignment horizontal="center" vertical="center" shrinkToFit="1"/>
    </xf>
    <xf numFmtId="0" fontId="22" fillId="0" borderId="0" xfId="4" applyFont="1" applyAlignment="1">
      <alignment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NumberFormat="1" applyFont="1" applyFill="1" applyAlignment="1">
      <alignment horizontal="center" vertical="center" shrinkToFit="1"/>
    </xf>
    <xf numFmtId="0" fontId="17" fillId="0" borderId="20" xfId="0" applyFont="1" applyBorder="1" applyAlignment="1">
      <alignment horizontal="center" vertical="center"/>
    </xf>
    <xf numFmtId="178" fontId="82" fillId="0" borderId="21" xfId="3" applyNumberFormat="1" applyFont="1" applyBorder="1" applyAlignment="1">
      <alignment vertical="center"/>
    </xf>
    <xf numFmtId="178" fontId="17" fillId="0" borderId="22" xfId="3" applyNumberFormat="1" applyFont="1" applyBorder="1">
      <alignment vertical="center"/>
    </xf>
    <xf numFmtId="0" fontId="81" fillId="0" borderId="24" xfId="0" applyFont="1" applyBorder="1" applyAlignment="1">
      <alignment horizontal="center" vertical="center"/>
    </xf>
    <xf numFmtId="178" fontId="81" fillId="0" borderId="25" xfId="3" applyNumberFormat="1" applyFont="1" applyBorder="1" applyAlignment="1">
      <alignment vertical="center"/>
    </xf>
    <xf numFmtId="178" fontId="18" fillId="0" borderId="25" xfId="2175" applyNumberFormat="1" applyFont="1" applyFill="1" applyBorder="1" applyAlignment="1">
      <alignment horizontal="center"/>
    </xf>
    <xf numFmtId="178" fontId="18" fillId="0" borderId="25" xfId="3" applyNumberFormat="1" applyFont="1" applyBorder="1" applyAlignment="1">
      <alignment horizontal="center"/>
    </xf>
    <xf numFmtId="178" fontId="81" fillId="0" borderId="26" xfId="3" applyNumberFormat="1" applyFont="1" applyBorder="1">
      <alignment vertical="center"/>
    </xf>
    <xf numFmtId="178" fontId="0" fillId="0" borderId="0" xfId="0" applyNumberFormat="1" applyAlignment="1">
      <alignment vertical="center"/>
    </xf>
    <xf numFmtId="0" fontId="35" fillId="0" borderId="25" xfId="0" applyFont="1" applyBorder="1" applyAlignment="1">
      <alignment horizontal="center" vertical="center"/>
    </xf>
    <xf numFmtId="178" fontId="35" fillId="0" borderId="25" xfId="3" applyNumberFormat="1" applyFont="1" applyBorder="1" applyAlignment="1">
      <alignment vertical="center"/>
    </xf>
    <xf numFmtId="178" fontId="19" fillId="0" borderId="25" xfId="2175" applyNumberFormat="1" applyFont="1" applyFill="1" applyBorder="1" applyAlignment="1">
      <alignment horizontal="center"/>
    </xf>
    <xf numFmtId="178" fontId="19" fillId="0" borderId="25" xfId="3" applyNumberFormat="1" applyFont="1" applyBorder="1" applyAlignment="1">
      <alignment horizontal="center"/>
    </xf>
    <xf numFmtId="178" fontId="35" fillId="0" borderId="26" xfId="3" applyNumberFormat="1" applyFont="1" applyBorder="1">
      <alignment vertical="center"/>
    </xf>
    <xf numFmtId="0" fontId="79" fillId="0" borderId="28" xfId="0" applyFont="1" applyBorder="1" applyAlignment="1">
      <alignment horizontal="center" vertical="center"/>
    </xf>
    <xf numFmtId="178" fontId="20" fillId="0" borderId="28" xfId="3" applyNumberFormat="1" applyFont="1" applyFill="1" applyBorder="1" applyAlignment="1">
      <alignment horizontal="center"/>
    </xf>
    <xf numFmtId="178" fontId="83" fillId="0" borderId="29" xfId="3" applyNumberFormat="1" applyFont="1" applyBorder="1">
      <alignment vertical="center"/>
    </xf>
    <xf numFmtId="0" fontId="17" fillId="0" borderId="21" xfId="0" applyFont="1" applyBorder="1" applyAlignment="1">
      <alignment horizontal="center" vertical="center"/>
    </xf>
    <xf numFmtId="178" fontId="82" fillId="26" borderId="21" xfId="3" applyNumberFormat="1" applyFont="1" applyFill="1" applyBorder="1" applyAlignment="1">
      <alignment vertical="center"/>
    </xf>
    <xf numFmtId="0" fontId="84" fillId="0" borderId="0" xfId="0" applyFont="1" applyAlignment="1">
      <alignment vertical="center"/>
    </xf>
    <xf numFmtId="0" fontId="85" fillId="0" borderId="0" xfId="4" applyFont="1" applyAlignment="1"/>
    <xf numFmtId="0" fontId="85" fillId="0" borderId="0" xfId="0" applyFont="1" applyAlignment="1">
      <alignment vertical="center"/>
    </xf>
    <xf numFmtId="0" fontId="0" fillId="0" borderId="0" xfId="4" applyFont="1" applyAlignment="1"/>
    <xf numFmtId="183" fontId="16" fillId="0" borderId="0" xfId="2176" applyNumberFormat="1" applyFont="1" applyFill="1" applyBorder="1"/>
    <xf numFmtId="183" fontId="80" fillId="3" borderId="0" xfId="2176" applyNumberFormat="1" applyFont="1" applyFill="1" applyBorder="1"/>
    <xf numFmtId="183" fontId="17" fillId="0" borderId="0" xfId="2176" applyNumberFormat="1" applyFont="1" applyFill="1" applyBorder="1"/>
    <xf numFmtId="0" fontId="15" fillId="0" borderId="0" xfId="2176" applyFont="1" applyFill="1"/>
    <xf numFmtId="0" fontId="17" fillId="0" borderId="0" xfId="2176" applyFont="1" applyFill="1"/>
    <xf numFmtId="184" fontId="17" fillId="0" borderId="0" xfId="2176" applyNumberFormat="1" applyFont="1" applyFill="1"/>
    <xf numFmtId="0" fontId="21" fillId="0" borderId="0" xfId="2176" applyFont="1" applyFill="1"/>
    <xf numFmtId="0" fontId="17" fillId="0" borderId="0" xfId="2176" applyFont="1" applyFill="1" applyBorder="1"/>
    <xf numFmtId="0" fontId="17" fillId="0" borderId="0" xfId="2176" applyFont="1"/>
    <xf numFmtId="0" fontId="36" fillId="0" borderId="0" xfId="10" applyFont="1">
      <alignment vertical="center"/>
    </xf>
    <xf numFmtId="0" fontId="16" fillId="0" borderId="1" xfId="10" applyFont="1" applyBorder="1" applyAlignment="1">
      <alignment horizontal="center" vertical="center"/>
    </xf>
    <xf numFmtId="0" fontId="23" fillId="0" borderId="0" xfId="17" applyFont="1" applyAlignment="1">
      <alignment horizontal="center"/>
    </xf>
    <xf numFmtId="0" fontId="45" fillId="0" borderId="1" xfId="10" applyFont="1" applyBorder="1" applyAlignment="1">
      <alignment horizontal="center" vertical="center"/>
    </xf>
    <xf numFmtId="0" fontId="86" fillId="0" borderId="1" xfId="10" applyFont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92" fillId="0" borderId="0" xfId="0" applyFont="1"/>
    <xf numFmtId="0" fontId="103" fillId="0" borderId="0" xfId="0" applyFont="1"/>
    <xf numFmtId="0" fontId="104" fillId="27" borderId="1" xfId="0" applyFont="1" applyFill="1" applyBorder="1" applyAlignment="1">
      <alignment horizontal="center" vertical="center"/>
    </xf>
    <xf numFmtId="0" fontId="104" fillId="0" borderId="0" xfId="0" applyFont="1"/>
    <xf numFmtId="0" fontId="92" fillId="0" borderId="0" xfId="0" applyFont="1" applyAlignment="1">
      <alignment vertical="center"/>
    </xf>
    <xf numFmtId="0" fontId="11" fillId="0" borderId="1" xfId="16" applyFont="1" applyBorder="1" applyAlignment="1">
      <alignment horizontal="center" vertical="center"/>
    </xf>
    <xf numFmtId="0" fontId="109" fillId="0" borderId="0" xfId="0" applyFont="1"/>
    <xf numFmtId="0" fontId="109" fillId="0" borderId="0" xfId="0" applyFont="1" applyAlignment="1">
      <alignment vertical="center"/>
    </xf>
    <xf numFmtId="0" fontId="113" fillId="0" borderId="0" xfId="2178" applyFont="1" applyAlignment="1">
      <alignment horizontal="left"/>
    </xf>
    <xf numFmtId="0" fontId="113" fillId="0" borderId="0" xfId="2178" applyFont="1"/>
    <xf numFmtId="0" fontId="113" fillId="0" borderId="0" xfId="2178" applyFont="1" applyFill="1"/>
    <xf numFmtId="0" fontId="14" fillId="0" borderId="0" xfId="2178" applyFont="1" applyAlignment="1">
      <alignment vertical="center"/>
    </xf>
    <xf numFmtId="0" fontId="114" fillId="0" borderId="0" xfId="2178" applyFont="1"/>
    <xf numFmtId="0" fontId="112" fillId="0" borderId="0" xfId="19" applyFont="1" applyFill="1" applyBorder="1" applyAlignment="1" applyProtection="1"/>
    <xf numFmtId="0" fontId="16" fillId="0" borderId="0" xfId="2178" applyFont="1"/>
    <xf numFmtId="0" fontId="16" fillId="0" borderId="33" xfId="2178" applyFont="1" applyBorder="1" applyAlignment="1">
      <alignment horizontal="center"/>
    </xf>
    <xf numFmtId="0" fontId="16" fillId="0" borderId="33" xfId="2178" applyFont="1" applyFill="1" applyBorder="1" applyAlignment="1">
      <alignment horizontal="center"/>
    </xf>
    <xf numFmtId="38" fontId="16" fillId="0" borderId="35" xfId="2179" applyNumberFormat="1" applyFont="1" applyFill="1" applyBorder="1" applyAlignment="1">
      <alignment horizontal="left" vertical="center"/>
    </xf>
    <xf numFmtId="178" fontId="16" fillId="0" borderId="35" xfId="2177" applyNumberFormat="1" applyFont="1" applyFill="1" applyBorder="1" applyAlignment="1"/>
    <xf numFmtId="178" fontId="16" fillId="0" borderId="35" xfId="2178" applyNumberFormat="1" applyFont="1" applyBorder="1"/>
    <xf numFmtId="0" fontId="19" fillId="0" borderId="36" xfId="2179" applyFont="1" applyFill="1" applyBorder="1" applyAlignment="1">
      <alignment horizontal="left" vertical="center"/>
    </xf>
    <xf numFmtId="178" fontId="19" fillId="0" borderId="36" xfId="2177" applyNumberFormat="1" applyFont="1" applyFill="1" applyBorder="1" applyAlignment="1"/>
    <xf numFmtId="178" fontId="19" fillId="0" borderId="36" xfId="2178" applyNumberFormat="1" applyFont="1" applyBorder="1"/>
    <xf numFmtId="0" fontId="18" fillId="0" borderId="37" xfId="2179" applyFont="1" applyFill="1" applyBorder="1" applyAlignment="1">
      <alignment horizontal="left" vertical="center"/>
    </xf>
    <xf numFmtId="178" fontId="18" fillId="0" borderId="37" xfId="2177" quotePrefix="1" applyNumberFormat="1" applyFont="1" applyFill="1" applyBorder="1" applyAlignment="1"/>
    <xf numFmtId="178" fontId="18" fillId="0" borderId="37" xfId="2177" applyNumberFormat="1" applyFont="1" applyFill="1" applyBorder="1" applyAlignment="1"/>
    <xf numFmtId="178" fontId="18" fillId="0" borderId="37" xfId="2177" applyNumberFormat="1" applyFont="1" applyBorder="1" applyAlignment="1"/>
    <xf numFmtId="0" fontId="18" fillId="0" borderId="38" xfId="2179" applyFont="1" applyFill="1" applyBorder="1" applyAlignment="1">
      <alignment horizontal="left" vertical="center"/>
    </xf>
    <xf numFmtId="177" fontId="18" fillId="0" borderId="38" xfId="2177" quotePrefix="1" applyNumberFormat="1" applyFont="1" applyFill="1" applyBorder="1" applyAlignment="1"/>
    <xf numFmtId="178" fontId="18" fillId="0" borderId="4" xfId="2177" applyNumberFormat="1" applyFont="1" applyFill="1" applyBorder="1" applyAlignment="1"/>
    <xf numFmtId="178" fontId="18" fillId="0" borderId="4" xfId="2177" applyNumberFormat="1" applyFont="1" applyBorder="1" applyAlignment="1"/>
    <xf numFmtId="0" fontId="10" fillId="0" borderId="33" xfId="16" applyFont="1" applyBorder="1" applyAlignment="1">
      <alignment horizontal="center"/>
    </xf>
    <xf numFmtId="178" fontId="16" fillId="26" borderId="35" xfId="2177" applyNumberFormat="1" applyFont="1" applyFill="1" applyBorder="1" applyAlignment="1"/>
    <xf numFmtId="178" fontId="19" fillId="26" borderId="36" xfId="2177" applyNumberFormat="1" applyFont="1" applyFill="1" applyBorder="1" applyAlignment="1"/>
    <xf numFmtId="178" fontId="18" fillId="26" borderId="37" xfId="2177" quotePrefix="1" applyNumberFormat="1" applyFont="1" applyFill="1" applyBorder="1" applyAlignment="1"/>
    <xf numFmtId="177" fontId="18" fillId="26" borderId="38" xfId="2177" quotePrefix="1" applyNumberFormat="1" applyFont="1" applyFill="1" applyBorder="1" applyAlignment="1"/>
    <xf numFmtId="178" fontId="16" fillId="0" borderId="39" xfId="2178" applyNumberFormat="1" applyFont="1" applyBorder="1"/>
    <xf numFmtId="178" fontId="16" fillId="0" borderId="4" xfId="2177" applyNumberFormat="1" applyFont="1" applyFill="1" applyBorder="1" applyAlignment="1"/>
    <xf numFmtId="0" fontId="18" fillId="0" borderId="0" xfId="2178" applyFont="1" applyBorder="1" applyAlignment="1">
      <alignment horizontal="center" vertical="center"/>
    </xf>
    <xf numFmtId="0" fontId="18" fillId="0" borderId="0" xfId="2179" applyFont="1" applyFill="1" applyBorder="1" applyAlignment="1">
      <alignment horizontal="left" vertical="center"/>
    </xf>
    <xf numFmtId="177" fontId="18" fillId="0" borderId="0" xfId="2177" quotePrefix="1" applyNumberFormat="1" applyFont="1" applyFill="1" applyBorder="1" applyAlignment="1"/>
    <xf numFmtId="38" fontId="16" fillId="0" borderId="33" xfId="2179" applyNumberFormat="1" applyFont="1" applyFill="1" applyBorder="1" applyAlignment="1">
      <alignment horizontal="left" vertical="center"/>
    </xf>
    <xf numFmtId="178" fontId="16" fillId="0" borderId="33" xfId="2178" applyNumberFormat="1" applyFont="1" applyBorder="1"/>
    <xf numFmtId="178" fontId="16" fillId="0" borderId="33" xfId="2177" applyNumberFormat="1" applyFont="1" applyFill="1" applyBorder="1" applyAlignment="1"/>
    <xf numFmtId="178" fontId="18" fillId="0" borderId="33" xfId="2177" applyNumberFormat="1" applyFont="1" applyFill="1" applyBorder="1" applyAlignment="1"/>
    <xf numFmtId="0" fontId="19" fillId="0" borderId="33" xfId="2179" applyFont="1" applyFill="1" applyBorder="1" applyAlignment="1">
      <alignment horizontal="left" vertical="center"/>
    </xf>
    <xf numFmtId="178" fontId="19" fillId="0" borderId="33" xfId="2178" applyNumberFormat="1" applyFont="1" applyBorder="1"/>
    <xf numFmtId="178" fontId="19" fillId="0" borderId="33" xfId="2177" applyNumberFormat="1" applyFont="1" applyFill="1" applyBorder="1" applyAlignment="1"/>
    <xf numFmtId="0" fontId="18" fillId="0" borderId="33" xfId="2179" applyFont="1" applyFill="1" applyBorder="1" applyAlignment="1">
      <alignment horizontal="left" vertical="center"/>
    </xf>
    <xf numFmtId="178" fontId="18" fillId="0" borderId="33" xfId="2177" applyNumberFormat="1" applyFont="1" applyBorder="1" applyAlignment="1"/>
    <xf numFmtId="178" fontId="18" fillId="0" borderId="33" xfId="2177" quotePrefix="1" applyNumberFormat="1" applyFont="1" applyFill="1" applyBorder="1" applyAlignment="1"/>
    <xf numFmtId="177" fontId="18" fillId="0" borderId="33" xfId="2177" quotePrefix="1" applyNumberFormat="1" applyFont="1" applyFill="1" applyBorder="1" applyAlignment="1"/>
    <xf numFmtId="38" fontId="16" fillId="0" borderId="39" xfId="2179" applyNumberFormat="1" applyFont="1" applyFill="1" applyBorder="1" applyAlignment="1">
      <alignment horizontal="left" vertical="center"/>
    </xf>
    <xf numFmtId="178" fontId="16" fillId="0" borderId="39" xfId="2177" applyNumberFormat="1" applyFont="1" applyFill="1" applyBorder="1" applyAlignment="1"/>
    <xf numFmtId="178" fontId="16" fillId="0" borderId="33" xfId="2177" quotePrefix="1" applyNumberFormat="1" applyFont="1" applyFill="1" applyBorder="1" applyAlignment="1"/>
    <xf numFmtId="178" fontId="19" fillId="26" borderId="33" xfId="2177" applyNumberFormat="1" applyFont="1" applyFill="1" applyBorder="1" applyAlignment="1"/>
    <xf numFmtId="178" fontId="18" fillId="26" borderId="33" xfId="2177" quotePrefix="1" applyNumberFormat="1" applyFont="1" applyFill="1" applyBorder="1" applyAlignment="1"/>
    <xf numFmtId="177" fontId="18" fillId="26" borderId="33" xfId="2177" quotePrefix="1" applyNumberFormat="1" applyFont="1" applyFill="1" applyBorder="1" applyAlignment="1"/>
    <xf numFmtId="177" fontId="18" fillId="26" borderId="0" xfId="2177" quotePrefix="1" applyNumberFormat="1" applyFont="1" applyFill="1" applyBorder="1" applyAlignment="1"/>
    <xf numFmtId="178" fontId="16" fillId="26" borderId="33" xfId="2177" quotePrefix="1" applyNumberFormat="1" applyFont="1" applyFill="1" applyBorder="1" applyAlignment="1"/>
    <xf numFmtId="178" fontId="16" fillId="26" borderId="39" xfId="2177" applyNumberFormat="1" applyFont="1" applyFill="1" applyBorder="1" applyAlignment="1"/>
    <xf numFmtId="186" fontId="16" fillId="26" borderId="35" xfId="2177" applyNumberFormat="1" applyFont="1" applyFill="1" applyBorder="1" applyAlignment="1"/>
    <xf numFmtId="186" fontId="16" fillId="0" borderId="35" xfId="2178" applyNumberFormat="1" applyFont="1" applyBorder="1"/>
    <xf numFmtId="178" fontId="117" fillId="0" borderId="35" xfId="2178" applyNumberFormat="1" applyFont="1" applyBorder="1"/>
    <xf numFmtId="178" fontId="35" fillId="26" borderId="35" xfId="2178" applyNumberFormat="1" applyFont="1" applyFill="1" applyBorder="1"/>
    <xf numFmtId="0" fontId="0" fillId="27" borderId="40" xfId="0" applyFill="1" applyBorder="1" applyAlignment="1">
      <alignment horizontal="center" vertical="center"/>
    </xf>
    <xf numFmtId="0" fontId="23" fillId="0" borderId="0" xfId="17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27" borderId="41" xfId="0" applyFill="1" applyBorder="1" applyAlignment="1">
      <alignment horizontal="center" vertical="center"/>
    </xf>
    <xf numFmtId="0" fontId="88" fillId="27" borderId="41" xfId="0" applyFont="1" applyFill="1" applyBorder="1" applyAlignment="1">
      <alignment horizontal="center" vertical="center"/>
    </xf>
    <xf numFmtId="0" fontId="103" fillId="27" borderId="41" xfId="0" applyFont="1" applyFill="1" applyBorder="1" applyAlignment="1">
      <alignment horizontal="center" vertical="center"/>
    </xf>
    <xf numFmtId="0" fontId="89" fillId="28" borderId="41" xfId="0" applyFont="1" applyFill="1" applyBorder="1" applyAlignment="1">
      <alignment vertical="center"/>
    </xf>
    <xf numFmtId="0" fontId="89" fillId="0" borderId="41" xfId="0" applyFont="1" applyBorder="1" applyAlignment="1">
      <alignment vertical="center"/>
    </xf>
    <xf numFmtId="0" fontId="94" fillId="31" borderId="42" xfId="0" applyFont="1" applyFill="1" applyBorder="1" applyAlignment="1">
      <alignment vertical="center"/>
    </xf>
    <xf numFmtId="0" fontId="100" fillId="31" borderId="42" xfId="0" applyFont="1" applyFill="1" applyBorder="1" applyAlignment="1">
      <alignment vertical="center"/>
    </xf>
    <xf numFmtId="0" fontId="94" fillId="0" borderId="42" xfId="0" applyFont="1" applyBorder="1" applyAlignment="1">
      <alignment vertical="center"/>
    </xf>
    <xf numFmtId="0" fontId="100" fillId="0" borderId="42" xfId="0" applyFont="1" applyBorder="1" applyAlignment="1">
      <alignment vertical="center"/>
    </xf>
    <xf numFmtId="0" fontId="118" fillId="0" borderId="0" xfId="17" applyFont="1" applyAlignment="1">
      <alignment horizontal="center"/>
    </xf>
    <xf numFmtId="0" fontId="110" fillId="31" borderId="42" xfId="0" applyFont="1" applyFill="1" applyBorder="1" applyAlignment="1">
      <alignment vertical="center"/>
    </xf>
    <xf numFmtId="0" fontId="110" fillId="0" borderId="42" xfId="0" applyFont="1" applyBorder="1" applyAlignment="1">
      <alignment vertical="center"/>
    </xf>
    <xf numFmtId="0" fontId="90" fillId="0" borderId="42" xfId="0" applyFont="1" applyBorder="1" applyAlignment="1">
      <alignment vertical="center"/>
    </xf>
    <xf numFmtId="0" fontId="89" fillId="28" borderId="43" xfId="0" applyFont="1" applyFill="1" applyBorder="1" applyAlignment="1">
      <alignment vertical="center"/>
    </xf>
    <xf numFmtId="0" fontId="99" fillId="31" borderId="43" xfId="0" applyFont="1" applyFill="1" applyBorder="1" applyAlignment="1">
      <alignment vertical="center"/>
    </xf>
    <xf numFmtId="0" fontId="101" fillId="31" borderId="43" xfId="0" applyFont="1" applyFill="1" applyBorder="1" applyAlignment="1">
      <alignment vertical="center"/>
    </xf>
    <xf numFmtId="0" fontId="100" fillId="31" borderId="43" xfId="0" applyFont="1" applyFill="1" applyBorder="1" applyAlignment="1">
      <alignment vertical="center"/>
    </xf>
    <xf numFmtId="0" fontId="93" fillId="31" borderId="43" xfId="0" applyFont="1" applyFill="1" applyBorder="1" applyAlignment="1">
      <alignment vertical="center"/>
    </xf>
    <xf numFmtId="0" fontId="94" fillId="31" borderId="43" xfId="0" applyFont="1" applyFill="1" applyBorder="1" applyAlignment="1">
      <alignment vertical="center"/>
    </xf>
    <xf numFmtId="0" fontId="105" fillId="31" borderId="43" xfId="0" applyFont="1" applyFill="1" applyBorder="1" applyAlignment="1">
      <alignment vertical="center"/>
    </xf>
    <xf numFmtId="0" fontId="89" fillId="0" borderId="43" xfId="0" applyFont="1" applyBorder="1" applyAlignment="1">
      <alignment vertical="center"/>
    </xf>
    <xf numFmtId="0" fontId="99" fillId="0" borderId="43" xfId="0" applyFont="1" applyBorder="1" applyAlignment="1">
      <alignment vertical="center"/>
    </xf>
    <xf numFmtId="0" fontId="101" fillId="0" borderId="43" xfId="0" applyFont="1" applyBorder="1" applyAlignment="1">
      <alignment vertical="center"/>
    </xf>
    <xf numFmtId="0" fontId="100" fillId="0" borderId="43" xfId="0" applyFont="1" applyBorder="1" applyAlignment="1">
      <alignment vertical="center"/>
    </xf>
    <xf numFmtId="0" fontId="93" fillId="0" borderId="43" xfId="0" applyFont="1" applyBorder="1" applyAlignment="1">
      <alignment vertical="center"/>
    </xf>
    <xf numFmtId="0" fontId="94" fillId="0" borderId="43" xfId="0" applyFont="1" applyBorder="1" applyAlignment="1">
      <alignment vertical="center"/>
    </xf>
    <xf numFmtId="0" fontId="105" fillId="0" borderId="43" xfId="0" applyFont="1" applyBorder="1" applyAlignment="1">
      <alignment vertical="center"/>
    </xf>
    <xf numFmtId="0" fontId="96" fillId="0" borderId="43" xfId="0" applyFont="1" applyBorder="1" applyAlignment="1">
      <alignment vertical="center"/>
    </xf>
    <xf numFmtId="0" fontId="90" fillId="29" borderId="43" xfId="0" applyFont="1" applyFill="1" applyBorder="1" applyAlignment="1">
      <alignment vertical="center"/>
    </xf>
    <xf numFmtId="0" fontId="99" fillId="32" borderId="43" xfId="0" applyFont="1" applyFill="1" applyBorder="1" applyAlignment="1">
      <alignment vertical="center"/>
    </xf>
    <xf numFmtId="0" fontId="102" fillId="32" borderId="43" xfId="0" applyFont="1" applyFill="1" applyBorder="1" applyAlignment="1">
      <alignment vertical="center"/>
    </xf>
    <xf numFmtId="0" fontId="95" fillId="32" borderId="43" xfId="0" applyFont="1" applyFill="1" applyBorder="1" applyAlignment="1">
      <alignment vertical="center"/>
    </xf>
    <xf numFmtId="0" fontId="96" fillId="32" borderId="43" xfId="0" applyFont="1" applyFill="1" applyBorder="1" applyAlignment="1">
      <alignment vertical="center"/>
    </xf>
    <xf numFmtId="0" fontId="105" fillId="32" borderId="43" xfId="0" applyFont="1" applyFill="1" applyBorder="1" applyAlignment="1">
      <alignment vertical="center"/>
    </xf>
    <xf numFmtId="0" fontId="89" fillId="28" borderId="44" xfId="0" applyFont="1" applyFill="1" applyBorder="1" applyAlignment="1">
      <alignment vertical="center"/>
    </xf>
    <xf numFmtId="0" fontId="99" fillId="31" borderId="44" xfId="0" applyFont="1" applyFill="1" applyBorder="1" applyAlignment="1">
      <alignment vertical="center"/>
    </xf>
    <xf numFmtId="0" fontId="93" fillId="31" borderId="44" xfId="0" applyFont="1" applyFill="1" applyBorder="1" applyAlignment="1">
      <alignment vertical="center"/>
    </xf>
    <xf numFmtId="0" fontId="94" fillId="31" borderId="44" xfId="0" applyFont="1" applyFill="1" applyBorder="1" applyAlignment="1">
      <alignment vertical="center"/>
    </xf>
    <xf numFmtId="0" fontId="101" fillId="31" borderId="44" xfId="0" applyFont="1" applyFill="1" applyBorder="1" applyAlignment="1">
      <alignment vertical="center"/>
    </xf>
    <xf numFmtId="0" fontId="100" fillId="31" borderId="44" xfId="0" applyFont="1" applyFill="1" applyBorder="1" applyAlignment="1">
      <alignment vertical="center"/>
    </xf>
    <xf numFmtId="0" fontId="105" fillId="31" borderId="44" xfId="0" applyFont="1" applyFill="1" applyBorder="1" applyAlignment="1">
      <alignment vertical="center"/>
    </xf>
    <xf numFmtId="0" fontId="89" fillId="0" borderId="44" xfId="0" applyFont="1" applyBorder="1" applyAlignment="1">
      <alignment vertical="center"/>
    </xf>
    <xf numFmtId="0" fontId="99" fillId="0" borderId="44" xfId="0" applyFont="1" applyBorder="1" applyAlignment="1">
      <alignment vertical="center"/>
    </xf>
    <xf numFmtId="0" fontId="93" fillId="0" borderId="44" xfId="0" applyFont="1" applyBorder="1" applyAlignment="1">
      <alignment vertical="center"/>
    </xf>
    <xf numFmtId="0" fontId="94" fillId="0" borderId="44" xfId="0" applyFont="1" applyBorder="1" applyAlignment="1">
      <alignment vertical="center"/>
    </xf>
    <xf numFmtId="0" fontId="101" fillId="0" borderId="44" xfId="0" applyFont="1" applyBorder="1" applyAlignment="1">
      <alignment vertical="center"/>
    </xf>
    <xf numFmtId="0" fontId="100" fillId="0" borderId="44" xfId="0" applyFont="1" applyBorder="1" applyAlignment="1">
      <alignment vertical="center"/>
    </xf>
    <xf numFmtId="0" fontId="105" fillId="0" borderId="44" xfId="0" applyFont="1" applyBorder="1" applyAlignment="1">
      <alignment vertical="center"/>
    </xf>
    <xf numFmtId="0" fontId="90" fillId="29" borderId="44" xfId="0" applyFont="1" applyFill="1" applyBorder="1" applyAlignment="1">
      <alignment vertical="center"/>
    </xf>
    <xf numFmtId="0" fontId="99" fillId="32" borderId="44" xfId="0" applyFont="1" applyFill="1" applyBorder="1" applyAlignment="1">
      <alignment vertical="center"/>
    </xf>
    <xf numFmtId="0" fontId="95" fillId="32" borderId="44" xfId="0" applyFont="1" applyFill="1" applyBorder="1" applyAlignment="1">
      <alignment vertical="center"/>
    </xf>
    <xf numFmtId="0" fontId="96" fillId="32" borderId="44" xfId="0" applyFont="1" applyFill="1" applyBorder="1" applyAlignment="1">
      <alignment vertical="center"/>
    </xf>
    <xf numFmtId="0" fontId="102" fillId="32" borderId="44" xfId="0" applyFont="1" applyFill="1" applyBorder="1" applyAlignment="1">
      <alignment vertical="center"/>
    </xf>
    <xf numFmtId="0" fontId="105" fillId="32" borderId="44" xfId="0" applyFont="1" applyFill="1" applyBorder="1" applyAlignment="1">
      <alignment vertical="center"/>
    </xf>
    <xf numFmtId="0" fontId="96" fillId="0" borderId="44" xfId="0" applyFont="1" applyBorder="1" applyAlignment="1">
      <alignment vertical="center"/>
    </xf>
    <xf numFmtId="0" fontId="89" fillId="28" borderId="45" xfId="0" applyFont="1" applyFill="1" applyBorder="1" applyAlignment="1">
      <alignment vertical="center"/>
    </xf>
    <xf numFmtId="0" fontId="99" fillId="31" borderId="45" xfId="0" applyFont="1" applyFill="1" applyBorder="1" applyAlignment="1">
      <alignment vertical="center"/>
    </xf>
    <xf numFmtId="0" fontId="93" fillId="31" borderId="45" xfId="0" applyFont="1" applyFill="1" applyBorder="1" applyAlignment="1">
      <alignment vertical="center"/>
    </xf>
    <xf numFmtId="0" fontId="94" fillId="31" borderId="45" xfId="0" applyFont="1" applyFill="1" applyBorder="1" applyAlignment="1">
      <alignment vertical="center"/>
    </xf>
    <xf numFmtId="0" fontId="101" fillId="31" borderId="45" xfId="0" applyFont="1" applyFill="1" applyBorder="1" applyAlignment="1">
      <alignment vertical="center"/>
    </xf>
    <xf numFmtId="0" fontId="100" fillId="31" borderId="45" xfId="0" applyFont="1" applyFill="1" applyBorder="1" applyAlignment="1">
      <alignment vertical="center"/>
    </xf>
    <xf numFmtId="0" fontId="105" fillId="31" borderId="45" xfId="0" applyFont="1" applyFill="1" applyBorder="1" applyAlignment="1">
      <alignment vertical="center"/>
    </xf>
    <xf numFmtId="0" fontId="89" fillId="0" borderId="45" xfId="0" applyFont="1" applyBorder="1" applyAlignment="1">
      <alignment vertical="center"/>
    </xf>
    <xf numFmtId="0" fontId="99" fillId="0" borderId="45" xfId="0" applyFont="1" applyBorder="1" applyAlignment="1">
      <alignment vertical="center"/>
    </xf>
    <xf numFmtId="0" fontId="93" fillId="0" borderId="45" xfId="0" applyFont="1" applyBorder="1" applyAlignment="1">
      <alignment vertical="center"/>
    </xf>
    <xf numFmtId="0" fontId="94" fillId="0" borderId="45" xfId="0" applyFont="1" applyBorder="1" applyAlignment="1">
      <alignment vertical="center"/>
    </xf>
    <xf numFmtId="0" fontId="101" fillId="0" borderId="45" xfId="0" applyFont="1" applyBorder="1" applyAlignment="1">
      <alignment vertical="center"/>
    </xf>
    <xf numFmtId="0" fontId="100" fillId="0" borderId="45" xfId="0" applyFont="1" applyBorder="1" applyAlignment="1">
      <alignment vertical="center"/>
    </xf>
    <xf numFmtId="0" fontId="105" fillId="0" borderId="45" xfId="0" applyFont="1" applyBorder="1" applyAlignment="1">
      <alignment vertical="center"/>
    </xf>
    <xf numFmtId="0" fontId="96" fillId="0" borderId="45" xfId="0" applyFont="1" applyBorder="1" applyAlignment="1">
      <alignment vertical="center"/>
    </xf>
    <xf numFmtId="0" fontId="90" fillId="29" borderId="45" xfId="0" applyFont="1" applyFill="1" applyBorder="1" applyAlignment="1">
      <alignment vertical="center"/>
    </xf>
    <xf numFmtId="0" fontId="99" fillId="32" borderId="45" xfId="0" applyFont="1" applyFill="1" applyBorder="1" applyAlignment="1">
      <alignment vertical="center"/>
    </xf>
    <xf numFmtId="0" fontId="95" fillId="32" borderId="45" xfId="0" applyFont="1" applyFill="1" applyBorder="1" applyAlignment="1">
      <alignment vertical="center"/>
    </xf>
    <xf numFmtId="0" fontId="96" fillId="32" borderId="45" xfId="0" applyFont="1" applyFill="1" applyBorder="1" applyAlignment="1">
      <alignment vertical="center"/>
    </xf>
    <xf numFmtId="0" fontId="102" fillId="32" borderId="45" xfId="0" applyFont="1" applyFill="1" applyBorder="1" applyAlignment="1">
      <alignment vertical="center"/>
    </xf>
    <xf numFmtId="0" fontId="105" fillId="32" borderId="45" xfId="0" applyFont="1" applyFill="1" applyBorder="1" applyAlignment="1">
      <alignment vertical="center"/>
    </xf>
    <xf numFmtId="0" fontId="108" fillId="31" borderId="45" xfId="0" applyFont="1" applyFill="1" applyBorder="1" applyAlignment="1">
      <alignment vertical="center"/>
    </xf>
    <xf numFmtId="0" fontId="0" fillId="30" borderId="41" xfId="0" applyFont="1" applyFill="1" applyBorder="1" applyAlignment="1">
      <alignment horizontal="center" vertical="center"/>
    </xf>
    <xf numFmtId="0" fontId="0" fillId="27" borderId="41" xfId="0" applyFont="1" applyFill="1" applyBorder="1" applyAlignment="1">
      <alignment horizontal="center" vertical="center"/>
    </xf>
    <xf numFmtId="0" fontId="0" fillId="30" borderId="41" xfId="0" applyFont="1" applyFill="1" applyBorder="1" applyAlignment="1">
      <alignment vertical="center"/>
    </xf>
    <xf numFmtId="0" fontId="0" fillId="27" borderId="41" xfId="0" applyFont="1" applyFill="1" applyBorder="1" applyAlignment="1">
      <alignment vertical="center"/>
    </xf>
    <xf numFmtId="0" fontId="120" fillId="31" borderId="41" xfId="0" applyFont="1" applyFill="1" applyBorder="1" applyAlignment="1">
      <alignment vertical="center"/>
    </xf>
    <xf numFmtId="0" fontId="120" fillId="26" borderId="41" xfId="0" applyFont="1" applyFill="1" applyBorder="1" applyAlignment="1">
      <alignment vertical="center"/>
    </xf>
    <xf numFmtId="0" fontId="90" fillId="27" borderId="41" xfId="0" applyFont="1" applyFill="1" applyBorder="1" applyAlignment="1">
      <alignment vertical="center"/>
    </xf>
    <xf numFmtId="187" fontId="90" fillId="27" borderId="41" xfId="0" applyNumberFormat="1" applyFont="1" applyFill="1" applyBorder="1" applyAlignment="1">
      <alignment vertical="center"/>
    </xf>
    <xf numFmtId="187" fontId="99" fillId="27" borderId="41" xfId="0" applyNumberFormat="1" applyFont="1" applyFill="1" applyBorder="1" applyAlignment="1">
      <alignment vertical="center"/>
    </xf>
    <xf numFmtId="0" fontId="120" fillId="26" borderId="45" xfId="0" applyFont="1" applyFill="1" applyBorder="1" applyAlignment="1">
      <alignment vertical="center"/>
    </xf>
    <xf numFmtId="187" fontId="90" fillId="0" borderId="42" xfId="0" applyNumberFormat="1" applyFont="1" applyBorder="1" applyAlignment="1">
      <alignment vertical="center"/>
    </xf>
    <xf numFmtId="187" fontId="119" fillId="0" borderId="42" xfId="0" applyNumberFormat="1" applyFont="1" applyBorder="1" applyAlignment="1">
      <alignment vertical="center"/>
    </xf>
    <xf numFmtId="0" fontId="120" fillId="27" borderId="41" xfId="0" applyFont="1" applyFill="1" applyBorder="1" applyAlignment="1">
      <alignment vertical="center"/>
    </xf>
    <xf numFmtId="0" fontId="89" fillId="28" borderId="46" xfId="0" applyFont="1" applyFill="1" applyBorder="1" applyAlignment="1">
      <alignment vertical="center"/>
    </xf>
    <xf numFmtId="0" fontId="99" fillId="31" borderId="46" xfId="0" applyFont="1" applyFill="1" applyBorder="1" applyAlignment="1">
      <alignment vertical="center"/>
    </xf>
    <xf numFmtId="0" fontId="101" fillId="31" borderId="46" xfId="0" applyFont="1" applyFill="1" applyBorder="1" applyAlignment="1">
      <alignment vertical="center"/>
    </xf>
    <xf numFmtId="0" fontId="100" fillId="31" borderId="46" xfId="0" applyFont="1" applyFill="1" applyBorder="1" applyAlignment="1">
      <alignment vertical="center"/>
    </xf>
    <xf numFmtId="0" fontId="93" fillId="31" borderId="46" xfId="0" applyFont="1" applyFill="1" applyBorder="1" applyAlignment="1">
      <alignment vertical="center"/>
    </xf>
    <xf numFmtId="0" fontId="94" fillId="31" borderId="46" xfId="0" applyFont="1" applyFill="1" applyBorder="1" applyAlignment="1">
      <alignment vertical="center"/>
    </xf>
    <xf numFmtId="0" fontId="105" fillId="31" borderId="46" xfId="0" applyFont="1" applyFill="1" applyBorder="1" applyAlignment="1">
      <alignment vertical="center"/>
    </xf>
    <xf numFmtId="0" fontId="108" fillId="31" borderId="46" xfId="0" applyFont="1" applyFill="1" applyBorder="1" applyAlignment="1">
      <alignment vertical="center"/>
    </xf>
    <xf numFmtId="0" fontId="89" fillId="0" borderId="46" xfId="0" applyFont="1" applyBorder="1" applyAlignment="1">
      <alignment vertical="center"/>
    </xf>
    <xf numFmtId="0" fontId="99" fillId="0" borderId="46" xfId="0" applyFont="1" applyBorder="1" applyAlignment="1">
      <alignment vertical="center"/>
    </xf>
    <xf numFmtId="0" fontId="101" fillId="0" borderId="46" xfId="0" applyFont="1" applyBorder="1" applyAlignment="1">
      <alignment vertical="center"/>
    </xf>
    <xf numFmtId="0" fontId="100" fillId="0" borderId="46" xfId="0" applyFont="1" applyBorder="1" applyAlignment="1">
      <alignment vertical="center"/>
    </xf>
    <xf numFmtId="0" fontId="93" fillId="0" borderId="46" xfId="0" applyFont="1" applyBorder="1" applyAlignment="1">
      <alignment vertical="center"/>
    </xf>
    <xf numFmtId="0" fontId="94" fillId="0" borderId="46" xfId="0" applyFont="1" applyBorder="1" applyAlignment="1">
      <alignment vertical="center"/>
    </xf>
    <xf numFmtId="0" fontId="105" fillId="0" borderId="46" xfId="0" applyFont="1" applyBorder="1" applyAlignment="1">
      <alignment vertical="center"/>
    </xf>
    <xf numFmtId="0" fontId="96" fillId="0" borderId="46" xfId="0" applyFont="1" applyBorder="1" applyAlignment="1">
      <alignment vertical="center"/>
    </xf>
    <xf numFmtId="0" fontId="90" fillId="29" borderId="46" xfId="0" applyFont="1" applyFill="1" applyBorder="1" applyAlignment="1">
      <alignment vertical="center"/>
    </xf>
    <xf numFmtId="0" fontId="99" fillId="32" borderId="46" xfId="0" applyFont="1" applyFill="1" applyBorder="1" applyAlignment="1">
      <alignment vertical="center"/>
    </xf>
    <xf numFmtId="0" fontId="102" fillId="32" borderId="46" xfId="0" applyFont="1" applyFill="1" applyBorder="1" applyAlignment="1">
      <alignment vertical="center"/>
    </xf>
    <xf numFmtId="0" fontId="95" fillId="32" borderId="46" xfId="0" applyFont="1" applyFill="1" applyBorder="1" applyAlignment="1">
      <alignment vertical="center"/>
    </xf>
    <xf numFmtId="0" fontId="96" fillId="32" borderId="46" xfId="0" applyFont="1" applyFill="1" applyBorder="1" applyAlignment="1">
      <alignment vertical="center"/>
    </xf>
    <xf numFmtId="0" fontId="105" fillId="32" borderId="46" xfId="0" applyFont="1" applyFill="1" applyBorder="1" applyAlignment="1">
      <alignment vertical="center"/>
    </xf>
    <xf numFmtId="0" fontId="89" fillId="28" borderId="47" xfId="0" applyFont="1" applyFill="1" applyBorder="1" applyAlignment="1">
      <alignment vertical="center"/>
    </xf>
    <xf numFmtId="0" fontId="99" fillId="31" borderId="47" xfId="0" applyFont="1" applyFill="1" applyBorder="1" applyAlignment="1">
      <alignment vertical="center"/>
    </xf>
    <xf numFmtId="0" fontId="101" fillId="31" borderId="47" xfId="0" applyFont="1" applyFill="1" applyBorder="1" applyAlignment="1">
      <alignment vertical="center"/>
    </xf>
    <xf numFmtId="0" fontId="100" fillId="31" borderId="47" xfId="0" applyFont="1" applyFill="1" applyBorder="1" applyAlignment="1">
      <alignment vertical="center"/>
    </xf>
    <xf numFmtId="0" fontId="93" fillId="31" borderId="47" xfId="0" applyFont="1" applyFill="1" applyBorder="1" applyAlignment="1">
      <alignment vertical="center"/>
    </xf>
    <xf numFmtId="0" fontId="94" fillId="31" borderId="47" xfId="0" applyFont="1" applyFill="1" applyBorder="1" applyAlignment="1">
      <alignment vertical="center"/>
    </xf>
    <xf numFmtId="0" fontId="105" fillId="31" borderId="47" xfId="0" applyFont="1" applyFill="1" applyBorder="1" applyAlignment="1">
      <alignment vertical="center"/>
    </xf>
    <xf numFmtId="0" fontId="108" fillId="31" borderId="47" xfId="0" applyFont="1" applyFill="1" applyBorder="1" applyAlignment="1">
      <alignment vertical="center"/>
    </xf>
    <xf numFmtId="0" fontId="89" fillId="0" borderId="47" xfId="0" applyFont="1" applyBorder="1" applyAlignment="1">
      <alignment vertical="center"/>
    </xf>
    <xf numFmtId="0" fontId="99" fillId="0" borderId="47" xfId="0" applyFont="1" applyBorder="1" applyAlignment="1">
      <alignment vertical="center"/>
    </xf>
    <xf numFmtId="0" fontId="101" fillId="0" borderId="47" xfId="0" applyFont="1" applyBorder="1" applyAlignment="1">
      <alignment vertical="center"/>
    </xf>
    <xf numFmtId="0" fontId="100" fillId="0" borderId="47" xfId="0" applyFont="1" applyBorder="1" applyAlignment="1">
      <alignment vertical="center"/>
    </xf>
    <xf numFmtId="0" fontId="93" fillId="0" borderId="47" xfId="0" applyFont="1" applyBorder="1" applyAlignment="1">
      <alignment vertical="center"/>
    </xf>
    <xf numFmtId="0" fontId="94" fillId="0" borderId="47" xfId="0" applyFont="1" applyBorder="1" applyAlignment="1">
      <alignment vertical="center"/>
    </xf>
    <xf numFmtId="0" fontId="105" fillId="0" borderId="47" xfId="0" applyFont="1" applyBorder="1" applyAlignment="1">
      <alignment vertical="center"/>
    </xf>
    <xf numFmtId="0" fontId="96" fillId="0" borderId="47" xfId="0" applyFont="1" applyBorder="1" applyAlignment="1">
      <alignment vertical="center"/>
    </xf>
    <xf numFmtId="0" fontId="90" fillId="29" borderId="47" xfId="0" applyFont="1" applyFill="1" applyBorder="1" applyAlignment="1">
      <alignment vertical="center"/>
    </xf>
    <xf numFmtId="0" fontId="99" fillId="32" borderId="47" xfId="0" applyFont="1" applyFill="1" applyBorder="1" applyAlignment="1">
      <alignment vertical="center"/>
    </xf>
    <xf numFmtId="0" fontId="102" fillId="32" borderId="47" xfId="0" applyFont="1" applyFill="1" applyBorder="1" applyAlignment="1">
      <alignment vertical="center"/>
    </xf>
    <xf numFmtId="0" fontId="95" fillId="32" borderId="47" xfId="0" applyFont="1" applyFill="1" applyBorder="1" applyAlignment="1">
      <alignment vertical="center"/>
    </xf>
    <xf numFmtId="0" fontId="96" fillId="32" borderId="47" xfId="0" applyFont="1" applyFill="1" applyBorder="1" applyAlignment="1">
      <alignment vertical="center"/>
    </xf>
    <xf numFmtId="0" fontId="105" fillId="32" borderId="47" xfId="0" applyFont="1" applyFill="1" applyBorder="1" applyAlignment="1">
      <alignment vertical="center"/>
    </xf>
    <xf numFmtId="0" fontId="17" fillId="0" borderId="48" xfId="9" applyFont="1" applyFill="1" applyBorder="1" applyAlignment="1">
      <alignment horizontal="center" vertical="center" shrinkToFit="1"/>
    </xf>
    <xf numFmtId="0" fontId="17" fillId="27" borderId="48" xfId="0" applyFont="1" applyFill="1" applyBorder="1" applyAlignment="1">
      <alignment horizontal="left" vertical="center"/>
    </xf>
    <xf numFmtId="180" fontId="17" fillId="27" borderId="48" xfId="9" applyNumberFormat="1" applyFont="1" applyFill="1" applyBorder="1" applyAlignment="1">
      <alignment horizontal="center" vertical="center"/>
    </xf>
    <xf numFmtId="0" fontId="17" fillId="33" borderId="48" xfId="0" applyFont="1" applyFill="1" applyBorder="1" applyAlignment="1">
      <alignment horizontal="left" vertical="center"/>
    </xf>
    <xf numFmtId="0" fontId="16" fillId="33" borderId="48" xfId="0" applyFont="1" applyFill="1" applyBorder="1" applyAlignment="1">
      <alignment horizontal="center" vertical="center"/>
    </xf>
    <xf numFmtId="0" fontId="17" fillId="0" borderId="48" xfId="0" applyFont="1" applyBorder="1" applyAlignment="1">
      <alignment horizontal="left" vertical="center"/>
    </xf>
    <xf numFmtId="0" fontId="17" fillId="0" borderId="48" xfId="0" applyFont="1" applyFill="1" applyBorder="1" applyAlignment="1">
      <alignment horizontal="center" vertical="center"/>
    </xf>
    <xf numFmtId="0" fontId="80" fillId="0" borderId="48" xfId="0" applyFont="1" applyBorder="1" applyAlignment="1">
      <alignment horizontal="left" vertical="center"/>
    </xf>
    <xf numFmtId="182" fontId="17" fillId="0" borderId="48" xfId="0" applyNumberFormat="1" applyFont="1" applyFill="1" applyBorder="1" applyAlignment="1">
      <alignment horizontal="center" vertical="center"/>
    </xf>
    <xf numFmtId="185" fontId="17" fillId="0" borderId="48" xfId="12" applyNumberFormat="1" applyFont="1" applyFill="1" applyBorder="1" applyAlignment="1">
      <alignment horizontal="center" vertical="center"/>
    </xf>
    <xf numFmtId="0" fontId="0" fillId="27" borderId="48" xfId="0" applyFill="1" applyBorder="1" applyAlignment="1">
      <alignment horizontal="center" vertical="center"/>
    </xf>
    <xf numFmtId="0" fontId="88" fillId="27" borderId="48" xfId="0" applyFont="1" applyFill="1" applyBorder="1" applyAlignment="1">
      <alignment horizontal="center" vertical="center"/>
    </xf>
    <xf numFmtId="0" fontId="103" fillId="27" borderId="48" xfId="0" applyFont="1" applyFill="1" applyBorder="1" applyAlignment="1">
      <alignment horizontal="center" vertical="center"/>
    </xf>
    <xf numFmtId="0" fontId="92" fillId="27" borderId="48" xfId="0" applyFont="1" applyFill="1" applyBorder="1" applyAlignment="1">
      <alignment horizontal="center" vertical="center"/>
    </xf>
    <xf numFmtId="0" fontId="92" fillId="30" borderId="48" xfId="0" applyFont="1" applyFill="1" applyBorder="1" applyAlignment="1">
      <alignment horizontal="center" vertical="center"/>
    </xf>
    <xf numFmtId="0" fontId="92" fillId="27" borderId="48" xfId="0" applyFont="1" applyFill="1" applyBorder="1" applyAlignment="1">
      <alignment vertical="center"/>
    </xf>
    <xf numFmtId="0" fontId="92" fillId="30" borderId="48" xfId="0" applyFont="1" applyFill="1" applyBorder="1" applyAlignment="1">
      <alignment vertical="center"/>
    </xf>
    <xf numFmtId="0" fontId="89" fillId="28" borderId="48" xfId="0" applyFont="1" applyFill="1" applyBorder="1" applyAlignment="1">
      <alignment vertical="center"/>
    </xf>
    <xf numFmtId="0" fontId="99" fillId="31" borderId="48" xfId="0" applyFont="1" applyFill="1" applyBorder="1" applyAlignment="1">
      <alignment vertical="center"/>
    </xf>
    <xf numFmtId="0" fontId="101" fillId="31" borderId="48" xfId="0" applyFont="1" applyFill="1" applyBorder="1" applyAlignment="1">
      <alignment vertical="center"/>
    </xf>
    <xf numFmtId="0" fontId="100" fillId="31" borderId="48" xfId="0" applyFont="1" applyFill="1" applyBorder="1" applyAlignment="1">
      <alignment vertical="center"/>
    </xf>
    <xf numFmtId="0" fontId="93" fillId="31" borderId="48" xfId="0" applyFont="1" applyFill="1" applyBorder="1" applyAlignment="1">
      <alignment vertical="center"/>
    </xf>
    <xf numFmtId="0" fontId="94" fillId="31" borderId="48" xfId="0" applyFont="1" applyFill="1" applyBorder="1" applyAlignment="1">
      <alignment vertical="center"/>
    </xf>
    <xf numFmtId="0" fontId="105" fillId="31" borderId="48" xfId="0" applyFont="1" applyFill="1" applyBorder="1" applyAlignment="1">
      <alignment vertical="center"/>
    </xf>
    <xf numFmtId="0" fontId="89" fillId="0" borderId="48" xfId="0" applyFont="1" applyBorder="1" applyAlignment="1">
      <alignment vertical="center"/>
    </xf>
    <xf numFmtId="0" fontId="99" fillId="0" borderId="48" xfId="0" applyFont="1" applyBorder="1" applyAlignment="1">
      <alignment vertical="center"/>
    </xf>
    <xf numFmtId="0" fontId="101" fillId="0" borderId="48" xfId="0" applyFont="1" applyBorder="1" applyAlignment="1">
      <alignment vertical="center"/>
    </xf>
    <xf numFmtId="0" fontId="100" fillId="0" borderId="48" xfId="0" applyFont="1" applyBorder="1" applyAlignment="1">
      <alignment vertical="center"/>
    </xf>
    <xf numFmtId="0" fontId="93" fillId="0" borderId="48" xfId="0" applyFont="1" applyBorder="1" applyAlignment="1">
      <alignment vertical="center"/>
    </xf>
    <xf numFmtId="0" fontId="94" fillId="0" borderId="48" xfId="0" applyFont="1" applyBorder="1" applyAlignment="1">
      <alignment vertical="center"/>
    </xf>
    <xf numFmtId="0" fontId="105" fillId="0" borderId="48" xfId="0" applyFont="1" applyBorder="1" applyAlignment="1">
      <alignment vertical="center"/>
    </xf>
    <xf numFmtId="0" fontId="96" fillId="0" borderId="48" xfId="0" applyFont="1" applyBorder="1" applyAlignment="1">
      <alignment vertical="center"/>
    </xf>
    <xf numFmtId="0" fontId="90" fillId="29" borderId="48" xfId="0" applyFont="1" applyFill="1" applyBorder="1" applyAlignment="1">
      <alignment vertical="center"/>
    </xf>
    <xf numFmtId="0" fontId="99" fillId="32" borderId="48" xfId="0" applyFont="1" applyFill="1" applyBorder="1" applyAlignment="1">
      <alignment vertical="center"/>
    </xf>
    <xf numFmtId="0" fontId="102" fillId="32" borderId="48" xfId="0" applyFont="1" applyFill="1" applyBorder="1" applyAlignment="1">
      <alignment vertical="center"/>
    </xf>
    <xf numFmtId="0" fontId="95" fillId="32" borderId="48" xfId="0" applyFont="1" applyFill="1" applyBorder="1" applyAlignment="1">
      <alignment vertical="center"/>
    </xf>
    <xf numFmtId="0" fontId="96" fillId="32" borderId="48" xfId="0" applyFont="1" applyFill="1" applyBorder="1" applyAlignment="1">
      <alignment vertical="center"/>
    </xf>
    <xf numFmtId="0" fontId="105" fillId="32" borderId="48" xfId="0" applyFont="1" applyFill="1" applyBorder="1" applyAlignment="1">
      <alignment vertical="center"/>
    </xf>
    <xf numFmtId="0" fontId="0" fillId="27" borderId="48" xfId="0" applyFont="1" applyFill="1" applyBorder="1" applyAlignment="1">
      <alignment horizontal="center" vertical="center"/>
    </xf>
    <xf numFmtId="0" fontId="17" fillId="0" borderId="48" xfId="0" applyFont="1" applyFill="1" applyBorder="1" applyAlignment="1">
      <alignment horizontal="center" vertical="center" shrinkToFit="1"/>
    </xf>
    <xf numFmtId="0" fontId="121" fillId="0" borderId="0" xfId="0" applyFont="1"/>
    <xf numFmtId="0" fontId="121" fillId="0" borderId="0" xfId="0" applyFont="1" applyAlignment="1">
      <alignment vertical="center"/>
    </xf>
    <xf numFmtId="0" fontId="122" fillId="31" borderId="42" xfId="0" applyFont="1" applyFill="1" applyBorder="1" applyAlignment="1">
      <alignment vertical="center"/>
    </xf>
    <xf numFmtId="0" fontId="122" fillId="0" borderId="42" xfId="0" applyFont="1" applyBorder="1" applyAlignment="1">
      <alignment vertical="center"/>
    </xf>
    <xf numFmtId="0" fontId="110" fillId="31" borderId="48" xfId="0" applyFont="1" applyFill="1" applyBorder="1" applyAlignment="1">
      <alignment vertical="center"/>
    </xf>
    <xf numFmtId="0" fontId="122" fillId="31" borderId="48" xfId="0" applyFont="1" applyFill="1" applyBorder="1" applyAlignment="1">
      <alignment vertical="center"/>
    </xf>
    <xf numFmtId="0" fontId="110" fillId="0" borderId="48" xfId="0" applyFont="1" applyBorder="1" applyAlignment="1">
      <alignment vertical="center"/>
    </xf>
    <xf numFmtId="0" fontId="122" fillId="0" borderId="48" xfId="0" applyFont="1" applyBorder="1" applyAlignment="1">
      <alignment vertical="center"/>
    </xf>
    <xf numFmtId="0" fontId="93" fillId="31" borderId="42" xfId="0" applyFont="1" applyFill="1" applyBorder="1" applyAlignment="1">
      <alignment vertical="center"/>
    </xf>
    <xf numFmtId="0" fontId="93" fillId="0" borderId="42" xfId="0" applyFont="1" applyBorder="1" applyAlignment="1">
      <alignment vertical="center"/>
    </xf>
    <xf numFmtId="0" fontId="123" fillId="0" borderId="48" xfId="17" applyFont="1" applyBorder="1" applyAlignment="1">
      <alignment horizontal="center"/>
    </xf>
    <xf numFmtId="0" fontId="124" fillId="0" borderId="48" xfId="17" applyFont="1" applyBorder="1" applyAlignment="1">
      <alignment horizontal="center"/>
    </xf>
    <xf numFmtId="0" fontId="125" fillId="0" borderId="48" xfId="17" applyFont="1" applyBorder="1" applyAlignment="1">
      <alignment horizontal="center"/>
    </xf>
    <xf numFmtId="0" fontId="91" fillId="28" borderId="48" xfId="0" applyFont="1" applyFill="1" applyBorder="1" applyAlignment="1">
      <alignment vertical="center"/>
    </xf>
    <xf numFmtId="0" fontId="126" fillId="31" borderId="48" xfId="0" applyFont="1" applyFill="1" applyBorder="1" applyAlignment="1">
      <alignment vertical="center"/>
    </xf>
    <xf numFmtId="0" fontId="127" fillId="31" borderId="48" xfId="0" applyFont="1" applyFill="1" applyBorder="1" applyAlignment="1">
      <alignment vertical="center"/>
    </xf>
    <xf numFmtId="0" fontId="91" fillId="0" borderId="48" xfId="0" applyFont="1" applyBorder="1" applyAlignment="1">
      <alignment vertical="center"/>
    </xf>
    <xf numFmtId="0" fontId="126" fillId="0" borderId="48" xfId="0" applyFont="1" applyBorder="1" applyAlignment="1">
      <alignment vertical="center"/>
    </xf>
    <xf numFmtId="0" fontId="127" fillId="0" borderId="48" xfId="0" applyFont="1" applyBorder="1" applyAlignment="1">
      <alignment vertical="center"/>
    </xf>
    <xf numFmtId="0" fontId="91" fillId="28" borderId="42" xfId="0" applyFont="1" applyFill="1" applyBorder="1" applyAlignment="1">
      <alignment vertical="center"/>
    </xf>
    <xf numFmtId="0" fontId="126" fillId="31" borderId="42" xfId="0" applyFont="1" applyFill="1" applyBorder="1" applyAlignment="1">
      <alignment vertical="center"/>
    </xf>
    <xf numFmtId="0" fontId="127" fillId="31" borderId="42" xfId="0" applyFont="1" applyFill="1" applyBorder="1" applyAlignment="1">
      <alignment vertical="center"/>
    </xf>
    <xf numFmtId="0" fontId="91" fillId="0" borderId="42" xfId="0" applyFont="1" applyBorder="1" applyAlignment="1">
      <alignment vertical="center"/>
    </xf>
    <xf numFmtId="0" fontId="126" fillId="0" borderId="42" xfId="0" applyFont="1" applyBorder="1" applyAlignment="1">
      <alignment vertical="center"/>
    </xf>
    <xf numFmtId="0" fontId="127" fillId="0" borderId="42" xfId="0" applyFont="1" applyBorder="1" applyAlignment="1">
      <alignment vertical="center"/>
    </xf>
    <xf numFmtId="0" fontId="129" fillId="0" borderId="48" xfId="17" applyFont="1" applyBorder="1" applyAlignment="1">
      <alignment horizontal="center"/>
    </xf>
    <xf numFmtId="0" fontId="130" fillId="0" borderId="48" xfId="17" applyFont="1" applyBorder="1" applyAlignment="1">
      <alignment horizontal="center"/>
    </xf>
    <xf numFmtId="0" fontId="128" fillId="0" borderId="48" xfId="17" applyFont="1" applyBorder="1" applyAlignment="1">
      <alignment horizontal="left"/>
    </xf>
    <xf numFmtId="0" fontId="129" fillId="0" borderId="48" xfId="17" applyFont="1" applyBorder="1" applyAlignment="1">
      <alignment horizontal="right"/>
    </xf>
    <xf numFmtId="0" fontId="130" fillId="0" borderId="48" xfId="17" applyFont="1" applyBorder="1" applyAlignment="1">
      <alignment horizontal="right"/>
    </xf>
    <xf numFmtId="0" fontId="21" fillId="0" borderId="0" xfId="4" applyFont="1"/>
    <xf numFmtId="181" fontId="17" fillId="27" borderId="48" xfId="0" applyNumberFormat="1" applyFont="1" applyFill="1" applyBorder="1" applyAlignment="1">
      <alignment horizontal="center" vertical="center"/>
    </xf>
    <xf numFmtId="178" fontId="17" fillId="27" borderId="48" xfId="2" applyNumberFormat="1" applyFont="1" applyFill="1" applyBorder="1" applyAlignment="1">
      <alignment horizontal="right" vertical="center"/>
    </xf>
    <xf numFmtId="0" fontId="17" fillId="27" borderId="48" xfId="0" applyFont="1" applyFill="1" applyBorder="1" applyAlignment="1">
      <alignment horizontal="center" vertical="center" shrinkToFit="1"/>
    </xf>
    <xf numFmtId="178" fontId="17" fillId="33" borderId="48" xfId="2" applyNumberFormat="1" applyFont="1" applyFill="1" applyBorder="1" applyAlignment="1">
      <alignment horizontal="center" vertical="center"/>
    </xf>
    <xf numFmtId="9" fontId="17" fillId="33" borderId="48" xfId="0" applyNumberFormat="1" applyFont="1" applyFill="1" applyBorder="1" applyAlignment="1">
      <alignment horizontal="center" vertical="center" shrinkToFit="1"/>
    </xf>
    <xf numFmtId="0" fontId="17" fillId="33" borderId="48" xfId="0" applyFont="1" applyFill="1" applyBorder="1" applyAlignment="1">
      <alignment horizontal="center" vertical="center" shrinkToFit="1"/>
    </xf>
    <xf numFmtId="0" fontId="17" fillId="3" borderId="48" xfId="0" applyFont="1" applyFill="1" applyBorder="1" applyAlignment="1">
      <alignment horizontal="center" vertical="center"/>
    </xf>
    <xf numFmtId="176" fontId="17" fillId="0" borderId="48" xfId="0" applyNumberFormat="1" applyFont="1" applyBorder="1" applyAlignment="1">
      <alignment horizontal="right" vertical="center"/>
    </xf>
    <xf numFmtId="0" fontId="17" fillId="0" borderId="48" xfId="0" applyFont="1" applyBorder="1" applyAlignment="1">
      <alignment horizontal="center" vertical="center" shrinkToFit="1"/>
    </xf>
    <xf numFmtId="182" fontId="17" fillId="0" borderId="48" xfId="0" applyNumberFormat="1" applyFont="1" applyBorder="1" applyAlignment="1">
      <alignment horizontal="center" vertical="center"/>
    </xf>
    <xf numFmtId="185" fontId="17" fillId="0" borderId="48" xfId="12" applyNumberFormat="1" applyFont="1" applyBorder="1" applyAlignment="1">
      <alignment horizontal="center" vertical="center"/>
    </xf>
    <xf numFmtId="185" fontId="17" fillId="0" borderId="48" xfId="0" applyNumberFormat="1" applyFont="1" applyBorder="1" applyAlignment="1">
      <alignment horizontal="center" vertical="center" shrinkToFit="1"/>
    </xf>
    <xf numFmtId="0" fontId="17" fillId="27" borderId="48" xfId="0" applyNumberFormat="1" applyFont="1" applyFill="1" applyBorder="1" applyAlignment="1">
      <alignment horizontal="center" vertical="center" shrinkToFit="1"/>
    </xf>
    <xf numFmtId="0" fontId="17" fillId="33" borderId="48" xfId="0" applyNumberFormat="1" applyFont="1" applyFill="1" applyBorder="1" applyAlignment="1">
      <alignment horizontal="center" vertical="center" shrinkToFit="1"/>
    </xf>
    <xf numFmtId="0" fontId="17" fillId="0" borderId="48" xfId="0" applyNumberFormat="1" applyFont="1" applyFill="1" applyBorder="1" applyAlignment="1">
      <alignment horizontal="center" vertical="center" shrinkToFit="1"/>
    </xf>
    <xf numFmtId="177" fontId="17" fillId="27" borderId="48" xfId="2" applyFont="1" applyFill="1" applyBorder="1" applyAlignment="1">
      <alignment horizontal="center" vertical="center"/>
    </xf>
    <xf numFmtId="177" fontId="16" fillId="33" borderId="48" xfId="2" applyFont="1" applyFill="1" applyBorder="1" applyAlignment="1">
      <alignment horizontal="center" vertical="center"/>
    </xf>
    <xf numFmtId="177" fontId="17" fillId="0" borderId="48" xfId="2" applyFont="1" applyFill="1" applyBorder="1" applyAlignment="1">
      <alignment horizontal="center" vertical="center"/>
    </xf>
    <xf numFmtId="185" fontId="17" fillId="0" borderId="48" xfId="0" applyNumberFormat="1" applyFont="1" applyFill="1" applyBorder="1" applyAlignment="1">
      <alignment horizontal="center" vertical="center" shrinkToFit="1"/>
    </xf>
    <xf numFmtId="0" fontId="107" fillId="27" borderId="49" xfId="10" applyFont="1" applyFill="1" applyBorder="1">
      <alignment vertical="center"/>
    </xf>
    <xf numFmtId="0" fontId="36" fillId="0" borderId="49" xfId="10" applyFont="1" applyBorder="1">
      <alignment vertical="center"/>
    </xf>
    <xf numFmtId="0" fontId="7" fillId="0" borderId="9" xfId="16" applyFont="1" applyBorder="1" applyAlignment="1">
      <alignment horizontal="center"/>
    </xf>
    <xf numFmtId="0" fontId="11" fillId="0" borderId="1" xfId="16" applyFont="1" applyBorder="1" applyAlignment="1">
      <alignment horizontal="center" vertical="center"/>
    </xf>
    <xf numFmtId="0" fontId="11" fillId="0" borderId="42" xfId="16" applyFont="1" applyBorder="1" applyAlignment="1">
      <alignment horizontal="center" vertical="center"/>
    </xf>
    <xf numFmtId="0" fontId="21" fillId="33" borderId="48" xfId="0" applyFont="1" applyFill="1" applyBorder="1" applyAlignment="1">
      <alignment horizontal="center" vertical="center" wrapText="1" shrinkToFit="1"/>
    </xf>
    <xf numFmtId="0" fontId="98" fillId="2" borderId="0" xfId="19" applyFont="1" applyFill="1" applyBorder="1" applyAlignment="1" applyProtection="1"/>
    <xf numFmtId="0" fontId="0" fillId="0" borderId="0" xfId="0" applyAlignment="1"/>
    <xf numFmtId="0" fontId="17" fillId="0" borderId="48" xfId="0" applyFont="1" applyFill="1" applyBorder="1" applyAlignment="1">
      <alignment horizontal="center" vertical="center" shrinkToFit="1"/>
    </xf>
    <xf numFmtId="0" fontId="21" fillId="0" borderId="48" xfId="0" applyFont="1" applyBorder="1" applyAlignment="1">
      <alignment horizontal="center" vertical="center" wrapText="1" shrinkToFit="1"/>
    </xf>
    <xf numFmtId="0" fontId="21" fillId="0" borderId="48" xfId="0" applyFont="1" applyFill="1" applyBorder="1" applyAlignment="1">
      <alignment horizontal="center" vertical="center" wrapText="1" shrinkToFit="1"/>
    </xf>
    <xf numFmtId="0" fontId="81" fillId="0" borderId="19" xfId="0" applyFont="1" applyBorder="1" applyAlignment="1">
      <alignment horizontal="center" vertical="center"/>
    </xf>
    <xf numFmtId="0" fontId="81" fillId="0" borderId="23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0" fontId="81" fillId="0" borderId="30" xfId="0" applyFont="1" applyBorder="1" applyAlignment="1">
      <alignment horizontal="center" vertical="center"/>
    </xf>
    <xf numFmtId="0" fontId="81" fillId="0" borderId="31" xfId="0" applyFont="1" applyBorder="1" applyAlignment="1">
      <alignment horizontal="center" vertical="center"/>
    </xf>
    <xf numFmtId="0" fontId="81" fillId="0" borderId="32" xfId="0" applyFont="1" applyBorder="1" applyAlignment="1">
      <alignment horizontal="center" vertical="center"/>
    </xf>
    <xf numFmtId="0" fontId="36" fillId="0" borderId="49" xfId="10" applyFont="1" applyBorder="1" applyAlignment="1">
      <alignment horizontal="center" vertical="center"/>
    </xf>
    <xf numFmtId="0" fontId="14" fillId="0" borderId="9" xfId="10" applyFont="1" applyFill="1" applyBorder="1" applyAlignment="1">
      <alignment horizontal="center" vertical="center"/>
    </xf>
    <xf numFmtId="0" fontId="45" fillId="0" borderId="1" xfId="10" applyFont="1" applyBorder="1" applyAlignment="1">
      <alignment horizontal="center" vertical="center"/>
    </xf>
    <xf numFmtId="0" fontId="16" fillId="0" borderId="3" xfId="10" applyFont="1" applyBorder="1" applyAlignment="1">
      <alignment horizontal="center" vertical="center"/>
    </xf>
    <xf numFmtId="0" fontId="16" fillId="0" borderId="2" xfId="10" applyFont="1" applyBorder="1" applyAlignment="1">
      <alignment horizontal="center" vertical="center"/>
    </xf>
    <xf numFmtId="0" fontId="97" fillId="0" borderId="3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106" fillId="0" borderId="3" xfId="0" applyFont="1" applyBorder="1" applyAlignment="1">
      <alignment horizontal="center" vertical="center" wrapText="1"/>
    </xf>
    <xf numFmtId="0" fontId="106" fillId="0" borderId="4" xfId="0" applyFont="1" applyBorder="1" applyAlignment="1">
      <alignment horizontal="center" vertical="center" wrapText="1"/>
    </xf>
    <xf numFmtId="0" fontId="106" fillId="0" borderId="2" xfId="0" applyFont="1" applyBorder="1" applyAlignment="1">
      <alignment horizontal="center" vertical="center" wrapText="1"/>
    </xf>
    <xf numFmtId="0" fontId="91" fillId="0" borderId="3" xfId="0" applyFont="1" applyBorder="1" applyAlignment="1">
      <alignment horizontal="center" vertical="center" wrapText="1"/>
    </xf>
    <xf numFmtId="0" fontId="91" fillId="0" borderId="4" xfId="0" applyFont="1" applyBorder="1" applyAlignment="1">
      <alignment horizontal="center" vertical="center" wrapText="1"/>
    </xf>
    <xf numFmtId="0" fontId="91" fillId="0" borderId="2" xfId="0" applyFont="1" applyBorder="1" applyAlignment="1">
      <alignment horizontal="center" vertical="center" wrapText="1"/>
    </xf>
    <xf numFmtId="0" fontId="97" fillId="0" borderId="34" xfId="0" applyFont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center" wrapText="1"/>
    </xf>
    <xf numFmtId="0" fontId="97" fillId="0" borderId="2" xfId="0" applyFont="1" applyBorder="1" applyAlignment="1">
      <alignment horizontal="center" vertical="center" wrapText="1"/>
    </xf>
    <xf numFmtId="0" fontId="18" fillId="0" borderId="4" xfId="2178" applyFont="1" applyBorder="1" applyAlignment="1">
      <alignment horizontal="center" vertical="center"/>
    </xf>
    <xf numFmtId="0" fontId="18" fillId="0" borderId="2" xfId="2178" applyFont="1" applyBorder="1" applyAlignment="1">
      <alignment horizontal="center" vertical="center"/>
    </xf>
    <xf numFmtId="0" fontId="16" fillId="0" borderId="34" xfId="2178" applyFont="1" applyBorder="1" applyAlignment="1">
      <alignment horizontal="center" vertical="center"/>
    </xf>
    <xf numFmtId="0" fontId="16" fillId="0" borderId="4" xfId="2178" applyFont="1" applyBorder="1" applyAlignment="1">
      <alignment horizontal="center" vertical="center"/>
    </xf>
    <xf numFmtId="0" fontId="16" fillId="0" borderId="2" xfId="2178" applyFont="1" applyBorder="1" applyAlignment="1">
      <alignment horizontal="center" vertical="center"/>
    </xf>
    <xf numFmtId="0" fontId="16" fillId="0" borderId="34" xfId="2179" applyFont="1" applyBorder="1" applyAlignment="1">
      <alignment horizontal="center" vertical="center" wrapText="1"/>
    </xf>
    <xf numFmtId="0" fontId="16" fillId="0" borderId="4" xfId="2179" applyFont="1" applyBorder="1" applyAlignment="1">
      <alignment horizontal="center" vertical="center" wrapText="1"/>
    </xf>
    <xf numFmtId="0" fontId="16" fillId="0" borderId="2" xfId="2179" applyFont="1" applyBorder="1" applyAlignment="1">
      <alignment horizontal="center" vertical="center" wrapText="1"/>
    </xf>
    <xf numFmtId="0" fontId="16" fillId="0" borderId="33" xfId="2178" applyFont="1" applyBorder="1" applyAlignment="1">
      <alignment horizontal="center" vertical="center"/>
    </xf>
    <xf numFmtId="0" fontId="18" fillId="0" borderId="33" xfId="2178" applyFont="1" applyBorder="1" applyAlignment="1">
      <alignment horizontal="center" vertical="center"/>
    </xf>
    <xf numFmtId="0" fontId="16" fillId="0" borderId="34" xfId="2178" applyFont="1" applyFill="1" applyBorder="1" applyAlignment="1">
      <alignment horizontal="center" vertical="center"/>
    </xf>
    <xf numFmtId="0" fontId="16" fillId="0" borderId="4" xfId="2178" applyFont="1" applyFill="1" applyBorder="1" applyAlignment="1">
      <alignment horizontal="center" vertical="center"/>
    </xf>
    <xf numFmtId="0" fontId="16" fillId="0" borderId="2" xfId="2178" applyFont="1" applyFill="1" applyBorder="1" applyAlignment="1">
      <alignment horizontal="center" vertical="center"/>
    </xf>
  </cellXfs>
  <cellStyles count="2180">
    <cellStyle name="_04月份生產尾數追蹤表 04-18 (1)_04月份生產尾數追蹤表 04-20_05月份生產尾數追蹤表 05-03_05月份生產尾數追蹤表 05-16_05月份生產尾數追蹤表 05-17_06月份生產尾數追蹤表 06-02_06月份生產尾數追蹤表 06-05_06月份生產尾數追蹤表 06-06_08月份生產尾數追蹤表 08-27_08月份生產尾數追蹤表 08-27_06月份生產尾數追蹤表 06.07_06月份生產尾數追蹤表 06.09" xfId="21"/>
    <cellStyle name="_04月份生產尾數追蹤表 04-18 (1)_04月份生產尾數追蹤表 04-20_05月份生產尾數追蹤表 05-03_05月份生產尾數追蹤表 05-16_05月份生產尾數追蹤表 05-17_06月份生產尾數追蹤表 06-02_06月份生產尾數追蹤表 06-05_06月份生產尾數追蹤表 06-06_08月份生產尾數追蹤表 08-27_08月份生產尾數追蹤表 08-27_06月份生產尾數追蹤表 06.07_06月份生產尾數追蹤表 06.09_06月份生產尾數追蹤表 06.14" xfId="22"/>
    <cellStyle name="_09-9綜合報表" xfId="23"/>
    <cellStyle name="_12月份生產尾數追蹤表_11月份生產尾數追蹤表 11-28_05月份生產尾數追蹤表 05.21_05月份生產尾數追蹤表 05.21_05月份生產尾數追蹤表 05.27_05月份生產尾數追蹤表 05.28 (1)_06月份生產尾數追蹤表 06.07_06月份生產尾數追蹤表 06.09" xfId="24"/>
    <cellStyle name="_12月份生產尾數追蹤表_11月份生產尾數追蹤表 11-28_05月份生產尾數追蹤表 05.21_05月份生產尾數追蹤表 05.21_05月份生產尾數追蹤表 05.27_05月份生產尾數追蹤表 05.28 (1)_06月份生產尾數追蹤表 06.07_06月份生產尾數追蹤表 06.09_06月份生產尾數追蹤表 06.14" xfId="25"/>
    <cellStyle name="_2009-05月20資料洭總" xfId="26"/>
    <cellStyle name="_2009-05月20資料洭總_2009-10-13" xfId="27"/>
    <cellStyle name="_2009-05月20資料洭總_2009-10-17" xfId="28"/>
    <cellStyle name="_2009-05月20資料洭總_2009-10-8" xfId="29"/>
    <cellStyle name="_2009-05月20資料洭總_2009-10-8_2009-10-12綜合報表" xfId="30"/>
    <cellStyle name="_2009-05月20資料洭總_2009-10-8_T Lan" xfId="31"/>
    <cellStyle name="_2009-05月20資料洭總_2009-10-8_T Lan (1)" xfId="32"/>
    <cellStyle name="_2009-05月20資料洭總_2009-10-8_thanh lan (2)" xfId="33"/>
    <cellStyle name="_2009-05月20資料洭總_2009-10均時產" xfId="34"/>
    <cellStyle name="_2009-05月20資料洭總_2009-10均時產_2009-10-12綜合報表" xfId="35"/>
    <cellStyle name="_2009-05月20資料洭總_2009-10均時產_9876543 (ExcelFIX)" xfId="36"/>
    <cellStyle name="_2009-05月20資料洭總_2009-10均時產_9876543 (ExcelFIX)_2009-10-12綜合報表" xfId="37"/>
    <cellStyle name="_2009-05月20資料洭總_2009-10均時產_9876543 (ExcelFIX)_T Lan" xfId="38"/>
    <cellStyle name="_2009-05月20資料洭總_2009-10均時產_9876543 (ExcelFIX)_T Lan (1)" xfId="39"/>
    <cellStyle name="_2009-05月20資料洭總_2009-10均時產_9876543 (ExcelFIX)_thanh lan (2)" xfId="40"/>
    <cellStyle name="_2009-05月20資料洭總_2009-10均時產_T Lan" xfId="41"/>
    <cellStyle name="_2009-05月20資料洭總_2009-10均時產_T Lan (1)" xfId="42"/>
    <cellStyle name="_2009-05月20資料洭總_2009-10均時產_thanh lan (2)" xfId="43"/>
    <cellStyle name="_2009-05月20資料洭總_2009-12-8" xfId="44"/>
    <cellStyle name="_2009-05月20資料洭總_2010-1-23" xfId="45"/>
    <cellStyle name="_2009-05月20資料洭總_6-1.月份KPI評比" xfId="46"/>
    <cellStyle name="_2009-05月20資料洭總_成品倉2009-10-13-ktp" xfId="47"/>
    <cellStyle name="_2009-05月20資料洭總_成品倉2009-10-13-ktp_1" xfId="48"/>
    <cellStyle name="_2009-05月20資料洭總_成品倉2009-10-17ktp" xfId="49"/>
    <cellStyle name="_2009-05月20資料洭總_成品倉2009-120tp" xfId="50"/>
    <cellStyle name="_2009-05月20資料洭總_綜合報表2009-08-01" xfId="51"/>
    <cellStyle name="_2009-05月20資料洭總_複製 -09- 綜合報表" xfId="52"/>
    <cellStyle name="_2009-05月20資料洭總_複製 -11月份各廠KPI評比狀況" xfId="53"/>
    <cellStyle name="_2009-10-13" xfId="54"/>
    <cellStyle name="_2009-10-13_2009-10-16綜合報表" xfId="55"/>
    <cellStyle name="_2009-10-13_2009-11-04綜合報表" xfId="56"/>
    <cellStyle name="_2009-10-13_2009-11-30綜合報表" xfId="57"/>
    <cellStyle name="_2009-10-13_2009-11-7(1)" xfId="58"/>
    <cellStyle name="_2009-10-13_2009-20-11(1)" xfId="59"/>
    <cellStyle name="_2009-10-13_企劃生管-阿綠的報表10-22" xfId="60"/>
    <cellStyle name="_2009-10-13_企劃生管-阿綠的報表11-04 (2)" xfId="61"/>
    <cellStyle name="_2009-10-13_企劃生管-阿綠的報表11-05" xfId="62"/>
    <cellStyle name="_2009-10-13_企劃生管-阿綠的報表11-06" xfId="63"/>
    <cellStyle name="_2009-10-13_企劃生管-阿綠的報表11-09" xfId="64"/>
    <cellStyle name="_2009-10-13_企劃生管-阿綠的報表11-10" xfId="65"/>
    <cellStyle name="_2009-10-13_企劃生管-阿綠的報表11-11" xfId="66"/>
    <cellStyle name="_2009-10-13_企劃生管-阿綠的報表11-14" xfId="67"/>
    <cellStyle name="_2009-10-13_企劃生管-阿綠的報表12-01" xfId="68"/>
    <cellStyle name="_2009-10-13_複製 -2009-11-10綜合報表" xfId="69"/>
    <cellStyle name="_2009-10-17" xfId="70"/>
    <cellStyle name="_2009-10-8" xfId="71"/>
    <cellStyle name="_2009-10-8_2009-10-12綜合報表" xfId="72"/>
    <cellStyle name="_2009-10-8_2009-10-16綜合報表" xfId="73"/>
    <cellStyle name="_2009-10-8_2009-11-04綜合報表" xfId="74"/>
    <cellStyle name="_2009-10-8_2009-11-30綜合報表" xfId="75"/>
    <cellStyle name="_2009-10-8_2009-11-7(1)" xfId="76"/>
    <cellStyle name="_2009-10-8_2009-20-11(1)" xfId="77"/>
    <cellStyle name="_2009-10-8_T Lan" xfId="78"/>
    <cellStyle name="_2009-10-8_T Lan (1)" xfId="79"/>
    <cellStyle name="_2009-10-8_thanh lan (2)" xfId="80"/>
    <cellStyle name="_2009-10-8_企劃生管-阿綠的報表10-22" xfId="81"/>
    <cellStyle name="_2009-10-8_企劃生管-阿綠的報表11-04 (2)" xfId="82"/>
    <cellStyle name="_2009-10-8_企劃生管-阿綠的報表11-05" xfId="83"/>
    <cellStyle name="_2009-10-8_企劃生管-阿綠的報表11-06" xfId="84"/>
    <cellStyle name="_2009-10-8_企劃生管-阿綠的報表11-09" xfId="85"/>
    <cellStyle name="_2009-10-8_企劃生管-阿綠的報表11-10" xfId="86"/>
    <cellStyle name="_2009-10-8_企劃生管-阿綠的報表11-11" xfId="87"/>
    <cellStyle name="_2009-10-8_企劃生管-阿綠的報表11-14" xfId="88"/>
    <cellStyle name="_2009-10-8_企劃生管-阿綠的報表12-01" xfId="89"/>
    <cellStyle name="_2009-10-8_複製 -2009-11-10綜合報表" xfId="90"/>
    <cellStyle name="_2009-10均時產" xfId="91"/>
    <cellStyle name="_2009-10均時產_2009-10-12綜合報表" xfId="92"/>
    <cellStyle name="_2009-10均時產_2009-10-16綜合報表" xfId="93"/>
    <cellStyle name="_2009-10均時產_2009-11-04綜合報表" xfId="94"/>
    <cellStyle name="_2009-10均時產_2009-11-30綜合報表" xfId="95"/>
    <cellStyle name="_2009-10均時產_2009-11-7(1)" xfId="96"/>
    <cellStyle name="_2009-10均時產_2009-20-11(1)" xfId="97"/>
    <cellStyle name="_2009-10均時產_9876543 (ExcelFIX)" xfId="98"/>
    <cellStyle name="_2009-10均時產_T Lan" xfId="99"/>
    <cellStyle name="_2009-10均時產_T Lan (1)" xfId="100"/>
    <cellStyle name="_2009-10均時產_thanh lan (2)" xfId="101"/>
    <cellStyle name="_2009-10均時產_企劃生管-阿綠的報表10-22" xfId="102"/>
    <cellStyle name="_2009-10均時產_企劃生管-阿綠的報表11-04 (2)" xfId="103"/>
    <cellStyle name="_2009-10均時產_企劃生管-阿綠的報表11-05" xfId="104"/>
    <cellStyle name="_2009-10均時產_企劃生管-阿綠的報表11-06" xfId="105"/>
    <cellStyle name="_2009-10均時產_企劃生管-阿綠的報表11-09" xfId="106"/>
    <cellStyle name="_2009-10均時產_企劃生管-阿綠的報表11-10" xfId="107"/>
    <cellStyle name="_2009-10均時產_企劃生管-阿綠的報表11-11" xfId="108"/>
    <cellStyle name="_2009-10均時產_企劃生管-阿綠的報表11-14" xfId="109"/>
    <cellStyle name="_2009-10均時產_企劃生管-阿綠的報表12-01" xfId="110"/>
    <cellStyle name="_2009-10均時產_複製 -2009-11-10綜合報表" xfId="111"/>
    <cellStyle name="_2009-12-8" xfId="112"/>
    <cellStyle name="_2009-2-12成品倉B品報表" xfId="113"/>
    <cellStyle name="_2009-2-12成品倉B品報表_2009-10-13" xfId="114"/>
    <cellStyle name="_2009-2-12成品倉B品報表_2009-10-13_2009-10-16綜合報表" xfId="115"/>
    <cellStyle name="_2009-2-12成品倉B品報表_2009-10-13_2009-11-04綜合報表" xfId="116"/>
    <cellStyle name="_2009-2-12成品倉B品報表_2009-10-13_2009-11-30綜合報表" xfId="117"/>
    <cellStyle name="_2009-2-12成品倉B品報表_2009-10-13_2009-11-7(1)" xfId="118"/>
    <cellStyle name="_2009-2-12成品倉B品報表_2009-10-13_2009-20-11(1)" xfId="119"/>
    <cellStyle name="_2009-2-12成品倉B品報表_2009-10-13_企劃生管-阿綠的報表10-22" xfId="120"/>
    <cellStyle name="_2009-2-12成品倉B品報表_2009-10-13_企劃生管-阿綠的報表11-04 (2)" xfId="121"/>
    <cellStyle name="_2009-2-12成品倉B品報表_2009-10-13_企劃生管-阿綠的報表11-05" xfId="122"/>
    <cellStyle name="_2009-2-12成品倉B品報表_2009-10-13_企劃生管-阿綠的報表11-06" xfId="123"/>
    <cellStyle name="_2009-2-12成品倉B品報表_2009-10-13_企劃生管-阿綠的報表11-09" xfId="124"/>
    <cellStyle name="_2009-2-12成品倉B品報表_2009-10-13_企劃生管-阿綠的報表11-10" xfId="125"/>
    <cellStyle name="_2009-2-12成品倉B品報表_2009-10-13_企劃生管-阿綠的報表11-11" xfId="126"/>
    <cellStyle name="_2009-2-12成品倉B品報表_2009-10-13_企劃生管-阿綠的報表11-14" xfId="127"/>
    <cellStyle name="_2009-2-12成品倉B品報表_2009-10-13_企劃生管-阿綠的報表12-01" xfId="128"/>
    <cellStyle name="_2009-2-12成品倉B品報表_2009-10-13_複製 -2009-11-10綜合報表" xfId="129"/>
    <cellStyle name="_2009-2-12成品倉B品報表_2009-10-17" xfId="130"/>
    <cellStyle name="_2009-2-12成品倉B品報表_2009-10-8" xfId="131"/>
    <cellStyle name="_2009-2-12成品倉B品報表_2009-10-8_2009-10-12綜合報表" xfId="132"/>
    <cellStyle name="_2009-2-12成品倉B品報表_2009-10-8_2009-10-16綜合報表" xfId="133"/>
    <cellStyle name="_2009-2-12成品倉B品報表_2009-10-8_2009-11-04綜合報表" xfId="134"/>
    <cellStyle name="_2009-2-12成品倉B品報表_2009-10-8_2009-11-30綜合報表" xfId="135"/>
    <cellStyle name="_2009-2-12成品倉B品報表_2009-10-8_2009-11-7(1)" xfId="136"/>
    <cellStyle name="_2009-2-12成品倉B品報表_2009-10-8_2009-20-11(1)" xfId="137"/>
    <cellStyle name="_2009-2-12成品倉B品報表_2009-10-8_T Lan" xfId="138"/>
    <cellStyle name="_2009-2-12成品倉B品報表_2009-10-8_T Lan (1)" xfId="139"/>
    <cellStyle name="_2009-2-12成品倉B品報表_2009-10-8_thanh lan (2)" xfId="140"/>
    <cellStyle name="_2009-2-12成品倉B品報表_2009-10-8_企劃生管-阿綠的報表10-22" xfId="141"/>
    <cellStyle name="_2009-2-12成品倉B品報表_2009-10-8_企劃生管-阿綠的報表11-04 (2)" xfId="142"/>
    <cellStyle name="_2009-2-12成品倉B品報表_2009-10-8_企劃生管-阿綠的報表11-05" xfId="143"/>
    <cellStyle name="_2009-2-12成品倉B品報表_2009-10-8_企劃生管-阿綠的報表11-06" xfId="144"/>
    <cellStyle name="_2009-2-12成品倉B品報表_2009-10-8_企劃生管-阿綠的報表11-09" xfId="145"/>
    <cellStyle name="_2009-2-12成品倉B品報表_2009-10-8_企劃生管-阿綠的報表11-10" xfId="146"/>
    <cellStyle name="_2009-2-12成品倉B品報表_2009-10-8_企劃生管-阿綠的報表11-11" xfId="147"/>
    <cellStyle name="_2009-2-12成品倉B品報表_2009-10-8_企劃生管-阿綠的報表11-14" xfId="148"/>
    <cellStyle name="_2009-2-12成品倉B品報表_2009-10-8_企劃生管-阿綠的報表12-01" xfId="149"/>
    <cellStyle name="_2009-2-12成品倉B品報表_2009-10-8_複製 -2009-11-10綜合報表" xfId="150"/>
    <cellStyle name="_2009-2-12成品倉B品報表_2009-10均時產" xfId="151"/>
    <cellStyle name="_2009-2-12成品倉B品報表_2009-10均時產_2009-10-12綜合報表" xfId="152"/>
    <cellStyle name="_2009-2-12成品倉B品報表_2009-10均時產_2009-10-16綜合報表" xfId="153"/>
    <cellStyle name="_2009-2-12成品倉B品報表_2009-10均時產_2009-11-04綜合報表" xfId="154"/>
    <cellStyle name="_2009-2-12成品倉B品報表_2009-10均時產_2009-11-30綜合報表" xfId="155"/>
    <cellStyle name="_2009-2-12成品倉B品報表_2009-10均時產_2009-11-7(1)" xfId="156"/>
    <cellStyle name="_2009-2-12成品倉B品報表_2009-10均時產_2009-20-11(1)" xfId="157"/>
    <cellStyle name="_2009-2-12成品倉B品報表_2009-10均時產_9876543 (ExcelFIX)" xfId="158"/>
    <cellStyle name="_2009-2-12成品倉B品報表_2009-10均時產_T Lan" xfId="159"/>
    <cellStyle name="_2009-2-12成品倉B品報表_2009-10均時產_T Lan (1)" xfId="160"/>
    <cellStyle name="_2009-2-12成品倉B品報表_2009-10均時產_thanh lan (2)" xfId="161"/>
    <cellStyle name="_2009-2-12成品倉B品報表_2009-10均時產_企劃生管-阿綠的報表10-22" xfId="162"/>
    <cellStyle name="_2009-2-12成品倉B品報表_2009-10均時產_企劃生管-阿綠的報表11-04 (2)" xfId="163"/>
    <cellStyle name="_2009-2-12成品倉B品報表_2009-10均時產_企劃生管-阿綠的報表11-05" xfId="164"/>
    <cellStyle name="_2009-2-12成品倉B品報表_2009-10均時產_企劃生管-阿綠的報表11-06" xfId="165"/>
    <cellStyle name="_2009-2-12成品倉B品報表_2009-10均時產_企劃生管-阿綠的報表11-09" xfId="166"/>
    <cellStyle name="_2009-2-12成品倉B品報表_2009-10均時產_企劃生管-阿綠的報表11-10" xfId="167"/>
    <cellStyle name="_2009-2-12成品倉B品報表_2009-10均時產_企劃生管-阿綠的報表11-11" xfId="168"/>
    <cellStyle name="_2009-2-12成品倉B品報表_2009-10均時產_企劃生管-阿綠的報表11-14" xfId="169"/>
    <cellStyle name="_2009-2-12成品倉B品報表_2009-10均時產_企劃生管-阿綠的報表12-01" xfId="170"/>
    <cellStyle name="_2009-2-12成品倉B品報表_2009-10均時產_複製 -2009-11-10綜合報表" xfId="171"/>
    <cellStyle name="_2009-2-12成品倉B品報表_2009-12-8" xfId="172"/>
    <cellStyle name="_2009-2-12成品倉B品報表_2010-1-23" xfId="173"/>
    <cellStyle name="_2009-2-12成品倉B品報表_成品倉2009-10-13-ktp" xfId="174"/>
    <cellStyle name="_2009-2-12成品倉B品報表_成品倉2009-10-13-ktp_1" xfId="175"/>
    <cellStyle name="_2009-2-12成品倉B品報表_成品倉2009-10-13-ktp_2009-10-16綜合報表" xfId="176"/>
    <cellStyle name="_2009-2-12成品倉B品報表_成品倉2009-10-13-ktp_2009-11-04綜合報表" xfId="177"/>
    <cellStyle name="_2009-2-12成品倉B品報表_成品倉2009-10-13-ktp_2009-11-30綜合報表" xfId="178"/>
    <cellStyle name="_2009-2-12成品倉B品報表_成品倉2009-10-13-ktp_2009-11-7(1)" xfId="179"/>
    <cellStyle name="_2009-2-12成品倉B品報表_成品倉2009-10-13-ktp_2009-20-11(1)" xfId="180"/>
    <cellStyle name="_2009-2-12成品倉B品報表_成品倉2009-10-13-ktp_企劃生管-阿綠的報表10-22" xfId="181"/>
    <cellStyle name="_2009-2-12成品倉B品報表_成品倉2009-10-13-ktp_企劃生管-阿綠的報表11-04 (2)" xfId="182"/>
    <cellStyle name="_2009-2-12成品倉B品報表_成品倉2009-10-13-ktp_企劃生管-阿綠的報表11-05" xfId="183"/>
    <cellStyle name="_2009-2-12成品倉B品報表_成品倉2009-10-13-ktp_企劃生管-阿綠的報表11-06" xfId="184"/>
    <cellStyle name="_2009-2-12成品倉B品報表_成品倉2009-10-13-ktp_企劃生管-阿綠的報表11-09" xfId="185"/>
    <cellStyle name="_2009-2-12成品倉B品報表_成品倉2009-10-13-ktp_企劃生管-阿綠的報表11-10" xfId="186"/>
    <cellStyle name="_2009-2-12成品倉B品報表_成品倉2009-10-13-ktp_企劃生管-阿綠的報表11-11" xfId="187"/>
    <cellStyle name="_2009-2-12成品倉B品報表_成品倉2009-10-13-ktp_企劃生管-阿綠的報表11-14" xfId="188"/>
    <cellStyle name="_2009-2-12成品倉B品報表_成品倉2009-10-13-ktp_企劃生管-阿綠的報表12-01" xfId="189"/>
    <cellStyle name="_2009-2-12成品倉B品報表_成品倉2009-10-13-ktp_複製 -2009-11-10綜合報表" xfId="190"/>
    <cellStyle name="_2009-2-12成品倉B品報表_成品倉2009-10-17ktp" xfId="191"/>
    <cellStyle name="_2009-2-12成品倉B品報表_成品倉2009-120tp" xfId="192"/>
    <cellStyle name="_2009-2-12成品倉B品報表_綜合報表2009-08-01" xfId="193"/>
    <cellStyle name="_2009-2-12成品倉B品報表_複製 -09- 綜合報表" xfId="194"/>
    <cellStyle name="_2009-2-12成品倉B品報表_複製 -09- 綜合報表_2009-10-06綜合報表" xfId="195"/>
    <cellStyle name="_2009-5-20" xfId="196"/>
    <cellStyle name="_2009-5-20_2009-10-13" xfId="197"/>
    <cellStyle name="_2009-5-20_2009-10-13_2009-10-16綜合報表" xfId="198"/>
    <cellStyle name="_2009-5-20_2009-10-13_2009-11-04綜合報表" xfId="199"/>
    <cellStyle name="_2009-5-20_2009-10-13_2009-11-30綜合報表" xfId="200"/>
    <cellStyle name="_2009-5-20_2009-10-13_2009-11-7(1)" xfId="201"/>
    <cellStyle name="_2009-5-20_2009-10-13_2009-20-11(1)" xfId="202"/>
    <cellStyle name="_2009-5-20_2009-10-13_企劃生管-阿綠的報表10-22" xfId="203"/>
    <cellStyle name="_2009-5-20_2009-10-13_企劃生管-阿綠的報表11-04 (2)" xfId="204"/>
    <cellStyle name="_2009-5-20_2009-10-13_企劃生管-阿綠的報表11-05" xfId="205"/>
    <cellStyle name="_2009-5-20_2009-10-13_企劃生管-阿綠的報表11-06" xfId="206"/>
    <cellStyle name="_2009-5-20_2009-10-13_企劃生管-阿綠的報表11-09" xfId="207"/>
    <cellStyle name="_2009-5-20_2009-10-13_企劃生管-阿綠的報表11-10" xfId="208"/>
    <cellStyle name="_2009-5-20_2009-10-13_企劃生管-阿綠的報表11-11" xfId="209"/>
    <cellStyle name="_2009-5-20_2009-10-13_企劃生管-阿綠的報表11-14" xfId="210"/>
    <cellStyle name="_2009-5-20_2009-10-13_企劃生管-阿綠的報表12-01" xfId="211"/>
    <cellStyle name="_2009-5-20_2009-10-13_複製 -2009-11-10綜合報表" xfId="212"/>
    <cellStyle name="_2009-5-20_2009-10-17" xfId="213"/>
    <cellStyle name="_2009-5-20_2009-10-8" xfId="214"/>
    <cellStyle name="_2009-5-20_2009-10-8_2009-10-12綜合報表" xfId="215"/>
    <cellStyle name="_2009-5-20_2009-10-8_2009-10-16綜合報表" xfId="216"/>
    <cellStyle name="_2009-5-20_2009-10-8_2009-11-04綜合報表" xfId="217"/>
    <cellStyle name="_2009-5-20_2009-10-8_2009-11-30綜合報表" xfId="218"/>
    <cellStyle name="_2009-5-20_2009-10-8_2009-11-7(1)" xfId="219"/>
    <cellStyle name="_2009-5-20_2009-10-8_2009-20-11(1)" xfId="220"/>
    <cellStyle name="_2009-5-20_2009-10-8_T Lan" xfId="221"/>
    <cellStyle name="_2009-5-20_2009-10-8_T Lan (1)" xfId="222"/>
    <cellStyle name="_2009-5-20_2009-10-8_thanh lan (2)" xfId="223"/>
    <cellStyle name="_2009-5-20_2009-10-8_企劃生管-阿綠的報表10-22" xfId="224"/>
    <cellStyle name="_2009-5-20_2009-10-8_企劃生管-阿綠的報表11-04 (2)" xfId="225"/>
    <cellStyle name="_2009-5-20_2009-10-8_企劃生管-阿綠的報表11-05" xfId="226"/>
    <cellStyle name="_2009-5-20_2009-10-8_企劃生管-阿綠的報表11-06" xfId="227"/>
    <cellStyle name="_2009-5-20_2009-10-8_企劃生管-阿綠的報表11-09" xfId="228"/>
    <cellStyle name="_2009-5-20_2009-10-8_企劃生管-阿綠的報表11-10" xfId="229"/>
    <cellStyle name="_2009-5-20_2009-10-8_企劃生管-阿綠的報表11-11" xfId="230"/>
    <cellStyle name="_2009-5-20_2009-10-8_企劃生管-阿綠的報表11-14" xfId="231"/>
    <cellStyle name="_2009-5-20_2009-10-8_企劃生管-阿綠的報表12-01" xfId="232"/>
    <cellStyle name="_2009-5-20_2009-10-8_複製 -2009-11-10綜合報表" xfId="233"/>
    <cellStyle name="_2009-5-20_2009-10均時產" xfId="234"/>
    <cellStyle name="_2009-5-20_2009-10均時產_2009-10-12綜合報表" xfId="235"/>
    <cellStyle name="_2009-5-20_2009-10均時產_2009-10-16綜合報表" xfId="236"/>
    <cellStyle name="_2009-5-20_2009-10均時產_2009-11-04綜合報表" xfId="237"/>
    <cellStyle name="_2009-5-20_2009-10均時產_2009-11-30綜合報表" xfId="238"/>
    <cellStyle name="_2009-5-20_2009-10均時產_2009-11-7(1)" xfId="239"/>
    <cellStyle name="_2009-5-20_2009-10均時產_2009-20-11(1)" xfId="240"/>
    <cellStyle name="_2009-5-20_2009-10均時產_9876543 (ExcelFIX)" xfId="241"/>
    <cellStyle name="_2009-5-20_2009-10均時產_T Lan" xfId="242"/>
    <cellStyle name="_2009-5-20_2009-10均時產_T Lan (1)" xfId="243"/>
    <cellStyle name="_2009-5-20_2009-10均時產_thanh lan (2)" xfId="244"/>
    <cellStyle name="_2009-5-20_2009-10均時產_企劃生管-阿綠的報表10-22" xfId="245"/>
    <cellStyle name="_2009-5-20_2009-10均時產_企劃生管-阿綠的報表11-04 (2)" xfId="246"/>
    <cellStyle name="_2009-5-20_2009-10均時產_企劃生管-阿綠的報表11-05" xfId="247"/>
    <cellStyle name="_2009-5-20_2009-10均時產_企劃生管-阿綠的報表11-06" xfId="248"/>
    <cellStyle name="_2009-5-20_2009-10均時產_企劃生管-阿綠的報表11-09" xfId="249"/>
    <cellStyle name="_2009-5-20_2009-10均時產_企劃生管-阿綠的報表11-10" xfId="250"/>
    <cellStyle name="_2009-5-20_2009-10均時產_企劃生管-阿綠的報表11-11" xfId="251"/>
    <cellStyle name="_2009-5-20_2009-10均時產_企劃生管-阿綠的報表11-14" xfId="252"/>
    <cellStyle name="_2009-5-20_2009-10均時產_企劃生管-阿綠的報表12-01" xfId="253"/>
    <cellStyle name="_2009-5-20_2009-10均時產_複製 -2009-11-10綜合報表" xfId="254"/>
    <cellStyle name="_2009-5-20_2009-12-8" xfId="255"/>
    <cellStyle name="_2009-5-20_2010-1-23" xfId="256"/>
    <cellStyle name="_2009-5-20_成品倉2009-10-13-ktp" xfId="257"/>
    <cellStyle name="_2009-5-20_成品倉2009-10-13-ktp_1" xfId="258"/>
    <cellStyle name="_2009-5-20_成品倉2009-10-13-ktp_2009-10-16綜合報表" xfId="259"/>
    <cellStyle name="_2009-5-20_成品倉2009-10-13-ktp_2009-11-04綜合報表" xfId="260"/>
    <cellStyle name="_2009-5-20_成品倉2009-10-13-ktp_2009-11-30綜合報表" xfId="261"/>
    <cellStyle name="_2009-5-20_成品倉2009-10-13-ktp_2009-11-7(1)" xfId="262"/>
    <cellStyle name="_2009-5-20_成品倉2009-10-13-ktp_2009-20-11(1)" xfId="263"/>
    <cellStyle name="_2009-5-20_成品倉2009-10-13-ktp_企劃生管-阿綠的報表10-22" xfId="264"/>
    <cellStyle name="_2009-5-20_成品倉2009-10-13-ktp_企劃生管-阿綠的報表11-04 (2)" xfId="265"/>
    <cellStyle name="_2009-5-20_成品倉2009-10-13-ktp_企劃生管-阿綠的報表11-05" xfId="266"/>
    <cellStyle name="_2009-5-20_成品倉2009-10-13-ktp_企劃生管-阿綠的報表11-06" xfId="267"/>
    <cellStyle name="_2009-5-20_成品倉2009-10-13-ktp_企劃生管-阿綠的報表11-09" xfId="268"/>
    <cellStyle name="_2009-5-20_成品倉2009-10-13-ktp_企劃生管-阿綠的報表11-10" xfId="269"/>
    <cellStyle name="_2009-5-20_成品倉2009-10-13-ktp_企劃生管-阿綠的報表11-11" xfId="270"/>
    <cellStyle name="_2009-5-20_成品倉2009-10-13-ktp_企劃生管-阿綠的報表11-14" xfId="271"/>
    <cellStyle name="_2009-5-20_成品倉2009-10-13-ktp_企劃生管-阿綠的報表12-01" xfId="272"/>
    <cellStyle name="_2009-5-20_成品倉2009-10-13-ktp_複製 -2009-11-10綜合報表" xfId="273"/>
    <cellStyle name="_2009-5-20_成品倉2009-10-17ktp" xfId="274"/>
    <cellStyle name="_2009-5-20_成品倉2009-120tp" xfId="275"/>
    <cellStyle name="_2009-5-20_綜合報表2009-08-01" xfId="276"/>
    <cellStyle name="_2009-5-20_複製 -09- 綜合報表" xfId="277"/>
    <cellStyle name="_2009-5-20_複製 -09- 綜合報表_2009-10-06綜合報表" xfId="278"/>
    <cellStyle name="_2010-1-23" xfId="279"/>
    <cellStyle name="_45656" xfId="280"/>
    <cellStyle name="_6-1.月份KPI評比" xfId="281"/>
    <cellStyle name="_8-17" xfId="282"/>
    <cellStyle name="_8-17_2009-10-16綜合報表" xfId="283"/>
    <cellStyle name="_8-17_2009-11-04綜合報表" xfId="284"/>
    <cellStyle name="_8-17_2009-11-30綜合報表" xfId="285"/>
    <cellStyle name="_8-17_2009-11-7(1)" xfId="286"/>
    <cellStyle name="_8-17_2009-20-11(1)" xfId="287"/>
    <cellStyle name="_8-17_9.老化料" xfId="288"/>
    <cellStyle name="_8-17_企劃生管-阿綠的報表10-22" xfId="289"/>
    <cellStyle name="_8-17_企劃生管-阿綠的報表11-04 (2)" xfId="290"/>
    <cellStyle name="_8-17_企劃生管-阿綠的報表11-05" xfId="291"/>
    <cellStyle name="_8-17_企劃生管-阿綠的報表11-06" xfId="292"/>
    <cellStyle name="_8-17_企劃生管-阿綠的報表11-09" xfId="293"/>
    <cellStyle name="_8-17_企劃生管-阿綠的報表11-10" xfId="294"/>
    <cellStyle name="_8-17_企劃生管-阿綠的報表11-11" xfId="295"/>
    <cellStyle name="_8-17_企劃生管-阿綠的報表11-14" xfId="296"/>
    <cellStyle name="_8-17_企劃生管-阿綠的報表12-01" xfId="297"/>
    <cellStyle name="_8-17_複本08-12-2009老化料補料金額" xfId="298"/>
    <cellStyle name="_8-17_複本16-10-2009老化料補料金額" xfId="299"/>
    <cellStyle name="_8-17_複製 -2009-11-10綜合報表" xfId="300"/>
    <cellStyle name="_9.老化料" xfId="301"/>
    <cellStyle name="_9.老化料_人均時產2010年 ok" xfId="302"/>
    <cellStyle name="_A1 BCNS 3-4.01 (ExcelFIX) 2" xfId="303"/>
    <cellStyle name="_A1 BCNS 3-4.01 (ExcelFIX) 2 2" xfId="304"/>
    <cellStyle name="_A1 BCNS 3-4.01 (ExcelFIX)_BCNS  A1L1 14-09-2015" xfId="305"/>
    <cellStyle name="_A1 BCNS 3-4.01 (ExcelFIX)_BCNS T3 MOI" xfId="306"/>
    <cellStyle name="_A1 BCNS 3-4.01 (ExcelFIX)_BCNS T3 MOI_4.05" xfId="307"/>
    <cellStyle name="_A201 21 28" xfId="1"/>
    <cellStyle name="_BAO BIEU A3 T1-2011" xfId="308"/>
    <cellStyle name="_BCNS A1L2" xfId="309"/>
    <cellStyle name="_BCNS A1L2_BCNS  A1L1 14-09-2015" xfId="310"/>
    <cellStyle name="_BCNSt.,,11_1_1.4 NGAY_BCNS T3.2015 (ExcelFIX)000000" xfId="311"/>
    <cellStyle name="_BCNSt.,,11_1_BCNS 01..2014 (ExcelFIX) (ExcelFIX)_1.4 NGAY_BCNS T3.2015 (ExcelFIX)000000" xfId="312"/>
    <cellStyle name="_BCNSt.,,11_1_BCNS 01.2014 (ExcelFIX)_BCNS T03.(ExcelFIX) (ExcelFIX)_BCNS T3.2015 (ExcelFIX)000000" xfId="313"/>
    <cellStyle name="_BCNSt.,,11_1_BCNS T03.(ExcelFIX)_BCNS T3.2015 (ExcelFIX)000000" xfId="314"/>
    <cellStyle name="_BCNSt.,,11_1_BCNS T3.2015 (ExcelFIX)000000" xfId="315"/>
    <cellStyle name="_Book1 (3)" xfId="316"/>
    <cellStyle name="_Book1 (3)_2009-10-12綜合報表" xfId="317"/>
    <cellStyle name="_Book1 (3)_2009-10-16綜合報表" xfId="318"/>
    <cellStyle name="_Book1 (3)_2009-11-04綜合報表" xfId="319"/>
    <cellStyle name="_Book1 (3)_2009-11-30綜合報表" xfId="320"/>
    <cellStyle name="_Book1 (3)_2009-11-7(1)" xfId="321"/>
    <cellStyle name="_Book1 (3)_2009-20-11(1)" xfId="322"/>
    <cellStyle name="_Book1 (3)_T Lan" xfId="323"/>
    <cellStyle name="_Book1 (3)_T Lan (1)" xfId="324"/>
    <cellStyle name="_Book1 (3)_thanh lan (2)" xfId="325"/>
    <cellStyle name="_Book1 (3)_企劃生管-阿綠的報表10-22" xfId="326"/>
    <cellStyle name="_Book1 (3)_企劃生管-阿綠的報表11-04 (2)" xfId="327"/>
    <cellStyle name="_Book1 (3)_企劃生管-阿綠的報表11-05" xfId="328"/>
    <cellStyle name="_Book1 (3)_企劃生管-阿綠的報表11-06" xfId="329"/>
    <cellStyle name="_Book1 (3)_企劃生管-阿綠的報表11-09" xfId="330"/>
    <cellStyle name="_Book1 (3)_企劃生管-阿綠的報表11-10" xfId="331"/>
    <cellStyle name="_Book1 (3)_企劃生管-阿綠的報表11-11" xfId="332"/>
    <cellStyle name="_Book1 (3)_企劃生管-阿綠的報表11-14" xfId="333"/>
    <cellStyle name="_Book1 (3)_企劃生管-阿綠的報表12-01" xfId="334"/>
    <cellStyle name="_Book1 (3)_複製 -2009-11-10綜合報表" xfId="335"/>
    <cellStyle name="_Book1 (4)" xfId="336"/>
    <cellStyle name="_Book1 (4)_2009-10-12綜合報表" xfId="337"/>
    <cellStyle name="_Book1 (4)_2009-10-16綜合報表" xfId="338"/>
    <cellStyle name="_Book1 (4)_2009-11-04綜合報表" xfId="339"/>
    <cellStyle name="_Book1 (4)_2009-11-30綜合報表" xfId="340"/>
    <cellStyle name="_Book1 (4)_2009-11-7(1)" xfId="341"/>
    <cellStyle name="_Book1 (4)_2009-20-11(1)" xfId="342"/>
    <cellStyle name="_Book1 (4)_T Lan" xfId="343"/>
    <cellStyle name="_Book1 (4)_T Lan (1)" xfId="344"/>
    <cellStyle name="_Book1 (4)_thanh lan (2)" xfId="345"/>
    <cellStyle name="_Book1 (4)_企劃生管-阿綠的報表10-22" xfId="346"/>
    <cellStyle name="_Book1 (4)_企劃生管-阿綠的報表11-04 (2)" xfId="347"/>
    <cellStyle name="_Book1 (4)_企劃生管-阿綠的報表11-05" xfId="348"/>
    <cellStyle name="_Book1 (4)_企劃生管-阿綠的報表11-06" xfId="349"/>
    <cellStyle name="_Book1 (4)_企劃生管-阿綠的報表11-09" xfId="350"/>
    <cellStyle name="_Book1 (4)_企劃生管-阿綠的報表11-10" xfId="351"/>
    <cellStyle name="_Book1 (4)_企劃生管-阿綠的報表11-11" xfId="352"/>
    <cellStyle name="_Book1 (4)_企劃生管-阿綠的報表11-14" xfId="353"/>
    <cellStyle name="_Book1 (4)_企劃生管-阿綠的報表12-01" xfId="354"/>
    <cellStyle name="_Book1 (4)_複製 -2009-11-10綜合報表" xfId="355"/>
    <cellStyle name="_Book1 (6)" xfId="356"/>
    <cellStyle name="_Book1 (6)_1" xfId="357"/>
    <cellStyle name="_Book1 (6)_2009-10-16綜合報表" xfId="358"/>
    <cellStyle name="_Book1 (6)_2009-11-04綜合報表" xfId="359"/>
    <cellStyle name="_Book1 (6)_2009-11-30綜合報表" xfId="360"/>
    <cellStyle name="_Book1 (6)_2009-11-7(1)" xfId="361"/>
    <cellStyle name="_Book1 (6)_2009-20-11(1)" xfId="362"/>
    <cellStyle name="_Book1 (6)_企劃生管-阿綠的報表10-22" xfId="363"/>
    <cellStyle name="_Book1 (6)_企劃生管-阿綠的報表11-04 (2)" xfId="364"/>
    <cellStyle name="_Book1 (6)_企劃生管-阿綠的報表11-05" xfId="365"/>
    <cellStyle name="_Book1 (6)_企劃生管-阿綠的報表11-06" xfId="366"/>
    <cellStyle name="_Book1 (6)_企劃生管-阿綠的報表11-09" xfId="367"/>
    <cellStyle name="_Book1 (6)_企劃生管-阿綠的報表11-10" xfId="368"/>
    <cellStyle name="_Book1 (6)_企劃生管-阿綠的報表11-11" xfId="369"/>
    <cellStyle name="_Book1 (6)_企劃生管-阿綠的報表11-14" xfId="370"/>
    <cellStyle name="_Book1 (6)_企劃生管-阿綠的報表12-01" xfId="371"/>
    <cellStyle name="_Book1 (6)_複製 -2009-11-10綜合報表" xfId="372"/>
    <cellStyle name="_danh tai" xfId="373"/>
    <cellStyle name="_Thanh Lan (3)" xfId="374"/>
    <cellStyle name="_Thanh Lan (3)_2009-10-12綜合報表" xfId="375"/>
    <cellStyle name="_Thanh Lan (3)_2009-10-16綜合報表" xfId="376"/>
    <cellStyle name="_Thanh Lan (3)_2009-11-04綜合報表" xfId="377"/>
    <cellStyle name="_Thanh Lan (3)_2009-11-30綜合報表" xfId="378"/>
    <cellStyle name="_Thanh Lan (3)_2009-11-7(1)" xfId="379"/>
    <cellStyle name="_Thanh Lan (3)_2009-20-11(1)" xfId="380"/>
    <cellStyle name="_Thanh Lan (3)_T Lan" xfId="381"/>
    <cellStyle name="_Thanh Lan (3)_T Lan (1)" xfId="382"/>
    <cellStyle name="_Thanh Lan (3)_thanh lan (2)" xfId="383"/>
    <cellStyle name="_Thanh Lan (3)_企劃生管-阿綠的報表10-22" xfId="384"/>
    <cellStyle name="_Thanh Lan (3)_企劃生管-阿綠的報表11-04 (2)" xfId="385"/>
    <cellStyle name="_Thanh Lan (3)_企劃生管-阿綠的報表11-05" xfId="386"/>
    <cellStyle name="_Thanh Lan (3)_企劃生管-阿綠的報表11-06" xfId="387"/>
    <cellStyle name="_Thanh Lan (3)_企劃生管-阿綠的報表11-09" xfId="388"/>
    <cellStyle name="_Thanh Lan (3)_企劃生管-阿綠的報表11-10" xfId="389"/>
    <cellStyle name="_Thanh Lan (3)_企劃生管-阿綠的報表11-11" xfId="390"/>
    <cellStyle name="_Thanh Lan (3)_企劃生管-阿綠的報表11-14" xfId="391"/>
    <cellStyle name="_Thanh Lan (3)_企劃生管-阿綠的報表12-01" xfId="392"/>
    <cellStyle name="_Thanh Lan (3)_複製 -2009-11-10綜合報表" xfId="393"/>
    <cellStyle name="_成品倉2009-10-13-ktp" xfId="394"/>
    <cellStyle name="_成品倉2009-10-13-ktp_1" xfId="395"/>
    <cellStyle name="_成品倉2009-10-13-ktp_2009-10-16綜合報表" xfId="396"/>
    <cellStyle name="_成品倉2009-10-13-ktp_2009-11-04綜合報表" xfId="397"/>
    <cellStyle name="_成品倉2009-10-13-ktp_2009-11-30綜合報表" xfId="398"/>
    <cellStyle name="_成品倉2009-10-13-ktp_2009-11-7(1)" xfId="399"/>
    <cellStyle name="_成品倉2009-10-13-ktp_2009-20-11(1)" xfId="400"/>
    <cellStyle name="_成品倉2009-10-13-ktp_企劃生管-阿綠的報表10-22" xfId="401"/>
    <cellStyle name="_成品倉2009-10-13-ktp_企劃生管-阿綠的報表11-04 (2)" xfId="402"/>
    <cellStyle name="_成品倉2009-10-13-ktp_企劃生管-阿綠的報表11-05" xfId="403"/>
    <cellStyle name="_成品倉2009-10-13-ktp_企劃生管-阿綠的報表11-06" xfId="404"/>
    <cellStyle name="_成品倉2009-10-13-ktp_企劃生管-阿綠的報表11-09" xfId="405"/>
    <cellStyle name="_成品倉2009-10-13-ktp_企劃生管-阿綠的報表11-10" xfId="406"/>
    <cellStyle name="_成品倉2009-10-13-ktp_企劃生管-阿綠的報表11-11" xfId="407"/>
    <cellStyle name="_成品倉2009-10-13-ktp_企劃生管-阿綠的報表11-14" xfId="408"/>
    <cellStyle name="_成品倉2009-10-13-ktp_企劃生管-阿綠的報表12-01" xfId="409"/>
    <cellStyle name="_成品倉2009-10-13-ktp_複製 -2009-11-10綜合報表" xfId="410"/>
    <cellStyle name="_成品倉2009-10-17ktp" xfId="411"/>
    <cellStyle name="_成品倉2009-120tp" xfId="412"/>
    <cellStyle name="_綜合報表2009-08-01" xfId="413"/>
    <cellStyle name="_億春2009年度接單計劃總表 5-16" xfId="414"/>
    <cellStyle name="_億春2009年度接單計劃總表 5-16_2009-10-06綜合報表" xfId="415"/>
    <cellStyle name="_億春2009年度接單計劃總表 5-16_2009-10-13" xfId="416"/>
    <cellStyle name="_億春2009年度接單計劃總表 5-16_2009-10-13_2009-10-16綜合報表" xfId="417"/>
    <cellStyle name="_億春2009年度接單計劃總表 5-16_2009-10-13_2009-11-04綜合報表" xfId="418"/>
    <cellStyle name="_億春2009年度接單計劃總表 5-16_2009-10-13_2009-11-30綜合報表" xfId="419"/>
    <cellStyle name="_億春2009年度接單計劃總表 5-16_2009-10-13_2009-11-7(1)" xfId="420"/>
    <cellStyle name="_億春2009年度接單計劃總表 5-16_2009-10-13_2009-20-11(1)" xfId="421"/>
    <cellStyle name="_億春2009年度接單計劃總表 5-16_2009-10-13_企劃生管-阿綠的報表10-22" xfId="422"/>
    <cellStyle name="_億春2009年度接單計劃總表 5-16_2009-10-13_企劃生管-阿綠的報表11-04 (2)" xfId="423"/>
    <cellStyle name="_億春2009年度接單計劃總表 5-16_2009-10-13_企劃生管-阿綠的報表11-05" xfId="424"/>
    <cellStyle name="_億春2009年度接單計劃總表 5-16_2009-10-13_企劃生管-阿綠的報表11-06" xfId="425"/>
    <cellStyle name="_億春2009年度接單計劃總表 5-16_2009-10-13_企劃生管-阿綠的報表11-09" xfId="426"/>
    <cellStyle name="_億春2009年度接單計劃總表 5-16_2009-10-13_企劃生管-阿綠的報表11-10" xfId="427"/>
    <cellStyle name="_億春2009年度接單計劃總表 5-16_2009-10-13_企劃生管-阿綠的報表11-11" xfId="428"/>
    <cellStyle name="_億春2009年度接單計劃總表 5-16_2009-10-13_企劃生管-阿綠的報表11-14" xfId="429"/>
    <cellStyle name="_億春2009年度接單計劃總表 5-16_2009-10-13_企劃生管-阿綠的報表12-01" xfId="430"/>
    <cellStyle name="_億春2009年度接單計劃總表 5-16_2009-10-13_複製 -2009-11-10綜合報表" xfId="431"/>
    <cellStyle name="_億春2009年度接單計劃總表 5-16_2009-10-17" xfId="432"/>
    <cellStyle name="_億春2009年度接單計劃總表 5-16_2009-10-8" xfId="433"/>
    <cellStyle name="_億春2009年度接單計劃總表 5-16_2009-10-8_2009-10-12綜合報表" xfId="434"/>
    <cellStyle name="_億春2009年度接單計劃總表 5-16_2009-10-8_2009-10-16綜合報表" xfId="435"/>
    <cellStyle name="_億春2009年度接單計劃總表 5-16_2009-10-8_2009-11-04綜合報表" xfId="436"/>
    <cellStyle name="_億春2009年度接單計劃總表 5-16_2009-10-8_2009-11-30綜合報表" xfId="437"/>
    <cellStyle name="_億春2009年度接單計劃總表 5-16_2009-10-8_2009-11-7(1)" xfId="438"/>
    <cellStyle name="_億春2009年度接單計劃總表 5-16_2009-10-8_2009-20-11(1)" xfId="439"/>
    <cellStyle name="_億春2009年度接單計劃總表 5-16_2009-10-8_T Lan" xfId="440"/>
    <cellStyle name="_億春2009年度接單計劃總表 5-16_2009-10-8_T Lan (1)" xfId="441"/>
    <cellStyle name="_億春2009年度接單計劃總表 5-16_2009-10-8_thanh lan (2)" xfId="442"/>
    <cellStyle name="_億春2009年度接單計劃總表 5-16_2009-10-8_企劃生管-阿綠的報表10-22" xfId="443"/>
    <cellStyle name="_億春2009年度接單計劃總表 5-16_2009-10-8_企劃生管-阿綠的報表11-04 (2)" xfId="444"/>
    <cellStyle name="_億春2009年度接單計劃總表 5-16_2009-10-8_企劃生管-阿綠的報表11-05" xfId="445"/>
    <cellStyle name="_億春2009年度接單計劃總表 5-16_2009-10-8_企劃生管-阿綠的報表11-06" xfId="446"/>
    <cellStyle name="_億春2009年度接單計劃總表 5-16_2009-10-8_企劃生管-阿綠的報表11-09" xfId="447"/>
    <cellStyle name="_億春2009年度接單計劃總表 5-16_2009-10-8_企劃生管-阿綠的報表11-10" xfId="448"/>
    <cellStyle name="_億春2009年度接單計劃總表 5-16_2009-10-8_企劃生管-阿綠的報表11-11" xfId="449"/>
    <cellStyle name="_億春2009年度接單計劃總表 5-16_2009-10-8_企劃生管-阿綠的報表11-14" xfId="450"/>
    <cellStyle name="_億春2009年度接單計劃總表 5-16_2009-10-8_企劃生管-阿綠的報表12-01" xfId="451"/>
    <cellStyle name="_億春2009年度接單計劃總表 5-16_2009-10-8_複製 -2009-11-10綜合報表" xfId="452"/>
    <cellStyle name="_億春2009年度接單計劃總表 5-16_2009-10均時產" xfId="453"/>
    <cellStyle name="_億春2009年度接單計劃總表 5-16_2009-10均時產_2009-10-12綜合報表" xfId="454"/>
    <cellStyle name="_億春2009年度接單計劃總表 5-16_2009-10均時產_2009-10-16綜合報表" xfId="455"/>
    <cellStyle name="_億春2009年度接單計劃總表 5-16_2009-10均時產_2009-11-04綜合報表" xfId="456"/>
    <cellStyle name="_億春2009年度接單計劃總表 5-16_2009-10均時產_2009-11-30綜合報表" xfId="457"/>
    <cellStyle name="_億春2009年度接單計劃總表 5-16_2009-10均時產_2009-11-7(1)" xfId="458"/>
    <cellStyle name="_億春2009年度接單計劃總表 5-16_2009-10均時產_2009-20-11(1)" xfId="459"/>
    <cellStyle name="_億春2009年度接單計劃總表 5-16_2009-10均時產_9876543 (ExcelFIX)" xfId="460"/>
    <cellStyle name="_億春2009年度接單計劃總表 5-16_2009-10均時產_T Lan" xfId="461"/>
    <cellStyle name="_億春2009年度接單計劃總表 5-16_2009-10均時產_T Lan (1)" xfId="462"/>
    <cellStyle name="_億春2009年度接單計劃總表 5-16_2009-10均時產_thanh lan (2)" xfId="463"/>
    <cellStyle name="_億春2009年度接單計劃總表 5-16_2009-10均時產_企劃生管-阿綠的報表10-22" xfId="464"/>
    <cellStyle name="_億春2009年度接單計劃總表 5-16_2009-10均時產_企劃生管-阿綠的報表11-04 (2)" xfId="465"/>
    <cellStyle name="_億春2009年度接單計劃總表 5-16_2009-10均時產_企劃生管-阿綠的報表11-05" xfId="466"/>
    <cellStyle name="_億春2009年度接單計劃總表 5-16_2009-10均時產_企劃生管-阿綠的報表11-06" xfId="467"/>
    <cellStyle name="_億春2009年度接單計劃總表 5-16_2009-10均時產_企劃生管-阿綠的報表11-09" xfId="468"/>
    <cellStyle name="_億春2009年度接單計劃總表 5-16_2009-10均時產_企劃生管-阿綠的報表11-10" xfId="469"/>
    <cellStyle name="_億春2009年度接單計劃總表 5-16_2009-10均時產_企劃生管-阿綠的報表11-11" xfId="470"/>
    <cellStyle name="_億春2009年度接單計劃總表 5-16_2009-10均時產_企劃生管-阿綠的報表11-14" xfId="471"/>
    <cellStyle name="_億春2009年度接單計劃總表 5-16_2009-10均時產_企劃生管-阿綠的報表12-01" xfId="472"/>
    <cellStyle name="_億春2009年度接單計劃總表 5-16_2009-10均時產_複製 -2009-11-10綜合報表" xfId="473"/>
    <cellStyle name="_億春2009年度接單計劃總表 5-16_2009-12-8" xfId="474"/>
    <cellStyle name="_億春2009年度接單計劃總表 5-16_2010-1-23" xfId="475"/>
    <cellStyle name="_億春2009年度接單計劃總表 5-16_成品倉2009-10-13-ktp" xfId="476"/>
    <cellStyle name="_億春2009年度接單計劃總表 5-16_成品倉2009-10-13-ktp_1" xfId="477"/>
    <cellStyle name="_億春2009年度接單計劃總表 5-16_成品倉2009-10-13-ktp_2009-10-16綜合報表" xfId="478"/>
    <cellStyle name="_億春2009年度接單計劃總表 5-16_成品倉2009-10-13-ktp_2009-11-04綜合報表" xfId="479"/>
    <cellStyle name="_億春2009年度接單計劃總表 5-16_成品倉2009-10-13-ktp_2009-11-30綜合報表" xfId="480"/>
    <cellStyle name="_億春2009年度接單計劃總表 5-16_成品倉2009-10-13-ktp_2009-11-7(1)" xfId="481"/>
    <cellStyle name="_億春2009年度接單計劃總表 5-16_成品倉2009-10-13-ktp_2009-20-11(1)" xfId="482"/>
    <cellStyle name="_億春2009年度接單計劃總表 5-16_成品倉2009-10-13-ktp_企劃生管-阿綠的報表10-22" xfId="483"/>
    <cellStyle name="_億春2009年度接單計劃總表 5-16_成品倉2009-10-13-ktp_企劃生管-阿綠的報表11-04 (2)" xfId="484"/>
    <cellStyle name="_億春2009年度接單計劃總表 5-16_成品倉2009-10-13-ktp_企劃生管-阿綠的報表11-05" xfId="485"/>
    <cellStyle name="_億春2009年度接單計劃總表 5-16_成品倉2009-10-13-ktp_企劃生管-阿綠的報表11-06" xfId="486"/>
    <cellStyle name="_億春2009年度接單計劃總表 5-16_成品倉2009-10-13-ktp_企劃生管-阿綠的報表11-09" xfId="487"/>
    <cellStyle name="_億春2009年度接單計劃總表 5-16_成品倉2009-10-13-ktp_企劃生管-阿綠的報表11-10" xfId="488"/>
    <cellStyle name="_億春2009年度接單計劃總表 5-16_成品倉2009-10-13-ktp_企劃生管-阿綠的報表11-11" xfId="489"/>
    <cellStyle name="_億春2009年度接單計劃總表 5-16_成品倉2009-10-13-ktp_企劃生管-阿綠的報表11-14" xfId="490"/>
    <cellStyle name="_億春2009年度接單計劃總表 5-16_成品倉2009-10-13-ktp_企劃生管-阿綠的報表12-01" xfId="491"/>
    <cellStyle name="_億春2009年度接單計劃總表 5-16_成品倉2009-10-13-ktp_複製 -2009-11-10綜合報表" xfId="492"/>
    <cellStyle name="_億春2009年度接單計劃總表 5-16_成品倉2009-10-17ktp" xfId="493"/>
    <cellStyle name="_億春2009年度接單計劃總表 5-16_成品倉2009-120tp" xfId="494"/>
    <cellStyle name="_億春2009年度接單計劃總表 5-16_綜合報表2009-08-01" xfId="495"/>
    <cellStyle name="_億春2009年度接單計劃總表 5-16_綜合報表2009-08-01_2009-10-06綜合報表" xfId="496"/>
    <cellStyle name="_億春2009年度接單計劃總表 5-16_複製 -09- 綜合報表" xfId="497"/>
    <cellStyle name="_億春2009年度接單計劃總表 5-16_複製 -09- 綜合報表_2009-10-06綜合報表" xfId="498"/>
    <cellStyle name="_億春2009年度接單計劃總表 6-10" xfId="499"/>
    <cellStyle name="_億春2009年度接單計劃總表 6-10_2009-10-06綜合報表" xfId="500"/>
    <cellStyle name="_億春2009年度接單計劃總表 6-10_2009-10-13" xfId="501"/>
    <cellStyle name="_億春2009年度接單計劃總表 6-10_2009-10-13_2009-10-16綜合報表" xfId="502"/>
    <cellStyle name="_億春2009年度接單計劃總表 6-10_2009-10-13_2009-11-04綜合報表" xfId="503"/>
    <cellStyle name="_億春2009年度接單計劃總表 6-10_2009-10-13_2009-11-30綜合報表" xfId="504"/>
    <cellStyle name="_億春2009年度接單計劃總表 6-10_2009-10-13_2009-11-7(1)" xfId="505"/>
    <cellStyle name="_億春2009年度接單計劃總表 6-10_2009-10-13_2009-20-11(1)" xfId="506"/>
    <cellStyle name="_億春2009年度接單計劃總表 6-10_2009-10-13_企劃生管-阿綠的報表10-22" xfId="507"/>
    <cellStyle name="_億春2009年度接單計劃總表 6-10_2009-10-13_企劃生管-阿綠的報表11-04 (2)" xfId="508"/>
    <cellStyle name="_億春2009年度接單計劃總表 6-10_2009-10-13_企劃生管-阿綠的報表11-05" xfId="509"/>
    <cellStyle name="_億春2009年度接單計劃總表 6-10_2009-10-13_企劃生管-阿綠的報表11-06" xfId="510"/>
    <cellStyle name="_億春2009年度接單計劃總表 6-10_2009-10-13_企劃生管-阿綠的報表11-09" xfId="511"/>
    <cellStyle name="_億春2009年度接單計劃總表 6-10_2009-10-13_企劃生管-阿綠的報表11-10" xfId="512"/>
    <cellStyle name="_億春2009年度接單計劃總表 6-10_2009-10-13_企劃生管-阿綠的報表11-11" xfId="513"/>
    <cellStyle name="_億春2009年度接單計劃總表 6-10_2009-10-13_企劃生管-阿綠的報表11-14" xfId="514"/>
    <cellStyle name="_億春2009年度接單計劃總表 6-10_2009-10-13_企劃生管-阿綠的報表12-01" xfId="515"/>
    <cellStyle name="_億春2009年度接單計劃總表 6-10_2009-10-13_複製 -2009-11-10綜合報表" xfId="516"/>
    <cellStyle name="_億春2009年度接單計劃總表 6-10_2009-10-17" xfId="517"/>
    <cellStyle name="_億春2009年度接單計劃總表 6-10_2009-10-8" xfId="518"/>
    <cellStyle name="_億春2009年度接單計劃總表 6-10_2009-10-8_2009-10-12綜合報表" xfId="519"/>
    <cellStyle name="_億春2009年度接單計劃總表 6-10_2009-10-8_2009-10-16綜合報表" xfId="520"/>
    <cellStyle name="_億春2009年度接單計劃總表 6-10_2009-10-8_2009-11-04綜合報表" xfId="521"/>
    <cellStyle name="_億春2009年度接單計劃總表 6-10_2009-10-8_2009-11-30綜合報表" xfId="522"/>
    <cellStyle name="_億春2009年度接單計劃總表 6-10_2009-10-8_2009-11-7(1)" xfId="523"/>
    <cellStyle name="_億春2009年度接單計劃總表 6-10_2009-10-8_2009-20-11(1)" xfId="524"/>
    <cellStyle name="_億春2009年度接單計劃總表 6-10_2009-10-8_T Lan" xfId="525"/>
    <cellStyle name="_億春2009年度接單計劃總表 6-10_2009-10-8_T Lan (1)" xfId="526"/>
    <cellStyle name="_億春2009年度接單計劃總表 6-10_2009-10-8_thanh lan (2)" xfId="527"/>
    <cellStyle name="_億春2009年度接單計劃總表 6-10_2009-10-8_企劃生管-阿綠的報表10-22" xfId="528"/>
    <cellStyle name="_億春2009年度接單計劃總表 6-10_2009-10-8_企劃生管-阿綠的報表11-04 (2)" xfId="529"/>
    <cellStyle name="_億春2009年度接單計劃總表 6-10_2009-10-8_企劃生管-阿綠的報表11-05" xfId="530"/>
    <cellStyle name="_億春2009年度接單計劃總表 6-10_2009-10-8_企劃生管-阿綠的報表11-06" xfId="531"/>
    <cellStyle name="_億春2009年度接單計劃總表 6-10_2009-10-8_企劃生管-阿綠的報表11-09" xfId="532"/>
    <cellStyle name="_億春2009年度接單計劃總表 6-10_2009-10-8_企劃生管-阿綠的報表11-10" xfId="533"/>
    <cellStyle name="_億春2009年度接單計劃總表 6-10_2009-10-8_企劃生管-阿綠的報表11-11" xfId="534"/>
    <cellStyle name="_億春2009年度接單計劃總表 6-10_2009-10-8_企劃生管-阿綠的報表11-14" xfId="535"/>
    <cellStyle name="_億春2009年度接單計劃總表 6-10_2009-10-8_企劃生管-阿綠的報表12-01" xfId="536"/>
    <cellStyle name="_億春2009年度接單計劃總表 6-10_2009-10-8_複製 -2009-11-10綜合報表" xfId="537"/>
    <cellStyle name="_億春2009年度接單計劃總表 6-10_2009-12-8" xfId="538"/>
    <cellStyle name="_億春2009年度接單計劃總表 6-10_2010-1-23" xfId="539"/>
    <cellStyle name="_億春2009年度接單計劃總表 6-10_成品倉2009-10-13-ktp" xfId="540"/>
    <cellStyle name="_億春2009年度接單計劃總表 6-10_成品倉2009-10-13-ktp_1" xfId="541"/>
    <cellStyle name="_億春2009年度接單計劃總表 6-10_成品倉2009-10-13-ktp_2009-10-16綜合報表" xfId="542"/>
    <cellStyle name="_億春2009年度接單計劃總表 6-10_成品倉2009-10-13-ktp_2009-11-04綜合報表" xfId="543"/>
    <cellStyle name="_億春2009年度接單計劃總表 6-10_成品倉2009-10-13-ktp_2009-11-30綜合報表" xfId="544"/>
    <cellStyle name="_億春2009年度接單計劃總表 6-10_成品倉2009-10-13-ktp_2009-11-7(1)" xfId="545"/>
    <cellStyle name="_億春2009年度接單計劃總表 6-10_成品倉2009-10-13-ktp_2009-20-11(1)" xfId="546"/>
    <cellStyle name="_億春2009年度接單計劃總表 6-10_成品倉2009-10-13-ktp_企劃生管-阿綠的報表10-22" xfId="547"/>
    <cellStyle name="_億春2009年度接單計劃總表 6-10_成品倉2009-10-13-ktp_企劃生管-阿綠的報表11-04 (2)" xfId="548"/>
    <cellStyle name="_億春2009年度接單計劃總表 6-10_成品倉2009-10-13-ktp_企劃生管-阿綠的報表11-05" xfId="549"/>
    <cellStyle name="_億春2009年度接單計劃總表 6-10_成品倉2009-10-13-ktp_企劃生管-阿綠的報表11-06" xfId="550"/>
    <cellStyle name="_億春2009年度接單計劃總表 6-10_成品倉2009-10-13-ktp_企劃生管-阿綠的報表11-09" xfId="551"/>
    <cellStyle name="_億春2009年度接單計劃總表 6-10_成品倉2009-10-13-ktp_企劃生管-阿綠的報表11-10" xfId="552"/>
    <cellStyle name="_億春2009年度接單計劃總表 6-10_成品倉2009-10-13-ktp_企劃生管-阿綠的報表11-11" xfId="553"/>
    <cellStyle name="_億春2009年度接單計劃總表 6-10_成品倉2009-10-13-ktp_企劃生管-阿綠的報表11-14" xfId="554"/>
    <cellStyle name="_億春2009年度接單計劃總表 6-10_成品倉2009-10-13-ktp_企劃生管-阿綠的報表12-01" xfId="555"/>
    <cellStyle name="_億春2009年度接單計劃總表 6-10_成品倉2009-10-13-ktp_複製 -2009-11-10綜合報表" xfId="556"/>
    <cellStyle name="_億春2009年度接單計劃總表 6-10_成品倉2009-10-17ktp" xfId="557"/>
    <cellStyle name="_億春2009年度接單計劃總表 6-10_成品倉2009-120tp" xfId="558"/>
    <cellStyle name="_億春2009年度接單計劃總表 6-10_綜合報表2009-08-01" xfId="559"/>
    <cellStyle name="_億春2009年度接單計劃總表 6-10_綜合報表2009-08-01_2009-10-06綜合報表" xfId="560"/>
    <cellStyle name="_億春2009年度接單計劃總表 6-10_複製 -09- 綜合報表" xfId="561"/>
    <cellStyle name="_億春2009年度接單計劃總表 6-10_複製 -09- 綜合報表_2009-10-06綜合報表" xfId="562"/>
    <cellStyle name="_億春2009年度接單計劃總表 6-15" xfId="563"/>
    <cellStyle name="_億春2009年度接單計劃總表 6-15_2009-10-06綜合報表" xfId="564"/>
    <cellStyle name="_億春2009年度接單計劃總表 6-15_2009-10-13" xfId="565"/>
    <cellStyle name="_億春2009年度接單計劃總表 6-15_2009-10-13_2009-10-16綜合報表" xfId="566"/>
    <cellStyle name="_億春2009年度接單計劃總表 6-15_2009-10-13_2009-11-04綜合報表" xfId="567"/>
    <cellStyle name="_億春2009年度接單計劃總表 6-15_2009-10-13_2009-11-30綜合報表" xfId="568"/>
    <cellStyle name="_億春2009年度接單計劃總表 6-15_2009-10-13_2009-11-7(1)" xfId="569"/>
    <cellStyle name="_億春2009年度接單計劃總表 6-15_2009-10-13_2009-20-11(1)" xfId="570"/>
    <cellStyle name="_億春2009年度接單計劃總表 6-15_2009-10-13_企劃生管-阿綠的報表10-22" xfId="571"/>
    <cellStyle name="_億春2009年度接單計劃總表 6-15_2009-10-13_企劃生管-阿綠的報表11-04 (2)" xfId="572"/>
    <cellStyle name="_億春2009年度接單計劃總表 6-15_2009-10-13_企劃生管-阿綠的報表11-05" xfId="573"/>
    <cellStyle name="_億春2009年度接單計劃總表 6-15_2009-10-13_企劃生管-阿綠的報表11-06" xfId="574"/>
    <cellStyle name="_億春2009年度接單計劃總表 6-15_2009-10-13_企劃生管-阿綠的報表11-09" xfId="575"/>
    <cellStyle name="_億春2009年度接單計劃總表 6-15_2009-10-13_企劃生管-阿綠的報表11-10" xfId="576"/>
    <cellStyle name="_億春2009年度接單計劃總表 6-15_2009-10-13_企劃生管-阿綠的報表11-11" xfId="577"/>
    <cellStyle name="_億春2009年度接單計劃總表 6-15_2009-10-13_企劃生管-阿綠的報表11-14" xfId="578"/>
    <cellStyle name="_億春2009年度接單計劃總表 6-15_2009-10-13_企劃生管-阿綠的報表12-01" xfId="579"/>
    <cellStyle name="_億春2009年度接單計劃總表 6-15_2009-10-13_複製 -2009-11-10綜合報表" xfId="580"/>
    <cellStyle name="_億春2009年度接單計劃總表 6-15_2009-10-17" xfId="581"/>
    <cellStyle name="_億春2009年度接單計劃總表 6-15_2009-10-8" xfId="582"/>
    <cellStyle name="_億春2009年度接單計劃總表 6-15_2009-10-8_2009-10-12綜合報表" xfId="583"/>
    <cellStyle name="_億春2009年度接單計劃總表 6-15_2009-10-8_2009-10-16綜合報表" xfId="584"/>
    <cellStyle name="_億春2009年度接單計劃總表 6-15_2009-10-8_2009-11-04綜合報表" xfId="585"/>
    <cellStyle name="_億春2009年度接單計劃總表 6-15_2009-10-8_2009-11-30綜合報表" xfId="586"/>
    <cellStyle name="_億春2009年度接單計劃總表 6-15_2009-10-8_2009-11-7(1)" xfId="587"/>
    <cellStyle name="_億春2009年度接單計劃總表 6-15_2009-10-8_2009-20-11(1)" xfId="588"/>
    <cellStyle name="_億春2009年度接單計劃總表 6-15_2009-10-8_T Lan" xfId="589"/>
    <cellStyle name="_億春2009年度接單計劃總表 6-15_2009-10-8_T Lan (1)" xfId="590"/>
    <cellStyle name="_億春2009年度接單計劃總表 6-15_2009-10-8_thanh lan (2)" xfId="591"/>
    <cellStyle name="_億春2009年度接單計劃總表 6-15_2009-10-8_企劃生管-阿綠的報表10-22" xfId="592"/>
    <cellStyle name="_億春2009年度接單計劃總表 6-15_2009-10-8_企劃生管-阿綠的報表11-04 (2)" xfId="593"/>
    <cellStyle name="_億春2009年度接單計劃總表 6-15_2009-10-8_企劃生管-阿綠的報表11-05" xfId="594"/>
    <cellStyle name="_億春2009年度接單計劃總表 6-15_2009-10-8_企劃生管-阿綠的報表11-06" xfId="595"/>
    <cellStyle name="_億春2009年度接單計劃總表 6-15_2009-10-8_企劃生管-阿綠的報表11-09" xfId="596"/>
    <cellStyle name="_億春2009年度接單計劃總表 6-15_2009-10-8_企劃生管-阿綠的報表11-10" xfId="597"/>
    <cellStyle name="_億春2009年度接單計劃總表 6-15_2009-10-8_企劃生管-阿綠的報表11-11" xfId="598"/>
    <cellStyle name="_億春2009年度接單計劃總表 6-15_2009-10-8_企劃生管-阿綠的報表11-14" xfId="599"/>
    <cellStyle name="_億春2009年度接單計劃總表 6-15_2009-10-8_企劃生管-阿綠的報表12-01" xfId="600"/>
    <cellStyle name="_億春2009年度接單計劃總表 6-15_2009-10-8_複製 -2009-11-10綜合報表" xfId="601"/>
    <cellStyle name="_億春2009年度接單計劃總表 6-15_2009-12-8" xfId="602"/>
    <cellStyle name="_億春2009年度接單計劃總表 6-15_2010-1-23" xfId="603"/>
    <cellStyle name="_億春2009年度接單計劃總表 6-15_成品倉2009-10-13-ktp" xfId="604"/>
    <cellStyle name="_億春2009年度接單計劃總表 6-15_成品倉2009-10-13-ktp_1" xfId="605"/>
    <cellStyle name="_億春2009年度接單計劃總表 6-15_成品倉2009-10-13-ktp_2009-10-16綜合報表" xfId="606"/>
    <cellStyle name="_億春2009年度接單計劃總表 6-15_成品倉2009-10-13-ktp_2009-11-04綜合報表" xfId="607"/>
    <cellStyle name="_億春2009年度接單計劃總表 6-15_成品倉2009-10-13-ktp_2009-11-30綜合報表" xfId="608"/>
    <cellStyle name="_億春2009年度接單計劃總表 6-15_成品倉2009-10-13-ktp_2009-11-7(1)" xfId="609"/>
    <cellStyle name="_億春2009年度接單計劃總表 6-15_成品倉2009-10-13-ktp_2009-20-11(1)" xfId="610"/>
    <cellStyle name="_億春2009年度接單計劃總表 6-15_成品倉2009-10-13-ktp_企劃生管-阿綠的報表10-22" xfId="611"/>
    <cellStyle name="_億春2009年度接單計劃總表 6-15_成品倉2009-10-13-ktp_企劃生管-阿綠的報表11-04 (2)" xfId="612"/>
    <cellStyle name="_億春2009年度接單計劃總表 6-15_成品倉2009-10-13-ktp_企劃生管-阿綠的報表11-05" xfId="613"/>
    <cellStyle name="_億春2009年度接單計劃總表 6-15_成品倉2009-10-13-ktp_企劃生管-阿綠的報表11-06" xfId="614"/>
    <cellStyle name="_億春2009年度接單計劃總表 6-15_成品倉2009-10-13-ktp_企劃生管-阿綠的報表11-09" xfId="615"/>
    <cellStyle name="_億春2009年度接單計劃總表 6-15_成品倉2009-10-13-ktp_企劃生管-阿綠的報表11-10" xfId="616"/>
    <cellStyle name="_億春2009年度接單計劃總表 6-15_成品倉2009-10-13-ktp_企劃生管-阿綠的報表11-11" xfId="617"/>
    <cellStyle name="_億春2009年度接單計劃總表 6-15_成品倉2009-10-13-ktp_企劃生管-阿綠的報表11-14" xfId="618"/>
    <cellStyle name="_億春2009年度接單計劃總表 6-15_成品倉2009-10-13-ktp_企劃生管-阿綠的報表12-01" xfId="619"/>
    <cellStyle name="_億春2009年度接單計劃總表 6-15_成品倉2009-10-13-ktp_複製 -2009-11-10綜合報表" xfId="620"/>
    <cellStyle name="_億春2009年度接單計劃總表 6-15_成品倉2009-10-17ktp" xfId="621"/>
    <cellStyle name="_億春2009年度接單計劃總表 6-15_成品倉2009-120tp" xfId="622"/>
    <cellStyle name="_億春2009年度接單計劃總表 6-15_綜合報表2009-08-01" xfId="623"/>
    <cellStyle name="_億春2009年度接單計劃總表 6-15_綜合報表2009-08-01_2009-10-06綜合報表" xfId="624"/>
    <cellStyle name="_億春2009年度接單計劃總表 6-15_複製 -09- 綜合報表" xfId="625"/>
    <cellStyle name="_億春2009年度接單計劃總表 6-15_複製 -09- 綜合報表_2009-10-06綜合報表" xfId="626"/>
    <cellStyle name="_億春2009年度接單計劃總表 6-16" xfId="627"/>
    <cellStyle name="_億春2009年度接單計劃總表 6-16_2009-10-06綜合報表" xfId="628"/>
    <cellStyle name="_億春2009年度接單計劃總表 6-16_2009-10-13" xfId="629"/>
    <cellStyle name="_億春2009年度接單計劃總表 6-16_2009-10-13_2009-10-16綜合報表" xfId="630"/>
    <cellStyle name="_億春2009年度接單計劃總表 6-16_2009-10-13_2009-11-04綜合報表" xfId="631"/>
    <cellStyle name="_億春2009年度接單計劃總表 6-16_2009-10-13_2009-11-30綜合報表" xfId="632"/>
    <cellStyle name="_億春2009年度接單計劃總表 6-16_2009-10-13_2009-11-7(1)" xfId="633"/>
    <cellStyle name="_億春2009年度接單計劃總表 6-16_2009-10-13_2009-20-11(1)" xfId="634"/>
    <cellStyle name="_億春2009年度接單計劃總表 6-16_2009-10-13_企劃生管-阿綠的報表10-22" xfId="635"/>
    <cellStyle name="_億春2009年度接單計劃總表 6-16_2009-10-13_企劃生管-阿綠的報表11-04 (2)" xfId="636"/>
    <cellStyle name="_億春2009年度接單計劃總表 6-16_2009-10-13_企劃生管-阿綠的報表11-05" xfId="637"/>
    <cellStyle name="_億春2009年度接單計劃總表 6-16_2009-10-13_企劃生管-阿綠的報表11-06" xfId="638"/>
    <cellStyle name="_億春2009年度接單計劃總表 6-16_2009-10-13_企劃生管-阿綠的報表11-09" xfId="639"/>
    <cellStyle name="_億春2009年度接單計劃總表 6-16_2009-10-13_企劃生管-阿綠的報表11-10" xfId="640"/>
    <cellStyle name="_億春2009年度接單計劃總表 6-16_2009-10-13_企劃生管-阿綠的報表11-11" xfId="641"/>
    <cellStyle name="_億春2009年度接單計劃總表 6-16_2009-10-13_企劃生管-阿綠的報表11-14" xfId="642"/>
    <cellStyle name="_億春2009年度接單計劃總表 6-16_2009-10-13_企劃生管-阿綠的報表12-01" xfId="643"/>
    <cellStyle name="_億春2009年度接單計劃總表 6-16_2009-10-13_複製 -2009-11-10綜合報表" xfId="644"/>
    <cellStyle name="_億春2009年度接單計劃總表 6-16_2009-10-17" xfId="645"/>
    <cellStyle name="_億春2009年度接單計劃總表 6-16_2009-10-8" xfId="646"/>
    <cellStyle name="_億春2009年度接單計劃總表 6-16_2009-10-8_2009-10-12綜合報表" xfId="647"/>
    <cellStyle name="_億春2009年度接單計劃總表 6-16_2009-10-8_2009-10-16綜合報表" xfId="648"/>
    <cellStyle name="_億春2009年度接單計劃總表 6-16_2009-10-8_2009-11-04綜合報表" xfId="649"/>
    <cellStyle name="_億春2009年度接單計劃總表 6-16_2009-10-8_2009-11-30綜合報表" xfId="650"/>
    <cellStyle name="_億春2009年度接單計劃總表 6-16_2009-10-8_2009-11-7(1)" xfId="651"/>
    <cellStyle name="_億春2009年度接單計劃總表 6-16_2009-10-8_2009-20-11(1)" xfId="652"/>
    <cellStyle name="_億春2009年度接單計劃總表 6-16_2009-10-8_T Lan" xfId="653"/>
    <cellStyle name="_億春2009年度接單計劃總表 6-16_2009-10-8_T Lan (1)" xfId="654"/>
    <cellStyle name="_億春2009年度接單計劃總表 6-16_2009-10-8_thanh lan (2)" xfId="655"/>
    <cellStyle name="_億春2009年度接單計劃總表 6-16_2009-10-8_企劃生管-阿綠的報表10-22" xfId="656"/>
    <cellStyle name="_億春2009年度接單計劃總表 6-16_2009-10-8_企劃生管-阿綠的報表11-04 (2)" xfId="657"/>
    <cellStyle name="_億春2009年度接單計劃總表 6-16_2009-10-8_企劃生管-阿綠的報表11-05" xfId="658"/>
    <cellStyle name="_億春2009年度接單計劃總表 6-16_2009-10-8_企劃生管-阿綠的報表11-06" xfId="659"/>
    <cellStyle name="_億春2009年度接單計劃總表 6-16_2009-10-8_企劃生管-阿綠的報表11-09" xfId="660"/>
    <cellStyle name="_億春2009年度接單計劃總表 6-16_2009-10-8_企劃生管-阿綠的報表11-10" xfId="661"/>
    <cellStyle name="_億春2009年度接單計劃總表 6-16_2009-10-8_企劃生管-阿綠的報表11-11" xfId="662"/>
    <cellStyle name="_億春2009年度接單計劃總表 6-16_2009-10-8_企劃生管-阿綠的報表11-14" xfId="663"/>
    <cellStyle name="_億春2009年度接單計劃總表 6-16_2009-10-8_企劃生管-阿綠的報表12-01" xfId="664"/>
    <cellStyle name="_億春2009年度接單計劃總表 6-16_2009-10-8_複製 -2009-11-10綜合報表" xfId="665"/>
    <cellStyle name="_億春2009年度接單計劃總表 6-16_2009-12-8" xfId="666"/>
    <cellStyle name="_億春2009年度接單計劃總表 6-16_2010-1-23" xfId="667"/>
    <cellStyle name="_億春2009年度接單計劃總表 6-16_成品倉2009-10-13-ktp" xfId="668"/>
    <cellStyle name="_億春2009年度接單計劃總表 6-16_成品倉2009-10-13-ktp_1" xfId="669"/>
    <cellStyle name="_億春2009年度接單計劃總表 6-16_成品倉2009-10-13-ktp_2009-10-16綜合報表" xfId="670"/>
    <cellStyle name="_億春2009年度接單計劃總表 6-16_成品倉2009-10-13-ktp_2009-11-04綜合報表" xfId="671"/>
    <cellStyle name="_億春2009年度接單計劃總表 6-16_成品倉2009-10-13-ktp_2009-11-30綜合報表" xfId="672"/>
    <cellStyle name="_億春2009年度接單計劃總表 6-16_成品倉2009-10-13-ktp_2009-11-7(1)" xfId="673"/>
    <cellStyle name="_億春2009年度接單計劃總表 6-16_成品倉2009-10-13-ktp_2009-20-11(1)" xfId="674"/>
    <cellStyle name="_億春2009年度接單計劃總表 6-16_成品倉2009-10-13-ktp_企劃生管-阿綠的報表10-22" xfId="675"/>
    <cellStyle name="_億春2009年度接單計劃總表 6-16_成品倉2009-10-13-ktp_企劃生管-阿綠的報表11-04 (2)" xfId="676"/>
    <cellStyle name="_億春2009年度接單計劃總表 6-16_成品倉2009-10-13-ktp_企劃生管-阿綠的報表11-05" xfId="677"/>
    <cellStyle name="_億春2009年度接單計劃總表 6-16_成品倉2009-10-13-ktp_企劃生管-阿綠的報表11-06" xfId="678"/>
    <cellStyle name="_億春2009年度接單計劃總表 6-16_成品倉2009-10-13-ktp_企劃生管-阿綠的報表11-09" xfId="679"/>
    <cellStyle name="_億春2009年度接單計劃總表 6-16_成品倉2009-10-13-ktp_企劃生管-阿綠的報表11-10" xfId="680"/>
    <cellStyle name="_億春2009年度接單計劃總表 6-16_成品倉2009-10-13-ktp_企劃生管-阿綠的報表11-11" xfId="681"/>
    <cellStyle name="_億春2009年度接單計劃總表 6-16_成品倉2009-10-13-ktp_企劃生管-阿綠的報表11-14" xfId="682"/>
    <cellStyle name="_億春2009年度接單計劃總表 6-16_成品倉2009-10-13-ktp_企劃生管-阿綠的報表12-01" xfId="683"/>
    <cellStyle name="_億春2009年度接單計劃總表 6-16_成品倉2009-10-13-ktp_複製 -2009-11-10綜合報表" xfId="684"/>
    <cellStyle name="_億春2009年度接單計劃總表 6-16_成品倉2009-10-17ktp" xfId="685"/>
    <cellStyle name="_億春2009年度接單計劃總表 6-16_成品倉2009-120tp" xfId="686"/>
    <cellStyle name="_億春2009年度接單計劃總表 6-16_綜合報表2009-08-01" xfId="687"/>
    <cellStyle name="_億春2009年度接單計劃總表 6-16_綜合報表2009-08-01_2009-10-06綜合報表" xfId="688"/>
    <cellStyle name="_億春2009年度接單計劃總表 6-16_複製 -09- 綜合報表" xfId="689"/>
    <cellStyle name="_億春2009年度接單計劃總表 6-16_複製 -09- 綜合報表_2009-10-06綜合報表" xfId="690"/>
    <cellStyle name="_億春2009年度接單計劃總表 6-2" xfId="691"/>
    <cellStyle name="_億春2009年度接單計劃總表 6-2_2009-10-06綜合報表" xfId="692"/>
    <cellStyle name="_億春2009年度接單計劃總表 6-2_2009-10-13" xfId="693"/>
    <cellStyle name="_億春2009年度接單計劃總表 6-2_2009-10-13_2009-10-16綜合報表" xfId="694"/>
    <cellStyle name="_億春2009年度接單計劃總表 6-2_2009-10-13_2009-11-04綜合報表" xfId="695"/>
    <cellStyle name="_億春2009年度接單計劃總表 6-2_2009-10-13_2009-11-30綜合報表" xfId="696"/>
    <cellStyle name="_億春2009年度接單計劃總表 6-2_2009-10-13_2009-11-7(1)" xfId="697"/>
    <cellStyle name="_億春2009年度接單計劃總表 6-2_2009-10-13_2009-20-11(1)" xfId="698"/>
    <cellStyle name="_億春2009年度接單計劃總表 6-2_2009-10-13_企劃生管-阿綠的報表10-22" xfId="699"/>
    <cellStyle name="_億春2009年度接單計劃總表 6-2_2009-10-13_企劃生管-阿綠的報表11-04 (2)" xfId="700"/>
    <cellStyle name="_億春2009年度接單計劃總表 6-2_2009-10-13_企劃生管-阿綠的報表11-05" xfId="701"/>
    <cellStyle name="_億春2009年度接單計劃總表 6-2_2009-10-13_企劃生管-阿綠的報表11-06" xfId="702"/>
    <cellStyle name="_億春2009年度接單計劃總表 6-2_2009-10-13_企劃生管-阿綠的報表11-09" xfId="703"/>
    <cellStyle name="_億春2009年度接單計劃總表 6-2_2009-10-13_企劃生管-阿綠的報表11-10" xfId="704"/>
    <cellStyle name="_億春2009年度接單計劃總表 6-2_2009-10-13_企劃生管-阿綠的報表11-11" xfId="705"/>
    <cellStyle name="_億春2009年度接單計劃總表 6-2_2009-10-13_企劃生管-阿綠的報表11-14" xfId="706"/>
    <cellStyle name="_億春2009年度接單計劃總表 6-2_2009-10-13_企劃生管-阿綠的報表12-01" xfId="707"/>
    <cellStyle name="_億春2009年度接單計劃總表 6-2_2009-10-13_複製 -2009-11-10綜合報表" xfId="708"/>
    <cellStyle name="_億春2009年度接單計劃總表 6-2_2009-10-17" xfId="709"/>
    <cellStyle name="_億春2009年度接單計劃總表 6-2_2009-10-8" xfId="710"/>
    <cellStyle name="_億春2009年度接單計劃總表 6-2_2009-10-8_2009-10-12綜合報表" xfId="711"/>
    <cellStyle name="_億春2009年度接單計劃總表 6-2_2009-10-8_2009-10-16綜合報表" xfId="712"/>
    <cellStyle name="_億春2009年度接單計劃總表 6-2_2009-10-8_2009-11-04綜合報表" xfId="713"/>
    <cellStyle name="_億春2009年度接單計劃總表 6-2_2009-10-8_2009-11-30綜合報表" xfId="714"/>
    <cellStyle name="_億春2009年度接單計劃總表 6-2_2009-10-8_2009-11-7(1)" xfId="715"/>
    <cellStyle name="_億春2009年度接單計劃總表 6-2_2009-10-8_2009-20-11(1)" xfId="716"/>
    <cellStyle name="_億春2009年度接單計劃總表 6-2_2009-10-8_T Lan" xfId="717"/>
    <cellStyle name="_億春2009年度接單計劃總表 6-2_2009-10-8_T Lan (1)" xfId="718"/>
    <cellStyle name="_億春2009年度接單計劃總表 6-2_2009-10-8_thanh lan (2)" xfId="719"/>
    <cellStyle name="_億春2009年度接單計劃總表 6-2_2009-10-8_企劃生管-阿綠的報表10-22" xfId="720"/>
    <cellStyle name="_億春2009年度接單計劃總表 6-2_2009-10-8_企劃生管-阿綠的報表11-04 (2)" xfId="721"/>
    <cellStyle name="_億春2009年度接單計劃總表 6-2_2009-10-8_企劃生管-阿綠的報表11-05" xfId="722"/>
    <cellStyle name="_億春2009年度接單計劃總表 6-2_2009-10-8_企劃生管-阿綠的報表11-06" xfId="723"/>
    <cellStyle name="_億春2009年度接單計劃總表 6-2_2009-10-8_企劃生管-阿綠的報表11-09" xfId="724"/>
    <cellStyle name="_億春2009年度接單計劃總表 6-2_2009-10-8_企劃生管-阿綠的報表11-10" xfId="725"/>
    <cellStyle name="_億春2009年度接單計劃總表 6-2_2009-10-8_企劃生管-阿綠的報表11-11" xfId="726"/>
    <cellStyle name="_億春2009年度接單計劃總表 6-2_2009-10-8_企劃生管-阿綠的報表11-14" xfId="727"/>
    <cellStyle name="_億春2009年度接單計劃總表 6-2_2009-10-8_企劃生管-阿綠的報表12-01" xfId="728"/>
    <cellStyle name="_億春2009年度接單計劃總表 6-2_2009-10-8_複製 -2009-11-10綜合報表" xfId="729"/>
    <cellStyle name="_億春2009年度接單計劃總表 6-2_2009-10均時產" xfId="730"/>
    <cellStyle name="_億春2009年度接單計劃總表 6-2_2009-10均時產_2009-10-12綜合報表" xfId="731"/>
    <cellStyle name="_億春2009年度接單計劃總表 6-2_2009-10均時產_2009-10-16綜合報表" xfId="732"/>
    <cellStyle name="_億春2009年度接單計劃總表 6-2_2009-10均時產_2009-11-04綜合報表" xfId="733"/>
    <cellStyle name="_億春2009年度接單計劃總表 6-2_2009-10均時產_2009-11-30綜合報表" xfId="734"/>
    <cellStyle name="_億春2009年度接單計劃總表 6-2_2009-10均時產_2009-11-7(1)" xfId="735"/>
    <cellStyle name="_億春2009年度接單計劃總表 6-2_2009-10均時產_2009-20-11(1)" xfId="736"/>
    <cellStyle name="_億春2009年度接單計劃總表 6-2_2009-10均時產_9876543 (ExcelFIX)" xfId="737"/>
    <cellStyle name="_億春2009年度接單計劃總表 6-2_2009-10均時產_T Lan" xfId="738"/>
    <cellStyle name="_億春2009年度接單計劃總表 6-2_2009-10均時產_T Lan (1)" xfId="739"/>
    <cellStyle name="_億春2009年度接單計劃總表 6-2_2009-10均時產_thanh lan (2)" xfId="740"/>
    <cellStyle name="_億春2009年度接單計劃總表 6-2_2009-10均時產_企劃生管-阿綠的報表10-22" xfId="741"/>
    <cellStyle name="_億春2009年度接單計劃總表 6-2_2009-10均時產_企劃生管-阿綠的報表11-04 (2)" xfId="742"/>
    <cellStyle name="_億春2009年度接單計劃總表 6-2_2009-10均時產_企劃生管-阿綠的報表11-05" xfId="743"/>
    <cellStyle name="_億春2009年度接單計劃總表 6-2_2009-10均時產_企劃生管-阿綠的報表11-06" xfId="744"/>
    <cellStyle name="_億春2009年度接單計劃總表 6-2_2009-10均時產_企劃生管-阿綠的報表11-09" xfId="745"/>
    <cellStyle name="_億春2009年度接單計劃總表 6-2_2009-10均時產_企劃生管-阿綠的報表11-10" xfId="746"/>
    <cellStyle name="_億春2009年度接單計劃總表 6-2_2009-10均時產_企劃生管-阿綠的報表11-11" xfId="747"/>
    <cellStyle name="_億春2009年度接單計劃總表 6-2_2009-10均時產_企劃生管-阿綠的報表11-14" xfId="748"/>
    <cellStyle name="_億春2009年度接單計劃總表 6-2_2009-10均時產_企劃生管-阿綠的報表12-01" xfId="749"/>
    <cellStyle name="_億春2009年度接單計劃總表 6-2_2009-10均時產_複製 -2009-11-10綜合報表" xfId="750"/>
    <cellStyle name="_億春2009年度接單計劃總表 6-2_2009-12-8" xfId="751"/>
    <cellStyle name="_億春2009年度接單計劃總表 6-2_2010-1-23" xfId="752"/>
    <cellStyle name="_億春2009年度接單計劃總表 6-2_成品倉2009-10-13-ktp" xfId="753"/>
    <cellStyle name="_億春2009年度接單計劃總表 6-2_成品倉2009-10-13-ktp_1" xfId="754"/>
    <cellStyle name="_億春2009年度接單計劃總表 6-2_成品倉2009-10-13-ktp_2009-10-16綜合報表" xfId="755"/>
    <cellStyle name="_億春2009年度接單計劃總表 6-2_成品倉2009-10-13-ktp_2009-11-04綜合報表" xfId="756"/>
    <cellStyle name="_億春2009年度接單計劃總表 6-2_成品倉2009-10-13-ktp_2009-11-30綜合報表" xfId="757"/>
    <cellStyle name="_億春2009年度接單計劃總表 6-2_成品倉2009-10-13-ktp_2009-11-7(1)" xfId="758"/>
    <cellStyle name="_億春2009年度接單計劃總表 6-2_成品倉2009-10-13-ktp_2009-20-11(1)" xfId="759"/>
    <cellStyle name="_億春2009年度接單計劃總表 6-2_成品倉2009-10-13-ktp_企劃生管-阿綠的報表10-22" xfId="760"/>
    <cellStyle name="_億春2009年度接單計劃總表 6-2_成品倉2009-10-13-ktp_企劃生管-阿綠的報表11-04 (2)" xfId="761"/>
    <cellStyle name="_億春2009年度接單計劃總表 6-2_成品倉2009-10-13-ktp_企劃生管-阿綠的報表11-05" xfId="762"/>
    <cellStyle name="_億春2009年度接單計劃總表 6-2_成品倉2009-10-13-ktp_企劃生管-阿綠的報表11-06" xfId="763"/>
    <cellStyle name="_億春2009年度接單計劃總表 6-2_成品倉2009-10-13-ktp_企劃生管-阿綠的報表11-09" xfId="764"/>
    <cellStyle name="_億春2009年度接單計劃總表 6-2_成品倉2009-10-13-ktp_企劃生管-阿綠的報表11-10" xfId="765"/>
    <cellStyle name="_億春2009年度接單計劃總表 6-2_成品倉2009-10-13-ktp_企劃生管-阿綠的報表11-11" xfId="766"/>
    <cellStyle name="_億春2009年度接單計劃總表 6-2_成品倉2009-10-13-ktp_企劃生管-阿綠的報表11-14" xfId="767"/>
    <cellStyle name="_億春2009年度接單計劃總表 6-2_成品倉2009-10-13-ktp_企劃生管-阿綠的報表12-01" xfId="768"/>
    <cellStyle name="_億春2009年度接單計劃總表 6-2_成品倉2009-10-13-ktp_複製 -2009-11-10綜合報表" xfId="769"/>
    <cellStyle name="_億春2009年度接單計劃總表 6-2_成品倉2009-10-17ktp" xfId="770"/>
    <cellStyle name="_億春2009年度接單計劃總表 6-2_成品倉2009-120tp" xfId="771"/>
    <cellStyle name="_億春2009年度接單計劃總表 6-2_綜合報表2009-08-01" xfId="772"/>
    <cellStyle name="_億春2009年度接單計劃總表 6-2_綜合報表2009-08-01_2009-10-06綜合報表" xfId="773"/>
    <cellStyle name="_億春2009年度接單計劃總表 6-2_複製 -09- 綜合報表" xfId="774"/>
    <cellStyle name="_億春2009年度接單計劃總表 6-2_複製 -09- 綜合報表_2009-10-06綜合報表" xfId="775"/>
    <cellStyle name="_億春2009年度接單計劃總表 6-3" xfId="776"/>
    <cellStyle name="_億春2009年度接單計劃總表 6-3_2009-10-06綜合報表" xfId="777"/>
    <cellStyle name="_億春2009年度接單計劃總表 6-3_2009-10-13" xfId="778"/>
    <cellStyle name="_億春2009年度接單計劃總表 6-3_2009-10-13_2009-10-16綜合報表" xfId="779"/>
    <cellStyle name="_億春2009年度接單計劃總表 6-3_2009-10-13_2009-11-04綜合報表" xfId="780"/>
    <cellStyle name="_億春2009年度接單計劃總表 6-3_2009-10-13_2009-11-30綜合報表" xfId="781"/>
    <cellStyle name="_億春2009年度接單計劃總表 6-3_2009-10-13_2009-11-7(1)" xfId="782"/>
    <cellStyle name="_億春2009年度接單計劃總表 6-3_2009-10-13_2009-20-11(1)" xfId="783"/>
    <cellStyle name="_億春2009年度接單計劃總表 6-3_2009-10-13_企劃生管-阿綠的報表10-22" xfId="784"/>
    <cellStyle name="_億春2009年度接單計劃總表 6-3_2009-10-13_企劃生管-阿綠的報表11-04 (2)" xfId="785"/>
    <cellStyle name="_億春2009年度接單計劃總表 6-3_2009-10-13_企劃生管-阿綠的報表11-05" xfId="786"/>
    <cellStyle name="_億春2009年度接單計劃總表 6-3_2009-10-13_企劃生管-阿綠的報表11-06" xfId="787"/>
    <cellStyle name="_億春2009年度接單計劃總表 6-3_2009-10-13_企劃生管-阿綠的報表11-09" xfId="788"/>
    <cellStyle name="_億春2009年度接單計劃總表 6-3_2009-10-13_企劃生管-阿綠的報表11-10" xfId="789"/>
    <cellStyle name="_億春2009年度接單計劃總表 6-3_2009-10-13_企劃生管-阿綠的報表11-11" xfId="790"/>
    <cellStyle name="_億春2009年度接單計劃總表 6-3_2009-10-13_企劃生管-阿綠的報表11-14" xfId="791"/>
    <cellStyle name="_億春2009年度接單計劃總表 6-3_2009-10-13_企劃生管-阿綠的報表12-01" xfId="792"/>
    <cellStyle name="_億春2009年度接單計劃總表 6-3_2009-10-13_複製 -2009-11-10綜合報表" xfId="793"/>
    <cellStyle name="_億春2009年度接單計劃總表 6-3_2009-10-17" xfId="794"/>
    <cellStyle name="_億春2009年度接單計劃總表 6-3_2009-10-8" xfId="795"/>
    <cellStyle name="_億春2009年度接單計劃總表 6-3_2009-10-8_2009-10-12綜合報表" xfId="796"/>
    <cellStyle name="_億春2009年度接單計劃總表 6-3_2009-10-8_2009-10-16綜合報表" xfId="797"/>
    <cellStyle name="_億春2009年度接單計劃總表 6-3_2009-10-8_2009-11-04綜合報表" xfId="798"/>
    <cellStyle name="_億春2009年度接單計劃總表 6-3_2009-10-8_2009-11-30綜合報表" xfId="799"/>
    <cellStyle name="_億春2009年度接單計劃總表 6-3_2009-10-8_2009-11-7(1)" xfId="800"/>
    <cellStyle name="_億春2009年度接單計劃總表 6-3_2009-10-8_2009-20-11(1)" xfId="801"/>
    <cellStyle name="_億春2009年度接單計劃總表 6-3_2009-10-8_T Lan" xfId="802"/>
    <cellStyle name="_億春2009年度接單計劃總表 6-3_2009-10-8_T Lan (1)" xfId="803"/>
    <cellStyle name="_億春2009年度接單計劃總表 6-3_2009-10-8_thanh lan (2)" xfId="804"/>
    <cellStyle name="_億春2009年度接單計劃總表 6-3_2009-10-8_企劃生管-阿綠的報表10-22" xfId="805"/>
    <cellStyle name="_億春2009年度接單計劃總表 6-3_2009-10-8_企劃生管-阿綠的報表11-04 (2)" xfId="806"/>
    <cellStyle name="_億春2009年度接單計劃總表 6-3_2009-10-8_企劃生管-阿綠的報表11-05" xfId="807"/>
    <cellStyle name="_億春2009年度接單計劃總表 6-3_2009-10-8_企劃生管-阿綠的報表11-06" xfId="808"/>
    <cellStyle name="_億春2009年度接單計劃總表 6-3_2009-10-8_企劃生管-阿綠的報表11-09" xfId="809"/>
    <cellStyle name="_億春2009年度接單計劃總表 6-3_2009-10-8_企劃生管-阿綠的報表11-10" xfId="810"/>
    <cellStyle name="_億春2009年度接單計劃總表 6-3_2009-10-8_企劃生管-阿綠的報表11-11" xfId="811"/>
    <cellStyle name="_億春2009年度接單計劃總表 6-3_2009-10-8_企劃生管-阿綠的報表11-14" xfId="812"/>
    <cellStyle name="_億春2009年度接單計劃總表 6-3_2009-10-8_企劃生管-阿綠的報表12-01" xfId="813"/>
    <cellStyle name="_億春2009年度接單計劃總表 6-3_2009-10-8_複製 -2009-11-10綜合報表" xfId="814"/>
    <cellStyle name="_億春2009年度接單計劃總表 6-3_2009-10均時產" xfId="815"/>
    <cellStyle name="_億春2009年度接單計劃總表 6-3_2009-10均時產_2009-10-12綜合報表" xfId="816"/>
    <cellStyle name="_億春2009年度接單計劃總表 6-3_2009-10均時產_2009-10-16綜合報表" xfId="817"/>
    <cellStyle name="_億春2009年度接單計劃總表 6-3_2009-10均時產_2009-11-04綜合報表" xfId="818"/>
    <cellStyle name="_億春2009年度接單計劃總表 6-3_2009-10均時產_2009-11-30綜合報表" xfId="819"/>
    <cellStyle name="_億春2009年度接單計劃總表 6-3_2009-10均時產_2009-11-7(1)" xfId="820"/>
    <cellStyle name="_億春2009年度接單計劃總表 6-3_2009-10均時產_2009-20-11(1)" xfId="821"/>
    <cellStyle name="_億春2009年度接單計劃總表 6-3_2009-10均時產_9876543 (ExcelFIX)" xfId="822"/>
    <cellStyle name="_億春2009年度接單計劃總表 6-3_2009-10均時產_T Lan" xfId="823"/>
    <cellStyle name="_億春2009年度接單計劃總表 6-3_2009-10均時產_T Lan (1)" xfId="824"/>
    <cellStyle name="_億春2009年度接單計劃總表 6-3_2009-10均時產_thanh lan (2)" xfId="825"/>
    <cellStyle name="_億春2009年度接單計劃總表 6-3_2009-10均時產_企劃生管-阿綠的報表10-22" xfId="826"/>
    <cellStyle name="_億春2009年度接單計劃總表 6-3_2009-10均時產_企劃生管-阿綠的報表11-04 (2)" xfId="827"/>
    <cellStyle name="_億春2009年度接單計劃總表 6-3_2009-10均時產_企劃生管-阿綠的報表11-05" xfId="828"/>
    <cellStyle name="_億春2009年度接單計劃總表 6-3_2009-10均時產_企劃生管-阿綠的報表11-06" xfId="829"/>
    <cellStyle name="_億春2009年度接單計劃總表 6-3_2009-10均時產_企劃生管-阿綠的報表11-09" xfId="830"/>
    <cellStyle name="_億春2009年度接單計劃總表 6-3_2009-10均時產_企劃生管-阿綠的報表11-10" xfId="831"/>
    <cellStyle name="_億春2009年度接單計劃總表 6-3_2009-10均時產_企劃生管-阿綠的報表11-11" xfId="832"/>
    <cellStyle name="_億春2009年度接單計劃總表 6-3_2009-10均時產_企劃生管-阿綠的報表11-14" xfId="833"/>
    <cellStyle name="_億春2009年度接單計劃總表 6-3_2009-10均時產_企劃生管-阿綠的報表12-01" xfId="834"/>
    <cellStyle name="_億春2009年度接單計劃總表 6-3_2009-10均時產_複製 -2009-11-10綜合報表" xfId="835"/>
    <cellStyle name="_億春2009年度接單計劃總表 6-3_2009-12-8" xfId="836"/>
    <cellStyle name="_億春2009年度接單計劃總表 6-3_2010-1-23" xfId="837"/>
    <cellStyle name="_億春2009年度接單計劃總表 6-3_成品倉2009-10-13-ktp" xfId="838"/>
    <cellStyle name="_億春2009年度接單計劃總表 6-3_成品倉2009-10-13-ktp_1" xfId="839"/>
    <cellStyle name="_億春2009年度接單計劃總表 6-3_成品倉2009-10-13-ktp_2009-10-16綜合報表" xfId="840"/>
    <cellStyle name="_億春2009年度接單計劃總表 6-3_成品倉2009-10-13-ktp_2009-11-04綜合報表" xfId="841"/>
    <cellStyle name="_億春2009年度接單計劃總表 6-3_成品倉2009-10-13-ktp_2009-11-30綜合報表" xfId="842"/>
    <cellStyle name="_億春2009年度接單計劃總表 6-3_成品倉2009-10-13-ktp_2009-11-7(1)" xfId="843"/>
    <cellStyle name="_億春2009年度接單計劃總表 6-3_成品倉2009-10-13-ktp_2009-20-11(1)" xfId="844"/>
    <cellStyle name="_億春2009年度接單計劃總表 6-3_成品倉2009-10-13-ktp_企劃生管-阿綠的報表10-22" xfId="845"/>
    <cellStyle name="_億春2009年度接單計劃總表 6-3_成品倉2009-10-13-ktp_企劃生管-阿綠的報表11-04 (2)" xfId="846"/>
    <cellStyle name="_億春2009年度接單計劃總表 6-3_成品倉2009-10-13-ktp_企劃生管-阿綠的報表11-05" xfId="847"/>
    <cellStyle name="_億春2009年度接單計劃總表 6-3_成品倉2009-10-13-ktp_企劃生管-阿綠的報表11-06" xfId="848"/>
    <cellStyle name="_億春2009年度接單計劃總表 6-3_成品倉2009-10-13-ktp_企劃生管-阿綠的報表11-09" xfId="849"/>
    <cellStyle name="_億春2009年度接單計劃總表 6-3_成品倉2009-10-13-ktp_企劃生管-阿綠的報表11-10" xfId="850"/>
    <cellStyle name="_億春2009年度接單計劃總表 6-3_成品倉2009-10-13-ktp_企劃生管-阿綠的報表11-11" xfId="851"/>
    <cellStyle name="_億春2009年度接單計劃總表 6-3_成品倉2009-10-13-ktp_企劃生管-阿綠的報表11-14" xfId="852"/>
    <cellStyle name="_億春2009年度接單計劃總表 6-3_成品倉2009-10-13-ktp_企劃生管-阿綠的報表12-01" xfId="853"/>
    <cellStyle name="_億春2009年度接單計劃總表 6-3_成品倉2009-10-13-ktp_複製 -2009-11-10綜合報表" xfId="854"/>
    <cellStyle name="_億春2009年度接單計劃總表 6-3_成品倉2009-10-17ktp" xfId="855"/>
    <cellStyle name="_億春2009年度接單計劃總表 6-3_成品倉2009-120tp" xfId="856"/>
    <cellStyle name="_億春2009年度接單計劃總表 6-3_綜合報表2009-08-01" xfId="857"/>
    <cellStyle name="_億春2009年度接單計劃總表 6-3_綜合報表2009-08-01_2009-10-06綜合報表" xfId="858"/>
    <cellStyle name="_億春2009年度接單計劃總表 6-3_複製 -09- 綜合報表" xfId="859"/>
    <cellStyle name="_億春2009年度接單計劃總表 6-3_複製 -09- 綜合報表_2009-10-06綜合報表" xfId="860"/>
    <cellStyle name="_億春公司各品牌業務接單及生產分析表5-16" xfId="861"/>
    <cellStyle name="_億春公司各品牌業務接單及生產分析表5-16_2009-10-06綜合報表" xfId="862"/>
    <cellStyle name="_億春公司各品牌業務接單及生產分析表5-16_2009-10-13" xfId="863"/>
    <cellStyle name="_億春公司各品牌業務接單及生產分析表5-16_2009-10-17" xfId="864"/>
    <cellStyle name="_億春公司各品牌業務接單及生產分析表5-16_2009-10-17_anh loc" xfId="865"/>
    <cellStyle name="_億春公司各品牌業務接單及生產分析表5-16_2009-10-17_anh loc_綜合報表一2014-11-1" xfId="866"/>
    <cellStyle name="_億春公司各品牌業務接單及生產分析表5-16_2009-10-17_Thanh Lan 1 OK" xfId="867"/>
    <cellStyle name="_億春公司各品牌業務接單及生產分析表5-16_2009-10-17_Thanh Lan 1 OK_anh loc" xfId="868"/>
    <cellStyle name="_億春公司各品牌業務接單及生產分析表5-16_2009-10-17_Thanh Lan 1 OK_anh loc_綜合報表一2014-11-1" xfId="869"/>
    <cellStyle name="_億春公司各品牌業務接單及生產分析表5-16_2009-10-17_加工厂報表" xfId="870"/>
    <cellStyle name="_億春公司各品牌業務接單及生產分析表5-16_2009-10-17_加工厂報表_anh loc" xfId="871"/>
    <cellStyle name="_億春公司各品牌業務接單及生產分析表5-16_2009-10-17_加工厂報表_anh loc_綜合報表一2014-11-1" xfId="872"/>
    <cellStyle name="_億春公司各品牌業務接單及生產分析表5-16_2009-10-8" xfId="873"/>
    <cellStyle name="_億春公司各品牌業務接單及生產分析表5-16_2009-10-8_2009-10-12綜合報表" xfId="874"/>
    <cellStyle name="_億春公司各品牌業務接單及生產分析表5-16_2009-10-8_2009-10-12綜合報表_anh loc" xfId="875"/>
    <cellStyle name="_億春公司各品牌業務接單及生產分析表5-16_2009-10-8_2009-10-12綜合報表_anh loc_綜合報表一2014-11-1" xfId="876"/>
    <cellStyle name="_億春公司各品牌業務接單及生產分析表5-16_2009-10-8_2009-10-12綜合報表_Thanh Lan 1 OK" xfId="877"/>
    <cellStyle name="_億春公司各品牌業務接單及生產分析表5-16_2009-10-8_2009-10-12綜合報表_Thanh Lan 1 OK_anh loc" xfId="878"/>
    <cellStyle name="_億春公司各品牌業務接單及生產分析表5-16_2009-10-8_2009-10-12綜合報表_Thanh Lan 1 OK_anh loc_綜合報表一2014-11-1" xfId="879"/>
    <cellStyle name="_億春公司各品牌業務接單及生產分析表5-16_2009-10-8_2009-10-12綜合報表_加工厂報表" xfId="880"/>
    <cellStyle name="_億春公司各品牌業務接單及生產分析表5-16_2009-10-8_2009-10-12綜合報表_加工厂報表_anh loc" xfId="881"/>
    <cellStyle name="_億春公司各品牌業務接單及生產分析表5-16_2009-10-8_2009-10-12綜合報表_加工厂報表_anh loc_綜合報表一2014-11-1" xfId="882"/>
    <cellStyle name="_億春公司各品牌業務接單及生產分析表5-16_2009-10-8_T Lan" xfId="883"/>
    <cellStyle name="_億春公司各品牌業務接單及生產分析表5-16_2009-10-8_T Lan (1)" xfId="884"/>
    <cellStyle name="_億春公司各品牌業務接單及生產分析表5-16_2009-10-8_T Lan (1)_anh loc" xfId="885"/>
    <cellStyle name="_億春公司各品牌業務接單及生產分析表5-16_2009-10-8_T Lan (1)_anh loc_綜合報表一2014-11-1" xfId="886"/>
    <cellStyle name="_億春公司各品牌業務接單及生產分析表5-16_2009-10-8_T Lan (1)_Thanh Lan 1 OK" xfId="887"/>
    <cellStyle name="_億春公司各品牌業務接單及生產分析表5-16_2009-10-8_T Lan (1)_Thanh Lan 1 OK_anh loc" xfId="888"/>
    <cellStyle name="_億春公司各品牌業務接單及生產分析表5-16_2009-10-8_T Lan (1)_Thanh Lan 1 OK_anh loc_綜合報表一2014-11-1" xfId="889"/>
    <cellStyle name="_億春公司各品牌業務接單及生產分析表5-16_2009-10-8_T Lan (1)_加工厂報表" xfId="890"/>
    <cellStyle name="_億春公司各品牌業務接單及生產分析表5-16_2009-10-8_T Lan (1)_加工厂報表_anh loc" xfId="891"/>
    <cellStyle name="_億春公司各品牌業務接單及生產分析表5-16_2009-10-8_T Lan (1)_加工厂報表_anh loc_綜合報表一2014-11-1" xfId="892"/>
    <cellStyle name="_億春公司各品牌業務接單及生產分析表5-16_2009-10-8_T Lan_anh loc" xfId="893"/>
    <cellStyle name="_億春公司各品牌業務接單及生產分析表5-16_2009-10-8_T Lan_anh loc_綜合報表一2014-11-1" xfId="894"/>
    <cellStyle name="_億春公司各品牌業務接單及生產分析表5-16_2009-10-8_T Lan_Thanh Lan 1 OK" xfId="895"/>
    <cellStyle name="_億春公司各品牌業務接單及生產分析表5-16_2009-10-8_T Lan_Thanh Lan 1 OK_anh loc" xfId="896"/>
    <cellStyle name="_億春公司各品牌業務接單及生產分析表5-16_2009-10-8_T Lan_Thanh Lan 1 OK_anh loc_綜合報表一2014-11-1" xfId="897"/>
    <cellStyle name="_億春公司各品牌業務接單及生產分析表5-16_2009-10-8_T Lan_加工厂報表" xfId="898"/>
    <cellStyle name="_億春公司各品牌業務接單及生產分析表5-16_2009-10-8_T Lan_加工厂報表_anh loc" xfId="899"/>
    <cellStyle name="_億春公司各品牌業務接單及生產分析表5-16_2009-10-8_T Lan_加工厂報表_anh loc_綜合報表一2014-11-1" xfId="900"/>
    <cellStyle name="_億春公司各品牌業務接單及生產分析表5-16_2009-10-8_thanh lan (2)" xfId="901"/>
    <cellStyle name="_億春公司各品牌業務接單及生產分析表5-16_2009-10-8_thanh lan (2)_anh loc" xfId="902"/>
    <cellStyle name="_億春公司各品牌業務接單及生產分析表5-16_2009-10-8_thanh lan (2)_anh loc_綜合報表一2014-11-1" xfId="903"/>
    <cellStyle name="_億春公司各品牌業務接單及生產分析表5-16_2009-10-8_thanh lan (2)_Thanh Lan 1 OK" xfId="904"/>
    <cellStyle name="_億春公司各品牌業務接單及生產分析表5-16_2009-10-8_thanh lan (2)_Thanh Lan 1 OK_anh loc" xfId="905"/>
    <cellStyle name="_億春公司各品牌業務接單及生產分析表5-16_2009-10-8_thanh lan (2)_Thanh Lan 1 OK_anh loc_綜合報表一2014-11-1" xfId="906"/>
    <cellStyle name="_億春公司各品牌業務接單及生產分析表5-16_2009-10-8_thanh lan (2)_加工厂報表" xfId="907"/>
    <cellStyle name="_億春公司各品牌業務接單及生產分析表5-16_2009-10-8_thanh lan (2)_加工厂報表_anh loc" xfId="908"/>
    <cellStyle name="_億春公司各品牌業務接單及生產分析表5-16_2009-10-8_thanh lan (2)_加工厂報表_anh loc_綜合報表一2014-11-1" xfId="909"/>
    <cellStyle name="_億春公司各品牌業務接單及生產分析表5-16_2009-10均時產" xfId="910"/>
    <cellStyle name="_億春公司各品牌業務接單及生產分析表5-16_2009-10均時產_2009-10-12綜合報表" xfId="911"/>
    <cellStyle name="_億春公司各品牌業務接單及生產分析表5-16_2009-10均時產_2009-10-12綜合報表_anh loc" xfId="912"/>
    <cellStyle name="_億春公司各品牌業務接單及生產分析表5-16_2009-10均時產_2009-10-12綜合報表_anh loc_綜合報表一2014-11-1" xfId="913"/>
    <cellStyle name="_億春公司各品牌業務接單及生產分析表5-16_2009-10均時產_2009-10-12綜合報表_Thanh Lan 1 OK" xfId="914"/>
    <cellStyle name="_億春公司各品牌業務接單及生產分析表5-16_2009-10均時產_2009-10-12綜合報表_Thanh Lan 1 OK_anh loc" xfId="915"/>
    <cellStyle name="_億春公司各品牌業務接單及生產分析表5-16_2009-10均時產_2009-10-12綜合報表_Thanh Lan 1 OK_anh loc_綜合報表一2014-11-1" xfId="916"/>
    <cellStyle name="_億春公司各品牌業務接單及生產分析表5-16_2009-10均時產_2009-10-12綜合報表_加工厂報表" xfId="917"/>
    <cellStyle name="_億春公司各品牌業務接單及生產分析表5-16_2009-10均時產_2009-10-12綜合報表_加工厂報表_anh loc" xfId="918"/>
    <cellStyle name="_億春公司各品牌業務接單及生產分析表5-16_2009-10均時產_2009-10-12綜合報表_加工厂報表_anh loc_綜合報表一2014-11-1" xfId="919"/>
    <cellStyle name="_億春公司各品牌業務接單及生產分析表5-16_2009-10均時產_9876543 (ExcelFIX)" xfId="920"/>
    <cellStyle name="_億春公司各品牌業務接單及生產分析表5-16_2009-10均時產_9876543 (ExcelFIX)_2009-10-12綜合報表" xfId="921"/>
    <cellStyle name="_億春公司各品牌業務接單及生產分析表5-16_2009-10均時產_9876543 (ExcelFIX)_T Lan" xfId="922"/>
    <cellStyle name="_億春公司各品牌業務接單及生產分析表5-16_2009-10均時產_9876543 (ExcelFIX)_T Lan (1)" xfId="923"/>
    <cellStyle name="_億春公司各品牌業務接單及生產分析表5-16_2009-10均時產_9876543 (ExcelFIX)_thanh lan (2)" xfId="924"/>
    <cellStyle name="_億春公司各品牌業務接單及生產分析表5-16_2009-10均時產_T Lan" xfId="925"/>
    <cellStyle name="_億春公司各品牌業務接單及生產分析表5-16_2009-10均時產_T Lan (1)" xfId="926"/>
    <cellStyle name="_億春公司各品牌業務接單及生產分析表5-16_2009-10均時產_T Lan (1)_anh loc" xfId="927"/>
    <cellStyle name="_億春公司各品牌業務接單及生產分析表5-16_2009-10均時產_T Lan (1)_anh loc_綜合報表一2014-11-1" xfId="928"/>
    <cellStyle name="_億春公司各品牌業務接單及生產分析表5-16_2009-10均時產_T Lan (1)_Thanh Lan 1 OK" xfId="929"/>
    <cellStyle name="_億春公司各品牌業務接單及生產分析表5-16_2009-10均時產_T Lan (1)_Thanh Lan 1 OK_anh loc" xfId="930"/>
    <cellStyle name="_億春公司各品牌業務接單及生產分析表5-16_2009-10均時產_T Lan (1)_Thanh Lan 1 OK_anh loc_綜合報表一2014-11-1" xfId="931"/>
    <cellStyle name="_億春公司各品牌業務接單及生產分析表5-16_2009-10均時產_T Lan (1)_加工厂報表" xfId="932"/>
    <cellStyle name="_億春公司各品牌業務接單及生產分析表5-16_2009-10均時產_T Lan (1)_加工厂報表_anh loc" xfId="933"/>
    <cellStyle name="_億春公司各品牌業務接單及生產分析表5-16_2009-10均時產_T Lan (1)_加工厂報表_anh loc_綜合報表一2014-11-1" xfId="934"/>
    <cellStyle name="_億春公司各品牌業務接單及生產分析表5-16_2009-10均時產_T Lan_anh loc" xfId="935"/>
    <cellStyle name="_億春公司各品牌業務接單及生產分析表5-16_2009-10均時產_T Lan_anh loc_綜合報表一2014-11-1" xfId="936"/>
    <cellStyle name="_億春公司各品牌業務接單及生產分析表5-16_2009-10均時產_T Lan_Thanh Lan 1 OK" xfId="937"/>
    <cellStyle name="_億春公司各品牌業務接單及生產分析表5-16_2009-10均時產_T Lan_Thanh Lan 1 OK_anh loc" xfId="938"/>
    <cellStyle name="_億春公司各品牌業務接單及生產分析表5-16_2009-10均時產_T Lan_Thanh Lan 1 OK_anh loc_綜合報表一2014-11-1" xfId="939"/>
    <cellStyle name="_億春公司各品牌業務接單及生產分析表5-16_2009-10均時產_T Lan_加工厂報表" xfId="940"/>
    <cellStyle name="_億春公司各品牌業務接單及生產分析表5-16_2009-10均時產_T Lan_加工厂報表_anh loc" xfId="941"/>
    <cellStyle name="_億春公司各品牌業務接單及生產分析表5-16_2009-10均時產_T Lan_加工厂報表_anh loc_綜合報表一2014-11-1" xfId="942"/>
    <cellStyle name="_億春公司各品牌業務接單及生產分析表5-16_2009-10均時產_thanh lan (2)" xfId="943"/>
    <cellStyle name="_億春公司各品牌業務接單及生產分析表5-16_2009-10均時產_thanh lan (2)_anh loc" xfId="944"/>
    <cellStyle name="_億春公司各品牌業務接單及生產分析表5-16_2009-10均時產_thanh lan (2)_anh loc_綜合報表一2014-11-1" xfId="945"/>
    <cellStyle name="_億春公司各品牌業務接單及生產分析表5-16_2009-10均時產_thanh lan (2)_Thanh Lan 1 OK" xfId="946"/>
    <cellStyle name="_億春公司各品牌業務接單及生產分析表5-16_2009-10均時產_thanh lan (2)_Thanh Lan 1 OK_anh loc" xfId="947"/>
    <cellStyle name="_億春公司各品牌業務接單及生產分析表5-16_2009-10均時產_thanh lan (2)_Thanh Lan 1 OK_anh loc_綜合報表一2014-11-1" xfId="948"/>
    <cellStyle name="_億春公司各品牌業務接單及生產分析表5-16_2009-10均時產_thanh lan (2)_加工厂報表" xfId="949"/>
    <cellStyle name="_億春公司各品牌業務接單及生產分析表5-16_2009-10均時產_thanh lan (2)_加工厂報表_anh loc" xfId="950"/>
    <cellStyle name="_億春公司各品牌業務接單及生產分析表5-16_2009-10均時產_thanh lan (2)_加工厂報表_anh loc_綜合報表一2014-11-1" xfId="951"/>
    <cellStyle name="_億春公司各品牌業務接單及生產分析表5-16_2009-12-8" xfId="952"/>
    <cellStyle name="_億春公司各品牌業務接單及生產分析表5-16_2009-12-8_anh loc" xfId="953"/>
    <cellStyle name="_億春公司各品牌業務接單及生產分析表5-16_2009-12-8_anh loc_綜合報表一2014-11-1" xfId="954"/>
    <cellStyle name="_億春公司各品牌業務接單及生產分析表5-16_2009-12-8_Thanh Lan 1 OK" xfId="955"/>
    <cellStyle name="_億春公司各品牌業務接單及生產分析表5-16_2009-12-8_Thanh Lan 1 OK_anh loc" xfId="956"/>
    <cellStyle name="_億春公司各品牌業務接單及生產分析表5-16_2009-12-8_Thanh Lan 1 OK_anh loc_綜合報表一2014-11-1" xfId="957"/>
    <cellStyle name="_億春公司各品牌業務接單及生產分析表5-16_2009-12-8_加工厂報表" xfId="958"/>
    <cellStyle name="_億春公司各品牌業務接單及生產分析表5-16_2009-12-8_加工厂報表_anh loc" xfId="959"/>
    <cellStyle name="_億春公司各品牌業務接單及生產分析表5-16_2009-12-8_加工厂報表_anh loc_綜合報表一2014-11-1" xfId="960"/>
    <cellStyle name="_億春公司各品牌業務接單及生產分析表5-16_2010-1-23" xfId="961"/>
    <cellStyle name="_億春公司各品牌業務接單及生產分析表5-16_2010-1-23_anh loc" xfId="962"/>
    <cellStyle name="_億春公司各品牌業務接單及生產分析表5-16_2010-1-23_anh loc_綜合報表一2014-11-1" xfId="963"/>
    <cellStyle name="_億春公司各品牌業務接單及生產分析表5-16_6-1.月份KPI評比" xfId="964"/>
    <cellStyle name="_億春公司各品牌業務接單及生產分析表5-16_成品倉2009-10-13-ktp" xfId="965"/>
    <cellStyle name="_億春公司各品牌業務接單及生產分析表5-16_成品倉2009-10-13-ktp_1" xfId="966"/>
    <cellStyle name="_億春公司各品牌業務接單及生產分析表5-16_成品倉2009-10-13-ktp_1_anh loc" xfId="967"/>
    <cellStyle name="_億春公司各品牌業務接單及生產分析表5-16_成品倉2009-10-13-ktp_1_anh loc_綜合報表一2014-11-1" xfId="968"/>
    <cellStyle name="_億春公司各品牌業務接單及生產分析表5-16_成品倉2009-10-13-ktp_1_Thanh Lan 1 OK" xfId="969"/>
    <cellStyle name="_億春公司各品牌業務接單及生產分析表5-16_成品倉2009-10-13-ktp_1_Thanh Lan 1 OK_anh loc" xfId="970"/>
    <cellStyle name="_億春公司各品牌業務接單及生產分析表5-16_成品倉2009-10-13-ktp_1_Thanh Lan 1 OK_anh loc_綜合報表一2014-11-1" xfId="971"/>
    <cellStyle name="_億春公司各品牌業務接單及生產分析表5-16_成品倉2009-10-13-ktp_1_加工厂報表" xfId="972"/>
    <cellStyle name="_億春公司各品牌業務接單及生產分析表5-16_成品倉2009-10-13-ktp_1_加工厂報表_anh loc" xfId="973"/>
    <cellStyle name="_億春公司各品牌業務接單及生產分析表5-16_成品倉2009-10-13-ktp_1_加工厂報表_anh loc_綜合報表一2014-11-1" xfId="974"/>
    <cellStyle name="_億春公司各品牌業務接單及生產分析表5-16_成品倉2009-10-17ktp" xfId="975"/>
    <cellStyle name="_億春公司各品牌業務接單及生產分析表5-16_成品倉2009-10-17ktp_anh loc" xfId="976"/>
    <cellStyle name="_億春公司各品牌業務接單及生產分析表5-16_成品倉2009-10-17ktp_anh loc_綜合報表一2014-11-1" xfId="977"/>
    <cellStyle name="_億春公司各品牌業務接單及生產分析表5-16_成品倉2009-10-17ktp_Thanh Lan 1 OK" xfId="978"/>
    <cellStyle name="_億春公司各品牌業務接單及生產分析表5-16_成品倉2009-10-17ktp_Thanh Lan 1 OK_anh loc" xfId="979"/>
    <cellStyle name="_億春公司各品牌業務接單及生產分析表5-16_成品倉2009-10-17ktp_Thanh Lan 1 OK_anh loc_綜合報表一2014-11-1" xfId="980"/>
    <cellStyle name="_億春公司各品牌業務接單及生產分析表5-16_成品倉2009-10-17ktp_加工厂報表" xfId="981"/>
    <cellStyle name="_億春公司各品牌業務接單及生產分析表5-16_成品倉2009-10-17ktp_加工厂報表_anh loc" xfId="982"/>
    <cellStyle name="_億春公司各品牌業務接單及生產分析表5-16_成品倉2009-10-17ktp_加工厂報表_anh loc_綜合報表一2014-11-1" xfId="983"/>
    <cellStyle name="_億春公司各品牌業務接單及生產分析表5-16_成品倉2009-120tp" xfId="984"/>
    <cellStyle name="_億春公司各品牌業務接單及生產分析表5-16_成品倉2009-120tp_anh loc" xfId="985"/>
    <cellStyle name="_億春公司各品牌業務接單及生產分析表5-16_成品倉2009-120tp_anh loc_綜合報表一2014-11-1" xfId="986"/>
    <cellStyle name="_億春公司各品牌業務接單及生產分析表5-16_成品倉2009-120tp_Thanh Lan 1 OK" xfId="987"/>
    <cellStyle name="_億春公司各品牌業務接單及生產分析表5-16_成品倉2009-120tp_Thanh Lan 1 OK_anh loc" xfId="988"/>
    <cellStyle name="_億春公司各品牌業務接單及生產分析表5-16_成品倉2009-120tp_Thanh Lan 1 OK_anh loc_綜合報表一2014-11-1" xfId="989"/>
    <cellStyle name="_億春公司各品牌業務接單及生產分析表5-16_綜合報表2009-08-01" xfId="990"/>
    <cellStyle name="_億春公司各品牌業務接單及生產分析表5-16_綜合報表2009-08-01_2009-10-06綜合報表" xfId="991"/>
    <cellStyle name="_億春公司各品牌業務接單及生產分析表5-16_複製 -09- 綜合報表" xfId="992"/>
    <cellStyle name="_億春公司各品牌業務接單及生產分析表5-16_複製 -11月份各廠KPI評比狀況" xfId="993"/>
    <cellStyle name="_億春公司各品牌業務接單及生產分析表6-10 (2)" xfId="994"/>
    <cellStyle name="_億春公司各品牌業務接單及生產分析表6-10 (2)_2009-10-06綜合報表" xfId="995"/>
    <cellStyle name="_億春公司各品牌業務接單及生產分析表6-10 (2)_2009-10-13" xfId="996"/>
    <cellStyle name="_億春公司各品牌業務接單及生產分析表6-10 (2)_2009-10-17" xfId="997"/>
    <cellStyle name="_億春公司各品牌業務接單及生產分析表6-10 (2)_2009-10-17_anh loc" xfId="998"/>
    <cellStyle name="_億春公司各品牌業務接單及生產分析表6-10 (2)_2009-10-17_anh loc_綜合報表一2014-11-1" xfId="999"/>
    <cellStyle name="_億春公司各品牌業務接單及生產分析表6-10 (2)_2009-10-17_Thanh Lan 1 OK" xfId="1000"/>
    <cellStyle name="_億春公司各品牌業務接單及生產分析表6-10 (2)_2009-10-17_Thanh Lan 1 OK_anh loc" xfId="1001"/>
    <cellStyle name="_億春公司各品牌業務接單及生產分析表6-10 (2)_2009-10-17_Thanh Lan 1 OK_anh loc_綜合報表一2014-11-1" xfId="1002"/>
    <cellStyle name="_億春公司各品牌業務接單及生產分析表6-10 (2)_2009-10-17_加工厂報表" xfId="1003"/>
    <cellStyle name="_億春公司各品牌業務接單及生產分析表6-10 (2)_2009-10-17_加工厂報表_anh loc" xfId="1004"/>
    <cellStyle name="_億春公司各品牌業務接單及生產分析表6-10 (2)_2009-10-17_加工厂報表_anh loc_綜合報表一2014-11-1" xfId="1005"/>
    <cellStyle name="_億春公司各品牌業務接單及生產分析表6-10 (2)_2009-10-8" xfId="1006"/>
    <cellStyle name="_億春公司各品牌業務接單及生產分析表6-10 (2)_2009-10-8_2009-10-12綜合報表" xfId="1007"/>
    <cellStyle name="_億春公司各品牌業務接單及生產分析表6-10 (2)_2009-10-8_2009-10-12綜合報表_anh loc" xfId="1008"/>
    <cellStyle name="_億春公司各品牌業務接單及生產分析表6-10 (2)_2009-10-8_2009-10-12綜合報表_anh loc_綜合報表一2014-11-1" xfId="1009"/>
    <cellStyle name="_億春公司各品牌業務接單及生產分析表6-10 (2)_2009-10-8_2009-10-12綜合報表_Thanh Lan 1 OK" xfId="1010"/>
    <cellStyle name="_億春公司各品牌業務接單及生產分析表6-10 (2)_2009-10-8_2009-10-12綜合報表_Thanh Lan 1 OK_anh loc" xfId="1011"/>
    <cellStyle name="_億春公司各品牌業務接單及生產分析表6-10 (2)_2009-10-8_2009-10-12綜合報表_Thanh Lan 1 OK_anh loc_綜合報表一2014-11-1" xfId="1012"/>
    <cellStyle name="_億春公司各品牌業務接單及生產分析表6-10 (2)_2009-10-8_2009-10-12綜合報表_加工厂報表" xfId="1013"/>
    <cellStyle name="_億春公司各品牌業務接單及生產分析表6-10 (2)_2009-10-8_2009-10-12綜合報表_加工厂報表_anh loc" xfId="1014"/>
    <cellStyle name="_億春公司各品牌業務接單及生產分析表6-10 (2)_2009-10-8_2009-10-12綜合報表_加工厂報表_anh loc_綜合報表一2014-11-1" xfId="1015"/>
    <cellStyle name="_億春公司各品牌業務接單及生產分析表6-10 (2)_2009-10-8_T Lan" xfId="1016"/>
    <cellStyle name="_億春公司各品牌業務接單及生產分析表6-10 (2)_2009-10-8_T Lan (1)" xfId="1017"/>
    <cellStyle name="_億春公司各品牌業務接單及生產分析表6-10 (2)_2009-10-8_T Lan (1)_anh loc" xfId="1018"/>
    <cellStyle name="_億春公司各品牌業務接單及生產分析表6-10 (2)_2009-10-8_T Lan (1)_anh loc_綜合報表一2014-11-1" xfId="1019"/>
    <cellStyle name="_億春公司各品牌業務接單及生產分析表6-10 (2)_2009-10-8_T Lan (1)_Thanh Lan 1 OK" xfId="1020"/>
    <cellStyle name="_億春公司各品牌業務接單及生產分析表6-10 (2)_2009-10-8_T Lan (1)_Thanh Lan 1 OK_anh loc" xfId="1021"/>
    <cellStyle name="_億春公司各品牌業務接單及生產分析表6-10 (2)_2009-10-8_T Lan (1)_Thanh Lan 1 OK_anh loc_綜合報表一2014-11-1" xfId="1022"/>
    <cellStyle name="_億春公司各品牌業務接單及生產分析表6-10 (2)_2009-10-8_T Lan (1)_加工厂報表" xfId="1023"/>
    <cellStyle name="_億春公司各品牌業務接單及生產分析表6-10 (2)_2009-10-8_T Lan (1)_加工厂報表_anh loc" xfId="1024"/>
    <cellStyle name="_億春公司各品牌業務接單及生產分析表6-10 (2)_2009-10-8_T Lan (1)_加工厂報表_anh loc_綜合報表一2014-11-1" xfId="1025"/>
    <cellStyle name="_億春公司各品牌業務接單及生產分析表6-10 (2)_2009-10-8_T Lan_anh loc" xfId="1026"/>
    <cellStyle name="_億春公司各品牌業務接單及生產分析表6-10 (2)_2009-10-8_T Lan_anh loc_綜合報表一2014-11-1" xfId="1027"/>
    <cellStyle name="_億春公司各品牌業務接單及生產分析表6-10 (2)_2009-10-8_T Lan_Thanh Lan 1 OK" xfId="1028"/>
    <cellStyle name="_億春公司各品牌業務接單及生產分析表6-10 (2)_2009-10-8_T Lan_Thanh Lan 1 OK_anh loc" xfId="1029"/>
    <cellStyle name="_億春公司各品牌業務接單及生產分析表6-10 (2)_2009-10-8_T Lan_Thanh Lan 1 OK_anh loc_綜合報表一2014-11-1" xfId="1030"/>
    <cellStyle name="_億春公司各品牌業務接單及生產分析表6-10 (2)_2009-10-8_T Lan_加工厂報表" xfId="1031"/>
    <cellStyle name="_億春公司各品牌業務接單及生產分析表6-10 (2)_2009-10-8_T Lan_加工厂報表_anh loc" xfId="1032"/>
    <cellStyle name="_億春公司各品牌業務接單及生產分析表6-10 (2)_2009-10-8_T Lan_加工厂報表_anh loc_綜合報表一2014-11-1" xfId="1033"/>
    <cellStyle name="_億春公司各品牌業務接單及生產分析表6-10 (2)_2009-10-8_thanh lan (2)" xfId="1034"/>
    <cellStyle name="_億春公司各品牌業務接單及生產分析表6-10 (2)_2009-10-8_thanh lan (2)_anh loc" xfId="1035"/>
    <cellStyle name="_億春公司各品牌業務接單及生產分析表6-10 (2)_2009-10-8_thanh lan (2)_anh loc_綜合報表一2014-11-1" xfId="1036"/>
    <cellStyle name="_億春公司各品牌業務接單及生產分析表6-10 (2)_2009-10-8_thanh lan (2)_Thanh Lan 1 OK" xfId="1037"/>
    <cellStyle name="_億春公司各品牌業務接單及生產分析表6-10 (2)_2009-10-8_thanh lan (2)_Thanh Lan 1 OK_anh loc" xfId="1038"/>
    <cellStyle name="_億春公司各品牌業務接單及生產分析表6-10 (2)_2009-10-8_thanh lan (2)_Thanh Lan 1 OK_anh loc_綜合報表一2014-11-1" xfId="1039"/>
    <cellStyle name="_億春公司各品牌業務接單及生產分析表6-10 (2)_2009-10-8_thanh lan (2)_加工厂報表" xfId="1040"/>
    <cellStyle name="_億春公司各品牌業務接單及生產分析表6-10 (2)_2009-10-8_thanh lan (2)_加工厂報表_anh loc" xfId="1041"/>
    <cellStyle name="_億春公司各品牌業務接單及生產分析表6-10 (2)_2009-10-8_thanh lan (2)_加工厂報表_anh loc_綜合報表一2014-11-1" xfId="1042"/>
    <cellStyle name="_億春公司各品牌業務接單及生產分析表6-10 (2)_2009-12-8" xfId="1043"/>
    <cellStyle name="_億春公司各品牌業務接單及生產分析表6-10 (2)_2009-12-8_anh loc" xfId="1044"/>
    <cellStyle name="_億春公司各品牌業務接單及生產分析表6-10 (2)_2009-12-8_anh loc_綜合報表一2014-11-1" xfId="1045"/>
    <cellStyle name="_億春公司各品牌業務接單及生產分析表6-10 (2)_2009-12-8_Thanh Lan 1 OK" xfId="1046"/>
    <cellStyle name="_億春公司各品牌業務接單及生產分析表6-10 (2)_2009-12-8_Thanh Lan 1 OK_anh loc" xfId="1047"/>
    <cellStyle name="_億春公司各品牌業務接單及生產分析表6-10 (2)_2009-12-8_Thanh Lan 1 OK_anh loc_綜合報表一2014-11-1" xfId="1048"/>
    <cellStyle name="_億春公司各品牌業務接單及生產分析表6-10 (2)_2009-12-8_加工厂報表" xfId="1049"/>
    <cellStyle name="_億春公司各品牌業務接單及生產分析表6-10 (2)_2009-12-8_加工厂報表_anh loc" xfId="1050"/>
    <cellStyle name="_億春公司各品牌業務接單及生產分析表6-10 (2)_2009-12-8_加工厂報表_anh loc_綜合報表一2014-11-1" xfId="1051"/>
    <cellStyle name="_億春公司各品牌業務接單及生產分析表6-10 (2)_2010-1-23" xfId="1052"/>
    <cellStyle name="_億春公司各品牌業務接單及生產分析表6-10 (2)_2010-1-23_anh loc" xfId="1053"/>
    <cellStyle name="_億春公司各品牌業務接單及生產分析表6-10 (2)_2010-1-23_anh loc_綜合報表一2014-11-1" xfId="1054"/>
    <cellStyle name="_億春公司各品牌業務接單及生產分析表6-10 (2)_6-1.月份KPI評比" xfId="1055"/>
    <cellStyle name="_億春公司各品牌業務接單及生產分析表6-10 (2)_成品倉2009-10-13-ktp" xfId="1056"/>
    <cellStyle name="_億春公司各品牌業務接單及生產分析表6-10 (2)_成品倉2009-10-13-ktp_1" xfId="1057"/>
    <cellStyle name="_億春公司各品牌業務接單及生產分析表6-10 (2)_成品倉2009-10-13-ktp_1_anh loc" xfId="1058"/>
    <cellStyle name="_億春公司各品牌業務接單及生產分析表6-10 (2)_成品倉2009-10-13-ktp_1_anh loc_綜合報表一2014-11-1" xfId="1059"/>
    <cellStyle name="_億春公司各品牌業務接單及生產分析表6-10 (2)_成品倉2009-10-13-ktp_1_Thanh Lan 1 OK" xfId="1060"/>
    <cellStyle name="_億春公司各品牌業務接單及生產分析表6-10 (2)_成品倉2009-10-13-ktp_1_Thanh Lan 1 OK_anh loc" xfId="1061"/>
    <cellStyle name="_億春公司各品牌業務接單及生產分析表6-10 (2)_成品倉2009-10-13-ktp_1_Thanh Lan 1 OK_anh loc_綜合報表一2014-11-1" xfId="1062"/>
    <cellStyle name="_億春公司各品牌業務接單及生產分析表6-10 (2)_成品倉2009-10-13-ktp_1_加工厂報表" xfId="1063"/>
    <cellStyle name="_億春公司各品牌業務接單及生產分析表6-10 (2)_成品倉2009-10-13-ktp_1_加工厂報表_anh loc" xfId="1064"/>
    <cellStyle name="_億春公司各品牌業務接單及生產分析表6-10 (2)_成品倉2009-10-13-ktp_1_加工厂報表_anh loc_綜合報表一2014-11-1" xfId="1065"/>
    <cellStyle name="_億春公司各品牌業務接單及生產分析表6-10 (2)_成品倉2009-10-17ktp" xfId="1066"/>
    <cellStyle name="_億春公司各品牌業務接單及生產分析表6-10 (2)_成品倉2009-10-17ktp_anh loc" xfId="1067"/>
    <cellStyle name="_億春公司各品牌業務接單及生產分析表6-10 (2)_成品倉2009-10-17ktp_anh loc_綜合報表一2014-11-1" xfId="1068"/>
    <cellStyle name="_億春公司各品牌業務接單及生產分析表6-10 (2)_成品倉2009-10-17ktp_Thanh Lan 1 OK" xfId="1069"/>
    <cellStyle name="_億春公司各品牌業務接單及生產分析表6-10 (2)_成品倉2009-10-17ktp_Thanh Lan 1 OK_anh loc" xfId="1070"/>
    <cellStyle name="_億春公司各品牌業務接單及生產分析表6-10 (2)_成品倉2009-10-17ktp_Thanh Lan 1 OK_anh loc_綜合報表一2014-11-1" xfId="1071"/>
    <cellStyle name="_億春公司各品牌業務接單及生產分析表6-10 (2)_成品倉2009-10-17ktp_加工厂報表" xfId="1072"/>
    <cellStyle name="_億春公司各品牌業務接單及生產分析表6-10 (2)_成品倉2009-10-17ktp_加工厂報表_anh loc" xfId="1073"/>
    <cellStyle name="_億春公司各品牌業務接單及生產分析表6-10 (2)_成品倉2009-10-17ktp_加工厂報表_anh loc_綜合報表一2014-11-1" xfId="1074"/>
    <cellStyle name="_億春公司各品牌業務接單及生產分析表6-10 (2)_成品倉2009-120tp" xfId="1075"/>
    <cellStyle name="_億春公司各品牌業務接單及生產分析表6-10 (2)_成品倉2009-120tp_anh loc" xfId="1076"/>
    <cellStyle name="_億春公司各品牌業務接單及生產分析表6-10 (2)_成品倉2009-120tp_anh loc_綜合報表一2014-11-1" xfId="1077"/>
    <cellStyle name="_億春公司各品牌業務接單及生產分析表6-10 (2)_成品倉2009-120tp_Thanh Lan 1 OK" xfId="1078"/>
    <cellStyle name="_億春公司各品牌業務接單及生產分析表6-10 (2)_成品倉2009-120tp_Thanh Lan 1 OK_anh loc" xfId="1079"/>
    <cellStyle name="_億春公司各品牌業務接單及生產分析表6-10 (2)_成品倉2009-120tp_Thanh Lan 1 OK_anh loc_綜合報表一2014-11-1" xfId="1080"/>
    <cellStyle name="_億春公司各品牌業務接單及生產分析表6-10 (2)_綜合報表2009-08-01" xfId="1081"/>
    <cellStyle name="_億春公司各品牌業務接單及生產分析表6-10 (2)_綜合報表2009-08-01_2009-10-06綜合報表" xfId="1082"/>
    <cellStyle name="_億春公司各品牌業務接單及生產分析表6-10 (2)_複製 -09- 綜合報表" xfId="1083"/>
    <cellStyle name="_億春公司各品牌業務接單及生產分析表6-10 (2)_複製 -11月份各廠KPI評比狀況" xfId="1084"/>
    <cellStyle name="_億春公司各品牌業務接單及生產分析表6-15" xfId="1085"/>
    <cellStyle name="_億春公司各品牌業務接單及生產分析表6-15_2009-10-06綜合報表" xfId="1086"/>
    <cellStyle name="_億春公司各品牌業務接單及生產分析表6-15_2009-10-13" xfId="1087"/>
    <cellStyle name="_億春公司各品牌業務接單及生產分析表6-15_2009-10-17" xfId="1088"/>
    <cellStyle name="_億春公司各品牌業務接單及生產分析表6-15_2009-10-17_anh loc" xfId="1089"/>
    <cellStyle name="_億春公司各品牌業務接單及生產分析表6-15_2009-10-17_anh loc_綜合報表一2014-11-1" xfId="1090"/>
    <cellStyle name="_億春公司各品牌業務接單及生產分析表6-15_2009-10-17_Thanh Lan 1 OK" xfId="1091"/>
    <cellStyle name="_億春公司各品牌業務接單及生產分析表6-15_2009-10-17_Thanh Lan 1 OK_anh loc" xfId="1092"/>
    <cellStyle name="_億春公司各品牌業務接單及生產分析表6-15_2009-10-17_Thanh Lan 1 OK_anh loc_綜合報表一2014-11-1" xfId="1093"/>
    <cellStyle name="_億春公司各品牌業務接單及生產分析表6-15_2009-10-17_加工厂報表" xfId="1094"/>
    <cellStyle name="_億春公司各品牌業務接單及生產分析表6-15_2009-10-17_加工厂報表_anh loc" xfId="1095"/>
    <cellStyle name="_億春公司各品牌業務接單及生產分析表6-15_2009-10-17_加工厂報表_anh loc_綜合報表一2014-11-1" xfId="1096"/>
    <cellStyle name="_億春公司各品牌業務接單及生產分析表6-15_2009-10-8" xfId="1097"/>
    <cellStyle name="_億春公司各品牌業務接單及生產分析表6-15_2009-10-8_2009-10-12綜合報表" xfId="1098"/>
    <cellStyle name="_億春公司各品牌業務接單及生產分析表6-15_2009-10-8_2009-10-12綜合報表_anh loc" xfId="1099"/>
    <cellStyle name="_億春公司各品牌業務接單及生產分析表6-15_2009-10-8_2009-10-12綜合報表_anh loc_綜合報表一2014-11-1" xfId="1100"/>
    <cellStyle name="_億春公司各品牌業務接單及生產分析表6-15_2009-10-8_2009-10-12綜合報表_Thanh Lan 1 OK" xfId="1101"/>
    <cellStyle name="_億春公司各品牌業務接單及生產分析表6-15_2009-10-8_2009-10-12綜合報表_Thanh Lan 1 OK_anh loc" xfId="1102"/>
    <cellStyle name="_億春公司各品牌業務接單及生產分析表6-15_2009-10-8_2009-10-12綜合報表_Thanh Lan 1 OK_anh loc_綜合報表一2014-11-1" xfId="1103"/>
    <cellStyle name="_億春公司各品牌業務接單及生產分析表6-15_2009-10-8_2009-10-12綜合報表_加工厂報表" xfId="1104"/>
    <cellStyle name="_億春公司各品牌業務接單及生產分析表6-15_2009-10-8_2009-10-12綜合報表_加工厂報表_anh loc" xfId="1105"/>
    <cellStyle name="_億春公司各品牌業務接單及生產分析表6-15_2009-10-8_2009-10-12綜合報表_加工厂報表_anh loc_綜合報表一2014-11-1" xfId="1106"/>
    <cellStyle name="_億春公司各品牌業務接單及生產分析表6-15_2009-10-8_T Lan" xfId="1107"/>
    <cellStyle name="_億春公司各品牌業務接單及生產分析表6-15_2009-10-8_T Lan (1)" xfId="1108"/>
    <cellStyle name="_億春公司各品牌業務接單及生產分析表6-15_2009-10-8_T Lan (1)_anh loc" xfId="1109"/>
    <cellStyle name="_億春公司各品牌業務接單及生產分析表6-15_2009-10-8_T Lan (1)_anh loc_綜合報表一2014-11-1" xfId="1110"/>
    <cellStyle name="_億春公司各品牌業務接單及生產分析表6-15_2009-10-8_T Lan (1)_Thanh Lan 1 OK" xfId="1111"/>
    <cellStyle name="_億春公司各品牌業務接單及生產分析表6-15_2009-10-8_T Lan (1)_Thanh Lan 1 OK_anh loc" xfId="1112"/>
    <cellStyle name="_億春公司各品牌業務接單及生產分析表6-15_2009-10-8_T Lan (1)_Thanh Lan 1 OK_anh loc_綜合報表一2014-11-1" xfId="1113"/>
    <cellStyle name="_億春公司各品牌業務接單及生產分析表6-15_2009-10-8_T Lan (1)_加工厂報表" xfId="1114"/>
    <cellStyle name="_億春公司各品牌業務接單及生產分析表6-15_2009-10-8_T Lan (1)_加工厂報表_anh loc" xfId="1115"/>
    <cellStyle name="_億春公司各品牌業務接單及生產分析表6-15_2009-10-8_T Lan (1)_加工厂報表_anh loc_綜合報表一2014-11-1" xfId="1116"/>
    <cellStyle name="_億春公司各品牌業務接單及生產分析表6-15_2009-10-8_T Lan_anh loc" xfId="1117"/>
    <cellStyle name="_億春公司各品牌業務接單及生產分析表6-15_2009-10-8_T Lan_anh loc_綜合報表一2014-11-1" xfId="1118"/>
    <cellStyle name="_億春公司各品牌業務接單及生產分析表6-15_2009-10-8_T Lan_Thanh Lan 1 OK" xfId="1119"/>
    <cellStyle name="_億春公司各品牌業務接單及生產分析表6-15_2009-10-8_T Lan_Thanh Lan 1 OK_anh loc" xfId="1120"/>
    <cellStyle name="_億春公司各品牌業務接單及生產分析表6-15_2009-10-8_T Lan_Thanh Lan 1 OK_anh loc_綜合報表一2014-11-1" xfId="1121"/>
    <cellStyle name="_億春公司各品牌業務接單及生產分析表6-15_2009-10-8_T Lan_加工厂報表" xfId="1122"/>
    <cellStyle name="_億春公司各品牌業務接單及生產分析表6-15_2009-10-8_T Lan_加工厂報表_anh loc" xfId="1123"/>
    <cellStyle name="_億春公司各品牌業務接單及生產分析表6-15_2009-10-8_T Lan_加工厂報表_anh loc_綜合報表一2014-11-1" xfId="1124"/>
    <cellStyle name="_億春公司各品牌業務接單及生產分析表6-15_2009-10-8_thanh lan (2)" xfId="1125"/>
    <cellStyle name="_億春公司各品牌業務接單及生產分析表6-15_2009-10-8_thanh lan (2)_anh loc" xfId="1126"/>
    <cellStyle name="_億春公司各品牌業務接單及生產分析表6-15_2009-10-8_thanh lan (2)_anh loc_綜合報表一2014-11-1" xfId="1127"/>
    <cellStyle name="_億春公司各品牌業務接單及生產分析表6-15_2009-10-8_thanh lan (2)_Thanh Lan 1 OK" xfId="1128"/>
    <cellStyle name="_億春公司各品牌業務接單及生產分析表6-15_2009-10-8_thanh lan (2)_Thanh Lan 1 OK_anh loc" xfId="1129"/>
    <cellStyle name="_億春公司各品牌業務接單及生產分析表6-15_2009-10-8_thanh lan (2)_Thanh Lan 1 OK_anh loc_綜合報表一2014-11-1" xfId="1130"/>
    <cellStyle name="_億春公司各品牌業務接單及生產分析表6-15_2009-10-8_thanh lan (2)_加工厂報表" xfId="1131"/>
    <cellStyle name="_億春公司各品牌業務接單及生產分析表6-15_2009-10-8_thanh lan (2)_加工厂報表_anh loc" xfId="1132"/>
    <cellStyle name="_億春公司各品牌業務接單及生產分析表6-15_2009-10-8_thanh lan (2)_加工厂報表_anh loc_綜合報表一2014-11-1" xfId="1133"/>
    <cellStyle name="_億春公司各品牌業務接單及生產分析表6-15_2009-12-8" xfId="1134"/>
    <cellStyle name="_億春公司各品牌業務接單及生產分析表6-15_2009-12-8_anh loc" xfId="1135"/>
    <cellStyle name="_億春公司各品牌業務接單及生產分析表6-15_2009-12-8_anh loc_綜合報表一2014-11-1" xfId="1136"/>
    <cellStyle name="_億春公司各品牌業務接單及生產分析表6-15_2009-12-8_Thanh Lan 1 OK" xfId="1137"/>
    <cellStyle name="_億春公司各品牌業務接單及生產分析表6-15_2009-12-8_Thanh Lan 1 OK_anh loc" xfId="1138"/>
    <cellStyle name="_億春公司各品牌業務接單及生產分析表6-15_2009-12-8_Thanh Lan 1 OK_anh loc_綜合報表一2014-11-1" xfId="1139"/>
    <cellStyle name="_億春公司各品牌業務接單及生產分析表6-15_2009-12-8_加工厂報表" xfId="1140"/>
    <cellStyle name="_億春公司各品牌業務接單及生產分析表6-15_2009-12-8_加工厂報表_anh loc" xfId="1141"/>
    <cellStyle name="_億春公司各品牌業務接單及生產分析表6-15_2009-12-8_加工厂報表_anh loc_綜合報表一2014-11-1" xfId="1142"/>
    <cellStyle name="_億春公司各品牌業務接單及生產分析表6-15_2010-1-23" xfId="1143"/>
    <cellStyle name="_億春公司各品牌業務接單及生產分析表6-15_2010-1-23_anh loc" xfId="1144"/>
    <cellStyle name="_億春公司各品牌業務接單及生產分析表6-15_2010-1-23_anh loc_綜合報表一2014-11-1" xfId="1145"/>
    <cellStyle name="_億春公司各品牌業務接單及生產分析表6-15_6-1.月份KPI評比" xfId="1146"/>
    <cellStyle name="_億春公司各品牌業務接單及生產分析表6-15_成品倉2009-10-13-ktp" xfId="1147"/>
    <cellStyle name="_億春公司各品牌業務接單及生產分析表6-15_成品倉2009-10-13-ktp_1" xfId="1148"/>
    <cellStyle name="_億春公司各品牌業務接單及生產分析表6-15_成品倉2009-10-13-ktp_1_anh loc" xfId="1149"/>
    <cellStyle name="_億春公司各品牌業務接單及生產分析表6-15_成品倉2009-10-13-ktp_1_anh loc_綜合報表一2014-11-1" xfId="1150"/>
    <cellStyle name="_億春公司各品牌業務接單及生產分析表6-15_成品倉2009-10-13-ktp_1_Thanh Lan 1 OK" xfId="1151"/>
    <cellStyle name="_億春公司各品牌業務接單及生產分析表6-15_成品倉2009-10-13-ktp_1_Thanh Lan 1 OK_anh loc" xfId="1152"/>
    <cellStyle name="_億春公司各品牌業務接單及生產分析表6-15_成品倉2009-10-13-ktp_1_Thanh Lan 1 OK_anh loc_綜合報表一2014-11-1" xfId="1153"/>
    <cellStyle name="_億春公司各品牌業務接單及生產分析表6-15_成品倉2009-10-13-ktp_1_加工厂報表" xfId="1154"/>
    <cellStyle name="_億春公司各品牌業務接單及生產分析表6-15_成品倉2009-10-13-ktp_1_加工厂報表_anh loc" xfId="1155"/>
    <cellStyle name="_億春公司各品牌業務接單及生產分析表6-15_成品倉2009-10-13-ktp_1_加工厂報表_anh loc_綜合報表一2014-11-1" xfId="1156"/>
    <cellStyle name="_億春公司各品牌業務接單及生產分析表6-15_成品倉2009-10-17ktp" xfId="1157"/>
    <cellStyle name="_億春公司各品牌業務接單及生產分析表6-15_成品倉2009-10-17ktp_anh loc" xfId="1158"/>
    <cellStyle name="_億春公司各品牌業務接單及生產分析表6-15_成品倉2009-10-17ktp_anh loc_綜合報表一2014-11-1" xfId="1159"/>
    <cellStyle name="_億春公司各品牌業務接單及生產分析表6-15_成品倉2009-10-17ktp_Thanh Lan 1 OK" xfId="1160"/>
    <cellStyle name="_億春公司各品牌業務接單及生產分析表6-15_成品倉2009-10-17ktp_Thanh Lan 1 OK_anh loc" xfId="1161"/>
    <cellStyle name="_億春公司各品牌業務接單及生產分析表6-15_成品倉2009-10-17ktp_Thanh Lan 1 OK_anh loc_綜合報表一2014-11-1" xfId="1162"/>
    <cellStyle name="_億春公司各品牌業務接單及生產分析表6-15_成品倉2009-10-17ktp_加工厂報表" xfId="1163"/>
    <cellStyle name="_億春公司各品牌業務接單及生產分析表6-15_成品倉2009-10-17ktp_加工厂報表_anh loc" xfId="1164"/>
    <cellStyle name="_億春公司各品牌業務接單及生產分析表6-15_成品倉2009-10-17ktp_加工厂報表_anh loc_綜合報表一2014-11-1" xfId="1165"/>
    <cellStyle name="_億春公司各品牌業務接單及生產分析表6-15_成品倉2009-120tp" xfId="1166"/>
    <cellStyle name="_億春公司各品牌業務接單及生產分析表6-15_成品倉2009-120tp_anh loc" xfId="1167"/>
    <cellStyle name="_億春公司各品牌業務接單及生產分析表6-15_成品倉2009-120tp_anh loc_綜合報表一2014-11-1" xfId="1168"/>
    <cellStyle name="_億春公司各品牌業務接單及生產分析表6-15_成品倉2009-120tp_Thanh Lan 1 OK" xfId="1169"/>
    <cellStyle name="_億春公司各品牌業務接單及生產分析表6-15_成品倉2009-120tp_Thanh Lan 1 OK_anh loc" xfId="1170"/>
    <cellStyle name="_億春公司各品牌業務接單及生產分析表6-15_成品倉2009-120tp_Thanh Lan 1 OK_anh loc_綜合報表一2014-11-1" xfId="1171"/>
    <cellStyle name="_億春公司各品牌業務接單及生產分析表6-15_綜合報表2009-08-01" xfId="1172"/>
    <cellStyle name="_億春公司各品牌業務接單及生產分析表6-15_綜合報表2009-08-01_2009-10-06綜合報表" xfId="1173"/>
    <cellStyle name="_億春公司各品牌業務接單及生產分析表6-15_複製 -09- 綜合報表" xfId="1174"/>
    <cellStyle name="_億春公司各品牌業務接單及生產分析表6-15_複製 -11月份各廠KPI評比狀況" xfId="1175"/>
    <cellStyle name="_億春公司各品牌業務接單及生產分析表6-16" xfId="1176"/>
    <cellStyle name="_億春公司各品牌業務接單及生產分析表6-16_2009-10-06綜合報表" xfId="1177"/>
    <cellStyle name="_億春公司各品牌業務接單及生產分析表6-16_2009-10-13" xfId="1178"/>
    <cellStyle name="_億春公司各品牌業務接單及生產分析表6-16_2009-10-17" xfId="1179"/>
    <cellStyle name="_億春公司各品牌業務接單及生產分析表6-16_2009-10-17_anh loc" xfId="1180"/>
    <cellStyle name="_億春公司各品牌業務接單及生產分析表6-16_2009-10-17_anh loc_綜合報表一2014-11-1" xfId="1181"/>
    <cellStyle name="_億春公司各品牌業務接單及生產分析表6-16_2009-10-17_Thanh Lan 1 OK" xfId="1182"/>
    <cellStyle name="_億春公司各品牌業務接單及生產分析表6-16_2009-10-17_Thanh Lan 1 OK_anh loc" xfId="1183"/>
    <cellStyle name="_億春公司各品牌業務接單及生產分析表6-16_2009-10-17_Thanh Lan 1 OK_anh loc_綜合報表一2014-11-1" xfId="1184"/>
    <cellStyle name="_億春公司各品牌業務接單及生產分析表6-16_2009-10-17_加工厂報表" xfId="1185"/>
    <cellStyle name="_億春公司各品牌業務接單及生產分析表6-16_2009-10-17_加工厂報表_anh loc" xfId="1186"/>
    <cellStyle name="_億春公司各品牌業務接單及生產分析表6-16_2009-10-17_加工厂報表_anh loc_綜合報表一2014-11-1" xfId="1187"/>
    <cellStyle name="_億春公司各品牌業務接單及生產分析表6-16_2009-10-8" xfId="1188"/>
    <cellStyle name="_億春公司各品牌業務接單及生產分析表6-16_2009-10-8_2009-10-12綜合報表" xfId="1189"/>
    <cellStyle name="_億春公司各品牌業務接單及生產分析表6-16_2009-10-8_2009-10-12綜合報表_anh loc" xfId="1190"/>
    <cellStyle name="_億春公司各品牌業務接單及生產分析表6-16_2009-10-8_2009-10-12綜合報表_anh loc_綜合報表一2014-11-1" xfId="1191"/>
    <cellStyle name="_億春公司各品牌業務接單及生產分析表6-16_2009-10-8_2009-10-12綜合報表_Thanh Lan 1 OK" xfId="1192"/>
    <cellStyle name="_億春公司各品牌業務接單及生產分析表6-16_2009-10-8_2009-10-12綜合報表_Thanh Lan 1 OK_anh loc" xfId="1193"/>
    <cellStyle name="_億春公司各品牌業務接單及生產分析表6-16_2009-10-8_2009-10-12綜合報表_Thanh Lan 1 OK_anh loc_綜合報表一2014-11-1" xfId="1194"/>
    <cellStyle name="_億春公司各品牌業務接單及生產分析表6-16_2009-10-8_2009-10-12綜合報表_加工厂報表" xfId="1195"/>
    <cellStyle name="_億春公司各品牌業務接單及生產分析表6-16_2009-10-8_2009-10-12綜合報表_加工厂報表_anh loc" xfId="1196"/>
    <cellStyle name="_億春公司各品牌業務接單及生產分析表6-16_2009-10-8_2009-10-12綜合報表_加工厂報表_anh loc_綜合報表一2014-11-1" xfId="1197"/>
    <cellStyle name="_億春公司各品牌業務接單及生產分析表6-16_2009-10-8_T Lan" xfId="1198"/>
    <cellStyle name="_億春公司各品牌業務接單及生產分析表6-16_2009-10-8_T Lan (1)" xfId="1199"/>
    <cellStyle name="_億春公司各品牌業務接單及生產分析表6-16_2009-10-8_T Lan (1)_anh loc" xfId="1200"/>
    <cellStyle name="_億春公司各品牌業務接單及生產分析表6-16_2009-10-8_T Lan (1)_anh loc_綜合報表一2014-11-1" xfId="1201"/>
    <cellStyle name="_億春公司各品牌業務接單及生產分析表6-16_2009-10-8_T Lan (1)_Thanh Lan 1 OK" xfId="1202"/>
    <cellStyle name="_億春公司各品牌業務接單及生產分析表6-16_2009-10-8_T Lan (1)_Thanh Lan 1 OK_anh loc" xfId="1203"/>
    <cellStyle name="_億春公司各品牌業務接單及生產分析表6-16_2009-10-8_T Lan (1)_Thanh Lan 1 OK_anh loc_綜合報表一2014-11-1" xfId="1204"/>
    <cellStyle name="_億春公司各品牌業務接單及生產分析表6-16_2009-10-8_T Lan (1)_加工厂報表" xfId="1205"/>
    <cellStyle name="_億春公司各品牌業務接單及生產分析表6-16_2009-10-8_T Lan (1)_加工厂報表_anh loc" xfId="1206"/>
    <cellStyle name="_億春公司各品牌業務接單及生產分析表6-16_2009-10-8_T Lan (1)_加工厂報表_anh loc_綜合報表一2014-11-1" xfId="1207"/>
    <cellStyle name="_億春公司各品牌業務接單及生產分析表6-16_2009-10-8_T Lan_anh loc" xfId="1208"/>
    <cellStyle name="_億春公司各品牌業務接單及生產分析表6-16_2009-10-8_T Lan_anh loc_綜合報表一2014-11-1" xfId="1209"/>
    <cellStyle name="_億春公司各品牌業務接單及生產分析表6-16_2009-10-8_T Lan_Thanh Lan 1 OK" xfId="1210"/>
    <cellStyle name="_億春公司各品牌業務接單及生產分析表6-16_2009-10-8_T Lan_Thanh Lan 1 OK_anh loc" xfId="1211"/>
    <cellStyle name="_億春公司各品牌業務接單及生產分析表6-16_2009-10-8_T Lan_Thanh Lan 1 OK_anh loc_綜合報表一2014-11-1" xfId="1212"/>
    <cellStyle name="_億春公司各品牌業務接單及生產分析表6-16_2009-10-8_T Lan_加工厂報表" xfId="1213"/>
    <cellStyle name="_億春公司各品牌業務接單及生產分析表6-16_2009-10-8_T Lan_加工厂報表_anh loc" xfId="1214"/>
    <cellStyle name="_億春公司各品牌業務接單及生產分析表6-16_2009-10-8_T Lan_加工厂報表_anh loc_綜合報表一2014-11-1" xfId="1215"/>
    <cellStyle name="_億春公司各品牌業務接單及生產分析表6-16_2009-10-8_thanh lan (2)" xfId="1216"/>
    <cellStyle name="_億春公司各品牌業務接單及生產分析表6-16_2009-10-8_thanh lan (2)_anh loc" xfId="1217"/>
    <cellStyle name="_億春公司各品牌業務接單及生產分析表6-16_2009-10-8_thanh lan (2)_anh loc_綜合報表一2014-11-1" xfId="1218"/>
    <cellStyle name="_億春公司各品牌業務接單及生產分析表6-16_2009-10-8_thanh lan (2)_Thanh Lan 1 OK" xfId="1219"/>
    <cellStyle name="_億春公司各品牌業務接單及生產分析表6-16_2009-10-8_thanh lan (2)_Thanh Lan 1 OK_anh loc" xfId="1220"/>
    <cellStyle name="_億春公司各品牌業務接單及生產分析表6-16_2009-10-8_thanh lan (2)_Thanh Lan 1 OK_anh loc_綜合報表一2014-11-1" xfId="1221"/>
    <cellStyle name="_億春公司各品牌業務接單及生產分析表6-16_2009-10-8_thanh lan (2)_加工厂報表" xfId="1222"/>
    <cellStyle name="_億春公司各品牌業務接單及生產分析表6-16_2009-10-8_thanh lan (2)_加工厂報表_anh loc" xfId="1223"/>
    <cellStyle name="_億春公司各品牌業務接單及生產分析表6-16_2009-10-8_thanh lan (2)_加工厂報表_anh loc_綜合報表一2014-11-1" xfId="1224"/>
    <cellStyle name="_億春公司各品牌業務接單及生產分析表6-16_2009-12-8" xfId="1225"/>
    <cellStyle name="_億春公司各品牌業務接單及生產分析表6-16_2009-12-8_anh loc" xfId="1226"/>
    <cellStyle name="_億春公司各品牌業務接單及生產分析表6-16_2009-12-8_anh loc_綜合報表一2014-11-1" xfId="1227"/>
    <cellStyle name="_億春公司各品牌業務接單及生產分析表6-16_2009-12-8_Thanh Lan 1 OK" xfId="1228"/>
    <cellStyle name="_億春公司各品牌業務接單及生產分析表6-16_2009-12-8_Thanh Lan 1 OK_anh loc" xfId="1229"/>
    <cellStyle name="_億春公司各品牌業務接單及生產分析表6-16_2009-12-8_Thanh Lan 1 OK_anh loc_綜合報表一2014-11-1" xfId="1230"/>
    <cellStyle name="_億春公司各品牌業務接單及生產分析表6-16_2009-12-8_加工厂報表" xfId="1231"/>
    <cellStyle name="_億春公司各品牌業務接單及生產分析表6-16_2009-12-8_加工厂報表_anh loc" xfId="1232"/>
    <cellStyle name="_億春公司各品牌業務接單及生產分析表6-16_2009-12-8_加工厂報表_anh loc_綜合報表一2014-11-1" xfId="1233"/>
    <cellStyle name="_億春公司各品牌業務接單及生產分析表6-16_2010-1-23" xfId="1234"/>
    <cellStyle name="_億春公司各品牌業務接單及生產分析表6-16_2010-1-23_anh loc" xfId="1235"/>
    <cellStyle name="_億春公司各品牌業務接單及生產分析表6-16_2010-1-23_anh loc_綜合報表一2014-11-1" xfId="1236"/>
    <cellStyle name="_億春公司各品牌業務接單及生產分析表6-16_6-1.月份KPI評比" xfId="1237"/>
    <cellStyle name="_億春公司各品牌業務接單及生產分析表6-16_成品倉2009-10-13-ktp" xfId="1238"/>
    <cellStyle name="_億春公司各品牌業務接單及生產分析表6-16_成品倉2009-10-13-ktp_1" xfId="1239"/>
    <cellStyle name="_億春公司各品牌業務接單及生產分析表6-16_成品倉2009-10-13-ktp_1_anh loc" xfId="1240"/>
    <cellStyle name="_億春公司各品牌業務接單及生產分析表6-16_成品倉2009-10-13-ktp_1_anh loc_綜合報表一2014-11-1" xfId="1241"/>
    <cellStyle name="_億春公司各品牌業務接單及生產分析表6-16_成品倉2009-10-13-ktp_1_Thanh Lan 1 OK" xfId="1242"/>
    <cellStyle name="_億春公司各品牌業務接單及生產分析表6-16_成品倉2009-10-13-ktp_1_Thanh Lan 1 OK_anh loc" xfId="1243"/>
    <cellStyle name="_億春公司各品牌業務接單及生產分析表6-16_成品倉2009-10-13-ktp_1_Thanh Lan 1 OK_anh loc_綜合報表一2014-11-1" xfId="1244"/>
    <cellStyle name="_億春公司各品牌業務接單及生產分析表6-16_成品倉2009-10-13-ktp_1_加工厂報表" xfId="1245"/>
    <cellStyle name="_億春公司各品牌業務接單及生產分析表6-16_成品倉2009-10-13-ktp_1_加工厂報表_anh loc" xfId="1246"/>
    <cellStyle name="_億春公司各品牌業務接單及生產分析表6-16_成品倉2009-10-13-ktp_1_加工厂報表_anh loc_綜合報表一2014-11-1" xfId="1247"/>
    <cellStyle name="_億春公司各品牌業務接單及生產分析表6-16_成品倉2009-10-17ktp" xfId="1248"/>
    <cellStyle name="_億春公司各品牌業務接單及生產分析表6-16_成品倉2009-10-17ktp_anh loc" xfId="1249"/>
    <cellStyle name="_億春公司各品牌業務接單及生產分析表6-16_成品倉2009-10-17ktp_anh loc_綜合報表一2014-11-1" xfId="1250"/>
    <cellStyle name="_億春公司各品牌業務接單及生產分析表6-16_成品倉2009-10-17ktp_Thanh Lan 1 OK" xfId="1251"/>
    <cellStyle name="_億春公司各品牌業務接單及生產分析表6-16_成品倉2009-10-17ktp_Thanh Lan 1 OK_anh loc" xfId="1252"/>
    <cellStyle name="_億春公司各品牌業務接單及生產分析表6-16_成品倉2009-10-17ktp_Thanh Lan 1 OK_anh loc_綜合報表一2014-11-1" xfId="1253"/>
    <cellStyle name="_億春公司各品牌業務接單及生產分析表6-16_成品倉2009-10-17ktp_加工厂報表" xfId="1254"/>
    <cellStyle name="_億春公司各品牌業務接單及生產分析表6-16_成品倉2009-10-17ktp_加工厂報表_anh loc" xfId="1255"/>
    <cellStyle name="_億春公司各品牌業務接單及生產分析表6-16_成品倉2009-10-17ktp_加工厂報表_anh loc_綜合報表一2014-11-1" xfId="1256"/>
    <cellStyle name="_億春公司各品牌業務接單及生產分析表6-16_成品倉2009-120tp" xfId="1257"/>
    <cellStyle name="_億春公司各品牌業務接單及生產分析表6-16_成品倉2009-120tp_anh loc" xfId="1258"/>
    <cellStyle name="_億春公司各品牌業務接單及生產分析表6-16_成品倉2009-120tp_anh loc_綜合報表一2014-11-1" xfId="1259"/>
    <cellStyle name="_億春公司各品牌業務接單及生產分析表6-16_成品倉2009-120tp_Thanh Lan 1 OK" xfId="1260"/>
    <cellStyle name="_億春公司各品牌業務接單及生產分析表6-16_成品倉2009-120tp_Thanh Lan 1 OK_anh loc" xfId="1261"/>
    <cellStyle name="_億春公司各品牌業務接單及生產分析表6-16_成品倉2009-120tp_Thanh Lan 1 OK_anh loc_綜合報表一2014-11-1" xfId="1262"/>
    <cellStyle name="_億春公司各品牌業務接單及生產分析表6-16_綜合報表2009-08-01" xfId="1263"/>
    <cellStyle name="_億春公司各品牌業務接單及生產分析表6-16_綜合報表2009-08-01_2009-10-06綜合報表" xfId="1264"/>
    <cellStyle name="_億春公司各品牌業務接單及生產分析表6-16_複製 -09- 綜合報表" xfId="1265"/>
    <cellStyle name="_億春公司各品牌業務接單及生產分析表6-16_複製 -11月份各廠KPI評比狀況" xfId="1266"/>
    <cellStyle name="_億春公司各品牌業務接單及生產分析表6-2" xfId="1267"/>
    <cellStyle name="_億春公司各品牌業務接單及生產分析表6-2_2009-10-06綜合報表" xfId="1268"/>
    <cellStyle name="_億春公司各品牌業務接單及生產分析表6-2_2009-10-13" xfId="1269"/>
    <cellStyle name="_億春公司各品牌業務接單及生產分析表6-2_2009-10-17" xfId="1270"/>
    <cellStyle name="_億春公司各品牌業務接單及生產分析表6-2_2009-10-17_anh loc" xfId="1271"/>
    <cellStyle name="_億春公司各品牌業務接單及生產分析表6-2_2009-10-17_anh loc_綜合報表一2014-11-1" xfId="1272"/>
    <cellStyle name="_億春公司各品牌業務接單及生產分析表6-2_2009-10-17_Thanh Lan 1 OK" xfId="1273"/>
    <cellStyle name="_億春公司各品牌業務接單及生產分析表6-2_2009-10-17_Thanh Lan 1 OK_anh loc" xfId="1274"/>
    <cellStyle name="_億春公司各品牌業務接單及生產分析表6-2_2009-10-17_Thanh Lan 1 OK_anh loc_綜合報表一2014-11-1" xfId="1275"/>
    <cellStyle name="_億春公司各品牌業務接單及生產分析表6-2_2009-10-17_加工厂報表" xfId="1276"/>
    <cellStyle name="_億春公司各品牌業務接單及生產分析表6-2_2009-10-17_加工厂報表_anh loc" xfId="1277"/>
    <cellStyle name="_億春公司各品牌業務接單及生產分析表6-2_2009-10-17_加工厂報表_anh loc_綜合報表一2014-11-1" xfId="1278"/>
    <cellStyle name="_億春公司各品牌業務接單及生產分析表6-2_2009-10-8" xfId="1279"/>
    <cellStyle name="_億春公司各品牌業務接單及生產分析表6-2_2009-10-8_2009-10-12綜合報表" xfId="1280"/>
    <cellStyle name="_億春公司各品牌業務接單及生產分析表6-2_2009-10-8_2009-10-12綜合報表_anh loc" xfId="1281"/>
    <cellStyle name="_億春公司各品牌業務接單及生產分析表6-2_2009-10-8_2009-10-12綜合報表_anh loc_綜合報表一2014-11-1" xfId="1282"/>
    <cellStyle name="_億春公司各品牌業務接單及生產分析表6-2_2009-10-8_2009-10-12綜合報表_Thanh Lan 1 OK" xfId="1283"/>
    <cellStyle name="_億春公司各品牌業務接單及生產分析表6-2_2009-10-8_2009-10-12綜合報表_Thanh Lan 1 OK_anh loc" xfId="1284"/>
    <cellStyle name="_億春公司各品牌業務接單及生產分析表6-2_2009-10-8_2009-10-12綜合報表_Thanh Lan 1 OK_anh loc_綜合報表一2014-11-1" xfId="1285"/>
    <cellStyle name="_億春公司各品牌業務接單及生產分析表6-2_2009-10-8_2009-10-12綜合報表_加工厂報表" xfId="1286"/>
    <cellStyle name="_億春公司各品牌業務接單及生產分析表6-2_2009-10-8_2009-10-12綜合報表_加工厂報表_anh loc" xfId="1287"/>
    <cellStyle name="_億春公司各品牌業務接單及生產分析表6-2_2009-10-8_2009-10-12綜合報表_加工厂報表_anh loc_綜合報表一2014-11-1" xfId="1288"/>
    <cellStyle name="_億春公司各品牌業務接單及生產分析表6-2_2009-10-8_T Lan" xfId="1289"/>
    <cellStyle name="_億春公司各品牌業務接單及生產分析表6-2_2009-10-8_T Lan (1)" xfId="1290"/>
    <cellStyle name="_億春公司各品牌業務接單及生產分析表6-2_2009-10-8_T Lan (1)_anh loc" xfId="1291"/>
    <cellStyle name="_億春公司各品牌業務接單及生產分析表6-2_2009-10-8_T Lan (1)_anh loc_綜合報表一2014-11-1" xfId="1292"/>
    <cellStyle name="_億春公司各品牌業務接單及生產分析表6-2_2009-10-8_T Lan (1)_Thanh Lan 1 OK" xfId="1293"/>
    <cellStyle name="_億春公司各品牌業務接單及生產分析表6-2_2009-10-8_T Lan (1)_Thanh Lan 1 OK_anh loc" xfId="1294"/>
    <cellStyle name="_億春公司各品牌業務接單及生產分析表6-2_2009-10-8_T Lan (1)_Thanh Lan 1 OK_anh loc_綜合報表一2014-11-1" xfId="1295"/>
    <cellStyle name="_億春公司各品牌業務接單及生產分析表6-2_2009-10-8_T Lan (1)_加工厂報表" xfId="1296"/>
    <cellStyle name="_億春公司各品牌業務接單及生產分析表6-2_2009-10-8_T Lan (1)_加工厂報表_anh loc" xfId="1297"/>
    <cellStyle name="_億春公司各品牌業務接單及生產分析表6-2_2009-10-8_T Lan (1)_加工厂報表_anh loc_綜合報表一2014-11-1" xfId="1298"/>
    <cellStyle name="_億春公司各品牌業務接單及生產分析表6-2_2009-10-8_T Lan_anh loc" xfId="1299"/>
    <cellStyle name="_億春公司各品牌業務接單及生產分析表6-2_2009-10-8_T Lan_anh loc_綜合報表一2014-11-1" xfId="1300"/>
    <cellStyle name="_億春公司各品牌業務接單及生產分析表6-2_2009-10-8_T Lan_Thanh Lan 1 OK" xfId="1301"/>
    <cellStyle name="_億春公司各品牌業務接單及生產分析表6-2_2009-10-8_T Lan_Thanh Lan 1 OK_anh loc" xfId="1302"/>
    <cellStyle name="_億春公司各品牌業務接單及生產分析表6-2_2009-10-8_T Lan_Thanh Lan 1 OK_anh loc_綜合報表一2014-11-1" xfId="1303"/>
    <cellStyle name="_億春公司各品牌業務接單及生產分析表6-2_2009-10-8_T Lan_加工厂報表" xfId="1304"/>
    <cellStyle name="_億春公司各品牌業務接單及生產分析表6-2_2009-10-8_T Lan_加工厂報表_anh loc" xfId="1305"/>
    <cellStyle name="_億春公司各品牌業務接單及生產分析表6-2_2009-10-8_T Lan_加工厂報表_anh loc_綜合報表一2014-11-1" xfId="1306"/>
    <cellStyle name="_億春公司各品牌業務接單及生產分析表6-2_2009-10-8_thanh lan (2)" xfId="1307"/>
    <cellStyle name="_億春公司各品牌業務接單及生產分析表6-2_2009-10-8_thanh lan (2)_anh loc" xfId="1308"/>
    <cellStyle name="_億春公司各品牌業務接單及生產分析表6-2_2009-10-8_thanh lan (2)_anh loc_綜合報表一2014-11-1" xfId="1309"/>
    <cellStyle name="_億春公司各品牌業務接單及生產分析表6-2_2009-10-8_thanh lan (2)_Thanh Lan 1 OK" xfId="1310"/>
    <cellStyle name="_億春公司各品牌業務接單及生產分析表6-2_2009-10-8_thanh lan (2)_Thanh Lan 1 OK_anh loc" xfId="1311"/>
    <cellStyle name="_億春公司各品牌業務接單及生產分析表6-2_2009-10-8_thanh lan (2)_Thanh Lan 1 OK_anh loc_綜合報表一2014-11-1" xfId="1312"/>
    <cellStyle name="_億春公司各品牌業務接單及生產分析表6-2_2009-10-8_thanh lan (2)_加工厂報表" xfId="1313"/>
    <cellStyle name="_億春公司各品牌業務接單及生產分析表6-2_2009-10-8_thanh lan (2)_加工厂報表_anh loc" xfId="1314"/>
    <cellStyle name="_億春公司各品牌業務接單及生產分析表6-2_2009-10-8_thanh lan (2)_加工厂報表_anh loc_綜合報表一2014-11-1" xfId="1315"/>
    <cellStyle name="_億春公司各品牌業務接單及生產分析表6-2_2009-10均時產" xfId="1316"/>
    <cellStyle name="_億春公司各品牌業務接單及生產分析表6-2_2009-10均時產_2009-10-12綜合報表" xfId="1317"/>
    <cellStyle name="_億春公司各品牌業務接單及生產分析表6-2_2009-10均時產_2009-10-12綜合報表_anh loc" xfId="1318"/>
    <cellStyle name="_億春公司各品牌業務接單及生產分析表6-2_2009-10均時產_2009-10-12綜合報表_anh loc_綜合報表一2014-11-1" xfId="1319"/>
    <cellStyle name="_億春公司各品牌業務接單及生產分析表6-2_2009-10均時產_2009-10-12綜合報表_Thanh Lan 1 OK" xfId="1320"/>
    <cellStyle name="_億春公司各品牌業務接單及生產分析表6-2_2009-10均時產_2009-10-12綜合報表_Thanh Lan 1 OK_anh loc" xfId="1321"/>
    <cellStyle name="_億春公司各品牌業務接單及生產分析表6-2_2009-10均時產_2009-10-12綜合報表_Thanh Lan 1 OK_anh loc_綜合報表一2014-11-1" xfId="1322"/>
    <cellStyle name="_億春公司各品牌業務接單及生產分析表6-2_2009-10均時產_2009-10-12綜合報表_加工厂報表" xfId="1323"/>
    <cellStyle name="_億春公司各品牌業務接單及生產分析表6-2_2009-10均時產_2009-10-12綜合報表_加工厂報表_anh loc" xfId="1324"/>
    <cellStyle name="_億春公司各品牌業務接單及生產分析表6-2_2009-10均時產_2009-10-12綜合報表_加工厂報表_anh loc_綜合報表一2014-11-1" xfId="1325"/>
    <cellStyle name="_億春公司各品牌業務接單及生產分析表6-2_2009-10均時產_9876543 (ExcelFIX)" xfId="1326"/>
    <cellStyle name="_億春公司各品牌業務接單及生產分析表6-2_2009-10均時產_9876543 (ExcelFIX)_2009-10-12綜合報表" xfId="1327"/>
    <cellStyle name="_億春公司各品牌業務接單及生產分析表6-2_2009-10均時產_9876543 (ExcelFIX)_T Lan" xfId="1328"/>
    <cellStyle name="_億春公司各品牌業務接單及生產分析表6-2_2009-10均時產_9876543 (ExcelFIX)_T Lan (1)" xfId="1329"/>
    <cellStyle name="_億春公司各品牌業務接單及生產分析表6-2_2009-10均時產_9876543 (ExcelFIX)_thanh lan (2)" xfId="1330"/>
    <cellStyle name="_億春公司各品牌業務接單及生產分析表6-2_2009-10均時產_T Lan" xfId="1331"/>
    <cellStyle name="_億春公司各品牌業務接單及生產分析表6-2_2009-10均時產_T Lan (1)" xfId="1332"/>
    <cellStyle name="_億春公司各品牌業務接單及生產分析表6-2_2009-10均時產_T Lan (1)_anh loc" xfId="1333"/>
    <cellStyle name="_億春公司各品牌業務接單及生產分析表6-2_2009-10均時產_T Lan (1)_anh loc_綜合報表一2014-11-1" xfId="1334"/>
    <cellStyle name="_億春公司各品牌業務接單及生產分析表6-2_2009-10均時產_T Lan (1)_Thanh Lan 1 OK" xfId="1335"/>
    <cellStyle name="_億春公司各品牌業務接單及生產分析表6-2_2009-10均時產_T Lan (1)_Thanh Lan 1 OK_anh loc" xfId="1336"/>
    <cellStyle name="_億春公司各品牌業務接單及生產分析表6-2_2009-10均時產_T Lan (1)_Thanh Lan 1 OK_anh loc_綜合報表一2014-11-1" xfId="1337"/>
    <cellStyle name="_億春公司各品牌業務接單及生產分析表6-2_2009-10均時產_T Lan (1)_加工厂報表" xfId="1338"/>
    <cellStyle name="_億春公司各品牌業務接單及生產分析表6-2_2009-10均時產_T Lan (1)_加工厂報表_anh loc" xfId="1339"/>
    <cellStyle name="_億春公司各品牌業務接單及生產分析表6-2_2009-10均時產_T Lan (1)_加工厂報表_anh loc_綜合報表一2014-11-1" xfId="1340"/>
    <cellStyle name="_億春公司各品牌業務接單及生產分析表6-2_2009-10均時產_T Lan_anh loc" xfId="1341"/>
    <cellStyle name="_億春公司各品牌業務接單及生產分析表6-2_2009-10均時產_T Lan_anh loc_綜合報表一2014-11-1" xfId="1342"/>
    <cellStyle name="_億春公司各品牌業務接單及生產分析表6-2_2009-10均時產_T Lan_Thanh Lan 1 OK" xfId="1343"/>
    <cellStyle name="_億春公司各品牌業務接單及生產分析表6-2_2009-10均時產_T Lan_Thanh Lan 1 OK_anh loc" xfId="1344"/>
    <cellStyle name="_億春公司各品牌業務接單及生產分析表6-2_2009-10均時產_T Lan_Thanh Lan 1 OK_anh loc_綜合報表一2014-11-1" xfId="1345"/>
    <cellStyle name="_億春公司各品牌業務接單及生產分析表6-2_2009-10均時產_T Lan_加工厂報表" xfId="1346"/>
    <cellStyle name="_億春公司各品牌業務接單及生產分析表6-2_2009-10均時產_T Lan_加工厂報表_anh loc" xfId="1347"/>
    <cellStyle name="_億春公司各品牌業務接單及生產分析表6-2_2009-10均時產_T Lan_加工厂報表_anh loc_綜合報表一2014-11-1" xfId="1348"/>
    <cellStyle name="_億春公司各品牌業務接單及生產分析表6-2_2009-10均時產_thanh lan (2)" xfId="1349"/>
    <cellStyle name="_億春公司各品牌業務接單及生產分析表6-2_2009-10均時產_thanh lan (2)_anh loc" xfId="1350"/>
    <cellStyle name="_億春公司各品牌業務接單及生產分析表6-2_2009-10均時產_thanh lan (2)_anh loc_綜合報表一2014-11-1" xfId="1351"/>
    <cellStyle name="_億春公司各品牌業務接單及生產分析表6-2_2009-10均時產_thanh lan (2)_Thanh Lan 1 OK" xfId="1352"/>
    <cellStyle name="_億春公司各品牌業務接單及生產分析表6-2_2009-10均時產_thanh lan (2)_Thanh Lan 1 OK_anh loc" xfId="1353"/>
    <cellStyle name="_億春公司各品牌業務接單及生產分析表6-2_2009-10均時產_thanh lan (2)_Thanh Lan 1 OK_anh loc_綜合報表一2014-11-1" xfId="1354"/>
    <cellStyle name="_億春公司各品牌業務接單及生產分析表6-2_2009-10均時產_thanh lan (2)_加工厂報表" xfId="1355"/>
    <cellStyle name="_億春公司各品牌業務接單及生產分析表6-2_2009-10均時產_thanh lan (2)_加工厂報表_anh loc" xfId="1356"/>
    <cellStyle name="_億春公司各品牌業務接單及生產分析表6-2_2009-10均時產_thanh lan (2)_加工厂報表_anh loc_綜合報表一2014-11-1" xfId="1357"/>
    <cellStyle name="_億春公司各品牌業務接單及生產分析表6-2_2009-12-8" xfId="1358"/>
    <cellStyle name="_億春公司各品牌業務接單及生產分析表6-2_2009-12-8_anh loc" xfId="1359"/>
    <cellStyle name="_億春公司各品牌業務接單及生產分析表6-2_2009-12-8_anh loc_綜合報表一2014-11-1" xfId="1360"/>
    <cellStyle name="_億春公司各品牌業務接單及生產分析表6-2_2009-12-8_Thanh Lan 1 OK" xfId="1361"/>
    <cellStyle name="_億春公司各品牌業務接單及生產分析表6-2_2009-12-8_Thanh Lan 1 OK_anh loc" xfId="1362"/>
    <cellStyle name="_億春公司各品牌業務接單及生產分析表6-2_2009-12-8_Thanh Lan 1 OK_anh loc_綜合報表一2014-11-1" xfId="1363"/>
    <cellStyle name="_億春公司各品牌業務接單及生產分析表6-2_2009-12-8_加工厂報表" xfId="1364"/>
    <cellStyle name="_億春公司各品牌業務接單及生產分析表6-2_2009-12-8_加工厂報表_anh loc" xfId="1365"/>
    <cellStyle name="_億春公司各品牌業務接單及生產分析表6-2_2009-12-8_加工厂報表_anh loc_綜合報表一2014-11-1" xfId="1366"/>
    <cellStyle name="_億春公司各品牌業務接單及生產分析表6-2_2010-1-23" xfId="1367"/>
    <cellStyle name="_億春公司各品牌業務接單及生產分析表6-2_2010-1-23_anh loc" xfId="1368"/>
    <cellStyle name="_億春公司各品牌業務接單及生產分析表6-2_2010-1-23_anh loc_綜合報表一2014-11-1" xfId="1369"/>
    <cellStyle name="_億春公司各品牌業務接單及生產分析表6-2_6-1.月份KPI評比" xfId="1370"/>
    <cellStyle name="_億春公司各品牌業務接單及生產分析表6-2_成品倉2009-10-13-ktp" xfId="1371"/>
    <cellStyle name="_億春公司各品牌業務接單及生產分析表6-2_成品倉2009-10-13-ktp_1" xfId="1372"/>
    <cellStyle name="_億春公司各品牌業務接單及生產分析表6-2_成品倉2009-10-13-ktp_1_anh loc" xfId="1373"/>
    <cellStyle name="_億春公司各品牌業務接單及生產分析表6-2_成品倉2009-10-13-ktp_1_anh loc_綜合報表一2014-11-1" xfId="1374"/>
    <cellStyle name="_億春公司各品牌業務接單及生產分析表6-2_成品倉2009-10-13-ktp_1_Thanh Lan 1 OK" xfId="1375"/>
    <cellStyle name="_億春公司各品牌業務接單及生產分析表6-2_成品倉2009-10-13-ktp_1_Thanh Lan 1 OK_anh loc" xfId="1376"/>
    <cellStyle name="_億春公司各品牌業務接單及生產分析表6-2_成品倉2009-10-13-ktp_1_Thanh Lan 1 OK_anh loc_綜合報表一2014-11-1" xfId="1377"/>
    <cellStyle name="_億春公司各品牌業務接單及生產分析表6-2_成品倉2009-10-13-ktp_1_加工厂報表" xfId="1378"/>
    <cellStyle name="_億春公司各品牌業務接單及生產分析表6-2_成品倉2009-10-13-ktp_1_加工厂報表_anh loc" xfId="1379"/>
    <cellStyle name="_億春公司各品牌業務接單及生產分析表6-2_成品倉2009-10-13-ktp_1_加工厂報表_anh loc_綜合報表一2014-11-1" xfId="1380"/>
    <cellStyle name="_億春公司各品牌業務接單及生產分析表6-2_成品倉2009-10-17ktp" xfId="1381"/>
    <cellStyle name="_億春公司各品牌業務接單及生產分析表6-2_成品倉2009-10-17ktp_anh loc" xfId="1382"/>
    <cellStyle name="_億春公司各品牌業務接單及生產分析表6-2_成品倉2009-10-17ktp_anh loc_綜合報表一2014-11-1" xfId="1383"/>
    <cellStyle name="_億春公司各品牌業務接單及生產分析表6-2_成品倉2009-10-17ktp_Thanh Lan 1 OK" xfId="1384"/>
    <cellStyle name="_億春公司各品牌業務接單及生產分析表6-2_成品倉2009-10-17ktp_Thanh Lan 1 OK_anh loc" xfId="1385"/>
    <cellStyle name="_億春公司各品牌業務接單及生產分析表6-2_成品倉2009-10-17ktp_Thanh Lan 1 OK_anh loc_綜合報表一2014-11-1" xfId="1386"/>
    <cellStyle name="_億春公司各品牌業務接單及生產分析表6-2_成品倉2009-10-17ktp_加工厂報表" xfId="1387"/>
    <cellStyle name="_億春公司各品牌業務接單及生產分析表6-2_成品倉2009-10-17ktp_加工厂報表_anh loc" xfId="1388"/>
    <cellStyle name="_億春公司各品牌業務接單及生產分析表6-2_成品倉2009-10-17ktp_加工厂報表_anh loc_綜合報表一2014-11-1" xfId="1389"/>
    <cellStyle name="_億春公司各品牌業務接單及生產分析表6-2_成品倉2009-120tp" xfId="1390"/>
    <cellStyle name="_億春公司各品牌業務接單及生產分析表6-2_成品倉2009-120tp_anh loc" xfId="1391"/>
    <cellStyle name="_億春公司各品牌業務接單及生產分析表6-2_成品倉2009-120tp_anh loc_綜合報表一2014-11-1" xfId="1392"/>
    <cellStyle name="_億春公司各品牌業務接單及生產分析表6-2_成品倉2009-120tp_Thanh Lan 1 OK" xfId="1393"/>
    <cellStyle name="_億春公司各品牌業務接單及生產分析表6-2_成品倉2009-120tp_Thanh Lan 1 OK_anh loc" xfId="1394"/>
    <cellStyle name="_億春公司各品牌業務接單及生產分析表6-2_成品倉2009-120tp_Thanh Lan 1 OK_anh loc_綜合報表一2014-11-1" xfId="1395"/>
    <cellStyle name="_億春公司各品牌業務接單及生產分析表6-2_綜合報表2009-08-01" xfId="1396"/>
    <cellStyle name="_億春公司各品牌業務接單及生產分析表6-2_綜合報表2009-08-01_2009-10-06綜合報表" xfId="1397"/>
    <cellStyle name="_億春公司各品牌業務接單及生產分析表6-2_複製 -09- 綜合報表" xfId="1398"/>
    <cellStyle name="_億春公司各品牌業務接單及生產分析表6-2_複製 -11月份各廠KPI評比狀況" xfId="1399"/>
    <cellStyle name="_億春公司各品牌業務接單及生產分析表6-3" xfId="1400"/>
    <cellStyle name="_億春公司各品牌業務接單及生產分析表6-3_2009-10-06綜合報表" xfId="1401"/>
    <cellStyle name="_億春公司各品牌業務接單及生產分析表6-3_2009-10-13" xfId="1402"/>
    <cellStyle name="_億春公司各品牌業務接單及生產分析表6-3_2009-10-17" xfId="1403"/>
    <cellStyle name="_億春公司各品牌業務接單及生產分析表6-3_2009-10-17_anh loc" xfId="1404"/>
    <cellStyle name="_億春公司各品牌業務接單及生產分析表6-3_2009-10-17_anh loc_綜合報表一2014-11-1" xfId="1405"/>
    <cellStyle name="_億春公司各品牌業務接單及生產分析表6-3_2009-10-17_Thanh Lan 1 OK" xfId="1406"/>
    <cellStyle name="_億春公司各品牌業務接單及生產分析表6-3_2009-10-17_Thanh Lan 1 OK_anh loc" xfId="1407"/>
    <cellStyle name="_億春公司各品牌業務接單及生產分析表6-3_2009-10-17_Thanh Lan 1 OK_anh loc_綜合報表一2014-11-1" xfId="1408"/>
    <cellStyle name="_億春公司各品牌業務接單及生產分析表6-3_2009-10-17_加工厂報表" xfId="1409"/>
    <cellStyle name="_億春公司各品牌業務接單及生產分析表6-3_2009-10-17_加工厂報表_anh loc" xfId="1410"/>
    <cellStyle name="_億春公司各品牌業務接單及生產分析表6-3_2009-10-17_加工厂報表_anh loc_綜合報表一2014-11-1" xfId="1411"/>
    <cellStyle name="_億春公司各品牌業務接單及生產分析表6-3_2009-10-8" xfId="1412"/>
    <cellStyle name="_億春公司各品牌業務接單及生產分析表6-3_2009-10-8_2009-10-12綜合報表" xfId="1413"/>
    <cellStyle name="_億春公司各品牌業務接單及生產分析表6-3_2009-10-8_2009-10-12綜合報表_anh loc" xfId="1414"/>
    <cellStyle name="_億春公司各品牌業務接單及生產分析表6-3_2009-10-8_2009-10-12綜合報表_anh loc_綜合報表一2014-11-1" xfId="1415"/>
    <cellStyle name="_億春公司各品牌業務接單及生產分析表6-3_2009-10-8_2009-10-12綜合報表_Thanh Lan 1 OK" xfId="1416"/>
    <cellStyle name="_億春公司各品牌業務接單及生產分析表6-3_2009-10-8_2009-10-12綜合報表_Thanh Lan 1 OK_anh loc" xfId="1417"/>
    <cellStyle name="_億春公司各品牌業務接單及生產分析表6-3_2009-10-8_2009-10-12綜合報表_Thanh Lan 1 OK_anh loc_綜合報表一2014-11-1" xfId="1418"/>
    <cellStyle name="_億春公司各品牌業務接單及生產分析表6-3_2009-10-8_2009-10-12綜合報表_加工厂報表" xfId="1419"/>
    <cellStyle name="_億春公司各品牌業務接單及生產分析表6-3_2009-10-8_2009-10-12綜合報表_加工厂報表_anh loc" xfId="1420"/>
    <cellStyle name="_億春公司各品牌業務接單及生產分析表6-3_2009-10-8_2009-10-12綜合報表_加工厂報表_anh loc_綜合報表一2014-11-1" xfId="1421"/>
    <cellStyle name="_億春公司各品牌業務接單及生產分析表6-3_2009-10-8_T Lan" xfId="1422"/>
    <cellStyle name="_億春公司各品牌業務接單及生產分析表6-3_2009-10-8_T Lan (1)" xfId="1423"/>
    <cellStyle name="_億春公司各品牌業務接單及生產分析表6-3_2009-10-8_T Lan (1)_anh loc" xfId="1424"/>
    <cellStyle name="_億春公司各品牌業務接單及生產分析表6-3_2009-10-8_T Lan (1)_anh loc_綜合報表一2014-11-1" xfId="1425"/>
    <cellStyle name="_億春公司各品牌業務接單及生產分析表6-3_2009-10-8_T Lan (1)_Thanh Lan 1 OK" xfId="1426"/>
    <cellStyle name="_億春公司各品牌業務接單及生產分析表6-3_2009-10-8_T Lan (1)_Thanh Lan 1 OK_anh loc" xfId="1427"/>
    <cellStyle name="_億春公司各品牌業務接單及生產分析表6-3_2009-10-8_T Lan (1)_Thanh Lan 1 OK_anh loc_綜合報表一2014-11-1" xfId="1428"/>
    <cellStyle name="_億春公司各品牌業務接單及生產分析表6-3_2009-10-8_T Lan (1)_加工厂報表" xfId="1429"/>
    <cellStyle name="_億春公司各品牌業務接單及生產分析表6-3_2009-10-8_T Lan (1)_加工厂報表_anh loc" xfId="1430"/>
    <cellStyle name="_億春公司各品牌業務接單及生產分析表6-3_2009-10-8_T Lan (1)_加工厂報表_anh loc_綜合報表一2014-11-1" xfId="1431"/>
    <cellStyle name="_億春公司各品牌業務接單及生產分析表6-3_2009-10-8_T Lan_anh loc" xfId="1432"/>
    <cellStyle name="_億春公司各品牌業務接單及生產分析表6-3_2009-10-8_T Lan_anh loc_綜合報表一2014-11-1" xfId="1433"/>
    <cellStyle name="_億春公司各品牌業務接單及生產分析表6-3_2009-10-8_T Lan_Thanh Lan 1 OK" xfId="1434"/>
    <cellStyle name="_億春公司各品牌業務接單及生產分析表6-3_2009-10-8_T Lan_Thanh Lan 1 OK_anh loc" xfId="1435"/>
    <cellStyle name="_億春公司各品牌業務接單及生產分析表6-3_2009-10-8_T Lan_Thanh Lan 1 OK_anh loc_綜合報表一2014-11-1" xfId="1436"/>
    <cellStyle name="_億春公司各品牌業務接單及生產分析表6-3_2009-10-8_T Lan_加工厂報表" xfId="1437"/>
    <cellStyle name="_億春公司各品牌業務接單及生產分析表6-3_2009-10-8_T Lan_加工厂報表_anh loc" xfId="1438"/>
    <cellStyle name="_億春公司各品牌業務接單及生產分析表6-3_2009-10-8_T Lan_加工厂報表_anh loc_綜合報表一2014-11-1" xfId="1439"/>
    <cellStyle name="_億春公司各品牌業務接單及生產分析表6-3_2009-10-8_thanh lan (2)" xfId="1440"/>
    <cellStyle name="_億春公司各品牌業務接單及生產分析表6-3_2009-10-8_thanh lan (2)_anh loc" xfId="1441"/>
    <cellStyle name="_億春公司各品牌業務接單及生產分析表6-3_2009-10-8_thanh lan (2)_anh loc_綜合報表一2014-11-1" xfId="1442"/>
    <cellStyle name="_億春公司各品牌業務接單及生產分析表6-3_2009-10-8_thanh lan (2)_Thanh Lan 1 OK" xfId="1443"/>
    <cellStyle name="_億春公司各品牌業務接單及生產分析表6-3_2009-10-8_thanh lan (2)_Thanh Lan 1 OK_anh loc" xfId="1444"/>
    <cellStyle name="_億春公司各品牌業務接單及生產分析表6-3_2009-10-8_thanh lan (2)_Thanh Lan 1 OK_anh loc_綜合報表一2014-11-1" xfId="1445"/>
    <cellStyle name="_億春公司各品牌業務接單及生產分析表6-3_2009-10-8_thanh lan (2)_加工厂報表" xfId="1446"/>
    <cellStyle name="_億春公司各品牌業務接單及生產分析表6-3_2009-10-8_thanh lan (2)_加工厂報表_anh loc" xfId="1447"/>
    <cellStyle name="_億春公司各品牌業務接單及生產分析表6-3_2009-10-8_thanh lan (2)_加工厂報表_anh loc_綜合報表一2014-11-1" xfId="1448"/>
    <cellStyle name="_億春公司各品牌業務接單及生產分析表6-3_2009-10均時產" xfId="1449"/>
    <cellStyle name="_億春公司各品牌業務接單及生產分析表6-3_2009-10均時產_2009-10-12綜合報表" xfId="1450"/>
    <cellStyle name="_億春公司各品牌業務接單及生產分析表6-3_2009-10均時產_2009-10-12綜合報表_anh loc" xfId="1451"/>
    <cellStyle name="_億春公司各品牌業務接單及生產分析表6-3_2009-10均時產_2009-10-12綜合報表_anh loc_綜合報表一2014-11-1" xfId="1452"/>
    <cellStyle name="_億春公司各品牌業務接單及生產分析表6-3_2009-10均時產_2009-10-12綜合報表_Thanh Lan 1 OK" xfId="1453"/>
    <cellStyle name="_億春公司各品牌業務接單及生產分析表6-3_2009-10均時產_2009-10-12綜合報表_Thanh Lan 1 OK_anh loc" xfId="1454"/>
    <cellStyle name="_億春公司各品牌業務接單及生產分析表6-3_2009-10均時產_2009-10-12綜合報表_Thanh Lan 1 OK_anh loc_綜合報表一2014-11-1" xfId="1455"/>
    <cellStyle name="_億春公司各品牌業務接單及生產分析表6-3_2009-10均時產_2009-10-12綜合報表_加工厂報表" xfId="1456"/>
    <cellStyle name="_億春公司各品牌業務接單及生產分析表6-3_2009-10均時產_2009-10-12綜合報表_加工厂報表_anh loc" xfId="1457"/>
    <cellStyle name="_億春公司各品牌業務接單及生產分析表6-3_2009-10均時產_2009-10-12綜合報表_加工厂報表_anh loc_綜合報表一2014-11-1" xfId="1458"/>
    <cellStyle name="_億春公司各品牌業務接單及生產分析表6-3_2009-10均時產_9876543 (ExcelFIX)" xfId="1459"/>
    <cellStyle name="_億春公司各品牌業務接單及生產分析表6-3_2009-10均時產_9876543 (ExcelFIX)_2009-10-12綜合報表" xfId="1460"/>
    <cellStyle name="_億春公司各品牌業務接單及生產分析表6-3_2009-10均時產_9876543 (ExcelFIX)_T Lan" xfId="1461"/>
    <cellStyle name="_億春公司各品牌業務接單及生產分析表6-3_2009-10均時產_9876543 (ExcelFIX)_T Lan (1)" xfId="1462"/>
    <cellStyle name="_億春公司各品牌業務接單及生產分析表6-3_2009-10均時產_9876543 (ExcelFIX)_thanh lan (2)" xfId="1463"/>
    <cellStyle name="_億春公司各品牌業務接單及生產分析表6-3_2009-10均時產_T Lan" xfId="1464"/>
    <cellStyle name="_億春公司各品牌業務接單及生產分析表6-3_2009-10均時產_T Lan (1)" xfId="1465"/>
    <cellStyle name="_億春公司各品牌業務接單及生產分析表6-3_2009-10均時產_T Lan (1)_anh loc" xfId="1466"/>
    <cellStyle name="_億春公司各品牌業務接單及生產分析表6-3_2009-10均時產_T Lan (1)_anh loc_綜合報表一2014-11-1" xfId="1467"/>
    <cellStyle name="_億春公司各品牌業務接單及生產分析表6-3_2009-10均時產_T Lan (1)_Thanh Lan 1 OK" xfId="1468"/>
    <cellStyle name="_億春公司各品牌業務接單及生產分析表6-3_2009-10均時產_T Lan (1)_Thanh Lan 1 OK_anh loc" xfId="1469"/>
    <cellStyle name="_億春公司各品牌業務接單及生產分析表6-3_2009-10均時產_T Lan (1)_Thanh Lan 1 OK_anh loc_綜合報表一2014-11-1" xfId="1470"/>
    <cellStyle name="_億春公司各品牌業務接單及生產分析表6-3_2009-10均時產_T Lan (1)_加工厂報表" xfId="1471"/>
    <cellStyle name="_億春公司各品牌業務接單及生產分析表6-3_2009-10均時產_T Lan (1)_加工厂報表_anh loc" xfId="1472"/>
    <cellStyle name="_億春公司各品牌業務接單及生產分析表6-3_2009-10均時產_T Lan (1)_加工厂報表_anh loc_綜合報表一2014-11-1" xfId="1473"/>
    <cellStyle name="_億春公司各品牌業務接單及生產分析表6-3_2009-10均時產_T Lan_anh loc" xfId="1474"/>
    <cellStyle name="_億春公司各品牌業務接單及生產分析表6-3_2009-10均時產_T Lan_anh loc_綜合報表一2014-11-1" xfId="1475"/>
    <cellStyle name="_億春公司各品牌業務接單及生產分析表6-3_2009-10均時產_T Lan_Thanh Lan 1 OK" xfId="1476"/>
    <cellStyle name="_億春公司各品牌業務接單及生產分析表6-3_2009-10均時產_T Lan_Thanh Lan 1 OK_anh loc" xfId="1477"/>
    <cellStyle name="_億春公司各品牌業務接單及生產分析表6-3_2009-10均時產_T Lan_Thanh Lan 1 OK_anh loc_綜合報表一2014-11-1" xfId="1478"/>
    <cellStyle name="_億春公司各品牌業務接單及生產分析表6-3_2009-10均時產_T Lan_加工厂報表" xfId="1479"/>
    <cellStyle name="_億春公司各品牌業務接單及生產分析表6-3_2009-10均時產_T Lan_加工厂報表_anh loc" xfId="1480"/>
    <cellStyle name="_億春公司各品牌業務接單及生產分析表6-3_2009-10均時產_T Lan_加工厂報表_anh loc_綜合報表一2014-11-1" xfId="1481"/>
    <cellStyle name="_億春公司各品牌業務接單及生產分析表6-3_2009-10均時產_thanh lan (2)" xfId="1482"/>
    <cellStyle name="_億春公司各品牌業務接單及生產分析表6-3_2009-10均時產_thanh lan (2)_anh loc" xfId="1483"/>
    <cellStyle name="_億春公司各品牌業務接單及生產分析表6-3_2009-10均時產_thanh lan (2)_anh loc_綜合報表一2014-11-1" xfId="1484"/>
    <cellStyle name="_億春公司各品牌業務接單及生產分析表6-3_2009-10均時產_thanh lan (2)_Thanh Lan 1 OK" xfId="1485"/>
    <cellStyle name="_億春公司各品牌業務接單及生產分析表6-3_2009-10均時產_thanh lan (2)_Thanh Lan 1 OK_anh loc" xfId="1486"/>
    <cellStyle name="_億春公司各品牌業務接單及生產分析表6-3_2009-10均時產_thanh lan (2)_Thanh Lan 1 OK_anh loc_綜合報表一2014-11-1" xfId="1487"/>
    <cellStyle name="_億春公司各品牌業務接單及生產分析表6-3_2009-10均時產_thanh lan (2)_加工厂報表" xfId="1488"/>
    <cellStyle name="_億春公司各品牌業務接單及生產分析表6-3_2009-10均時產_thanh lan (2)_加工厂報表_anh loc" xfId="1489"/>
    <cellStyle name="_億春公司各品牌業務接單及生產分析表6-3_2009-10均時產_thanh lan (2)_加工厂報表_anh loc_綜合報表一2014-11-1" xfId="1490"/>
    <cellStyle name="_億春公司各品牌業務接單及生產分析表6-3_2009-12-8" xfId="1491"/>
    <cellStyle name="_億春公司各品牌業務接單及生產分析表6-3_2009-12-8_anh loc" xfId="1492"/>
    <cellStyle name="_億春公司各品牌業務接單及生產分析表6-3_2009-12-8_anh loc_綜合報表一2014-11-1" xfId="1493"/>
    <cellStyle name="_億春公司各品牌業務接單及生產分析表6-3_2009-12-8_Thanh Lan 1 OK" xfId="1494"/>
    <cellStyle name="_億春公司各品牌業務接單及生產分析表6-3_2009-12-8_Thanh Lan 1 OK_anh loc" xfId="1495"/>
    <cellStyle name="_億春公司各品牌業務接單及生產分析表6-3_2009-12-8_Thanh Lan 1 OK_anh loc_綜合報表一2014-11-1" xfId="1496"/>
    <cellStyle name="_億春公司各品牌業務接單及生產分析表6-3_2009-12-8_加工厂報表" xfId="1497"/>
    <cellStyle name="_億春公司各品牌業務接單及生產分析表6-3_2009-12-8_加工厂報表_anh loc" xfId="1498"/>
    <cellStyle name="_億春公司各品牌業務接單及生產分析表6-3_2009-12-8_加工厂報表_anh loc_綜合報表一2014-11-1" xfId="1499"/>
    <cellStyle name="_億春公司各品牌業務接單及生產分析表6-3_2010-1-23" xfId="1500"/>
    <cellStyle name="_億春公司各品牌業務接單及生產分析表6-3_2010-1-23_anh loc" xfId="1501"/>
    <cellStyle name="_億春公司各品牌業務接單及生產分析表6-3_2010-1-23_anh loc_綜合報表一2014-11-1" xfId="1502"/>
    <cellStyle name="_億春公司各品牌業務接單及生產分析表6-3_6-1.月份KPI評比" xfId="1503"/>
    <cellStyle name="_億春公司各品牌業務接單及生產分析表6-3_成品倉2009-10-13-ktp" xfId="1504"/>
    <cellStyle name="_億春公司各品牌業務接單及生產分析表6-3_成品倉2009-10-13-ktp_1" xfId="1505"/>
    <cellStyle name="_億春公司各品牌業務接單及生產分析表6-3_成品倉2009-10-13-ktp_1_anh loc" xfId="1506"/>
    <cellStyle name="_億春公司各品牌業務接單及生產分析表6-3_成品倉2009-10-13-ktp_1_anh loc_綜合報表一2014-11-1" xfId="1507"/>
    <cellStyle name="_億春公司各品牌業務接單及生產分析表6-3_成品倉2009-10-13-ktp_1_Thanh Lan 1 OK" xfId="1508"/>
    <cellStyle name="_億春公司各品牌業務接單及生產分析表6-3_成品倉2009-10-13-ktp_1_Thanh Lan 1 OK_anh loc" xfId="1509"/>
    <cellStyle name="_億春公司各品牌業務接單及生產分析表6-3_成品倉2009-10-13-ktp_1_Thanh Lan 1 OK_anh loc_綜合報表一2014-11-1" xfId="1510"/>
    <cellStyle name="_億春公司各品牌業務接單及生產分析表6-3_成品倉2009-10-13-ktp_1_加工厂報表" xfId="1511"/>
    <cellStyle name="_億春公司各品牌業務接單及生產分析表6-3_成品倉2009-10-13-ktp_1_加工厂報表_anh loc" xfId="1512"/>
    <cellStyle name="_億春公司各品牌業務接單及生產分析表6-3_成品倉2009-10-13-ktp_1_加工厂報表_anh loc_綜合報表一2014-11-1" xfId="1513"/>
    <cellStyle name="_億春公司各品牌業務接單及生產分析表6-3_成品倉2009-10-17ktp" xfId="1514"/>
    <cellStyle name="_億春公司各品牌業務接單及生產分析表6-3_成品倉2009-10-17ktp_anh loc" xfId="1515"/>
    <cellStyle name="_億春公司各品牌業務接單及生產分析表6-3_成品倉2009-10-17ktp_anh loc_綜合報表一2014-11-1" xfId="1516"/>
    <cellStyle name="_億春公司各品牌業務接單及生產分析表6-3_成品倉2009-10-17ktp_Thanh Lan 1 OK" xfId="1517"/>
    <cellStyle name="_億春公司各品牌業務接單及生產分析表6-3_成品倉2009-10-17ktp_Thanh Lan 1 OK_anh loc" xfId="1518"/>
    <cellStyle name="_億春公司各品牌業務接單及生產分析表6-3_成品倉2009-10-17ktp_Thanh Lan 1 OK_anh loc_綜合報表一2014-11-1" xfId="1519"/>
    <cellStyle name="_億春公司各品牌業務接單及生產分析表6-3_成品倉2009-10-17ktp_加工厂報表" xfId="1520"/>
    <cellStyle name="_億春公司各品牌業務接單及生產分析表6-3_成品倉2009-10-17ktp_加工厂報表_anh loc" xfId="1521"/>
    <cellStyle name="_億春公司各品牌業務接單及生產分析表6-3_成品倉2009-10-17ktp_加工厂報表_anh loc_綜合報表一2014-11-1" xfId="1522"/>
    <cellStyle name="_億春公司各品牌業務接單及生產分析表6-3_成品倉2009-120tp" xfId="1523"/>
    <cellStyle name="_億春公司各品牌業務接單及生產分析表6-3_成品倉2009-120tp_anh loc" xfId="1524"/>
    <cellStyle name="_億春公司各品牌業務接單及生產分析表6-3_成品倉2009-120tp_anh loc_綜合報表一2014-11-1" xfId="1525"/>
    <cellStyle name="_億春公司各品牌業務接單及生產分析表6-3_成品倉2009-120tp_Thanh Lan 1 OK" xfId="1526"/>
    <cellStyle name="_億春公司各品牌業務接單及生產分析表6-3_成品倉2009-120tp_Thanh Lan 1 OK_anh loc" xfId="1527"/>
    <cellStyle name="_億春公司各品牌業務接單及生產分析表6-3_成品倉2009-120tp_Thanh Lan 1 OK_anh loc_綜合報表一2014-11-1" xfId="1528"/>
    <cellStyle name="_億春公司各品牌業務接單及生產分析表6-3_綜合報表2009-08-01" xfId="1529"/>
    <cellStyle name="_億春公司各品牌業務接單及生產分析表6-3_綜合報表2009-08-01_2009-10-06綜合報表" xfId="1530"/>
    <cellStyle name="_億春公司各品牌業務接單及生產分析表6-3_複製 -09- 綜合報表" xfId="1531"/>
    <cellStyle name="_億春公司各品牌業務接單及生產分析表6-3_複製 -11月份各廠KPI評比狀況" xfId="1532"/>
    <cellStyle name="_億春公司各品牌業務接單及生產分析表6-6" xfId="1533"/>
    <cellStyle name="_億春公司各品牌業務接單及生產分析表6-6_2009-10-06綜合報表" xfId="1534"/>
    <cellStyle name="_億春公司各品牌業務接單及生產分析表6-6_2009-10-13" xfId="1535"/>
    <cellStyle name="_億春公司各品牌業務接單及生產分析表6-6_2009-10-17" xfId="1536"/>
    <cellStyle name="_億春公司各品牌業務接單及生產分析表6-6_2009-10-17_anh loc" xfId="1537"/>
    <cellStyle name="_億春公司各品牌業務接單及生產分析表6-6_2009-10-17_anh loc_綜合報表一2014-11-1" xfId="1538"/>
    <cellStyle name="_億春公司各品牌業務接單及生產分析表6-6_2009-10-17_Thanh Lan 1 OK" xfId="1539"/>
    <cellStyle name="_億春公司各品牌業務接單及生產分析表6-6_2009-10-17_Thanh Lan 1 OK_anh loc" xfId="1540"/>
    <cellStyle name="_億春公司各品牌業務接單及生產分析表6-6_2009-10-17_Thanh Lan 1 OK_anh loc_綜合報表一2014-11-1" xfId="1541"/>
    <cellStyle name="_億春公司各品牌業務接單及生產分析表6-6_2009-10-17_加工厂報表" xfId="1542"/>
    <cellStyle name="_億春公司各品牌業務接單及生產分析表6-6_2009-10-17_加工厂報表_anh loc" xfId="1543"/>
    <cellStyle name="_億春公司各品牌業務接單及生產分析表6-6_2009-10-17_加工厂報表_anh loc_綜合報表一2014-11-1" xfId="1544"/>
    <cellStyle name="_億春公司各品牌業務接單及生產分析表6-6_2009-10-8" xfId="1545"/>
    <cellStyle name="_億春公司各品牌業務接單及生產分析表6-6_2009-10-8_2009-10-12綜合報表" xfId="1546"/>
    <cellStyle name="_億春公司各品牌業務接單及生產分析表6-6_2009-10-8_2009-10-12綜合報表_anh loc" xfId="1547"/>
    <cellStyle name="_億春公司各品牌業務接單及生產分析表6-6_2009-10-8_2009-10-12綜合報表_anh loc_綜合報表一2014-11-1" xfId="1548"/>
    <cellStyle name="_億春公司各品牌業務接單及生產分析表6-6_2009-10-8_2009-10-12綜合報表_Thanh Lan 1 OK" xfId="1549"/>
    <cellStyle name="_億春公司各品牌業務接單及生產分析表6-6_2009-10-8_2009-10-12綜合報表_Thanh Lan 1 OK_anh loc" xfId="1550"/>
    <cellStyle name="_億春公司各品牌業務接單及生產分析表6-6_2009-10-8_2009-10-12綜合報表_Thanh Lan 1 OK_anh loc_綜合報表一2014-11-1" xfId="1551"/>
    <cellStyle name="_億春公司各品牌業務接單及生產分析表6-6_2009-10-8_2009-10-12綜合報表_加工厂報表" xfId="1552"/>
    <cellStyle name="_億春公司各品牌業務接單及生產分析表6-6_2009-10-8_2009-10-12綜合報表_加工厂報表_anh loc" xfId="1553"/>
    <cellStyle name="_億春公司各品牌業務接單及生產分析表6-6_2009-10-8_2009-10-12綜合報表_加工厂報表_anh loc_綜合報表一2014-11-1" xfId="1554"/>
    <cellStyle name="_億春公司各品牌業務接單及生產分析表6-6_2009-10-8_T Lan" xfId="1555"/>
    <cellStyle name="_億春公司各品牌業務接單及生產分析表6-6_2009-10-8_T Lan (1)" xfId="1556"/>
    <cellStyle name="_億春公司各品牌業務接單及生產分析表6-6_2009-10-8_T Lan (1)_anh loc" xfId="1557"/>
    <cellStyle name="_億春公司各品牌業務接單及生產分析表6-6_2009-10-8_T Lan (1)_anh loc_綜合報表一2014-11-1" xfId="1558"/>
    <cellStyle name="_億春公司各品牌業務接單及生產分析表6-6_2009-10-8_T Lan (1)_Thanh Lan 1 OK" xfId="1559"/>
    <cellStyle name="_億春公司各品牌業務接單及生產分析表6-6_2009-10-8_T Lan (1)_Thanh Lan 1 OK_anh loc" xfId="1560"/>
    <cellStyle name="_億春公司各品牌業務接單及生產分析表6-6_2009-10-8_T Lan (1)_Thanh Lan 1 OK_anh loc_綜合報表一2014-11-1" xfId="1561"/>
    <cellStyle name="_億春公司各品牌業務接單及生產分析表6-6_2009-10-8_T Lan (1)_加工厂報表" xfId="1562"/>
    <cellStyle name="_億春公司各品牌業務接單及生產分析表6-6_2009-10-8_T Lan (1)_加工厂報表_anh loc" xfId="1563"/>
    <cellStyle name="_億春公司各品牌業務接單及生產分析表6-6_2009-10-8_T Lan (1)_加工厂報表_anh loc_綜合報表一2014-11-1" xfId="1564"/>
    <cellStyle name="_億春公司各品牌業務接單及生產分析表6-6_2009-10-8_T Lan_anh loc" xfId="1565"/>
    <cellStyle name="_億春公司各品牌業務接單及生產分析表6-6_2009-10-8_T Lan_anh loc_綜合報表一2014-11-1" xfId="1566"/>
    <cellStyle name="_億春公司各品牌業務接單及生產分析表6-6_2009-10-8_T Lan_Thanh Lan 1 OK" xfId="1567"/>
    <cellStyle name="_億春公司各品牌業務接單及生產分析表6-6_2009-10-8_T Lan_Thanh Lan 1 OK_anh loc" xfId="1568"/>
    <cellStyle name="_億春公司各品牌業務接單及生產分析表6-6_2009-10-8_T Lan_Thanh Lan 1 OK_anh loc_綜合報表一2014-11-1" xfId="1569"/>
    <cellStyle name="_億春公司各品牌業務接單及生產分析表6-6_2009-10-8_T Lan_加工厂報表" xfId="1570"/>
    <cellStyle name="_億春公司各品牌業務接單及生產分析表6-6_2009-10-8_T Lan_加工厂報表_anh loc" xfId="1571"/>
    <cellStyle name="_億春公司各品牌業務接單及生產分析表6-6_2009-10-8_T Lan_加工厂報表_anh loc_綜合報表一2014-11-1" xfId="1572"/>
    <cellStyle name="_億春公司各品牌業務接單及生產分析表6-6_2009-10-8_thanh lan (2)" xfId="1573"/>
    <cellStyle name="_億春公司各品牌業務接單及生產分析表6-6_2009-10-8_thanh lan (2)_anh loc" xfId="1574"/>
    <cellStyle name="_億春公司各品牌業務接單及生產分析表6-6_2009-10-8_thanh lan (2)_anh loc_綜合報表一2014-11-1" xfId="1575"/>
    <cellStyle name="_億春公司各品牌業務接單及生產分析表6-6_2009-10-8_thanh lan (2)_Thanh Lan 1 OK" xfId="1576"/>
    <cellStyle name="_億春公司各品牌業務接單及生產分析表6-6_2009-10-8_thanh lan (2)_Thanh Lan 1 OK_anh loc" xfId="1577"/>
    <cellStyle name="_億春公司各品牌業務接單及生產分析表6-6_2009-10-8_thanh lan (2)_Thanh Lan 1 OK_anh loc_綜合報表一2014-11-1" xfId="1578"/>
    <cellStyle name="_億春公司各品牌業務接單及生產分析表6-6_2009-10-8_thanh lan (2)_加工厂報表" xfId="1579"/>
    <cellStyle name="_億春公司各品牌業務接單及生產分析表6-6_2009-10-8_thanh lan (2)_加工厂報表_anh loc" xfId="1580"/>
    <cellStyle name="_億春公司各品牌業務接單及生產分析表6-6_2009-10-8_thanh lan (2)_加工厂報表_anh loc_綜合報表一2014-11-1" xfId="1581"/>
    <cellStyle name="_億春公司各品牌業務接單及生產分析表6-6_2009-12-8" xfId="1582"/>
    <cellStyle name="_億春公司各品牌業務接單及生產分析表6-6_2009-12-8_anh loc" xfId="1583"/>
    <cellStyle name="_億春公司各品牌業務接單及生產分析表6-6_2009-12-8_anh loc_綜合報表一2014-11-1" xfId="1584"/>
    <cellStyle name="_億春公司各品牌業務接單及生產分析表6-6_2009-12-8_Thanh Lan 1 OK" xfId="1585"/>
    <cellStyle name="_億春公司各品牌業務接單及生產分析表6-6_2009-12-8_Thanh Lan 1 OK_anh loc" xfId="1586"/>
    <cellStyle name="_億春公司各品牌業務接單及生產分析表6-6_2009-12-8_Thanh Lan 1 OK_anh loc_綜合報表一2014-11-1" xfId="1587"/>
    <cellStyle name="_億春公司各品牌業務接單及生產分析表6-6_2009-12-8_加工厂報表" xfId="1588"/>
    <cellStyle name="_億春公司各品牌業務接單及生產分析表6-6_2009-12-8_加工厂報表_anh loc" xfId="1589"/>
    <cellStyle name="_億春公司各品牌業務接單及生產分析表6-6_2009-12-8_加工厂報表_anh loc_綜合報表一2014-11-1" xfId="1590"/>
    <cellStyle name="_億春公司各品牌業務接單及生產分析表6-6_2010-1-23" xfId="1591"/>
    <cellStyle name="_億春公司各品牌業務接單及生產分析表6-6_2010-1-23_anh loc" xfId="1592"/>
    <cellStyle name="_億春公司各品牌業務接單及生產分析表6-6_2010-1-23_anh loc_綜合報表一2014-11-1" xfId="1593"/>
    <cellStyle name="_億春公司各品牌業務接單及生產分析表6-6_6-1.月份KPI評比" xfId="1594"/>
    <cellStyle name="_億春公司各品牌業務接單及生產分析表6-6_成品倉2009-10-13-ktp" xfId="1595"/>
    <cellStyle name="_億春公司各品牌業務接單及生產分析表6-6_成品倉2009-10-13-ktp_1" xfId="1596"/>
    <cellStyle name="_億春公司各品牌業務接單及生產分析表6-6_成品倉2009-10-13-ktp_1_anh loc" xfId="1597"/>
    <cellStyle name="_億春公司各品牌業務接單及生產分析表6-6_成品倉2009-10-13-ktp_1_anh loc_綜合報表一2014-11-1" xfId="1598"/>
    <cellStyle name="_億春公司各品牌業務接單及生產分析表6-6_成品倉2009-10-13-ktp_1_Thanh Lan 1 OK" xfId="1599"/>
    <cellStyle name="_億春公司各品牌業務接單及生產分析表6-6_成品倉2009-10-13-ktp_1_Thanh Lan 1 OK_anh loc" xfId="1600"/>
    <cellStyle name="_億春公司各品牌業務接單及生產分析表6-6_成品倉2009-10-13-ktp_1_Thanh Lan 1 OK_anh loc_綜合報表一2014-11-1" xfId="1601"/>
    <cellStyle name="_億春公司各品牌業務接單及生產分析表6-6_成品倉2009-10-13-ktp_1_加工厂報表" xfId="1602"/>
    <cellStyle name="_億春公司各品牌業務接單及生產分析表6-6_成品倉2009-10-13-ktp_1_加工厂報表_anh loc" xfId="1603"/>
    <cellStyle name="_億春公司各品牌業務接單及生產分析表6-6_成品倉2009-10-13-ktp_1_加工厂報表_anh loc_綜合報表一2014-11-1" xfId="1604"/>
    <cellStyle name="_億春公司各品牌業務接單及生產分析表6-6_成品倉2009-10-17ktp" xfId="1605"/>
    <cellStyle name="_億春公司各品牌業務接單及生產分析表6-6_成品倉2009-10-17ktp_anh loc" xfId="1606"/>
    <cellStyle name="_億春公司各品牌業務接單及生產分析表6-6_成品倉2009-10-17ktp_anh loc_綜合報表一2014-11-1" xfId="1607"/>
    <cellStyle name="_億春公司各品牌業務接單及生產分析表6-6_成品倉2009-10-17ktp_Thanh Lan 1 OK" xfId="1608"/>
    <cellStyle name="_億春公司各品牌業務接單及生產分析表6-6_成品倉2009-10-17ktp_Thanh Lan 1 OK_anh loc" xfId="1609"/>
    <cellStyle name="_億春公司各品牌業務接單及生產分析表6-6_成品倉2009-10-17ktp_Thanh Lan 1 OK_anh loc_綜合報表一2014-11-1" xfId="1610"/>
    <cellStyle name="_億春公司各品牌業務接單及生產分析表6-6_成品倉2009-10-17ktp_加工厂報表" xfId="1611"/>
    <cellStyle name="_億春公司各品牌業務接單及生產分析表6-6_成品倉2009-10-17ktp_加工厂報表_anh loc" xfId="1612"/>
    <cellStyle name="_億春公司各品牌業務接單及生產分析表6-6_成品倉2009-10-17ktp_加工厂報表_anh loc_綜合報表一2014-11-1" xfId="1613"/>
    <cellStyle name="_億春公司各品牌業務接單及生產分析表6-6_成品倉2009-120tp" xfId="1614"/>
    <cellStyle name="_億春公司各品牌業務接單及生產分析表6-6_成品倉2009-120tp_anh loc" xfId="1615"/>
    <cellStyle name="_億春公司各品牌業務接單及生產分析表6-6_成品倉2009-120tp_anh loc_綜合報表一2014-11-1" xfId="1616"/>
    <cellStyle name="_億春公司各品牌業務接單及生產分析表6-6_成品倉2009-120tp_Thanh Lan 1 OK" xfId="1617"/>
    <cellStyle name="_億春公司各品牌業務接單及生產分析表6-6_成品倉2009-120tp_Thanh Lan 1 OK_anh loc" xfId="1618"/>
    <cellStyle name="_億春公司各品牌業務接單及生產分析表6-6_成品倉2009-120tp_Thanh Lan 1 OK_anh loc_綜合報表一2014-11-1" xfId="1619"/>
    <cellStyle name="_億春公司各品牌業務接單及生產分析表6-6_綜合報表2009-08-01" xfId="1620"/>
    <cellStyle name="_億春公司各品牌業務接單及生產分析表6-6_綜合報表2009-08-01_2009-10-06綜合報表" xfId="1621"/>
    <cellStyle name="_億春公司各品牌業務接單及生產分析表6-6_複製 -09- 綜合報表" xfId="1622"/>
    <cellStyle name="_億春公司各品牌業務接單及生產分析表6-6_複製 -11月份各廠KPI評比狀況" xfId="1623"/>
    <cellStyle name="_億春公司各品牌業務接單及生產分析表9-19" xfId="1624"/>
    <cellStyle name="_億春公司各品牌業務接單及生產分析表9-19_2009-10-06綜合報表" xfId="1625"/>
    <cellStyle name="_億春公司各品牌業務接單及生產分析表9-23 (2)" xfId="1626"/>
    <cellStyle name="_億春公司各品牌業務接單及生產分析表9-23 (2)_2009-10-06綜合報表" xfId="1627"/>
    <cellStyle name="_億春公司各品牌業務接單及生產分析表9-23 (2)_2009-10-06綜合報表_2009-10-12綜合報表" xfId="1628"/>
    <cellStyle name="_億春公司各品牌業務接單及生產分析表9-23 (2)_2009-10-06綜合報表_2009-10-16綜合報表" xfId="1629"/>
    <cellStyle name="_億春公司各品牌業務接單及生產分析表9-23 (2)_2009-10-06綜合報表_2009-11-04綜合報表" xfId="1630"/>
    <cellStyle name="_億春公司各品牌業務接單及生產分析表9-23 (2)_2009-10-06綜合報表_2009-11-30綜合報表" xfId="1631"/>
    <cellStyle name="_億春公司各品牌業務接單及生產分析表9-23 (2)_2009-10-06綜合報表_2009-11-7(1)" xfId="1632"/>
    <cellStyle name="_億春公司各品牌業務接單及生產分析表9-23 (2)_2009-10-06綜合報表_2009-20-11(1)" xfId="1633"/>
    <cellStyle name="_億春公司各品牌業務接單及生產分析表9-23 (2)_2009-10-06綜合報表_9876543 (ExcelFIX)" xfId="1634"/>
    <cellStyle name="_億春公司各品牌業務接單及生產分析表9-23 (2)_2009-10-06綜合報表_T Lan" xfId="1635"/>
    <cellStyle name="_億春公司各品牌業務接單及生產分析表9-23 (2)_2009-10-06綜合報表_T Lan (1)" xfId="1636"/>
    <cellStyle name="_億春公司各品牌業務接單及生產分析表9-23 (2)_2009-10-06綜合報表_thanh lan (2)" xfId="1637"/>
    <cellStyle name="_億春公司各品牌業務接單及生產分析表9-23 (2)_2009-10-06綜合報表_企劃生管-阿綠的報表10-22" xfId="1638"/>
    <cellStyle name="_億春公司各品牌業務接單及生產分析表9-23 (2)_2009-10-06綜合報表_企劃生管-阿綠的報表11-04 (2)" xfId="1639"/>
    <cellStyle name="_億春公司各品牌業務接單及生產分析表9-23 (2)_2009-10-06綜合報表_企劃生管-阿綠的報表11-05" xfId="1640"/>
    <cellStyle name="_億春公司各品牌業務接單及生產分析表9-23 (2)_2009-10-06綜合報表_企劃生管-阿綠的報表11-06" xfId="1641"/>
    <cellStyle name="_億春公司各品牌業務接單及生產分析表9-23 (2)_2009-10-06綜合報表_企劃生管-阿綠的報表11-09" xfId="1642"/>
    <cellStyle name="_億春公司各品牌業務接單及生產分析表9-23 (2)_2009-10-06綜合報表_企劃生管-阿綠的報表11-10" xfId="1643"/>
    <cellStyle name="_億春公司各品牌業務接單及生產分析表9-23 (2)_2009-10-06綜合報表_企劃生管-阿綠的報表11-11" xfId="1644"/>
    <cellStyle name="_億春公司各品牌業務接單及生產分析表9-23 (2)_2009-10-06綜合報表_企劃生管-阿綠的報表11-14" xfId="1645"/>
    <cellStyle name="_億春公司各品牌業務接單及生產分析表9-23 (2)_2009-10-06綜合報表_企劃生管-阿綠的報表12-01" xfId="1646"/>
    <cellStyle name="_億春公司各品牌業務接單及生產分析表9-23 (2)_2009-10-06綜合報表_複製 -2009-11-10綜合報表" xfId="1647"/>
    <cellStyle name="_億春公司各品牌業務接單及生產分析表9-23 (2)_2009-10-12綜合報表" xfId="1648"/>
    <cellStyle name="_億春公司各品牌業務接單及生產分析表9-23 (2)_2009-10-16綜合報表" xfId="1649"/>
    <cellStyle name="_億春公司各品牌業務接單及生產分析表9-23 (2)_2009-11-04綜合報表" xfId="1650"/>
    <cellStyle name="_億春公司各品牌業務接單及生產分析表9-23 (2)_2009-11-30綜合報表" xfId="1651"/>
    <cellStyle name="_億春公司各品牌業務接單及生產分析表9-23 (2)_2009-11-7(1)" xfId="1652"/>
    <cellStyle name="_億春公司各品牌業務接單及生產分析表9-23 (2)_2009-20-11(1)" xfId="1653"/>
    <cellStyle name="_億春公司各品牌業務接單及生產分析表9-23 (2)_9876543 (ExcelFIX)" xfId="1654"/>
    <cellStyle name="_億春公司各品牌業務接單及生產分析表9-23 (2)_T Lan" xfId="1655"/>
    <cellStyle name="_億春公司各品牌業務接單及生產分析表9-23 (2)_T Lan (1)" xfId="1656"/>
    <cellStyle name="_億春公司各品牌業務接單及生產分析表9-23 (2)_thanh lan (2)" xfId="1657"/>
    <cellStyle name="_億春公司各品牌業務接單及生產分析表9-23 (2)_企劃生管-阿綠的報表10-22" xfId="1658"/>
    <cellStyle name="_億春公司各品牌業務接單及生產分析表9-23 (2)_企劃生管-阿綠的報表11-04 (2)" xfId="1659"/>
    <cellStyle name="_億春公司各品牌業務接單及生產分析表9-23 (2)_企劃生管-阿綠的報表11-05" xfId="1660"/>
    <cellStyle name="_億春公司各品牌業務接單及生產分析表9-23 (2)_企劃生管-阿綠的報表11-06" xfId="1661"/>
    <cellStyle name="_億春公司各品牌業務接單及生產分析表9-23 (2)_企劃生管-阿綠的報表11-09" xfId="1662"/>
    <cellStyle name="_億春公司各品牌業務接單及生產分析表9-23 (2)_企劃生管-阿綠的報表11-10" xfId="1663"/>
    <cellStyle name="_億春公司各品牌業務接單及生產分析表9-23 (2)_企劃生管-阿綠的報表11-11" xfId="1664"/>
    <cellStyle name="_億春公司各品牌業務接單及生產分析表9-23 (2)_企劃生管-阿綠的報表11-14" xfId="1665"/>
    <cellStyle name="_億春公司各品牌業務接單及生產分析表9-23 (2)_企劃生管-阿綠的報表12-01" xfId="1666"/>
    <cellStyle name="_億春公司各品牌業務接單及生產分析表9-23 (2)_複製 -2009-11-10綜合報表" xfId="1667"/>
    <cellStyle name="_複本 2009-05月資料洭總 BBTUAN" xfId="1668"/>
    <cellStyle name="_複本 2009-05月資料洭總 BBTUAN_2009-10-13" xfId="1669"/>
    <cellStyle name="_複本 2009-05月資料洭總 BBTUAN_2009-10-17" xfId="1670"/>
    <cellStyle name="_複本 2009-05月資料洭總 BBTUAN_2009-10-8" xfId="1671"/>
    <cellStyle name="_複本 2009-05月資料洭總 BBTUAN_2009-10-8_2009-10-12綜合報表" xfId="1672"/>
    <cellStyle name="_複本 2009-05月資料洭總 BBTUAN_2009-10-8_T Lan" xfId="1673"/>
    <cellStyle name="_複本 2009-05月資料洭總 BBTUAN_2009-10-8_T Lan (1)" xfId="1674"/>
    <cellStyle name="_複本 2009-05月資料洭總 BBTUAN_2009-10-8_thanh lan (2)" xfId="1675"/>
    <cellStyle name="_複本 2009-05月資料洭總 BBTUAN_2009-10均時產" xfId="1676"/>
    <cellStyle name="_複本 2009-05月資料洭總 BBTUAN_2009-10均時產_2009-10-12綜合報表" xfId="1677"/>
    <cellStyle name="_複本 2009-05月資料洭總 BBTUAN_2009-10均時產_9876543 (ExcelFIX)" xfId="1678"/>
    <cellStyle name="_複本 2009-05月資料洭總 BBTUAN_2009-10均時產_9876543 (ExcelFIX)_2009-10-12綜合報表" xfId="1679"/>
    <cellStyle name="_複本 2009-05月資料洭總 BBTUAN_2009-10均時產_9876543 (ExcelFIX)_T Lan" xfId="1680"/>
    <cellStyle name="_複本 2009-05月資料洭總 BBTUAN_2009-10均時產_9876543 (ExcelFIX)_T Lan (1)" xfId="1681"/>
    <cellStyle name="_複本 2009-05月資料洭總 BBTUAN_2009-10均時產_9876543 (ExcelFIX)_thanh lan (2)" xfId="1682"/>
    <cellStyle name="_複本 2009-05月資料洭總 BBTUAN_2009-10均時產_T Lan" xfId="1683"/>
    <cellStyle name="_複本 2009-05月資料洭總 BBTUAN_2009-10均時產_T Lan (1)" xfId="1684"/>
    <cellStyle name="_複本 2009-05月資料洭總 BBTUAN_2009-10均時產_thanh lan (2)" xfId="1685"/>
    <cellStyle name="_複本 2009-05月資料洭總 BBTUAN_2009-12-8" xfId="1686"/>
    <cellStyle name="_複本 2009-05月資料洭總 BBTUAN_2010-1-23" xfId="1687"/>
    <cellStyle name="_複本 2009-05月資料洭總 BBTUAN_6-1.月份KPI評比" xfId="1688"/>
    <cellStyle name="_複本 2009-05月資料洭總 BBTUAN_成品倉2009-10-13-ktp" xfId="1689"/>
    <cellStyle name="_複本 2009-05月資料洭總 BBTUAN_成品倉2009-10-13-ktp_1" xfId="1690"/>
    <cellStyle name="_複本 2009-05月資料洭總 BBTUAN_成品倉2009-10-17ktp" xfId="1691"/>
    <cellStyle name="_複本 2009-05月資料洭總 BBTUAN_成品倉2009-120tp" xfId="1692"/>
    <cellStyle name="_複本 2009-05月資料洭總 BBTUAN_綜合報表2009-08-01" xfId="1693"/>
    <cellStyle name="_複本 2009-05月資料洭總 BBTUAN_複製 -09- 綜合報表" xfId="1694"/>
    <cellStyle name="_複本 2009-05月資料洭總 BBTUAN_複製 -11月份各廠KPI評比狀況" xfId="1695"/>
    <cellStyle name="_複本 億春年度接單計劃總表10-8" xfId="1696"/>
    <cellStyle name="_複本 億春年度接單計劃總表10-8_2009-10-12綜合報表" xfId="1697"/>
    <cellStyle name="_複本 億春年度接單計劃總表10-8_2009-10-16綜合報表" xfId="1698"/>
    <cellStyle name="_複本 億春年度接單計劃總表10-8_2009-11-04綜合報表" xfId="1699"/>
    <cellStyle name="_複本 億春年度接單計劃總表10-8_2009-11-30綜合報表" xfId="1700"/>
    <cellStyle name="_複本 億春年度接單計劃總表10-8_2009-11-7(1)" xfId="1701"/>
    <cellStyle name="_複本 億春年度接單計劃總表10-8_2009-20-11(1)" xfId="1702"/>
    <cellStyle name="_複本 億春年度接單計劃總表10-8_T Lan" xfId="1703"/>
    <cellStyle name="_複本 億春年度接單計劃總表10-8_T Lan (1)" xfId="1704"/>
    <cellStyle name="_複本 億春年度接單計劃總表10-8_thanh lan (2)" xfId="1705"/>
    <cellStyle name="_複本 億春年度接單計劃總表10-8_企劃生管-阿綠的報表10-22" xfId="1706"/>
    <cellStyle name="_複本 億春年度接單計劃總表10-8_企劃生管-阿綠的報表11-04 (2)" xfId="1707"/>
    <cellStyle name="_複本 億春年度接單計劃總表10-8_企劃生管-阿綠的報表11-05" xfId="1708"/>
    <cellStyle name="_複本 億春年度接單計劃總表10-8_企劃生管-阿綠的報表11-06" xfId="1709"/>
    <cellStyle name="_複本 億春年度接單計劃總表10-8_企劃生管-阿綠的報表11-09" xfId="1710"/>
    <cellStyle name="_複本 億春年度接單計劃總表10-8_企劃生管-阿綠的報表11-10" xfId="1711"/>
    <cellStyle name="_複本 億春年度接單計劃總表10-8_企劃生管-阿綠的報表11-11" xfId="1712"/>
    <cellStyle name="_複本 億春年度接單計劃總表10-8_企劃生管-阿綠的報表11-14" xfId="1713"/>
    <cellStyle name="_複本 億春年度接單計劃總表10-8_企劃生管-阿綠的報表12-01" xfId="1714"/>
    <cellStyle name="_複本 億春年度接單計劃總表10-8_複製 -2009-11-10綜合報表" xfId="1715"/>
    <cellStyle name="_複本08-12-2009老化料補料金額" xfId="1716"/>
    <cellStyle name="_複本08-12-2009老化料補料金額_人均時產2010年 ok" xfId="1717"/>
    <cellStyle name="_複本16-10-2009老化料補料金額" xfId="1718"/>
    <cellStyle name="_複本16-10-2009老化料補料金額_人均時產2010年 ok" xfId="1719"/>
    <cellStyle name="_複製 -09- 綜合報表" xfId="1720"/>
    <cellStyle name="_複製 -09- 綜合報表_2009-10-06綜合報表" xfId="1721"/>
    <cellStyle name="_複製 -11月份各廠KPI評比狀況" xfId="1722"/>
    <cellStyle name="20% - 强调文字颜色 1" xfId="1723"/>
    <cellStyle name="20% - 强调文字颜色 2" xfId="1724"/>
    <cellStyle name="20% - 强调文字颜色 3" xfId="1725"/>
    <cellStyle name="20% - 强调文字颜色 4" xfId="1726"/>
    <cellStyle name="20% - 强调文字颜色 5" xfId="1727"/>
    <cellStyle name="20% - 强调文字颜色 6" xfId="1728"/>
    <cellStyle name="40% - 强调文字颜色 1" xfId="1729"/>
    <cellStyle name="40% - 强调文字颜色 2" xfId="1730"/>
    <cellStyle name="40% - 强调文字颜色 3" xfId="1731"/>
    <cellStyle name="40% - 强调文字颜色 4" xfId="1732"/>
    <cellStyle name="40% - 强调文字颜色 5" xfId="1733"/>
    <cellStyle name="40% - 强调文字颜色 6" xfId="1734"/>
    <cellStyle name="60% - 强调文字颜色 1" xfId="1735"/>
    <cellStyle name="60% - 强调文字颜色 2" xfId="1736"/>
    <cellStyle name="60% - 强调文字颜色 3" xfId="1737"/>
    <cellStyle name="60% - 强调文字颜色 4" xfId="1738"/>
    <cellStyle name="60% - 强调文字颜色 5" xfId="1739"/>
    <cellStyle name="60% - 强调文字颜色 6" xfId="1740"/>
    <cellStyle name="Comma 2" xfId="2"/>
    <cellStyle name="Comma 3" xfId="3"/>
    <cellStyle name="Comma_綜合報表一25-thang9" xfId="2175"/>
    <cellStyle name="Excel.Chart" xfId="4"/>
    <cellStyle name="N__05月份生產尾_05月份生產尾數追蹤表 05.21_05月份生產尾數追蹤表 05.27_05月份生產尾數追蹤表 05.28 (1)_06月份生產尾數追蹤表 06.07_06月份生產尾數追蹤表 06.09_06月份生產尾數追蹤表 06.14" xfId="1741"/>
    <cellStyle name="Normal 10" xfId="2170"/>
    <cellStyle name="Normal 129" xfId="2122"/>
    <cellStyle name="Normal 13" xfId="1742"/>
    <cellStyle name="Normal 13 2" xfId="2123"/>
    <cellStyle name="Normal 14" xfId="1743"/>
    <cellStyle name="Normal 14 2" xfId="2124"/>
    <cellStyle name="Normal 15" xfId="1744"/>
    <cellStyle name="Normal 15 2" xfId="2125"/>
    <cellStyle name="Normal 16" xfId="1745"/>
    <cellStyle name="Normal 16 2" xfId="2126"/>
    <cellStyle name="Normal 163" xfId="2127"/>
    <cellStyle name="Normal 17" xfId="1746"/>
    <cellStyle name="Normal 17 2" xfId="2128"/>
    <cellStyle name="Normal 18" xfId="1747"/>
    <cellStyle name="Normal 18 2" xfId="2129"/>
    <cellStyle name="Normal 19" xfId="1748"/>
    <cellStyle name="Normal 19 2" xfId="2130"/>
    <cellStyle name="Normal 192" xfId="2131"/>
    <cellStyle name="Normal 197" xfId="2132"/>
    <cellStyle name="Normal 2" xfId="2121"/>
    <cellStyle name="Normal 2 10" xfId="2166"/>
    <cellStyle name="Normal 2 11" xfId="2168"/>
    <cellStyle name="Normal 2 12" xfId="2171"/>
    <cellStyle name="Normal 2 13" xfId="2173"/>
    <cellStyle name="Normal 2 2" xfId="5"/>
    <cellStyle name="Normal 2 3" xfId="6"/>
    <cellStyle name="Normal 2 4" xfId="7"/>
    <cellStyle name="Normal 2 5" xfId="2151"/>
    <cellStyle name="Normal 2 6" xfId="2155"/>
    <cellStyle name="Normal 2 7" xfId="2157"/>
    <cellStyle name="Normal 2 8" xfId="2160"/>
    <cellStyle name="Normal 2 9" xfId="2162"/>
    <cellStyle name="Normal 20" xfId="1749"/>
    <cellStyle name="Normal 20 2" xfId="2133"/>
    <cellStyle name="Normal 202" xfId="2134"/>
    <cellStyle name="Normal 21" xfId="1750"/>
    <cellStyle name="Normal 21 2" xfId="2135"/>
    <cellStyle name="Normal 211" xfId="2136"/>
    <cellStyle name="Normal 213" xfId="2137"/>
    <cellStyle name="Normal 214" xfId="2138"/>
    <cellStyle name="Normal 215" xfId="2139"/>
    <cellStyle name="Normal 216" xfId="2140"/>
    <cellStyle name="Normal 217" xfId="2141"/>
    <cellStyle name="Normal 218" xfId="2142"/>
    <cellStyle name="Normal 219" xfId="2143"/>
    <cellStyle name="Normal 22" xfId="1751"/>
    <cellStyle name="Normal 22 2" xfId="2144"/>
    <cellStyle name="Normal 220" xfId="2145"/>
    <cellStyle name="Normal 23" xfId="1752"/>
    <cellStyle name="Normal 23 2" xfId="2146"/>
    <cellStyle name="Normal 24" xfId="1753"/>
    <cellStyle name="Normal 24 2" xfId="2147"/>
    <cellStyle name="Normal 3" xfId="8"/>
    <cellStyle name="Normal 4" xfId="2150"/>
    <cellStyle name="Normal 4 10" xfId="2174"/>
    <cellStyle name="Normal 4 2" xfId="2152"/>
    <cellStyle name="Normal 4 3" xfId="2156"/>
    <cellStyle name="Normal 4 4" xfId="2158"/>
    <cellStyle name="Normal 4 5" xfId="2161"/>
    <cellStyle name="Normal 4 6" xfId="2163"/>
    <cellStyle name="Normal 4 7" xfId="2167"/>
    <cellStyle name="Normal 4 8" xfId="2169"/>
    <cellStyle name="Normal 4 9" xfId="2172"/>
    <cellStyle name="Normal 5" xfId="2164"/>
    <cellStyle name="Normal 6" xfId="2153"/>
    <cellStyle name="Normal 68" xfId="1754"/>
    <cellStyle name="Normal 7" xfId="2154"/>
    <cellStyle name="Normal 71" xfId="1755"/>
    <cellStyle name="Normal 8" xfId="2159"/>
    <cellStyle name="Normal 9" xfId="2165"/>
    <cellStyle name="Normal 91" xfId="2099"/>
    <cellStyle name="Normal 92" xfId="2100"/>
    <cellStyle name="Normal 93" xfId="2101"/>
    <cellStyle name="Normal 94" xfId="2102"/>
    <cellStyle name="Normal_2A78D000" xfId="9"/>
    <cellStyle name="Normal_4~6月份預計出貨出數量4-10 xuat hang" xfId="10"/>
    <cellStyle name="Normal_Sheet1" xfId="2176"/>
    <cellStyle name="oft Excel]_x000d_&#10;Comment=The open=/f lines load custom functions into the Paste Function list._x000d_&#10;Maximized=3_x000d_&#10;AutoFormat=" xfId="11"/>
    <cellStyle name="Percent 2" xfId="12"/>
    <cellStyle name="Percent 3" xfId="13"/>
    <cellStyle name="Style 1" xfId="14"/>
    <cellStyle name="Style 1 10" xfId="2108"/>
    <cellStyle name="Style 1 11" xfId="2115"/>
    <cellStyle name="Style 1 12" xfId="2117"/>
    <cellStyle name="Style 1 13" xfId="2119"/>
    <cellStyle name="Style 1 2" xfId="1756"/>
    <cellStyle name="Style 1 2 10" xfId="2118"/>
    <cellStyle name="Style 1 2 11" xfId="2120"/>
    <cellStyle name="Style 1 2 2" xfId="1757"/>
    <cellStyle name="Style 1 2 3" xfId="2114"/>
    <cellStyle name="Style 1 2 4" xfId="2103"/>
    <cellStyle name="Style 1 2 5" xfId="2112"/>
    <cellStyle name="Style 1 2 6" xfId="2105"/>
    <cellStyle name="Style 1 2 7" xfId="2110"/>
    <cellStyle name="Style 1 2 8" xfId="2107"/>
    <cellStyle name="Style 1 2 9" xfId="2116"/>
    <cellStyle name="Style 1 3" xfId="1758"/>
    <cellStyle name="Style 1 4" xfId="15"/>
    <cellStyle name="Style 1 4 2" xfId="2148"/>
    <cellStyle name="Style 1 5" xfId="2113"/>
    <cellStyle name="Style 1 6" xfId="2104"/>
    <cellStyle name="Style 1 7" xfId="2111"/>
    <cellStyle name="Style 1 8" xfId="2106"/>
    <cellStyle name="Style 1 9" xfId="2109"/>
    <cellStyle name="一般" xfId="0" builtinId="0"/>
    <cellStyle name="一般_2009-12-16綜合報表" xfId="16"/>
    <cellStyle name="一般_2009-4-25各廠人員分攤" xfId="17"/>
    <cellStyle name="一般_2010-01-01綜合報表" xfId="2178"/>
    <cellStyle name="一般_複製 -2009年06月-01億春產能狀況表" xfId="2179"/>
    <cellStyle name="千分位" xfId="2177" builtinId="3"/>
    <cellStyle name="好_2009-10-13" xfId="1759"/>
    <cellStyle name="好_2009-10-17" xfId="1760"/>
    <cellStyle name="好_2009-10-17_anh loc" xfId="1761"/>
    <cellStyle name="好_2009-10-17_綜合報表一2013-08-12" xfId="1762"/>
    <cellStyle name="好_2009-10-17_綜合報表一2013-08-12_anh loc" xfId="1763"/>
    <cellStyle name="好_2009-10-17_綜合報表一2013-08-12_anh loc_1" xfId="1764"/>
    <cellStyle name="好_2009-10-17_綜合報表一2013-08-12_綜合報表一2014-11-1" xfId="1765"/>
    <cellStyle name="好_2009-10-17_綜合報表一2013-08-13" xfId="1766"/>
    <cellStyle name="好_2009-10-8" xfId="1767"/>
    <cellStyle name="好_2009-10-8_2009-10-12綜合報表" xfId="1768"/>
    <cellStyle name="好_2009-10-8_2009-10-12綜合報表_anh loc" xfId="1769"/>
    <cellStyle name="好_2009-10-8_2009-10-12綜合報表_綜合報表一2013-08-12" xfId="1770"/>
    <cellStyle name="好_2009-10-8_2009-10-12綜合報表_綜合報表一2013-08-12_anh loc" xfId="1771"/>
    <cellStyle name="好_2009-10-8_2009-10-12綜合報表_綜合報表一2013-08-12_anh loc_1" xfId="1772"/>
    <cellStyle name="好_2009-10-8_2009-10-12綜合報表_綜合報表一2013-08-12_綜合報表一2014-11-1" xfId="1773"/>
    <cellStyle name="好_2009-10-8_2009-10-12綜合報表_綜合報表一2013-08-13" xfId="1774"/>
    <cellStyle name="好_2009-10-8_T Lan" xfId="1775"/>
    <cellStyle name="好_2009-10-8_T Lan (1)" xfId="1776"/>
    <cellStyle name="好_2009-10-8_T Lan (1)_anh loc" xfId="1777"/>
    <cellStyle name="好_2009-10-8_T Lan (1)_綜合報表一2013-08-12" xfId="1778"/>
    <cellStyle name="好_2009-10-8_T Lan (1)_綜合報表一2013-08-12_anh loc" xfId="1779"/>
    <cellStyle name="好_2009-10-8_T Lan (1)_綜合報表一2013-08-12_anh loc_1" xfId="1780"/>
    <cellStyle name="好_2009-10-8_T Lan (1)_綜合報表一2013-08-12_綜合報表一2014-11-1" xfId="1781"/>
    <cellStyle name="好_2009-10-8_T Lan (1)_綜合報表一2013-08-13" xfId="1782"/>
    <cellStyle name="好_2009-10-8_T Lan_anh loc" xfId="1783"/>
    <cellStyle name="好_2009-10-8_T Lan_綜合報表一2013-08-12" xfId="1784"/>
    <cellStyle name="好_2009-10-8_T Lan_綜合報表一2013-08-12_anh loc" xfId="1785"/>
    <cellStyle name="好_2009-10-8_T Lan_綜合報表一2013-08-12_anh loc_1" xfId="1786"/>
    <cellStyle name="好_2009-10-8_T Lan_綜合報表一2013-08-12_綜合報表一2014-11-1" xfId="1787"/>
    <cellStyle name="好_2009-10-8_T Lan_綜合報表一2013-08-13" xfId="1788"/>
    <cellStyle name="好_2009-10-8_thanh lan (2)" xfId="1789"/>
    <cellStyle name="好_2009-10-8_thanh lan (2)_anh loc" xfId="1790"/>
    <cellStyle name="好_2009-10-8_thanh lan (2)_綜合報表一2013-08-12" xfId="1791"/>
    <cellStyle name="好_2009-10-8_thanh lan (2)_綜合報表一2013-08-12_anh loc" xfId="1792"/>
    <cellStyle name="好_2009-10-8_thanh lan (2)_綜合報表一2013-08-12_anh loc_1" xfId="1793"/>
    <cellStyle name="好_2009-10-8_thanh lan (2)_綜合報表一2013-08-12_綜合報表一2014-11-1" xfId="1794"/>
    <cellStyle name="好_2009-10-8_thanh lan (2)_綜合報表一2013-08-13" xfId="1795"/>
    <cellStyle name="好_2009-10均時產" xfId="1796"/>
    <cellStyle name="好_2009-10均時產_2009-10-12綜合報表" xfId="1797"/>
    <cellStyle name="好_2009-10均時產_2009-10-12綜合報表_anh loc" xfId="1798"/>
    <cellStyle name="好_2009-10均時產_2009-10-12綜合報表_綜合報表一2013-08-12" xfId="1799"/>
    <cellStyle name="好_2009-10均時產_2009-10-12綜合報表_綜合報表一2013-08-12_anh loc" xfId="1800"/>
    <cellStyle name="好_2009-10均時產_2009-10-12綜合報表_綜合報表一2013-08-12_anh loc_1" xfId="1801"/>
    <cellStyle name="好_2009-10均時產_2009-10-12綜合報表_綜合報表一2013-08-12_綜合報表一2014-11-1" xfId="1802"/>
    <cellStyle name="好_2009-10均時產_2009-10-12綜合報表_綜合報表一2013-08-13" xfId="1803"/>
    <cellStyle name="好_2009-10均時產_9876543 (ExcelFIX)" xfId="1804"/>
    <cellStyle name="好_2009-10均時產_9876543 (ExcelFIX)_2009-10-12綜合報表" xfId="1805"/>
    <cellStyle name="好_2009-10均時產_9876543 (ExcelFIX)_T Lan" xfId="1806"/>
    <cellStyle name="好_2009-10均時產_9876543 (ExcelFIX)_T Lan (1)" xfId="1807"/>
    <cellStyle name="好_2009-10均時產_9876543 (ExcelFIX)_thanh lan (2)" xfId="1808"/>
    <cellStyle name="好_2009-10均時產_T Lan" xfId="1809"/>
    <cellStyle name="好_2009-10均時產_T Lan (1)" xfId="1810"/>
    <cellStyle name="好_2009-10均時產_T Lan (1)_anh loc" xfId="1811"/>
    <cellStyle name="好_2009-10均時產_T Lan (1)_綜合報表一2013-08-12" xfId="1812"/>
    <cellStyle name="好_2009-10均時產_T Lan (1)_綜合報表一2013-08-12_anh loc" xfId="1813"/>
    <cellStyle name="好_2009-10均時產_T Lan (1)_綜合報表一2013-08-12_anh loc_1" xfId="1814"/>
    <cellStyle name="好_2009-10均時產_T Lan (1)_綜合報表一2013-08-12_綜合報表一2014-11-1" xfId="1815"/>
    <cellStyle name="好_2009-10均時產_T Lan (1)_綜合報表一2013-08-13" xfId="1816"/>
    <cellStyle name="好_2009-10均時產_T Lan_anh loc" xfId="1817"/>
    <cellStyle name="好_2009-10均時產_T Lan_綜合報表一2013-08-12" xfId="1818"/>
    <cellStyle name="好_2009-10均時產_T Lan_綜合報表一2013-08-12_anh loc" xfId="1819"/>
    <cellStyle name="好_2009-10均時產_T Lan_綜合報表一2013-08-12_anh loc_1" xfId="1820"/>
    <cellStyle name="好_2009-10均時產_T Lan_綜合報表一2013-08-12_綜合報表一2014-11-1" xfId="1821"/>
    <cellStyle name="好_2009-10均時產_T Lan_綜合報表一2013-08-13" xfId="1822"/>
    <cellStyle name="好_2009-10均時產_thanh lan (2)" xfId="1823"/>
    <cellStyle name="好_2009-10均時產_thanh lan (2)_anh loc" xfId="1824"/>
    <cellStyle name="好_2009-10均時產_thanh lan (2)_綜合報表一2013-08-12" xfId="1825"/>
    <cellStyle name="好_2009-10均時產_thanh lan (2)_綜合報表一2013-08-12_anh loc" xfId="1826"/>
    <cellStyle name="好_2009-10均時產_thanh lan (2)_綜合報表一2013-08-12_anh loc_1" xfId="1827"/>
    <cellStyle name="好_2009-10均時產_thanh lan (2)_綜合報表一2013-08-12_綜合報表一2014-11-1" xfId="1828"/>
    <cellStyle name="好_2009-10均時產_thanh lan (2)_綜合報表一2013-08-13" xfId="1829"/>
    <cellStyle name="好_2009-12-8" xfId="1830"/>
    <cellStyle name="好_2009-12-8_anh loc" xfId="1831"/>
    <cellStyle name="好_2009-12-8_綜合報表一2013-08-12" xfId="1832"/>
    <cellStyle name="好_2009-12-8_綜合報表一2013-08-12_anh loc" xfId="1833"/>
    <cellStyle name="好_2009-12-8_綜合報表一2013-08-12_anh loc_1" xfId="1834"/>
    <cellStyle name="好_2009-12-8_綜合報表一2013-08-12_綜合報表一2014-11-1" xfId="1835"/>
    <cellStyle name="好_2009-12-8_綜合報表一2013-08-13" xfId="1836"/>
    <cellStyle name="好_2010-1-23" xfId="1837"/>
    <cellStyle name="好_2010-1-23_anh loc" xfId="1838"/>
    <cellStyle name="好_2010-1-23_綜合報表一2013-08-12" xfId="1839"/>
    <cellStyle name="好_2010-1-23_綜合報表一2013-08-12_anh loc" xfId="1840"/>
    <cellStyle name="好_2010-1-23_綜合報表一2013-08-12_anh loc_1" xfId="1841"/>
    <cellStyle name="好_2010-1-23_綜合報表一2013-08-12_綜合報表一2014-11-1" xfId="1842"/>
    <cellStyle name="好_2010-1-23_綜合報表一2013-08-13" xfId="1843"/>
    <cellStyle name="好_6-1.月份KPI評比" xfId="1844"/>
    <cellStyle name="好_成品倉2009-10-13-ktp" xfId="1845"/>
    <cellStyle name="好_成品倉2009-10-13-ktp_1" xfId="1846"/>
    <cellStyle name="好_成品倉2009-10-13-ktp_1_anh loc" xfId="1847"/>
    <cellStyle name="好_成品倉2009-10-13-ktp_1_綜合報表一2013-08-12" xfId="1848"/>
    <cellStyle name="好_成品倉2009-10-13-ktp_1_綜合報表一2013-08-12_anh loc" xfId="1849"/>
    <cellStyle name="好_成品倉2009-10-13-ktp_1_綜合報表一2013-08-12_anh loc_1" xfId="1850"/>
    <cellStyle name="好_成品倉2009-10-13-ktp_1_綜合報表一2013-08-12_綜合報表一2014-11-1" xfId="1851"/>
    <cellStyle name="好_成品倉2009-10-13-ktp_1_綜合報表一2013-08-13" xfId="1852"/>
    <cellStyle name="好_成品倉2009-10-17ktp" xfId="1853"/>
    <cellStyle name="好_成品倉2009-10-17ktp_anh loc" xfId="1854"/>
    <cellStyle name="好_成品倉2009-10-17ktp_綜合報表一2013-08-12" xfId="1855"/>
    <cellStyle name="好_成品倉2009-10-17ktp_綜合報表一2013-08-12_anh loc" xfId="1856"/>
    <cellStyle name="好_成品倉2009-10-17ktp_綜合報表一2013-08-12_anh loc_1" xfId="1857"/>
    <cellStyle name="好_成品倉2009-10-17ktp_綜合報表一2013-08-12_綜合報表一2014-11-1" xfId="1858"/>
    <cellStyle name="好_成品倉2009-10-17ktp_綜合報表一2013-08-13" xfId="1859"/>
    <cellStyle name="好_成品倉2009-120tp" xfId="1860"/>
    <cellStyle name="好_成品倉2009-120tp_anh loc" xfId="1861"/>
    <cellStyle name="好_成品倉2009-120tp_綜合報表一2013-08-12" xfId="1862"/>
    <cellStyle name="好_成品倉2009-120tp_綜合報表一2013-08-12_anh loc" xfId="1863"/>
    <cellStyle name="好_成品倉2009-120tp_綜合報表一2013-08-12_anh loc_1" xfId="1864"/>
    <cellStyle name="好_成品倉2009-120tp_綜合報表一2013-08-12_綜合報表一2014-11-1" xfId="1865"/>
    <cellStyle name="好_成品倉2009-120tp_綜合報表一2013-08-13" xfId="1866"/>
    <cellStyle name="好_綜合報表2009-08-01" xfId="1867"/>
    <cellStyle name="好_億春公司各品牌業務接單及生產分析表9-19" xfId="1868"/>
    <cellStyle name="好_億春公司各品牌業務接單及生產分析表9-19_2009-10-12綜合報表" xfId="1869"/>
    <cellStyle name="好_億春公司各品牌業務接單及生產分析表9-19_2009-10-16綜合報表" xfId="1870"/>
    <cellStyle name="好_億春公司各品牌業務接單及生產分析表9-19_2009-11-04綜合報表" xfId="1871"/>
    <cellStyle name="好_億春公司各品牌業務接單及生產分析表9-19_2009-11-30綜合報表" xfId="1872"/>
    <cellStyle name="好_億春公司各品牌業務接單及生產分析表9-19_2009-11-7(1)" xfId="1873"/>
    <cellStyle name="好_億春公司各品牌業務接單及生產分析表9-19_2009-20-11(1)" xfId="1874"/>
    <cellStyle name="好_億春公司各品牌業務接單及生產分析表9-19_9876543 (ExcelFIX)" xfId="1875"/>
    <cellStyle name="好_億春公司各品牌業務接單及生產分析表9-19_T Lan" xfId="1876"/>
    <cellStyle name="好_億春公司各品牌業務接單及生產分析表9-19_T Lan (1)" xfId="1877"/>
    <cellStyle name="好_億春公司各品牌業務接單及生產分析表9-19_thanh lan (2)" xfId="1878"/>
    <cellStyle name="好_億春公司各品牌業務接單及生產分析表9-19_企劃生管-阿綠的報表10-22" xfId="1879"/>
    <cellStyle name="好_億春公司各品牌業務接單及生產分析表9-19_企劃生管-阿綠的報表11-04 (2)" xfId="1880"/>
    <cellStyle name="好_億春公司各品牌業務接單及生產分析表9-19_企劃生管-阿綠的報表11-05" xfId="1881"/>
    <cellStyle name="好_億春公司各品牌業務接單及生產分析表9-19_企劃生管-阿綠的報表11-06" xfId="1882"/>
    <cellStyle name="好_億春公司各品牌業務接單及生產分析表9-19_企劃生管-阿綠的報表11-09" xfId="1883"/>
    <cellStyle name="好_億春公司各品牌業務接單及生產分析表9-19_企劃生管-阿綠的報表11-10" xfId="1884"/>
    <cellStyle name="好_億春公司各品牌業務接單及生產分析表9-19_企劃生管-阿綠的報表11-11" xfId="1885"/>
    <cellStyle name="好_億春公司各品牌業務接單及生產分析表9-19_企劃生管-阿綠的報表11-14" xfId="1886"/>
    <cellStyle name="好_億春公司各品牌業務接單及生產分析表9-19_企劃生管-阿綠的報表12-01" xfId="1887"/>
    <cellStyle name="好_億春公司各品牌業務接單及生產分析表9-19_複製 -2009-11-10綜合報表" xfId="1888"/>
    <cellStyle name="好_億春公司各品牌業務接單及生產分析表9-23 (2)" xfId="1889"/>
    <cellStyle name="好_億春公司各品牌業務接單及生產分析表9-23 (2)_2009-10-12綜合報表" xfId="1890"/>
    <cellStyle name="好_億春公司各品牌業務接單及生產分析表9-23 (2)_9876543 (ExcelFIX)" xfId="1891"/>
    <cellStyle name="好_億春公司各品牌業務接單及生產分析表9-23 (2)_9876543 (ExcelFIX)_2009-10-12綜合報表" xfId="1892"/>
    <cellStyle name="好_億春公司各品牌業務接單及生產分析表9-23 (2)_9876543 (ExcelFIX)_2009-10-16綜合報表" xfId="1893"/>
    <cellStyle name="好_億春公司各品牌業務接單及生產分析表9-23 (2)_9876543 (ExcelFIX)_2009-11-04綜合報表" xfId="1894"/>
    <cellStyle name="好_億春公司各品牌業務接單及生產分析表9-23 (2)_9876543 (ExcelFIX)_2009-11-30綜合報表" xfId="1895"/>
    <cellStyle name="好_億春公司各品牌業務接單及生產分析表9-23 (2)_9876543 (ExcelFIX)_2009-11-7(1)" xfId="1896"/>
    <cellStyle name="好_億春公司各品牌業務接單及生產分析表9-23 (2)_9876543 (ExcelFIX)_2009-20-11(1)" xfId="1897"/>
    <cellStyle name="好_億春公司各品牌業務接單及生產分析表9-23 (2)_9876543 (ExcelFIX)_T Lan" xfId="1898"/>
    <cellStyle name="好_億春公司各品牌業務接單及生產分析表9-23 (2)_9876543 (ExcelFIX)_T Lan (1)" xfId="1899"/>
    <cellStyle name="好_億春公司各品牌業務接單及生產分析表9-23 (2)_9876543 (ExcelFIX)_thanh lan (2)" xfId="1900"/>
    <cellStyle name="好_億春公司各品牌業務接單及生產分析表9-23 (2)_9876543 (ExcelFIX)_企劃生管-阿綠的報表10-22" xfId="1901"/>
    <cellStyle name="好_億春公司各品牌業務接單及生產分析表9-23 (2)_9876543 (ExcelFIX)_企劃生管-阿綠的報表11-04 (2)" xfId="1902"/>
    <cellStyle name="好_億春公司各品牌業務接單及生產分析表9-23 (2)_9876543 (ExcelFIX)_企劃生管-阿綠的報表11-05" xfId="1903"/>
    <cellStyle name="好_億春公司各品牌業務接單及生產分析表9-23 (2)_9876543 (ExcelFIX)_企劃生管-阿綠的報表11-06" xfId="1904"/>
    <cellStyle name="好_億春公司各品牌業務接單及生產分析表9-23 (2)_9876543 (ExcelFIX)_企劃生管-阿綠的報表11-09" xfId="1905"/>
    <cellStyle name="好_億春公司各品牌業務接單及生產分析表9-23 (2)_9876543 (ExcelFIX)_企劃生管-阿綠的報表11-10" xfId="1906"/>
    <cellStyle name="好_億春公司各品牌業務接單及生產分析表9-23 (2)_9876543 (ExcelFIX)_企劃生管-阿綠的報表11-11" xfId="1907"/>
    <cellStyle name="好_億春公司各品牌業務接單及生產分析表9-23 (2)_9876543 (ExcelFIX)_企劃生管-阿綠的報表11-14" xfId="1908"/>
    <cellStyle name="好_億春公司各品牌業務接單及生產分析表9-23 (2)_9876543 (ExcelFIX)_企劃生管-阿綠的報表12-01" xfId="1909"/>
    <cellStyle name="好_億春公司各品牌業務接單及生產分析表9-23 (2)_9876543 (ExcelFIX)_複製 -2009-11-10綜合報表" xfId="1910"/>
    <cellStyle name="好_億春公司各品牌業務接單及生產分析表9-23 (2)_T Lan" xfId="1911"/>
    <cellStyle name="好_億春公司各品牌業務接單及生產分析表9-23 (2)_T Lan (1)" xfId="1912"/>
    <cellStyle name="好_億春公司各品牌業務接單及生產分析表9-23 (2)_thanh lan (2)" xfId="1913"/>
    <cellStyle name="好_複製 -09- 綜合報表" xfId="1914"/>
    <cellStyle name="好_複製 -11月份各廠KPI評比狀況" xfId="1915"/>
    <cellStyle name="注释" xfId="1916"/>
    <cellStyle name="差" xfId="1917"/>
    <cellStyle name="差_2009-10-13" xfId="1918"/>
    <cellStyle name="差_2009-10-17" xfId="1919"/>
    <cellStyle name="差_2009-10-17_anh loc" xfId="1920"/>
    <cellStyle name="差_2009-10-17_綜合報表一2013-08-12" xfId="1921"/>
    <cellStyle name="差_2009-10-17_綜合報表一2013-08-12_anh loc" xfId="1922"/>
    <cellStyle name="差_2009-10-17_綜合報表一2013-08-12_anh loc_1" xfId="1923"/>
    <cellStyle name="差_2009-10-17_綜合報表一2013-08-12_綜合報表一2014-11-1" xfId="1924"/>
    <cellStyle name="差_2009-10-17_綜合報表一2013-08-13" xfId="1925"/>
    <cellStyle name="差_2009-10-8" xfId="1926"/>
    <cellStyle name="差_2009-10-8_2009-10-12綜合報表" xfId="1927"/>
    <cellStyle name="差_2009-10-8_2009-10-12綜合報表_anh loc" xfId="1928"/>
    <cellStyle name="差_2009-10-8_2009-10-12綜合報表_綜合報表一2013-08-12" xfId="1929"/>
    <cellStyle name="差_2009-10-8_2009-10-12綜合報表_綜合報表一2013-08-12_anh loc" xfId="1930"/>
    <cellStyle name="差_2009-10-8_2009-10-12綜合報表_綜合報表一2013-08-12_anh loc_1" xfId="1931"/>
    <cellStyle name="差_2009-10-8_2009-10-12綜合報表_綜合報表一2013-08-12_綜合報表一2014-11-1" xfId="1932"/>
    <cellStyle name="差_2009-10-8_2009-10-12綜合報表_綜合報表一2013-08-13" xfId="1933"/>
    <cellStyle name="差_2009-10-8_T Lan" xfId="1934"/>
    <cellStyle name="差_2009-10-8_T Lan (1)" xfId="1935"/>
    <cellStyle name="差_2009-10-8_T Lan (1)_anh loc" xfId="1936"/>
    <cellStyle name="差_2009-10-8_T Lan (1)_綜合報表一2013-08-12" xfId="1937"/>
    <cellStyle name="差_2009-10-8_T Lan (1)_綜合報表一2013-08-12_anh loc" xfId="1938"/>
    <cellStyle name="差_2009-10-8_T Lan (1)_綜合報表一2013-08-12_anh loc_1" xfId="1939"/>
    <cellStyle name="差_2009-10-8_T Lan (1)_綜合報表一2013-08-12_綜合報表一2014-11-1" xfId="1940"/>
    <cellStyle name="差_2009-10-8_T Lan (1)_綜合報表一2013-08-13" xfId="1941"/>
    <cellStyle name="差_2009-10-8_T Lan_anh loc" xfId="1942"/>
    <cellStyle name="差_2009-10-8_T Lan_綜合報表一2013-08-12" xfId="1943"/>
    <cellStyle name="差_2009-10-8_T Lan_綜合報表一2013-08-12_anh loc" xfId="1944"/>
    <cellStyle name="差_2009-10-8_T Lan_綜合報表一2013-08-12_anh loc_1" xfId="1945"/>
    <cellStyle name="差_2009-10-8_T Lan_綜合報表一2013-08-12_綜合報表一2014-11-1" xfId="1946"/>
    <cellStyle name="差_2009-10-8_T Lan_綜合報表一2013-08-13" xfId="1947"/>
    <cellStyle name="差_2009-10-8_thanh lan (2)" xfId="1948"/>
    <cellStyle name="差_2009-10-8_thanh lan (2)_anh loc" xfId="1949"/>
    <cellStyle name="差_2009-10-8_thanh lan (2)_綜合報表一2013-08-12" xfId="1950"/>
    <cellStyle name="差_2009-10-8_thanh lan (2)_綜合報表一2013-08-12_anh loc" xfId="1951"/>
    <cellStyle name="差_2009-10-8_thanh lan (2)_綜合報表一2013-08-12_anh loc_1" xfId="1952"/>
    <cellStyle name="差_2009-10-8_thanh lan (2)_綜合報表一2013-08-12_綜合報表一2014-11-1" xfId="1953"/>
    <cellStyle name="差_2009-10-8_thanh lan (2)_綜合報表一2013-08-13" xfId="1954"/>
    <cellStyle name="差_2009-10均時產" xfId="1955"/>
    <cellStyle name="差_2009-10均時產_2009-10-12綜合報表" xfId="1956"/>
    <cellStyle name="差_2009-10均時產_2009-10-12綜合報表_anh loc" xfId="1957"/>
    <cellStyle name="差_2009-10均時產_2009-10-12綜合報表_綜合報表一2013-08-12" xfId="1958"/>
    <cellStyle name="差_2009-10均時產_2009-10-12綜合報表_綜合報表一2013-08-12_anh loc" xfId="1959"/>
    <cellStyle name="差_2009-10均時產_2009-10-12綜合報表_綜合報表一2013-08-12_anh loc_1" xfId="1960"/>
    <cellStyle name="差_2009-10均時產_2009-10-12綜合報表_綜合報表一2013-08-12_綜合報表一2014-11-1" xfId="1961"/>
    <cellStyle name="差_2009-10均時產_2009-10-12綜合報表_綜合報表一2013-08-13" xfId="1962"/>
    <cellStyle name="差_2009-10均時產_9876543 (ExcelFIX)" xfId="1963"/>
    <cellStyle name="差_2009-10均時產_9876543 (ExcelFIX)_2009-10-12綜合報表" xfId="1964"/>
    <cellStyle name="差_2009-10均時產_9876543 (ExcelFIX)_T Lan" xfId="1965"/>
    <cellStyle name="差_2009-10均時產_9876543 (ExcelFIX)_T Lan (1)" xfId="1966"/>
    <cellStyle name="差_2009-10均時產_9876543 (ExcelFIX)_thanh lan (2)" xfId="1967"/>
    <cellStyle name="差_2009-10均時產_T Lan" xfId="1968"/>
    <cellStyle name="差_2009-10均時產_T Lan (1)" xfId="1969"/>
    <cellStyle name="差_2009-10均時產_T Lan (1)_anh loc" xfId="1970"/>
    <cellStyle name="差_2009-10均時產_T Lan (1)_綜合報表一2013-08-12" xfId="1971"/>
    <cellStyle name="差_2009-10均時產_T Lan (1)_綜合報表一2013-08-12_anh loc" xfId="1972"/>
    <cellStyle name="差_2009-10均時產_T Lan (1)_綜合報表一2013-08-12_anh loc_1" xfId="1973"/>
    <cellStyle name="差_2009-10均時產_T Lan (1)_綜合報表一2013-08-12_綜合報表一2014-11-1" xfId="1974"/>
    <cellStyle name="差_2009-10均時產_T Lan (1)_綜合報表一2013-08-13" xfId="1975"/>
    <cellStyle name="差_2009-10均時產_T Lan_anh loc" xfId="1976"/>
    <cellStyle name="差_2009-10均時產_T Lan_綜合報表一2013-08-12" xfId="1977"/>
    <cellStyle name="差_2009-10均時產_T Lan_綜合報表一2013-08-12_anh loc" xfId="1978"/>
    <cellStyle name="差_2009-10均時產_T Lan_綜合報表一2013-08-12_anh loc_1" xfId="1979"/>
    <cellStyle name="差_2009-10均時產_T Lan_綜合報表一2013-08-12_綜合報表一2014-11-1" xfId="1980"/>
    <cellStyle name="差_2009-10均時產_T Lan_綜合報表一2013-08-13" xfId="1981"/>
    <cellStyle name="差_2009-10均時產_thanh lan (2)" xfId="1982"/>
    <cellStyle name="差_2009-10均時產_thanh lan (2)_anh loc" xfId="1983"/>
    <cellStyle name="差_2009-10均時產_thanh lan (2)_綜合報表一2013-08-12" xfId="1984"/>
    <cellStyle name="差_2009-10均時產_thanh lan (2)_綜合報表一2013-08-12_anh loc" xfId="1985"/>
    <cellStyle name="差_2009-10均時產_thanh lan (2)_綜合報表一2013-08-12_anh loc_1" xfId="1986"/>
    <cellStyle name="差_2009-10均時產_thanh lan (2)_綜合報表一2013-08-12_綜合報表一2014-11-1" xfId="1987"/>
    <cellStyle name="差_2009-10均時產_thanh lan (2)_綜合報表一2013-08-13" xfId="1988"/>
    <cellStyle name="差_2009-12-8" xfId="1989"/>
    <cellStyle name="差_2009-12-8_anh loc" xfId="1990"/>
    <cellStyle name="差_2009-12-8_綜合報表一2013-08-12" xfId="1991"/>
    <cellStyle name="差_2009-12-8_綜合報表一2013-08-12_anh loc" xfId="1992"/>
    <cellStyle name="差_2009-12-8_綜合報表一2013-08-12_anh loc_1" xfId="1993"/>
    <cellStyle name="差_2009-12-8_綜合報表一2013-08-12_綜合報表一2014-11-1" xfId="1994"/>
    <cellStyle name="差_2009-12-8_綜合報表一2013-08-13" xfId="1995"/>
    <cellStyle name="差_2010-1-23" xfId="1996"/>
    <cellStyle name="差_2010-1-23_anh loc" xfId="1997"/>
    <cellStyle name="差_2010-1-23_綜合報表一2013-08-12" xfId="1998"/>
    <cellStyle name="差_2010-1-23_綜合報表一2013-08-12_anh loc" xfId="1999"/>
    <cellStyle name="差_2010-1-23_綜合報表一2013-08-12_anh loc_1" xfId="2000"/>
    <cellStyle name="差_2010-1-23_綜合報表一2013-08-12_綜合報表一2014-11-1" xfId="2001"/>
    <cellStyle name="差_2010-1-23_綜合報表一2013-08-13" xfId="2002"/>
    <cellStyle name="差_6-1.月份KPI評比" xfId="2003"/>
    <cellStyle name="差_成品倉2009-10-13-ktp" xfId="2004"/>
    <cellStyle name="差_成品倉2009-10-13-ktp_1" xfId="2005"/>
    <cellStyle name="差_成品倉2009-10-13-ktp_1_anh loc" xfId="2006"/>
    <cellStyle name="差_成品倉2009-10-13-ktp_1_綜合報表一2013-08-12" xfId="2007"/>
    <cellStyle name="差_成品倉2009-10-13-ktp_1_綜合報表一2013-08-12_anh loc" xfId="2008"/>
    <cellStyle name="差_成品倉2009-10-13-ktp_1_綜合報表一2013-08-12_anh loc_1" xfId="2009"/>
    <cellStyle name="差_成品倉2009-10-13-ktp_1_綜合報表一2013-08-12_綜合報表一2014-11-1" xfId="2010"/>
    <cellStyle name="差_成品倉2009-10-13-ktp_1_綜合報表一2013-08-13" xfId="2011"/>
    <cellStyle name="差_成品倉2009-10-17ktp" xfId="2012"/>
    <cellStyle name="差_成品倉2009-10-17ktp_anh loc" xfId="2013"/>
    <cellStyle name="差_成品倉2009-10-17ktp_綜合報表一2013-08-12" xfId="2014"/>
    <cellStyle name="差_成品倉2009-10-17ktp_綜合報表一2013-08-12_anh loc" xfId="2015"/>
    <cellStyle name="差_成品倉2009-10-17ktp_綜合報表一2013-08-12_anh loc_1" xfId="2016"/>
    <cellStyle name="差_成品倉2009-10-17ktp_綜合報表一2013-08-12_綜合報表一2014-11-1" xfId="2017"/>
    <cellStyle name="差_成品倉2009-10-17ktp_綜合報表一2013-08-13" xfId="2018"/>
    <cellStyle name="差_成品倉2009-120tp" xfId="2019"/>
    <cellStyle name="差_成品倉2009-120tp_anh loc" xfId="2020"/>
    <cellStyle name="差_成品倉2009-120tp_綜合報表一2013-08-12" xfId="2021"/>
    <cellStyle name="差_成品倉2009-120tp_綜合報表一2013-08-12_anh loc" xfId="2022"/>
    <cellStyle name="差_成品倉2009-120tp_綜合報表一2013-08-12_anh loc_1" xfId="2023"/>
    <cellStyle name="差_成品倉2009-120tp_綜合報表一2013-08-12_綜合報表一2014-11-1" xfId="2024"/>
    <cellStyle name="差_成品倉2009-120tp_綜合報表一2013-08-13" xfId="2025"/>
    <cellStyle name="差_綜合報表2009-08-01" xfId="2026"/>
    <cellStyle name="差_億春公司各品牌業務接單及生產分析表9-19" xfId="2027"/>
    <cellStyle name="差_億春公司各品牌業務接單及生產分析表9-19_2009-10-12綜合報表" xfId="2028"/>
    <cellStyle name="差_億春公司各品牌業務接單及生產分析表9-19_2009-10-16綜合報表" xfId="2029"/>
    <cellStyle name="差_億春公司各品牌業務接單及生產分析表9-19_2009-11-04綜合報表" xfId="2030"/>
    <cellStyle name="差_億春公司各品牌業務接單及生產分析表9-19_2009-11-30綜合報表" xfId="2031"/>
    <cellStyle name="差_億春公司各品牌業務接單及生產分析表9-19_2009-11-7(1)" xfId="2032"/>
    <cellStyle name="差_億春公司各品牌業務接單及生產分析表9-19_2009-20-11(1)" xfId="2033"/>
    <cellStyle name="差_億春公司各品牌業務接單及生產分析表9-19_9876543 (ExcelFIX)" xfId="2034"/>
    <cellStyle name="差_億春公司各品牌業務接單及生產分析表9-19_T Lan" xfId="2035"/>
    <cellStyle name="差_億春公司各品牌業務接單及生產分析表9-19_T Lan (1)" xfId="2036"/>
    <cellStyle name="差_億春公司各品牌業務接單及生產分析表9-19_thanh lan (2)" xfId="2037"/>
    <cellStyle name="差_億春公司各品牌業務接單及生產分析表9-19_企劃生管-阿綠的報表10-22" xfId="2038"/>
    <cellStyle name="差_億春公司各品牌業務接單及生產分析表9-19_企劃生管-阿綠的報表11-04 (2)" xfId="2039"/>
    <cellStyle name="差_億春公司各品牌業務接單及生產分析表9-19_企劃生管-阿綠的報表11-05" xfId="2040"/>
    <cellStyle name="差_億春公司各品牌業務接單及生產分析表9-19_企劃生管-阿綠的報表11-06" xfId="2041"/>
    <cellStyle name="差_億春公司各品牌業務接單及生產分析表9-19_企劃生管-阿綠的報表11-09" xfId="2042"/>
    <cellStyle name="差_億春公司各品牌業務接單及生產分析表9-19_企劃生管-阿綠的報表11-10" xfId="2043"/>
    <cellStyle name="差_億春公司各品牌業務接單及生產分析表9-19_企劃生管-阿綠的報表11-11" xfId="2044"/>
    <cellStyle name="差_億春公司各品牌業務接單及生產分析表9-19_企劃生管-阿綠的報表11-14" xfId="2045"/>
    <cellStyle name="差_億春公司各品牌業務接單及生產分析表9-19_企劃生管-阿綠的報表12-01" xfId="2046"/>
    <cellStyle name="差_億春公司各品牌業務接單及生產分析表9-19_複製 -2009-11-10綜合報表" xfId="2047"/>
    <cellStyle name="差_億春公司各品牌業務接單及生產分析表9-23 (2)" xfId="2048"/>
    <cellStyle name="差_億春公司各品牌業務接單及生產分析表9-23 (2)_2009-10-12綜合報表" xfId="2049"/>
    <cellStyle name="差_億春公司各品牌業務接單及生產分析表9-23 (2)_9876543 (ExcelFIX)" xfId="2050"/>
    <cellStyle name="差_億春公司各品牌業務接單及生產分析表9-23 (2)_9876543 (ExcelFIX)_2009-10-12綜合報表" xfId="2051"/>
    <cellStyle name="差_億春公司各品牌業務接單及生產分析表9-23 (2)_9876543 (ExcelFIX)_2009-10-16綜合報表" xfId="2052"/>
    <cellStyle name="差_億春公司各品牌業務接單及生產分析表9-23 (2)_9876543 (ExcelFIX)_2009-11-04綜合報表" xfId="2053"/>
    <cellStyle name="差_億春公司各品牌業務接單及生產分析表9-23 (2)_9876543 (ExcelFIX)_2009-11-30綜合報表" xfId="2054"/>
    <cellStyle name="差_億春公司各品牌業務接單及生產分析表9-23 (2)_9876543 (ExcelFIX)_2009-11-7(1)" xfId="2055"/>
    <cellStyle name="差_億春公司各品牌業務接單及生產分析表9-23 (2)_9876543 (ExcelFIX)_2009-20-11(1)" xfId="2056"/>
    <cellStyle name="差_億春公司各品牌業務接單及生產分析表9-23 (2)_9876543 (ExcelFIX)_T Lan" xfId="2057"/>
    <cellStyle name="差_億春公司各品牌業務接單及生產分析表9-23 (2)_9876543 (ExcelFIX)_T Lan (1)" xfId="2058"/>
    <cellStyle name="差_億春公司各品牌業務接單及生產分析表9-23 (2)_9876543 (ExcelFIX)_thanh lan (2)" xfId="2059"/>
    <cellStyle name="差_億春公司各品牌業務接單及生產分析表9-23 (2)_9876543 (ExcelFIX)_企劃生管-阿綠的報表10-22" xfId="2060"/>
    <cellStyle name="差_億春公司各品牌業務接單及生產分析表9-23 (2)_9876543 (ExcelFIX)_企劃生管-阿綠的報表11-04 (2)" xfId="2061"/>
    <cellStyle name="差_億春公司各品牌業務接單及生產分析表9-23 (2)_9876543 (ExcelFIX)_企劃生管-阿綠的報表11-05" xfId="2062"/>
    <cellStyle name="差_億春公司各品牌業務接單及生產分析表9-23 (2)_9876543 (ExcelFIX)_企劃生管-阿綠的報表11-06" xfId="2063"/>
    <cellStyle name="差_億春公司各品牌業務接單及生產分析表9-23 (2)_9876543 (ExcelFIX)_企劃生管-阿綠的報表11-09" xfId="2064"/>
    <cellStyle name="差_億春公司各品牌業務接單及生產分析表9-23 (2)_9876543 (ExcelFIX)_企劃生管-阿綠的報表11-10" xfId="2065"/>
    <cellStyle name="差_億春公司各品牌業務接單及生產分析表9-23 (2)_9876543 (ExcelFIX)_企劃生管-阿綠的報表11-11" xfId="2066"/>
    <cellStyle name="差_億春公司各品牌業務接單及生產分析表9-23 (2)_9876543 (ExcelFIX)_企劃生管-阿綠的報表11-14" xfId="2067"/>
    <cellStyle name="差_億春公司各品牌業務接單及生產分析表9-23 (2)_9876543 (ExcelFIX)_企劃生管-阿綠的報表12-01" xfId="2068"/>
    <cellStyle name="差_億春公司各品牌業務接單及生產分析表9-23 (2)_9876543 (ExcelFIX)_複製 -2009-11-10綜合報表" xfId="2069"/>
    <cellStyle name="差_億春公司各品牌業務接單及生產分析表9-23 (2)_T Lan" xfId="2070"/>
    <cellStyle name="差_億春公司各品牌業務接單及生產分析表9-23 (2)_T Lan (1)" xfId="2071"/>
    <cellStyle name="差_億春公司各品牌業務接單及生產分析表9-23 (2)_thanh lan (2)" xfId="2072"/>
    <cellStyle name="差_複製 -09- 綜合報表" xfId="2073"/>
    <cellStyle name="差_複製 -11月份各廠KPI評比狀況" xfId="2074"/>
    <cellStyle name="适中" xfId="2075"/>
    <cellStyle name="强调文字颜色 1" xfId="2081"/>
    <cellStyle name="强调文字颜色 2" xfId="2082"/>
    <cellStyle name="强调文字颜色 3" xfId="2083"/>
    <cellStyle name="强调文字颜色 4" xfId="2084"/>
    <cellStyle name="强调文字颜色 5" xfId="2085"/>
    <cellStyle name="强调文字颜色 6" xfId="2086"/>
    <cellStyle name="超連結" xfId="18" builtinId="8"/>
    <cellStyle name="超連結_2009-12-16綜合報表" xfId="19"/>
    <cellStyle name="解释性文本" xfId="2076"/>
    <cellStyle name="输入" xfId="2096"/>
    <cellStyle name="输出" xfId="2097"/>
    <cellStyle name="樣式 1" xfId="20"/>
    <cellStyle name="樣式 1 2" xfId="2077"/>
    <cellStyle name="樣式 1 3" xfId="2078"/>
    <cellStyle name="樣式 1 4" xfId="2149"/>
    <cellStyle name="樣式 1_BCNS T3 MOI" xfId="2079"/>
    <cellStyle name="警告文本" xfId="2080"/>
    <cellStyle name="标题" xfId="2087"/>
    <cellStyle name="标题 1" xfId="2088"/>
    <cellStyle name="标题 2" xfId="2089"/>
    <cellStyle name="标题 3" xfId="2090"/>
    <cellStyle name="标题 4" xfId="2091"/>
    <cellStyle name="标题_2009-10-13" xfId="2092"/>
    <cellStyle name="检查单元格" xfId="2093"/>
    <cellStyle name="汇总" xfId="2094"/>
    <cellStyle name="计算" xfId="2095"/>
    <cellStyle name="链接单元格" xfId="2098"/>
  </cellStyles>
  <dxfs count="0"/>
  <tableStyles count="0" defaultTableStyle="TableStyleMedium9" defaultPivotStyle="PivotStyleLight16"/>
  <colors>
    <mruColors>
      <color rgb="FF0000CC"/>
      <color rgb="FFFF00FF"/>
      <color rgb="FFFF66FF"/>
      <color rgb="FFFF99FF"/>
      <color rgb="FFFFFF99"/>
      <color rgb="FFFFFFCC"/>
      <color rgb="FFCCFF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plotArea>
      <c:layout/>
      <c:lineChart>
        <c:grouping val="standard"/>
        <c:ser>
          <c:idx val="0"/>
          <c:order val="0"/>
          <c:tx>
            <c:strRef>
              <c:f>'C:\Documents and Settings\21048\Local Settings\Temporary Internet Files\Content.IE5\01WN8V4T\BB t3\[綜合報表一03-15...xls]5-7線均產量 '!$A$5:$C$5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2"/>
          <c:order val="1"/>
          <c:tx>
            <c:strRef>
              <c:f>'C:\Documents and Settings\21048\Local Settings\Temporary Internet Files\Content.IE5\01WN8V4T\BB t3\[綜合報表一03-15...xls]5-7線均產量 '!$A$8:$C$8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6"/>
          <c:order val="2"/>
          <c:tx>
            <c:strRef>
              <c:f>'C:\Documents and Settings\21048\Local Settings\Temporary Internet Files\Content.IE5\01WN8V4T\BB t3\[綜合報表一03-15...xls]5-7線均產量 '!$A$14:$C$14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0"/>
          <c:order val="3"/>
          <c:tx>
            <c:strRef>
              <c:f>'C:\Documents and Settings\21048\Local Settings\Temporary Internet Files\Content.IE5\01WN8V4T\BB t3\[綜合報表一03-15...xls]5-7線均產量 '!$A$17:$C$17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4"/>
          <c:order val="4"/>
          <c:tx>
            <c:strRef>
              <c:f>'C:\Documents and Settings\21048\Local Settings\Temporary Internet Files\Content.IE5\01WN8V4T\BB t3\[綜合報表一03-15...xls]5-7線均產量 '!$A$11:$C$11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5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8"/>
          <c:order val="6"/>
          <c:spPr>
            <a:ln w="12700">
              <a:solidFill>
                <a:srgbClr val="FF00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3"/>
          <c:order val="7"/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marker val="1"/>
        <c:axId val="96472064"/>
        <c:axId val="96478336"/>
      </c:lineChart>
      <c:catAx>
        <c:axId val="96472064"/>
        <c:scaling>
          <c:orientation val="minMax"/>
        </c:scaling>
        <c:delete val="1"/>
        <c:axPos val="t"/>
        <c:numFmt formatCode="General" sourceLinked="1"/>
        <c:tickLblPos val="none"/>
        <c:crossAx val="96478336"/>
        <c:crosses val="max"/>
        <c:auto val="1"/>
        <c:lblAlgn val="ctr"/>
        <c:lblOffset val="100"/>
      </c:catAx>
      <c:valAx>
        <c:axId val="96478336"/>
        <c:scaling>
          <c:orientation val="minMax"/>
          <c:max val="1900"/>
          <c:min val="30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TW" sz="200" b="0" i="0" u="none" strike="noStrike" baseline="0">
                <a:solidFill>
                  <a:srgbClr val="000000"/>
                </a:solidFill>
                <a:latin typeface="!Ps2OcuAe"/>
                <a:ea typeface="!Ps2OcuAe"/>
                <a:cs typeface="!Ps2OcuAe"/>
              </a:defRPr>
            </a:pPr>
            <a:endParaRPr lang="zh-TW"/>
          </a:p>
        </c:txPr>
        <c:crossAx val="96472064"/>
        <c:crosses val="autoZero"/>
        <c:crossBetween val="between"/>
        <c:majorUnit val="100"/>
      </c:valAx>
      <c:spPr>
        <a:solidFill>
          <a:srgbClr val="C0C0C0"/>
        </a:solidFill>
        <a:ln w="25400">
          <a:solidFill>
            <a:srgbClr val="FF00FF"/>
          </a:solidFill>
          <a:prstDash val="solid"/>
        </a:ln>
      </c:spPr>
    </c:plotArea>
    <c:legend>
      <c:legendPos val="r"/>
      <c:legendEntry>
        <c:idx val="5"/>
        <c:delete val="1"/>
      </c:legendEntry>
      <c:legendEntry>
        <c:idx val="7"/>
        <c:delete val="1"/>
      </c:legendEntry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zh-TW" sz="110" b="0" i="0" u="none" strike="noStrike" baseline="0">
              <a:solidFill>
                <a:srgbClr val="000000"/>
              </a:solidFill>
              <a:latin typeface="!Ps2OcuAe"/>
              <a:ea typeface="!Ps2OcuAe"/>
              <a:cs typeface="!Ps2OcuAe"/>
            </a:defRPr>
          </a:pPr>
          <a:endParaRPr lang="zh-TW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!Ps2OcuAe"/>
          <a:ea typeface="!Ps2OcuAe"/>
          <a:cs typeface="!Ps2OcuAe"/>
        </a:defRPr>
      </a:pPr>
      <a:endParaRPr lang="zh-TW"/>
    </a:p>
  </c:txPr>
  <c:printSettings>
    <c:headerFooter alignWithMargins="0"/>
    <c:pageMargins b="1" l="0.75000000000001465" r="0.75000000000001465" t="1" header="0.5" footer="0.5"/>
    <c:pageSetup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34</xdr:col>
      <xdr:colOff>0</xdr:colOff>
      <xdr:row>35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156;&#21512;&#22577;&#34920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21048/Local%20Settings/Temporary%20Internet%20Files/Content.IE5/01WN8V4T/BB%20t3/&#32156;&#21512;&#22577;&#34920;&#19968;03-15..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   錄"/>
      <sheetName val="1.月份產能總表"/>
      <sheetName val="2-1年度品牌報表 2016 "/>
      <sheetName val="2-2年度品牌報表 2017"/>
      <sheetName val="2-3月份預計出貨數量"/>
      <sheetName val="3-1.人員分攤"/>
      <sheetName val="3-2.A1廠人均時產 "/>
      <sheetName val="3-3.A2廠人均時產  "/>
      <sheetName val="3-4.B1廠人均時產"/>
      <sheetName val="3-5.B7廠人均時產"/>
      <sheetName val="3-6.總計產能  "/>
      <sheetName val="3-7線均產量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AI323">
            <v>0.41638229435391699</v>
          </cell>
        </row>
      </sheetData>
      <sheetData sheetId="9">
        <row r="334">
          <cell r="AI334">
            <v>1.1685485768054575</v>
          </cell>
        </row>
      </sheetData>
      <sheetData sheetId="10">
        <row r="74">
          <cell r="AI74">
            <v>0.46327545191067326</v>
          </cell>
        </row>
        <row r="77">
          <cell r="AI77">
            <v>0.5866614180263775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-7線均產量 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C1091"/>
  <sheetViews>
    <sheetView tabSelected="1" workbookViewId="0">
      <selection sqref="A1:C1"/>
    </sheetView>
  </sheetViews>
  <sheetFormatPr defaultColWidth="9.140625" defaultRowHeight="14.25"/>
  <cols>
    <col min="1" max="1" width="5.5703125" style="14" bestFit="1" customWidth="1"/>
    <col min="2" max="2" width="31" style="18" customWidth="1"/>
    <col min="3" max="3" width="11.42578125" style="16" customWidth="1"/>
    <col min="4" max="11" width="7.5703125" style="16" customWidth="1"/>
    <col min="12" max="12" width="8.85546875" style="16" bestFit="1" customWidth="1"/>
    <col min="13" max="13" width="8.140625" style="16" bestFit="1" customWidth="1"/>
    <col min="14" max="16384" width="9.140625" style="16"/>
  </cols>
  <sheetData>
    <row r="1" spans="1:3" s="15" customFormat="1" ht="25.5">
      <c r="A1" s="365" t="s">
        <v>23</v>
      </c>
      <c r="B1" s="365"/>
      <c r="C1" s="365"/>
    </row>
    <row r="2" spans="1:3" ht="21" customHeight="1">
      <c r="A2" s="13" t="s">
        <v>0</v>
      </c>
      <c r="B2" s="27" t="s">
        <v>2</v>
      </c>
      <c r="C2" s="1" t="s">
        <v>1</v>
      </c>
    </row>
    <row r="3" spans="1:3" ht="22.5" customHeight="1">
      <c r="A3" s="20">
        <v>1</v>
      </c>
      <c r="B3" s="11" t="s">
        <v>18</v>
      </c>
      <c r="C3" s="19"/>
    </row>
    <row r="4" spans="1:3" ht="22.5" customHeight="1">
      <c r="A4" s="366">
        <v>2</v>
      </c>
      <c r="B4" s="11" t="s">
        <v>42</v>
      </c>
      <c r="C4" s="19"/>
    </row>
    <row r="5" spans="1:3" ht="22.5" customHeight="1">
      <c r="A5" s="366"/>
      <c r="B5" s="22" t="s">
        <v>41</v>
      </c>
      <c r="C5" s="19"/>
    </row>
    <row r="6" spans="1:3" ht="22.5" customHeight="1">
      <c r="A6" s="366">
        <v>3</v>
      </c>
      <c r="B6" s="11" t="s">
        <v>85</v>
      </c>
      <c r="C6" s="19"/>
    </row>
    <row r="7" spans="1:3" ht="22.5" customHeight="1">
      <c r="A7" s="367"/>
      <c r="B7" s="11" t="s">
        <v>99</v>
      </c>
      <c r="C7" s="19"/>
    </row>
    <row r="8" spans="1:3" ht="22.5" customHeight="1">
      <c r="A8" s="366"/>
      <c r="B8" s="11" t="s">
        <v>100</v>
      </c>
      <c r="C8" s="19"/>
    </row>
    <row r="9" spans="1:3" ht="22.5" customHeight="1">
      <c r="A9" s="367"/>
      <c r="B9" s="11" t="s">
        <v>101</v>
      </c>
      <c r="C9" s="19"/>
    </row>
    <row r="10" spans="1:3" ht="22.5" customHeight="1">
      <c r="A10" s="366"/>
      <c r="B10" s="11" t="s">
        <v>102</v>
      </c>
      <c r="C10" s="19"/>
    </row>
    <row r="11" spans="1:3" ht="22.5" customHeight="1">
      <c r="A11" s="367"/>
      <c r="B11" s="11" t="s">
        <v>103</v>
      </c>
      <c r="C11" s="19"/>
    </row>
    <row r="12" spans="1:3" ht="22.5" customHeight="1">
      <c r="A12" s="366"/>
      <c r="B12" s="11" t="s">
        <v>104</v>
      </c>
      <c r="C12" s="19"/>
    </row>
    <row r="13" spans="1:3" ht="16.5">
      <c r="A13" s="75">
        <v>5</v>
      </c>
      <c r="B13" s="11" t="s">
        <v>82</v>
      </c>
      <c r="C13" s="101"/>
    </row>
    <row r="1091" ht="15.75" customHeight="1"/>
  </sheetData>
  <mergeCells count="3">
    <mergeCell ref="A1:C1"/>
    <mergeCell ref="A4:A5"/>
    <mergeCell ref="A6:A12"/>
  </mergeCells>
  <phoneticPr fontId="31" type="noConversion"/>
  <hyperlinks>
    <hyperlink ref="B3" location="'1.月份產能總表'!A1" display="1.月份產能總表"/>
    <hyperlink ref="B4" location="'2.1年度品牌報表'!A1" display="2.1年度品牌報表"/>
    <hyperlink ref="B6" location="'3-1.人員刷卡出勤'!A1" display="3-1.人員刷卡出勤"/>
    <hyperlink ref="B8" location="'3.3.A2廠人均時產能-針車'!A1" display="3.3.A2廠人均時產能-針車"/>
    <hyperlink ref="B10" location="'3.5.A2廠人均時產能-成型'!A1" display="3.5.A2廠人均時產能-成型"/>
    <hyperlink ref="B12" location="'3.7.A廠人員分攤POH產能'!A1" display="3.7.A廠人員分攤POH產能"/>
    <hyperlink ref="B5" location="'2.2月份預計出貨數量'!A1" display="2.2月份預計出貨數量"/>
    <hyperlink ref="B13" location="'5.1 全廠線均產能'!A1" display="5.1.全廠線均產能"/>
    <hyperlink ref="B9" location="'3.4 A1廠人均時產能-成型'!A1" display="3.4.A1廠人均時產能-成型"/>
    <hyperlink ref="B7" location="'3.2.A1廠人均時產能-針車'!A1" display="3.2.A1廠人均時產能-針車"/>
    <hyperlink ref="B11" location="'3.6.A廠總計產能'!A1" display="3.6.A廠總計產能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00FF"/>
  </sheetPr>
  <dimension ref="A1:AI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/>
  <cols>
    <col min="1" max="1" width="9.140625" style="6"/>
    <col min="2" max="2" width="16" style="6" bestFit="1" customWidth="1"/>
    <col min="3" max="4" width="7.7109375" style="6" customWidth="1"/>
    <col min="5" max="5" width="5.7109375" style="6" customWidth="1"/>
    <col min="6" max="35" width="7.7109375" style="6" customWidth="1"/>
    <col min="36" max="36" width="7.7109375" style="6" bestFit="1" customWidth="1"/>
    <col min="37" max="16384" width="9.140625" style="6"/>
  </cols>
  <sheetData>
    <row r="1" spans="1:35" ht="27.75">
      <c r="A1" s="369" t="s">
        <v>4</v>
      </c>
      <c r="B1" s="370"/>
    </row>
    <row r="2" spans="1:35" s="7" customFormat="1" ht="29.25" customHeight="1">
      <c r="A2" s="29" t="s">
        <v>113</v>
      </c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</row>
    <row r="3" spans="1:35" s="12" customFormat="1" ht="18" customHeight="1">
      <c r="A3" s="371" t="s">
        <v>24</v>
      </c>
      <c r="B3" s="371"/>
      <c r="C3" s="273" t="s">
        <v>54</v>
      </c>
      <c r="D3" s="273" t="s">
        <v>114</v>
      </c>
      <c r="E3" s="273" t="s">
        <v>115</v>
      </c>
      <c r="F3" s="273">
        <v>1</v>
      </c>
      <c r="G3" s="273">
        <v>2</v>
      </c>
      <c r="H3" s="273">
        <v>3</v>
      </c>
      <c r="I3" s="273">
        <v>4</v>
      </c>
      <c r="J3" s="273">
        <v>5</v>
      </c>
      <c r="K3" s="273">
        <v>6</v>
      </c>
      <c r="L3" s="273">
        <v>7</v>
      </c>
      <c r="M3" s="273">
        <v>8</v>
      </c>
      <c r="N3" s="273">
        <v>9</v>
      </c>
      <c r="O3" s="273">
        <v>10</v>
      </c>
      <c r="P3" s="273">
        <v>11</v>
      </c>
      <c r="Q3" s="273">
        <v>12</v>
      </c>
      <c r="R3" s="273">
        <v>13</v>
      </c>
      <c r="S3" s="273">
        <v>14</v>
      </c>
      <c r="T3" s="273">
        <v>15</v>
      </c>
      <c r="U3" s="273">
        <v>16</v>
      </c>
      <c r="V3" s="273">
        <v>17</v>
      </c>
      <c r="W3" s="273">
        <v>18</v>
      </c>
      <c r="X3" s="273">
        <v>19</v>
      </c>
      <c r="Y3" s="273">
        <v>20</v>
      </c>
      <c r="Z3" s="273">
        <v>21</v>
      </c>
      <c r="AA3" s="273">
        <v>22</v>
      </c>
      <c r="AB3" s="273">
        <v>23</v>
      </c>
      <c r="AC3" s="273">
        <v>24</v>
      </c>
      <c r="AD3" s="273">
        <v>25</v>
      </c>
      <c r="AE3" s="312">
        <v>26</v>
      </c>
      <c r="AF3" s="312">
        <v>27</v>
      </c>
      <c r="AG3" s="312">
        <v>28</v>
      </c>
      <c r="AH3" s="312">
        <v>29</v>
      </c>
      <c r="AI3" s="312">
        <v>30</v>
      </c>
    </row>
    <row r="4" spans="1:35" s="30" customFormat="1" ht="20.100000000000001" customHeight="1">
      <c r="A4" s="372" t="s">
        <v>56</v>
      </c>
      <c r="B4" s="274" t="s">
        <v>55</v>
      </c>
      <c r="C4" s="275">
        <v>170576</v>
      </c>
      <c r="D4" s="275">
        <v>170576</v>
      </c>
      <c r="E4" s="275">
        <v>28429.3</v>
      </c>
      <c r="F4" s="275"/>
      <c r="G4" s="275"/>
      <c r="H4" s="275">
        <v>28872</v>
      </c>
      <c r="I4" s="275">
        <v>28928</v>
      </c>
      <c r="J4" s="275">
        <v>28776</v>
      </c>
      <c r="K4" s="275"/>
      <c r="L4" s="275">
        <v>28624</v>
      </c>
      <c r="M4" s="275">
        <v>28656</v>
      </c>
      <c r="N4" s="275"/>
      <c r="O4" s="275">
        <v>26720</v>
      </c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344"/>
      <c r="AF4" s="344"/>
      <c r="AG4" s="345"/>
      <c r="AH4" s="346"/>
      <c r="AI4" s="346"/>
    </row>
    <row r="5" spans="1:35" s="30" customFormat="1" ht="20.100000000000001" customHeight="1">
      <c r="A5" s="372"/>
      <c r="B5" s="276" t="s">
        <v>57</v>
      </c>
      <c r="C5" s="277">
        <v>158952</v>
      </c>
      <c r="D5" s="277">
        <v>183884</v>
      </c>
      <c r="E5" s="277">
        <v>26492</v>
      </c>
      <c r="F5" s="277"/>
      <c r="G5" s="277"/>
      <c r="H5" s="277">
        <v>26992</v>
      </c>
      <c r="I5" s="277">
        <v>26992</v>
      </c>
      <c r="J5" s="277">
        <v>26992</v>
      </c>
      <c r="K5" s="277"/>
      <c r="L5" s="277">
        <v>26992</v>
      </c>
      <c r="M5" s="277">
        <v>26332</v>
      </c>
      <c r="N5" s="277"/>
      <c r="O5" s="277">
        <v>24652</v>
      </c>
      <c r="P5" s="277">
        <v>24932</v>
      </c>
      <c r="Q5" s="277">
        <v>25232</v>
      </c>
      <c r="R5" s="277">
        <v>24952</v>
      </c>
      <c r="S5" s="277">
        <v>24572</v>
      </c>
      <c r="T5" s="277">
        <v>24632</v>
      </c>
      <c r="U5" s="277"/>
      <c r="V5" s="277">
        <v>25232</v>
      </c>
      <c r="W5" s="277">
        <v>25232</v>
      </c>
      <c r="X5" s="277">
        <v>25232</v>
      </c>
      <c r="Y5" s="277">
        <v>25112</v>
      </c>
      <c r="Z5" s="277">
        <v>25112</v>
      </c>
      <c r="AA5" s="277"/>
      <c r="AB5" s="277"/>
      <c r="AC5" s="277">
        <v>25132</v>
      </c>
      <c r="AD5" s="277">
        <v>24952</v>
      </c>
      <c r="AE5" s="277">
        <v>25632</v>
      </c>
      <c r="AF5" s="277">
        <v>25972</v>
      </c>
      <c r="AG5" s="347">
        <v>26352</v>
      </c>
      <c r="AH5" s="348"/>
      <c r="AI5" s="349"/>
    </row>
    <row r="6" spans="1:35" s="30" customFormat="1" ht="20.100000000000001" customHeight="1">
      <c r="A6" s="372"/>
      <c r="B6" s="278" t="s">
        <v>33</v>
      </c>
      <c r="C6" s="279">
        <v>153270</v>
      </c>
      <c r="D6" s="279">
        <v>153270</v>
      </c>
      <c r="E6" s="279">
        <v>25545</v>
      </c>
      <c r="F6" s="279"/>
      <c r="G6" s="279"/>
      <c r="H6" s="279">
        <v>26908</v>
      </c>
      <c r="I6" s="279">
        <v>25457</v>
      </c>
      <c r="J6" s="279">
        <v>25758</v>
      </c>
      <c r="K6" s="279"/>
      <c r="L6" s="279">
        <v>26588</v>
      </c>
      <c r="M6" s="279">
        <v>25624</v>
      </c>
      <c r="N6" s="279"/>
      <c r="O6" s="279">
        <v>22935</v>
      </c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350"/>
      <c r="AF6" s="351"/>
      <c r="AG6" s="351"/>
      <c r="AH6" s="352"/>
      <c r="AI6" s="352"/>
    </row>
    <row r="7" spans="1:35" s="30" customFormat="1" ht="20.100000000000001" customHeight="1">
      <c r="A7" s="372"/>
      <c r="B7" s="280" t="s">
        <v>34</v>
      </c>
      <c r="C7" s="281">
        <v>-5682</v>
      </c>
      <c r="D7" s="281">
        <v>-30614</v>
      </c>
      <c r="E7" s="281">
        <v>-947</v>
      </c>
      <c r="F7" s="281"/>
      <c r="G7" s="281"/>
      <c r="H7" s="281">
        <v>-84</v>
      </c>
      <c r="I7" s="281">
        <v>-1535</v>
      </c>
      <c r="J7" s="281">
        <v>-1234</v>
      </c>
      <c r="K7" s="281"/>
      <c r="L7" s="281">
        <v>-404</v>
      </c>
      <c r="M7" s="281">
        <v>-708</v>
      </c>
      <c r="N7" s="281"/>
      <c r="O7" s="281">
        <v>-1717</v>
      </c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353"/>
      <c r="AF7" s="353"/>
      <c r="AG7" s="353"/>
      <c r="AH7" s="352"/>
      <c r="AI7" s="352"/>
    </row>
    <row r="8" spans="1:35" s="30" customFormat="1" ht="20.100000000000001" customHeight="1">
      <c r="A8" s="372"/>
      <c r="B8" s="280" t="s">
        <v>35</v>
      </c>
      <c r="C8" s="281">
        <v>-17306</v>
      </c>
      <c r="D8" s="281">
        <v>-17306</v>
      </c>
      <c r="E8" s="281">
        <v>-2884.3</v>
      </c>
      <c r="F8" s="281"/>
      <c r="G8" s="281"/>
      <c r="H8" s="281">
        <v>-1964</v>
      </c>
      <c r="I8" s="281">
        <v>-3471</v>
      </c>
      <c r="J8" s="281">
        <v>-3018</v>
      </c>
      <c r="K8" s="281"/>
      <c r="L8" s="281">
        <v>-2036</v>
      </c>
      <c r="M8" s="281">
        <v>-3032</v>
      </c>
      <c r="N8" s="281"/>
      <c r="O8" s="281">
        <v>-3785</v>
      </c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C8" s="281"/>
      <c r="AD8" s="281"/>
      <c r="AE8" s="353"/>
      <c r="AF8" s="353"/>
      <c r="AG8" s="353"/>
      <c r="AH8" s="352"/>
      <c r="AI8" s="352"/>
    </row>
    <row r="9" spans="1:35" s="30" customFormat="1" ht="20.100000000000001" customHeight="1">
      <c r="A9" s="372"/>
      <c r="B9" s="278" t="s">
        <v>36</v>
      </c>
      <c r="C9" s="282">
        <v>96</v>
      </c>
      <c r="D9" s="282">
        <v>83</v>
      </c>
      <c r="E9" s="282">
        <v>96</v>
      </c>
      <c r="F9" s="282"/>
      <c r="G9" s="282"/>
      <c r="H9" s="282">
        <v>99</v>
      </c>
      <c r="I9" s="282">
        <v>94</v>
      </c>
      <c r="J9" s="282">
        <v>95</v>
      </c>
      <c r="K9" s="282"/>
      <c r="L9" s="282">
        <v>98</v>
      </c>
      <c r="M9" s="282">
        <v>97</v>
      </c>
      <c r="N9" s="282"/>
      <c r="O9" s="282">
        <v>93</v>
      </c>
      <c r="P9" s="282">
        <v>0</v>
      </c>
      <c r="Q9" s="282">
        <v>0</v>
      </c>
      <c r="R9" s="282">
        <v>0</v>
      </c>
      <c r="S9" s="282">
        <v>0</v>
      </c>
      <c r="T9" s="282">
        <v>0</v>
      </c>
      <c r="U9" s="282"/>
      <c r="V9" s="282">
        <v>0</v>
      </c>
      <c r="W9" s="282">
        <v>0</v>
      </c>
      <c r="X9" s="282">
        <v>0</v>
      </c>
      <c r="Y9" s="282">
        <v>0</v>
      </c>
      <c r="Z9" s="282">
        <v>0</v>
      </c>
      <c r="AA9" s="282"/>
      <c r="AB9" s="282"/>
      <c r="AC9" s="282">
        <v>0</v>
      </c>
      <c r="AD9" s="282">
        <v>0</v>
      </c>
      <c r="AE9" s="282">
        <v>0</v>
      </c>
      <c r="AF9" s="354">
        <v>0</v>
      </c>
      <c r="AG9" s="354">
        <v>0</v>
      </c>
      <c r="AH9" s="355"/>
      <c r="AI9" s="355"/>
    </row>
    <row r="10" spans="1:35" s="30" customFormat="1" ht="20.100000000000001" customHeight="1">
      <c r="A10" s="372"/>
      <c r="B10" s="278" t="s">
        <v>59</v>
      </c>
      <c r="C10" s="282">
        <v>89</v>
      </c>
      <c r="D10" s="282">
        <v>89</v>
      </c>
      <c r="E10" s="282">
        <v>89</v>
      </c>
      <c r="F10" s="282"/>
      <c r="G10" s="282"/>
      <c r="H10" s="282">
        <v>93</v>
      </c>
      <c r="I10" s="282">
        <v>88</v>
      </c>
      <c r="J10" s="282">
        <v>89</v>
      </c>
      <c r="K10" s="282"/>
      <c r="L10" s="282">
        <v>92</v>
      </c>
      <c r="M10" s="282">
        <v>89</v>
      </c>
      <c r="N10" s="282"/>
      <c r="O10" s="282">
        <v>85</v>
      </c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354"/>
      <c r="AG10" s="354"/>
      <c r="AH10" s="355"/>
      <c r="AI10" s="355"/>
    </row>
    <row r="11" spans="1:35" s="30" customFormat="1" ht="20.100000000000001" customHeight="1">
      <c r="A11" s="372" t="s">
        <v>58</v>
      </c>
      <c r="B11" s="274" t="s">
        <v>55</v>
      </c>
      <c r="C11" s="275">
        <v>157648</v>
      </c>
      <c r="D11" s="275">
        <v>157648</v>
      </c>
      <c r="E11" s="275">
        <v>26274.7</v>
      </c>
      <c r="F11" s="275"/>
      <c r="G11" s="275"/>
      <c r="H11" s="275">
        <v>26736</v>
      </c>
      <c r="I11" s="275">
        <v>26576</v>
      </c>
      <c r="J11" s="275">
        <v>26560</v>
      </c>
      <c r="K11" s="275"/>
      <c r="L11" s="275">
        <v>26544</v>
      </c>
      <c r="M11" s="275">
        <v>26528</v>
      </c>
      <c r="N11" s="275"/>
      <c r="O11" s="275">
        <v>24704</v>
      </c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  <c r="AE11" s="344"/>
      <c r="AF11" s="344"/>
      <c r="AG11" s="345"/>
      <c r="AH11" s="346"/>
      <c r="AI11" s="346"/>
    </row>
    <row r="12" spans="1:35" s="30" customFormat="1" ht="20.100000000000001" customHeight="1">
      <c r="A12" s="372"/>
      <c r="B12" s="276" t="s">
        <v>60</v>
      </c>
      <c r="C12" s="277">
        <v>145740</v>
      </c>
      <c r="D12" s="277">
        <v>168420</v>
      </c>
      <c r="E12" s="277">
        <v>24290</v>
      </c>
      <c r="F12" s="277"/>
      <c r="G12" s="277"/>
      <c r="H12" s="277">
        <v>24240</v>
      </c>
      <c r="I12" s="277">
        <v>25360</v>
      </c>
      <c r="J12" s="277">
        <v>24460</v>
      </c>
      <c r="K12" s="277"/>
      <c r="L12" s="277">
        <v>24370</v>
      </c>
      <c r="M12" s="277">
        <v>24710</v>
      </c>
      <c r="N12" s="277"/>
      <c r="O12" s="277">
        <v>22600</v>
      </c>
      <c r="P12" s="277">
        <v>22680</v>
      </c>
      <c r="Q12" s="277">
        <v>23040</v>
      </c>
      <c r="R12" s="277">
        <v>23160</v>
      </c>
      <c r="S12" s="277">
        <v>23160</v>
      </c>
      <c r="T12" s="277">
        <v>22800</v>
      </c>
      <c r="U12" s="277"/>
      <c r="V12" s="277">
        <v>22600</v>
      </c>
      <c r="W12" s="277">
        <v>22100</v>
      </c>
      <c r="X12" s="277">
        <v>22160</v>
      </c>
      <c r="Y12" s="277">
        <v>23000</v>
      </c>
      <c r="Z12" s="277">
        <v>23420</v>
      </c>
      <c r="AA12" s="277"/>
      <c r="AB12" s="277"/>
      <c r="AC12" s="277">
        <v>23300</v>
      </c>
      <c r="AD12" s="277">
        <v>23780</v>
      </c>
      <c r="AE12" s="277">
        <v>24260</v>
      </c>
      <c r="AF12" s="277">
        <v>24040</v>
      </c>
      <c r="AG12" s="347">
        <v>24040</v>
      </c>
      <c r="AH12" s="349"/>
      <c r="AI12" s="349"/>
    </row>
    <row r="13" spans="1:35" s="30" customFormat="1" ht="20.100000000000001" customHeight="1">
      <c r="A13" s="372"/>
      <c r="B13" s="278" t="s">
        <v>61</v>
      </c>
      <c r="C13" s="279">
        <v>142075</v>
      </c>
      <c r="D13" s="279">
        <v>142075</v>
      </c>
      <c r="E13" s="279">
        <v>23679.200000000001</v>
      </c>
      <c r="F13" s="279"/>
      <c r="G13" s="279"/>
      <c r="H13" s="279">
        <v>24248</v>
      </c>
      <c r="I13" s="279">
        <v>25090</v>
      </c>
      <c r="J13" s="279">
        <v>22585</v>
      </c>
      <c r="K13" s="279"/>
      <c r="L13" s="279">
        <v>23810</v>
      </c>
      <c r="M13" s="279">
        <v>24162</v>
      </c>
      <c r="N13" s="279"/>
      <c r="O13" s="279">
        <v>22180</v>
      </c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  <c r="AA13" s="279"/>
      <c r="AB13" s="279"/>
      <c r="AC13" s="279"/>
      <c r="AD13" s="279"/>
      <c r="AE13" s="350"/>
      <c r="AF13" s="351"/>
      <c r="AG13" s="351"/>
      <c r="AH13" s="352"/>
      <c r="AI13" s="352"/>
    </row>
    <row r="14" spans="1:35" s="30" customFormat="1" ht="20.100000000000001" customHeight="1">
      <c r="A14" s="372"/>
      <c r="B14" s="280" t="s">
        <v>34</v>
      </c>
      <c r="C14" s="281">
        <v>-3665</v>
      </c>
      <c r="D14" s="281">
        <v>-26345</v>
      </c>
      <c r="E14" s="281">
        <v>-610.79999999999995</v>
      </c>
      <c r="F14" s="281"/>
      <c r="G14" s="281"/>
      <c r="H14" s="281">
        <v>8</v>
      </c>
      <c r="I14" s="281">
        <v>-270</v>
      </c>
      <c r="J14" s="281">
        <v>-1875</v>
      </c>
      <c r="K14" s="281"/>
      <c r="L14" s="281">
        <v>-560</v>
      </c>
      <c r="M14" s="281">
        <v>-548</v>
      </c>
      <c r="N14" s="281"/>
      <c r="O14" s="281">
        <v>-420</v>
      </c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353"/>
      <c r="AF14" s="353"/>
      <c r="AG14" s="351"/>
      <c r="AH14" s="312"/>
      <c r="AI14" s="352"/>
    </row>
    <row r="15" spans="1:35" s="30" customFormat="1" ht="20.100000000000001" customHeight="1">
      <c r="A15" s="372"/>
      <c r="B15" s="280" t="s">
        <v>35</v>
      </c>
      <c r="C15" s="281">
        <v>-15573</v>
      </c>
      <c r="D15" s="281">
        <v>-15573</v>
      </c>
      <c r="E15" s="281">
        <v>-2595.5</v>
      </c>
      <c r="F15" s="281"/>
      <c r="G15" s="281"/>
      <c r="H15" s="281">
        <v>-2488</v>
      </c>
      <c r="I15" s="281">
        <v>-1486</v>
      </c>
      <c r="J15" s="281">
        <v>-3975</v>
      </c>
      <c r="K15" s="281"/>
      <c r="L15" s="281">
        <v>-2734</v>
      </c>
      <c r="M15" s="281">
        <v>-2366</v>
      </c>
      <c r="N15" s="281"/>
      <c r="O15" s="281">
        <v>-2524</v>
      </c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353"/>
      <c r="AF15" s="353"/>
      <c r="AG15" s="353"/>
      <c r="AH15" s="312"/>
      <c r="AI15" s="352"/>
    </row>
    <row r="16" spans="1:35" s="30" customFormat="1" ht="20.100000000000001" customHeight="1">
      <c r="A16" s="372"/>
      <c r="B16" s="278" t="s">
        <v>36</v>
      </c>
      <c r="C16" s="282">
        <v>97</v>
      </c>
      <c r="D16" s="282">
        <v>84</v>
      </c>
      <c r="E16" s="282">
        <v>97</v>
      </c>
      <c r="F16" s="282"/>
      <c r="G16" s="282"/>
      <c r="H16" s="282">
        <v>100</v>
      </c>
      <c r="I16" s="282">
        <v>98</v>
      </c>
      <c r="J16" s="282">
        <v>92</v>
      </c>
      <c r="K16" s="282"/>
      <c r="L16" s="282">
        <v>97</v>
      </c>
      <c r="M16" s="282">
        <v>97</v>
      </c>
      <c r="N16" s="282"/>
      <c r="O16" s="282">
        <v>98</v>
      </c>
      <c r="P16" s="282">
        <v>0</v>
      </c>
      <c r="Q16" s="282">
        <v>0</v>
      </c>
      <c r="R16" s="282">
        <v>0</v>
      </c>
      <c r="S16" s="282">
        <v>0</v>
      </c>
      <c r="T16" s="282">
        <v>0</v>
      </c>
      <c r="U16" s="282"/>
      <c r="V16" s="282">
        <v>0</v>
      </c>
      <c r="W16" s="282">
        <v>0</v>
      </c>
      <c r="X16" s="282">
        <v>0</v>
      </c>
      <c r="Y16" s="282">
        <v>0</v>
      </c>
      <c r="Z16" s="282">
        <v>0</v>
      </c>
      <c r="AA16" s="282"/>
      <c r="AB16" s="282"/>
      <c r="AC16" s="282">
        <v>0</v>
      </c>
      <c r="AD16" s="282">
        <v>0</v>
      </c>
      <c r="AE16" s="282">
        <v>0</v>
      </c>
      <c r="AF16" s="354">
        <v>0</v>
      </c>
      <c r="AG16" s="354">
        <v>0</v>
      </c>
      <c r="AH16" s="355"/>
      <c r="AI16" s="355"/>
    </row>
    <row r="17" spans="1:35" s="30" customFormat="1" ht="20.100000000000001" customHeight="1">
      <c r="A17" s="372"/>
      <c r="B17" s="278" t="s">
        <v>59</v>
      </c>
      <c r="C17" s="282">
        <v>90</v>
      </c>
      <c r="D17" s="282">
        <v>90</v>
      </c>
      <c r="E17" s="282">
        <v>90</v>
      </c>
      <c r="F17" s="282"/>
      <c r="G17" s="282"/>
      <c r="H17" s="282">
        <v>90</v>
      </c>
      <c r="I17" s="282">
        <v>94</v>
      </c>
      <c r="J17" s="282">
        <v>85</v>
      </c>
      <c r="K17" s="282"/>
      <c r="L17" s="282">
        <v>89</v>
      </c>
      <c r="M17" s="282">
        <v>91</v>
      </c>
      <c r="N17" s="282"/>
      <c r="O17" s="282">
        <v>89</v>
      </c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354"/>
      <c r="AG17" s="354"/>
      <c r="AH17" s="355"/>
      <c r="AI17" s="355"/>
    </row>
    <row r="18" spans="1:35" s="31" customFormat="1" ht="20.100000000000001" customHeight="1">
      <c r="A18" s="373" t="s">
        <v>116</v>
      </c>
      <c r="B18" s="274" t="s">
        <v>55</v>
      </c>
      <c r="C18" s="275">
        <v>0</v>
      </c>
      <c r="D18" s="275">
        <v>0</v>
      </c>
      <c r="E18" s="275">
        <v>0</v>
      </c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  <c r="AE18" s="344"/>
      <c r="AF18" s="344"/>
      <c r="AG18" s="345"/>
      <c r="AH18" s="356"/>
      <c r="AI18" s="356"/>
    </row>
    <row r="19" spans="1:35" s="31" customFormat="1" ht="20.100000000000001" customHeight="1">
      <c r="A19" s="373"/>
      <c r="B19" s="276" t="s">
        <v>60</v>
      </c>
      <c r="C19" s="277">
        <v>0</v>
      </c>
      <c r="D19" s="277">
        <v>0</v>
      </c>
      <c r="E19" s="277">
        <v>0</v>
      </c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347"/>
      <c r="AH19" s="357"/>
      <c r="AI19" s="357"/>
    </row>
    <row r="20" spans="1:35" s="31" customFormat="1" ht="20.100000000000001" customHeight="1">
      <c r="A20" s="373"/>
      <c r="B20" s="278" t="s">
        <v>61</v>
      </c>
      <c r="C20" s="279">
        <v>1236</v>
      </c>
      <c r="D20" s="279">
        <v>1236</v>
      </c>
      <c r="E20" s="279">
        <v>412</v>
      </c>
      <c r="F20" s="279"/>
      <c r="G20" s="279"/>
      <c r="H20" s="279"/>
      <c r="I20" s="279"/>
      <c r="J20" s="279">
        <v>480</v>
      </c>
      <c r="K20" s="279"/>
      <c r="L20" s="279">
        <v>384</v>
      </c>
      <c r="M20" s="279">
        <v>372</v>
      </c>
      <c r="N20" s="279"/>
      <c r="O20" s="279"/>
      <c r="P20" s="279"/>
      <c r="Q20" s="279"/>
      <c r="R20" s="279"/>
      <c r="S20" s="279"/>
      <c r="T20" s="279"/>
      <c r="U20" s="279"/>
      <c r="V20" s="279"/>
      <c r="W20" s="279"/>
      <c r="X20" s="279"/>
      <c r="Y20" s="279"/>
      <c r="Z20" s="279"/>
      <c r="AA20" s="279"/>
      <c r="AB20" s="279"/>
      <c r="AC20" s="279"/>
      <c r="AD20" s="279"/>
      <c r="AE20" s="350"/>
      <c r="AF20" s="351"/>
      <c r="AG20" s="351"/>
      <c r="AH20" s="358"/>
      <c r="AI20" s="358"/>
    </row>
    <row r="21" spans="1:35" s="31" customFormat="1" ht="20.100000000000001" customHeight="1">
      <c r="A21" s="373"/>
      <c r="B21" s="280" t="s">
        <v>34</v>
      </c>
      <c r="C21" s="281">
        <v>1236</v>
      </c>
      <c r="D21" s="281">
        <v>0</v>
      </c>
      <c r="E21" s="281">
        <v>412</v>
      </c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353"/>
      <c r="AF21" s="353"/>
      <c r="AG21" s="353"/>
      <c r="AH21" s="358"/>
      <c r="AI21" s="358"/>
    </row>
    <row r="22" spans="1:35" s="31" customFormat="1" ht="20.100000000000001" customHeight="1">
      <c r="A22" s="373"/>
      <c r="B22" s="280" t="s">
        <v>35</v>
      </c>
      <c r="C22" s="281">
        <v>1236</v>
      </c>
      <c r="D22" s="281">
        <v>1236</v>
      </c>
      <c r="E22" s="281">
        <v>412</v>
      </c>
      <c r="F22" s="281"/>
      <c r="G22" s="281"/>
      <c r="H22" s="281"/>
      <c r="I22" s="281"/>
      <c r="J22" s="281">
        <v>480</v>
      </c>
      <c r="K22" s="281"/>
      <c r="L22" s="281">
        <v>384</v>
      </c>
      <c r="M22" s="281">
        <v>372</v>
      </c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353"/>
      <c r="AF22" s="353"/>
      <c r="AG22" s="353"/>
      <c r="AH22" s="358"/>
      <c r="AI22" s="358"/>
    </row>
    <row r="23" spans="1:35" s="31" customFormat="1" ht="20.100000000000001" customHeight="1">
      <c r="A23" s="373"/>
      <c r="B23" s="278" t="s">
        <v>36</v>
      </c>
      <c r="C23" s="282">
        <v>0</v>
      </c>
      <c r="D23" s="282">
        <v>0</v>
      </c>
      <c r="E23" s="282">
        <v>0</v>
      </c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354"/>
      <c r="AG23" s="354"/>
      <c r="AH23" s="355"/>
      <c r="AI23" s="355"/>
    </row>
    <row r="24" spans="1:35" s="31" customFormat="1" ht="20.100000000000001" customHeight="1">
      <c r="A24" s="373"/>
      <c r="B24" s="278" t="s">
        <v>59</v>
      </c>
      <c r="C24" s="282">
        <v>0</v>
      </c>
      <c r="D24" s="282">
        <v>0</v>
      </c>
      <c r="E24" s="282">
        <v>0</v>
      </c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354"/>
      <c r="AG24" s="354"/>
      <c r="AH24" s="355"/>
      <c r="AI24" s="355"/>
    </row>
    <row r="25" spans="1:35" s="31" customFormat="1" ht="20.100000000000001" customHeight="1">
      <c r="A25" s="368" t="s">
        <v>117</v>
      </c>
      <c r="B25" s="274" t="s">
        <v>55</v>
      </c>
      <c r="C25" s="275">
        <v>328224</v>
      </c>
      <c r="D25" s="275">
        <v>328224</v>
      </c>
      <c r="E25" s="275">
        <v>54704</v>
      </c>
      <c r="F25" s="275"/>
      <c r="G25" s="275"/>
      <c r="H25" s="359">
        <v>55608</v>
      </c>
      <c r="I25" s="359">
        <v>55504</v>
      </c>
      <c r="J25" s="359">
        <v>55336</v>
      </c>
      <c r="K25" s="359"/>
      <c r="L25" s="359">
        <v>55168</v>
      </c>
      <c r="M25" s="359">
        <v>55184</v>
      </c>
      <c r="N25" s="275"/>
      <c r="O25" s="359">
        <v>51424</v>
      </c>
      <c r="P25" s="359"/>
      <c r="Q25" s="359"/>
      <c r="R25" s="359"/>
      <c r="S25" s="359"/>
      <c r="T25" s="359"/>
      <c r="U25" s="275"/>
      <c r="V25" s="359"/>
      <c r="W25" s="359"/>
      <c r="X25" s="359"/>
      <c r="Y25" s="359"/>
      <c r="Z25" s="359"/>
      <c r="AA25" s="359"/>
      <c r="AB25" s="275"/>
      <c r="AC25" s="359"/>
      <c r="AD25" s="359"/>
      <c r="AE25" s="359"/>
      <c r="AF25" s="359"/>
      <c r="AG25" s="345"/>
      <c r="AH25" s="356"/>
      <c r="AI25" s="356"/>
    </row>
    <row r="26" spans="1:35" s="31" customFormat="1" ht="20.100000000000001" customHeight="1">
      <c r="A26" s="368"/>
      <c r="B26" s="276" t="s">
        <v>60</v>
      </c>
      <c r="C26" s="277">
        <v>304692</v>
      </c>
      <c r="D26" s="277">
        <v>352304</v>
      </c>
      <c r="E26" s="277">
        <v>50782</v>
      </c>
      <c r="F26" s="277"/>
      <c r="G26" s="277"/>
      <c r="H26" s="360">
        <v>51232</v>
      </c>
      <c r="I26" s="360">
        <v>52352</v>
      </c>
      <c r="J26" s="360">
        <v>51452</v>
      </c>
      <c r="K26" s="360"/>
      <c r="L26" s="360">
        <v>51362</v>
      </c>
      <c r="M26" s="360">
        <v>51042</v>
      </c>
      <c r="N26" s="277"/>
      <c r="O26" s="360">
        <v>47252</v>
      </c>
      <c r="P26" s="360">
        <v>47612</v>
      </c>
      <c r="Q26" s="360">
        <v>48272</v>
      </c>
      <c r="R26" s="360">
        <v>48112</v>
      </c>
      <c r="S26" s="360">
        <v>47732</v>
      </c>
      <c r="T26" s="360">
        <v>47432</v>
      </c>
      <c r="U26" s="277"/>
      <c r="V26" s="360">
        <v>47832</v>
      </c>
      <c r="W26" s="360">
        <v>47332</v>
      </c>
      <c r="X26" s="360">
        <v>47392</v>
      </c>
      <c r="Y26" s="360">
        <v>48112</v>
      </c>
      <c r="Z26" s="360">
        <v>48532</v>
      </c>
      <c r="AA26" s="360"/>
      <c r="AB26" s="277"/>
      <c r="AC26" s="360">
        <v>48432</v>
      </c>
      <c r="AD26" s="360">
        <v>48732</v>
      </c>
      <c r="AE26" s="360">
        <v>49892</v>
      </c>
      <c r="AF26" s="360">
        <v>50012</v>
      </c>
      <c r="AG26" s="347">
        <v>50392</v>
      </c>
      <c r="AH26" s="357"/>
      <c r="AI26" s="357"/>
    </row>
    <row r="27" spans="1:35" s="31" customFormat="1" ht="20.100000000000001" customHeight="1">
      <c r="A27" s="368"/>
      <c r="B27" s="278" t="s">
        <v>61</v>
      </c>
      <c r="C27" s="279">
        <v>296581</v>
      </c>
      <c r="D27" s="279">
        <v>296581</v>
      </c>
      <c r="E27" s="279">
        <v>49636.2</v>
      </c>
      <c r="F27" s="279"/>
      <c r="G27" s="279"/>
      <c r="H27" s="361">
        <v>51156</v>
      </c>
      <c r="I27" s="361">
        <v>50547</v>
      </c>
      <c r="J27" s="279">
        <v>48823</v>
      </c>
      <c r="K27" s="361"/>
      <c r="L27" s="361">
        <v>50782</v>
      </c>
      <c r="M27" s="361">
        <v>50158</v>
      </c>
      <c r="N27" s="279"/>
      <c r="O27" s="361">
        <v>45115</v>
      </c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350"/>
      <c r="AF27" s="351"/>
      <c r="AG27" s="351"/>
      <c r="AH27" s="358"/>
      <c r="AI27" s="358"/>
    </row>
    <row r="28" spans="1:35" s="31" customFormat="1" ht="20.100000000000001" customHeight="1">
      <c r="A28" s="368"/>
      <c r="B28" s="280" t="s">
        <v>62</v>
      </c>
      <c r="C28" s="281">
        <v>-8111</v>
      </c>
      <c r="D28" s="281">
        <v>-55723</v>
      </c>
      <c r="E28" s="281">
        <v>-1145.8</v>
      </c>
      <c r="F28" s="281"/>
      <c r="G28" s="281"/>
      <c r="H28" s="361">
        <v>-76</v>
      </c>
      <c r="I28" s="361">
        <v>-1805</v>
      </c>
      <c r="J28" s="281">
        <v>-2629</v>
      </c>
      <c r="K28" s="361"/>
      <c r="L28" s="361">
        <v>-580</v>
      </c>
      <c r="M28" s="361">
        <v>-884</v>
      </c>
      <c r="N28" s="281"/>
      <c r="O28" s="361">
        <v>-2137</v>
      </c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353"/>
      <c r="AF28" s="353"/>
      <c r="AG28" s="353"/>
      <c r="AH28" s="358"/>
      <c r="AI28" s="358"/>
    </row>
    <row r="29" spans="1:35" s="31" customFormat="1" ht="20.100000000000001" customHeight="1">
      <c r="A29" s="368"/>
      <c r="B29" s="280" t="s">
        <v>63</v>
      </c>
      <c r="C29" s="281">
        <v>-31643</v>
      </c>
      <c r="D29" s="281">
        <v>-31643</v>
      </c>
      <c r="E29" s="281">
        <v>-5067.8</v>
      </c>
      <c r="F29" s="281"/>
      <c r="G29" s="281"/>
      <c r="H29" s="361">
        <v>-4452</v>
      </c>
      <c r="I29" s="361">
        <v>-4957</v>
      </c>
      <c r="J29" s="281">
        <v>-6513</v>
      </c>
      <c r="K29" s="361"/>
      <c r="L29" s="361">
        <v>-4386</v>
      </c>
      <c r="M29" s="361">
        <v>-5026</v>
      </c>
      <c r="N29" s="281"/>
      <c r="O29" s="361">
        <v>-6309</v>
      </c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353"/>
      <c r="AF29" s="353"/>
      <c r="AG29" s="353"/>
      <c r="AH29" s="358"/>
      <c r="AI29" s="358"/>
    </row>
    <row r="30" spans="1:35" s="31" customFormat="1" ht="20.100000000000001" customHeight="1">
      <c r="A30" s="368"/>
      <c r="B30" s="278" t="s">
        <v>64</v>
      </c>
      <c r="C30" s="282">
        <v>97</v>
      </c>
      <c r="D30" s="282">
        <v>84</v>
      </c>
      <c r="E30" s="282">
        <v>97</v>
      </c>
      <c r="F30" s="282"/>
      <c r="G30" s="282"/>
      <c r="H30" s="282">
        <v>99</v>
      </c>
      <c r="I30" s="282">
        <v>96</v>
      </c>
      <c r="J30" s="282">
        <v>94</v>
      </c>
      <c r="K30" s="282"/>
      <c r="L30" s="282">
        <v>98</v>
      </c>
      <c r="M30" s="282">
        <v>98</v>
      </c>
      <c r="N30" s="282"/>
      <c r="O30" s="282">
        <v>95</v>
      </c>
      <c r="P30" s="282">
        <v>0</v>
      </c>
      <c r="Q30" s="282">
        <v>0</v>
      </c>
      <c r="R30" s="282">
        <v>0</v>
      </c>
      <c r="S30" s="282">
        <v>0</v>
      </c>
      <c r="T30" s="282">
        <v>0</v>
      </c>
      <c r="U30" s="282"/>
      <c r="V30" s="282">
        <v>0</v>
      </c>
      <c r="W30" s="282">
        <v>0</v>
      </c>
      <c r="X30" s="282">
        <v>0</v>
      </c>
      <c r="Y30" s="282">
        <v>0</v>
      </c>
      <c r="Z30" s="282">
        <v>0</v>
      </c>
      <c r="AA30" s="282"/>
      <c r="AB30" s="282"/>
      <c r="AC30" s="282">
        <v>0</v>
      </c>
      <c r="AD30" s="282">
        <v>0</v>
      </c>
      <c r="AE30" s="282">
        <v>0</v>
      </c>
      <c r="AF30" s="354">
        <v>0</v>
      </c>
      <c r="AG30" s="354">
        <v>0</v>
      </c>
      <c r="AH30" s="362"/>
      <c r="AI30" s="362"/>
    </row>
    <row r="31" spans="1:35" s="31" customFormat="1" ht="20.100000000000001" customHeight="1">
      <c r="A31" s="368"/>
      <c r="B31" s="278" t="s">
        <v>65</v>
      </c>
      <c r="C31" s="282">
        <v>90</v>
      </c>
      <c r="D31" s="282">
        <v>90</v>
      </c>
      <c r="E31" s="282">
        <v>90</v>
      </c>
      <c r="F31" s="282"/>
      <c r="G31" s="282"/>
      <c r="H31" s="282">
        <v>91</v>
      </c>
      <c r="I31" s="282">
        <v>91</v>
      </c>
      <c r="J31" s="282">
        <v>88</v>
      </c>
      <c r="K31" s="282"/>
      <c r="L31" s="282">
        <v>92</v>
      </c>
      <c r="M31" s="282">
        <v>90</v>
      </c>
      <c r="N31" s="282"/>
      <c r="O31" s="282">
        <v>87</v>
      </c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354"/>
      <c r="AG31" s="354"/>
      <c r="AH31" s="362"/>
      <c r="AI31" s="362"/>
    </row>
  </sheetData>
  <mergeCells count="6">
    <mergeCell ref="A25:A31"/>
    <mergeCell ref="A1:B1"/>
    <mergeCell ref="A3:B3"/>
    <mergeCell ref="A4:A10"/>
    <mergeCell ref="A11:A17"/>
    <mergeCell ref="A18:A24"/>
  </mergeCells>
  <phoneticPr fontId="31" type="noConversion"/>
  <hyperlinks>
    <hyperlink ref="A1" location="'目   錄'!A1" display="回到首頁"/>
  </hyperlinks>
  <printOptions horizontalCentered="1"/>
  <pageMargins left="0" right="0" top="0" bottom="0" header="0" footer="0"/>
  <pageSetup paperSize="9" scale="7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FF"/>
  </sheetPr>
  <dimension ref="A1:IT88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B1"/>
    </sheetView>
  </sheetViews>
  <sheetFormatPr defaultRowHeight="15"/>
  <cols>
    <col min="1" max="1" width="11.28515625" style="8" customWidth="1"/>
    <col min="2" max="2" width="8.42578125" style="8" bestFit="1" customWidth="1"/>
    <col min="3" max="3" width="9" style="8" bestFit="1" customWidth="1"/>
    <col min="4" max="4" width="9.28515625" style="8" customWidth="1"/>
    <col min="5" max="6" width="9" style="8" bestFit="1" customWidth="1"/>
    <col min="7" max="7" width="10.85546875" style="8" customWidth="1"/>
    <col min="8" max="9" width="9" style="8" bestFit="1" customWidth="1"/>
    <col min="10" max="10" width="7.7109375" style="8" bestFit="1" customWidth="1"/>
    <col min="11" max="14" width="9" style="8" bestFit="1" customWidth="1"/>
    <col min="15" max="15" width="11" style="8" customWidth="1"/>
    <col min="16" max="16384" width="9.140625" style="8"/>
  </cols>
  <sheetData>
    <row r="1" spans="1:16" ht="27.75">
      <c r="A1" s="369" t="s">
        <v>4</v>
      </c>
      <c r="B1" s="370"/>
    </row>
    <row r="2" spans="1:16" ht="21.75" thickBot="1">
      <c r="A2" s="21" t="s">
        <v>40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6" ht="15.75" thickTop="1">
      <c r="A3" s="24" t="s">
        <v>20</v>
      </c>
      <c r="B3" s="25" t="s">
        <v>2</v>
      </c>
      <c r="C3" s="25" t="s">
        <v>8</v>
      </c>
      <c r="D3" s="25" t="s">
        <v>9</v>
      </c>
      <c r="E3" s="25" t="s">
        <v>10</v>
      </c>
      <c r="F3" s="25" t="s">
        <v>11</v>
      </c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5</v>
      </c>
      <c r="M3" s="25" t="s">
        <v>6</v>
      </c>
      <c r="N3" s="25" t="s">
        <v>7</v>
      </c>
      <c r="O3" s="26" t="s">
        <v>17</v>
      </c>
    </row>
    <row r="4" spans="1:16">
      <c r="A4" s="374" t="s">
        <v>30</v>
      </c>
      <c r="B4" s="32" t="s">
        <v>25</v>
      </c>
      <c r="C4" s="33">
        <v>923173</v>
      </c>
      <c r="D4" s="33">
        <v>930123</v>
      </c>
      <c r="E4" s="33">
        <v>1181962</v>
      </c>
      <c r="F4" s="33">
        <v>2090296</v>
      </c>
      <c r="G4" s="33">
        <v>1346198</v>
      </c>
      <c r="H4" s="33">
        <v>826167</v>
      </c>
      <c r="I4" s="33">
        <v>375480</v>
      </c>
      <c r="J4" s="33">
        <v>37086</v>
      </c>
      <c r="K4" s="33">
        <v>0</v>
      </c>
      <c r="L4" s="33">
        <v>0</v>
      </c>
      <c r="M4" s="33">
        <v>0</v>
      </c>
      <c r="N4" s="33">
        <v>0</v>
      </c>
      <c r="O4" s="34">
        <v>7710485</v>
      </c>
    </row>
    <row r="5" spans="1:16">
      <c r="A5" s="375"/>
      <c r="B5" s="35" t="s">
        <v>31</v>
      </c>
      <c r="C5" s="36">
        <v>126310</v>
      </c>
      <c r="D5" s="36">
        <v>225104</v>
      </c>
      <c r="E5" s="37">
        <v>82504</v>
      </c>
      <c r="F5" s="37">
        <v>218346</v>
      </c>
      <c r="G5" s="37">
        <v>0</v>
      </c>
      <c r="H5" s="37">
        <v>0</v>
      </c>
      <c r="I5" s="37">
        <v>0</v>
      </c>
      <c r="J5" s="37">
        <v>0</v>
      </c>
      <c r="K5" s="38">
        <v>0</v>
      </c>
      <c r="L5" s="38">
        <v>0</v>
      </c>
      <c r="M5" s="36">
        <v>0</v>
      </c>
      <c r="N5" s="36">
        <v>0</v>
      </c>
      <c r="O5" s="39">
        <v>652264</v>
      </c>
      <c r="P5" s="40"/>
    </row>
    <row r="6" spans="1:16">
      <c r="A6" s="375"/>
      <c r="B6" s="41" t="s">
        <v>26</v>
      </c>
      <c r="C6" s="42">
        <v>796863</v>
      </c>
      <c r="D6" s="42">
        <v>705019</v>
      </c>
      <c r="E6" s="43">
        <v>1099458</v>
      </c>
      <c r="F6" s="43">
        <v>1675811</v>
      </c>
      <c r="G6" s="43">
        <v>309712</v>
      </c>
      <c r="H6" s="43">
        <v>31499</v>
      </c>
      <c r="I6" s="43">
        <v>0</v>
      </c>
      <c r="J6" s="43">
        <v>0</v>
      </c>
      <c r="K6" s="44">
        <v>0</v>
      </c>
      <c r="L6" s="44">
        <v>0</v>
      </c>
      <c r="M6" s="42">
        <v>0</v>
      </c>
      <c r="N6" s="42">
        <v>0</v>
      </c>
      <c r="O6" s="45">
        <v>4618362</v>
      </c>
    </row>
    <row r="7" spans="1:16">
      <c r="A7" s="376"/>
      <c r="B7" s="46" t="s">
        <v>27</v>
      </c>
      <c r="C7" s="47">
        <v>0</v>
      </c>
      <c r="D7" s="47">
        <v>0</v>
      </c>
      <c r="E7" s="47">
        <v>0</v>
      </c>
      <c r="F7" s="47">
        <v>196139</v>
      </c>
      <c r="G7" s="47">
        <v>1036486</v>
      </c>
      <c r="H7" s="47">
        <v>794668</v>
      </c>
      <c r="I7" s="47">
        <v>375480</v>
      </c>
      <c r="J7" s="47">
        <v>37086</v>
      </c>
      <c r="K7" s="47">
        <v>0</v>
      </c>
      <c r="L7" s="47">
        <v>0</v>
      </c>
      <c r="M7" s="47">
        <v>0</v>
      </c>
      <c r="N7" s="47">
        <v>0</v>
      </c>
      <c r="O7" s="48">
        <v>2439859</v>
      </c>
    </row>
    <row r="8" spans="1:16">
      <c r="A8" s="377" t="s">
        <v>32</v>
      </c>
      <c r="B8" s="49" t="s">
        <v>25</v>
      </c>
      <c r="C8" s="50">
        <v>14280</v>
      </c>
      <c r="D8" s="50">
        <v>14520</v>
      </c>
      <c r="E8" s="50">
        <v>960</v>
      </c>
      <c r="F8" s="50">
        <v>7620</v>
      </c>
      <c r="G8" s="50">
        <v>16140</v>
      </c>
      <c r="H8" s="50">
        <v>11160</v>
      </c>
      <c r="I8" s="50">
        <v>16860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34">
        <v>81540</v>
      </c>
    </row>
    <row r="9" spans="1:16">
      <c r="A9" s="378"/>
      <c r="B9" s="35" t="s">
        <v>31</v>
      </c>
      <c r="C9" s="37">
        <v>1847</v>
      </c>
      <c r="D9" s="37">
        <v>1164</v>
      </c>
      <c r="E9" s="37">
        <v>960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8">
        <v>0</v>
      </c>
      <c r="L9" s="36">
        <v>0</v>
      </c>
      <c r="M9" s="36">
        <v>0</v>
      </c>
      <c r="N9" s="36">
        <v>0</v>
      </c>
      <c r="O9" s="39">
        <v>3971</v>
      </c>
    </row>
    <row r="10" spans="1:16">
      <c r="A10" s="378"/>
      <c r="B10" s="41" t="s">
        <v>26</v>
      </c>
      <c r="C10" s="43">
        <v>12433</v>
      </c>
      <c r="D10" s="43">
        <v>13169</v>
      </c>
      <c r="E10" s="43">
        <v>0</v>
      </c>
      <c r="F10" s="43">
        <v>7620</v>
      </c>
      <c r="G10" s="43">
        <v>10320</v>
      </c>
      <c r="H10" s="43">
        <v>0</v>
      </c>
      <c r="I10" s="43">
        <v>0</v>
      </c>
      <c r="J10" s="43">
        <v>0</v>
      </c>
      <c r="K10" s="44">
        <v>0</v>
      </c>
      <c r="L10" s="42">
        <v>0</v>
      </c>
      <c r="M10" s="42">
        <v>0</v>
      </c>
      <c r="N10" s="42">
        <v>0</v>
      </c>
      <c r="O10" s="45">
        <v>43542</v>
      </c>
    </row>
    <row r="11" spans="1:16">
      <c r="A11" s="379"/>
      <c r="B11" s="46" t="s">
        <v>27</v>
      </c>
      <c r="C11" s="47">
        <v>0</v>
      </c>
      <c r="D11" s="47">
        <v>187</v>
      </c>
      <c r="E11" s="47">
        <v>0</v>
      </c>
      <c r="F11" s="47">
        <v>0</v>
      </c>
      <c r="G11" s="47">
        <v>5820</v>
      </c>
      <c r="H11" s="47">
        <v>11160</v>
      </c>
      <c r="I11" s="47">
        <v>16860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8">
        <v>34027</v>
      </c>
    </row>
    <row r="13" spans="1:16" ht="16.5">
      <c r="A13" s="51" t="s">
        <v>28</v>
      </c>
    </row>
    <row r="14" spans="1:16" ht="16.5">
      <c r="A14" s="52"/>
      <c r="B14" s="53"/>
      <c r="C14" s="53"/>
      <c r="D14" s="53"/>
      <c r="E14" s="53"/>
      <c r="F14" s="53"/>
      <c r="G14" s="53"/>
    </row>
    <row r="15" spans="1:16" ht="16.5">
      <c r="A15" s="52"/>
      <c r="B15" s="53"/>
      <c r="C15" s="53"/>
      <c r="D15" s="53"/>
      <c r="E15" s="53"/>
      <c r="F15" s="53"/>
      <c r="G15" s="53"/>
      <c r="O15" s="40"/>
    </row>
    <row r="16" spans="1:16" ht="16.5">
      <c r="A16" s="52"/>
    </row>
    <row r="17" spans="1:17" ht="16.5">
      <c r="A17" s="52"/>
    </row>
    <row r="18" spans="1:17" ht="16.5">
      <c r="A18" s="52"/>
      <c r="Q18" s="40"/>
    </row>
    <row r="19" spans="1:17" ht="16.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40"/>
    </row>
    <row r="20" spans="1:17" ht="16.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40"/>
    </row>
    <row r="21" spans="1:17" ht="16.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40"/>
    </row>
    <row r="22" spans="1:17" ht="16.5">
      <c r="A22" s="54"/>
      <c r="B22" s="2"/>
      <c r="C22" s="2"/>
      <c r="D22" s="2"/>
      <c r="E22" s="2"/>
      <c r="F22" s="2"/>
      <c r="G22" s="2"/>
      <c r="H22" s="2"/>
      <c r="I22" s="2"/>
      <c r="J22" s="53"/>
      <c r="K22" s="53"/>
      <c r="L22" s="53"/>
      <c r="M22" s="55"/>
      <c r="N22" s="55"/>
      <c r="O22" s="55"/>
      <c r="P22" s="55"/>
    </row>
    <row r="23" spans="1:17" ht="16.5">
      <c r="A23" s="54"/>
      <c r="B23" s="2"/>
      <c r="C23" s="2"/>
      <c r="D23" s="2"/>
      <c r="E23" s="2"/>
      <c r="F23" s="2"/>
      <c r="G23" s="2"/>
      <c r="H23" s="2"/>
      <c r="I23" s="2"/>
      <c r="J23" s="53"/>
      <c r="K23" s="53"/>
      <c r="L23" s="53"/>
      <c r="M23" s="55"/>
      <c r="N23" s="55"/>
      <c r="O23" s="55"/>
      <c r="P23" s="55"/>
    </row>
    <row r="24" spans="1:17" ht="16.5">
      <c r="A24" s="54"/>
      <c r="B24" s="2"/>
      <c r="C24" s="2"/>
      <c r="D24" s="2"/>
      <c r="E24" s="2"/>
      <c r="F24" s="2"/>
      <c r="G24" s="2"/>
      <c r="H24" s="2"/>
      <c r="I24" s="2"/>
      <c r="J24" s="53"/>
      <c r="K24" s="53"/>
      <c r="L24" s="53"/>
      <c r="M24" s="55"/>
      <c r="N24" s="55"/>
      <c r="O24" s="55"/>
      <c r="P24" s="55"/>
    </row>
    <row r="72" spans="17:17">
      <c r="Q72" s="40"/>
    </row>
    <row r="73" spans="17:17">
      <c r="Q73" s="40"/>
    </row>
    <row r="74" spans="17:17">
      <c r="Q74" s="40"/>
    </row>
    <row r="75" spans="17:17">
      <c r="Q75" s="40"/>
    </row>
    <row r="76" spans="17:17">
      <c r="Q76" s="40"/>
    </row>
    <row r="83" spans="1:254" s="53" customFormat="1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254" s="53" customFormat="1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254" s="53" customFormat="1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254" s="63" customFormat="1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55"/>
      <c r="R86" s="56"/>
      <c r="S86" s="55"/>
      <c r="T86" s="55"/>
      <c r="U86" s="55"/>
      <c r="V86" s="55"/>
      <c r="W86" s="55"/>
      <c r="X86" s="55"/>
      <c r="Y86" s="56"/>
      <c r="Z86" s="55"/>
      <c r="AA86" s="55"/>
      <c r="AB86" s="55"/>
      <c r="AC86" s="57"/>
      <c r="AD86" s="57"/>
      <c r="AE86" s="58"/>
      <c r="AF86" s="58"/>
      <c r="AG86" s="59"/>
      <c r="AH86" s="59"/>
      <c r="AI86" s="59"/>
      <c r="AJ86" s="60"/>
      <c r="AK86" s="59"/>
      <c r="AL86" s="61"/>
      <c r="AM86" s="59"/>
      <c r="AN86" s="59"/>
      <c r="AO86" s="59"/>
      <c r="AP86" s="59"/>
      <c r="AQ86" s="59"/>
      <c r="AR86" s="59"/>
      <c r="AS86" s="59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  <c r="DK86" s="62"/>
      <c r="DL86" s="62"/>
      <c r="DM86" s="62"/>
      <c r="DN86" s="62"/>
      <c r="DO86" s="62"/>
      <c r="DP86" s="62"/>
      <c r="DQ86" s="62"/>
      <c r="DR86" s="62"/>
      <c r="DS86" s="62"/>
      <c r="DT86" s="62"/>
      <c r="DU86" s="62"/>
      <c r="DV86" s="62"/>
      <c r="DW86" s="62"/>
      <c r="DX86" s="62"/>
      <c r="DY86" s="62"/>
      <c r="DZ86" s="62"/>
      <c r="EA86" s="62"/>
      <c r="EB86" s="62"/>
      <c r="EC86" s="62"/>
      <c r="ED86" s="62"/>
      <c r="EE86" s="62"/>
      <c r="EF86" s="62"/>
      <c r="EG86" s="62"/>
      <c r="EH86" s="62"/>
      <c r="EI86" s="62"/>
      <c r="EJ86" s="62"/>
      <c r="EK86" s="62"/>
      <c r="EL86" s="62"/>
      <c r="EM86" s="62"/>
      <c r="EN86" s="62"/>
      <c r="EO86" s="62"/>
      <c r="EP86" s="62"/>
      <c r="EQ86" s="62"/>
      <c r="ER86" s="62"/>
      <c r="ES86" s="62"/>
      <c r="ET86" s="62"/>
      <c r="EU86" s="62"/>
      <c r="EV86" s="62"/>
      <c r="EW86" s="62"/>
      <c r="EX86" s="62"/>
      <c r="EY86" s="62"/>
      <c r="EZ86" s="62"/>
      <c r="FA86" s="62"/>
      <c r="FB86" s="62"/>
      <c r="FC86" s="62"/>
      <c r="FD86" s="62"/>
      <c r="FE86" s="62"/>
      <c r="FF86" s="62"/>
      <c r="FG86" s="62"/>
      <c r="FH86" s="62"/>
      <c r="FI86" s="62"/>
      <c r="FJ86" s="62"/>
      <c r="FK86" s="62"/>
      <c r="FL86" s="62"/>
      <c r="FM86" s="62"/>
      <c r="FN86" s="62"/>
      <c r="FO86" s="62"/>
      <c r="FP86" s="62"/>
      <c r="FQ86" s="62"/>
      <c r="FR86" s="62"/>
      <c r="FS86" s="62"/>
      <c r="FT86" s="62"/>
      <c r="FU86" s="62"/>
      <c r="FV86" s="62"/>
      <c r="FW86" s="62"/>
      <c r="FX86" s="62"/>
      <c r="FY86" s="62"/>
      <c r="FZ86" s="62"/>
      <c r="GA86" s="62"/>
      <c r="GB86" s="62"/>
      <c r="GC86" s="62"/>
      <c r="GD86" s="62"/>
      <c r="GE86" s="62"/>
      <c r="GF86" s="62"/>
      <c r="GG86" s="62"/>
      <c r="GH86" s="62"/>
      <c r="GI86" s="62"/>
      <c r="GJ86" s="62"/>
      <c r="GK86" s="62"/>
      <c r="GL86" s="62"/>
      <c r="GM86" s="62"/>
      <c r="GN86" s="62"/>
      <c r="GO86" s="62"/>
      <c r="GP86" s="62"/>
      <c r="GQ86" s="62"/>
      <c r="GR86" s="62"/>
      <c r="GS86" s="62"/>
      <c r="GT86" s="62"/>
      <c r="GU86" s="62"/>
      <c r="GV86" s="62"/>
      <c r="GW86" s="62"/>
      <c r="GX86" s="62"/>
      <c r="GY86" s="62"/>
      <c r="GZ86" s="62"/>
      <c r="HA86" s="62"/>
      <c r="HB86" s="62"/>
      <c r="HC86" s="62"/>
      <c r="HD86" s="62"/>
      <c r="HE86" s="62"/>
      <c r="HF86" s="62"/>
      <c r="HG86" s="62"/>
      <c r="HH86" s="62"/>
      <c r="HI86" s="62"/>
      <c r="HJ86" s="62"/>
      <c r="HK86" s="62"/>
      <c r="HL86" s="62"/>
      <c r="HM86" s="62"/>
      <c r="HN86" s="62"/>
      <c r="HO86" s="62"/>
      <c r="HP86" s="62"/>
      <c r="HQ86" s="62"/>
      <c r="HR86" s="62"/>
      <c r="HS86" s="62"/>
      <c r="HT86" s="62"/>
      <c r="HU86" s="62"/>
      <c r="HV86" s="62"/>
      <c r="HW86" s="62"/>
      <c r="HX86" s="62"/>
      <c r="HY86" s="62"/>
      <c r="HZ86" s="62"/>
      <c r="IA86" s="62"/>
      <c r="IB86" s="62"/>
      <c r="IC86" s="62"/>
      <c r="ID86" s="62"/>
      <c r="IE86" s="62"/>
      <c r="IF86" s="62"/>
      <c r="IG86" s="62"/>
      <c r="IH86" s="62"/>
      <c r="II86" s="62"/>
      <c r="IJ86" s="62"/>
      <c r="IK86" s="62"/>
      <c r="IL86" s="62"/>
      <c r="IM86" s="62"/>
      <c r="IN86" s="62"/>
      <c r="IO86" s="62"/>
      <c r="IP86" s="62"/>
      <c r="IQ86" s="62"/>
      <c r="IR86" s="62"/>
      <c r="IS86" s="62"/>
      <c r="IT86" s="62"/>
    </row>
    <row r="87" spans="1:254" s="63" customFormat="1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55"/>
      <c r="R87" s="56"/>
      <c r="S87" s="55"/>
      <c r="T87" s="55"/>
      <c r="U87" s="55"/>
      <c r="V87" s="55"/>
      <c r="W87" s="55"/>
      <c r="X87" s="55"/>
      <c r="Y87" s="56"/>
      <c r="Z87" s="55"/>
      <c r="AA87" s="55"/>
      <c r="AB87" s="55"/>
      <c r="AC87" s="57"/>
      <c r="AD87" s="57"/>
      <c r="AE87" s="58"/>
      <c r="AF87" s="58"/>
      <c r="AG87" s="59"/>
      <c r="AH87" s="59"/>
      <c r="AI87" s="59"/>
      <c r="AJ87" s="60"/>
      <c r="AK87" s="59"/>
      <c r="AL87" s="61"/>
      <c r="AM87" s="59"/>
      <c r="AN87" s="59"/>
      <c r="AO87" s="59"/>
      <c r="AP87" s="59"/>
      <c r="AQ87" s="59"/>
      <c r="AR87" s="59"/>
      <c r="AS87" s="59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  <c r="DM87" s="62"/>
      <c r="DN87" s="62"/>
      <c r="DO87" s="62"/>
      <c r="DP87" s="62"/>
      <c r="DQ87" s="62"/>
      <c r="DR87" s="62"/>
      <c r="DS87" s="62"/>
      <c r="DT87" s="62"/>
      <c r="DU87" s="62"/>
      <c r="DV87" s="62"/>
      <c r="DW87" s="62"/>
      <c r="DX87" s="62"/>
      <c r="DY87" s="62"/>
      <c r="DZ87" s="62"/>
      <c r="EA87" s="62"/>
      <c r="EB87" s="62"/>
      <c r="EC87" s="62"/>
      <c r="ED87" s="62"/>
      <c r="EE87" s="62"/>
      <c r="EF87" s="62"/>
      <c r="EG87" s="62"/>
      <c r="EH87" s="62"/>
      <c r="EI87" s="62"/>
      <c r="EJ87" s="62"/>
      <c r="EK87" s="62"/>
      <c r="EL87" s="62"/>
      <c r="EM87" s="62"/>
      <c r="EN87" s="62"/>
      <c r="EO87" s="62"/>
      <c r="EP87" s="62"/>
      <c r="EQ87" s="62"/>
      <c r="ER87" s="62"/>
      <c r="ES87" s="62"/>
      <c r="ET87" s="62"/>
      <c r="EU87" s="62"/>
      <c r="EV87" s="62"/>
      <c r="EW87" s="62"/>
      <c r="EX87" s="62"/>
      <c r="EY87" s="62"/>
      <c r="EZ87" s="62"/>
      <c r="FA87" s="62"/>
      <c r="FB87" s="62"/>
      <c r="FC87" s="62"/>
      <c r="FD87" s="62"/>
      <c r="FE87" s="62"/>
      <c r="FF87" s="62"/>
      <c r="FG87" s="62"/>
      <c r="FH87" s="62"/>
      <c r="FI87" s="62"/>
      <c r="FJ87" s="62"/>
      <c r="FK87" s="62"/>
      <c r="FL87" s="62"/>
      <c r="FM87" s="62"/>
      <c r="FN87" s="62"/>
      <c r="FO87" s="62"/>
      <c r="FP87" s="62"/>
      <c r="FQ87" s="62"/>
      <c r="FR87" s="62"/>
      <c r="FS87" s="62"/>
      <c r="FT87" s="62"/>
      <c r="FU87" s="62"/>
      <c r="FV87" s="62"/>
      <c r="FW87" s="62"/>
      <c r="FX87" s="62"/>
      <c r="FY87" s="62"/>
      <c r="FZ87" s="62"/>
      <c r="GA87" s="62"/>
      <c r="GB87" s="62"/>
      <c r="GC87" s="62"/>
      <c r="GD87" s="62"/>
      <c r="GE87" s="62"/>
      <c r="GF87" s="62"/>
      <c r="GG87" s="62"/>
      <c r="GH87" s="62"/>
      <c r="GI87" s="62"/>
      <c r="GJ87" s="62"/>
      <c r="GK87" s="62"/>
      <c r="GL87" s="62"/>
      <c r="GM87" s="62"/>
      <c r="GN87" s="62"/>
      <c r="GO87" s="62"/>
      <c r="GP87" s="62"/>
      <c r="GQ87" s="62"/>
      <c r="GR87" s="62"/>
      <c r="GS87" s="62"/>
      <c r="GT87" s="62"/>
      <c r="GU87" s="62"/>
      <c r="GV87" s="62"/>
      <c r="GW87" s="62"/>
      <c r="GX87" s="62"/>
      <c r="GY87" s="62"/>
      <c r="GZ87" s="62"/>
      <c r="HA87" s="62"/>
      <c r="HB87" s="62"/>
      <c r="HC87" s="62"/>
      <c r="HD87" s="62"/>
      <c r="HE87" s="62"/>
      <c r="HF87" s="62"/>
      <c r="HG87" s="62"/>
      <c r="HH87" s="62"/>
      <c r="HI87" s="62"/>
      <c r="HJ87" s="62"/>
      <c r="HK87" s="62"/>
      <c r="HL87" s="62"/>
      <c r="HM87" s="62"/>
      <c r="HN87" s="62"/>
      <c r="HO87" s="62"/>
      <c r="HP87" s="62"/>
      <c r="HQ87" s="62"/>
      <c r="HR87" s="62"/>
      <c r="HS87" s="62"/>
      <c r="HT87" s="62"/>
      <c r="HU87" s="62"/>
      <c r="HV87" s="62"/>
      <c r="HW87" s="62"/>
      <c r="HX87" s="62"/>
      <c r="HY87" s="62"/>
      <c r="HZ87" s="62"/>
      <c r="IA87" s="62"/>
      <c r="IB87" s="62"/>
      <c r="IC87" s="62"/>
      <c r="ID87" s="62"/>
      <c r="IE87" s="62"/>
      <c r="IF87" s="62"/>
      <c r="IG87" s="62"/>
      <c r="IH87" s="62"/>
      <c r="II87" s="62"/>
      <c r="IJ87" s="62"/>
      <c r="IK87" s="62"/>
      <c r="IL87" s="62"/>
      <c r="IM87" s="62"/>
      <c r="IN87" s="62"/>
      <c r="IO87" s="62"/>
      <c r="IP87" s="62"/>
      <c r="IQ87" s="62"/>
      <c r="IR87" s="62"/>
      <c r="IS87" s="62"/>
      <c r="IT87" s="62"/>
    </row>
    <row r="88" spans="1:254" s="63" customFormat="1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55"/>
      <c r="R88" s="56"/>
      <c r="S88" s="55"/>
      <c r="T88" s="55"/>
      <c r="U88" s="55"/>
      <c r="V88" s="55"/>
      <c r="W88" s="55"/>
      <c r="X88" s="55"/>
      <c r="Y88" s="56"/>
      <c r="Z88" s="55"/>
      <c r="AA88" s="55"/>
      <c r="AB88" s="55"/>
      <c r="AC88" s="57"/>
      <c r="AD88" s="57"/>
      <c r="AE88" s="58"/>
      <c r="AF88" s="58"/>
      <c r="AG88" s="59"/>
      <c r="AH88" s="59"/>
      <c r="AI88" s="59"/>
      <c r="AJ88" s="60"/>
      <c r="AK88" s="59"/>
      <c r="AL88" s="61"/>
      <c r="AM88" s="59"/>
      <c r="AN88" s="59"/>
      <c r="AO88" s="59"/>
      <c r="AP88" s="59"/>
      <c r="AQ88" s="59"/>
      <c r="AR88" s="59"/>
      <c r="AS88" s="59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  <c r="DM88" s="62"/>
      <c r="DN88" s="62"/>
      <c r="DO88" s="62"/>
      <c r="DP88" s="62"/>
      <c r="DQ88" s="62"/>
      <c r="DR88" s="62"/>
      <c r="DS88" s="62"/>
      <c r="DT88" s="62"/>
      <c r="DU88" s="62"/>
      <c r="DV88" s="62"/>
      <c r="DW88" s="62"/>
      <c r="DX88" s="62"/>
      <c r="DY88" s="62"/>
      <c r="DZ88" s="62"/>
      <c r="EA88" s="62"/>
      <c r="EB88" s="62"/>
      <c r="EC88" s="62"/>
      <c r="ED88" s="62"/>
      <c r="EE88" s="62"/>
      <c r="EF88" s="62"/>
      <c r="EG88" s="62"/>
      <c r="EH88" s="62"/>
      <c r="EI88" s="62"/>
      <c r="EJ88" s="62"/>
      <c r="EK88" s="62"/>
      <c r="EL88" s="62"/>
      <c r="EM88" s="62"/>
      <c r="EN88" s="62"/>
      <c r="EO88" s="62"/>
      <c r="EP88" s="62"/>
      <c r="EQ88" s="62"/>
      <c r="ER88" s="62"/>
      <c r="ES88" s="62"/>
      <c r="ET88" s="62"/>
      <c r="EU88" s="62"/>
      <c r="EV88" s="62"/>
      <c r="EW88" s="62"/>
      <c r="EX88" s="62"/>
      <c r="EY88" s="62"/>
      <c r="EZ88" s="62"/>
      <c r="FA88" s="62"/>
      <c r="FB88" s="62"/>
      <c r="FC88" s="62"/>
      <c r="FD88" s="62"/>
      <c r="FE88" s="62"/>
      <c r="FF88" s="62"/>
      <c r="FG88" s="62"/>
      <c r="FH88" s="62"/>
      <c r="FI88" s="62"/>
      <c r="FJ88" s="62"/>
      <c r="FK88" s="62"/>
      <c r="FL88" s="62"/>
      <c r="FM88" s="62"/>
      <c r="FN88" s="62"/>
      <c r="FO88" s="62"/>
      <c r="FP88" s="62"/>
      <c r="FQ88" s="62"/>
      <c r="FR88" s="62"/>
      <c r="FS88" s="62"/>
      <c r="FT88" s="62"/>
      <c r="FU88" s="62"/>
      <c r="FV88" s="62"/>
      <c r="FW88" s="62"/>
      <c r="FX88" s="62"/>
      <c r="FY88" s="62"/>
      <c r="FZ88" s="62"/>
      <c r="GA88" s="62"/>
      <c r="GB88" s="62"/>
      <c r="GC88" s="62"/>
      <c r="GD88" s="62"/>
      <c r="GE88" s="62"/>
      <c r="GF88" s="62"/>
      <c r="GG88" s="62"/>
      <c r="GH88" s="62"/>
      <c r="GI88" s="62"/>
      <c r="GJ88" s="62"/>
      <c r="GK88" s="62"/>
      <c r="GL88" s="62"/>
      <c r="GM88" s="62"/>
      <c r="GN88" s="62"/>
      <c r="GO88" s="62"/>
      <c r="GP88" s="62"/>
      <c r="GQ88" s="62"/>
      <c r="GR88" s="62"/>
      <c r="GS88" s="62"/>
      <c r="GT88" s="62"/>
      <c r="GU88" s="62"/>
      <c r="GV88" s="62"/>
      <c r="GW88" s="62"/>
      <c r="GX88" s="62"/>
      <c r="GY88" s="62"/>
      <c r="GZ88" s="62"/>
      <c r="HA88" s="62"/>
      <c r="HB88" s="62"/>
      <c r="HC88" s="62"/>
      <c r="HD88" s="62"/>
      <c r="HE88" s="62"/>
      <c r="HF88" s="62"/>
      <c r="HG88" s="62"/>
      <c r="HH88" s="62"/>
      <c r="HI88" s="62"/>
      <c r="HJ88" s="62"/>
      <c r="HK88" s="62"/>
      <c r="HL88" s="62"/>
      <c r="HM88" s="62"/>
      <c r="HN88" s="62"/>
      <c r="HO88" s="62"/>
      <c r="HP88" s="62"/>
      <c r="HQ88" s="62"/>
      <c r="HR88" s="62"/>
      <c r="HS88" s="62"/>
      <c r="HT88" s="62"/>
      <c r="HU88" s="62"/>
      <c r="HV88" s="62"/>
      <c r="HW88" s="62"/>
      <c r="HX88" s="62"/>
      <c r="HY88" s="62"/>
      <c r="HZ88" s="62"/>
      <c r="IA88" s="62"/>
      <c r="IB88" s="62"/>
      <c r="IC88" s="62"/>
      <c r="ID88" s="62"/>
      <c r="IE88" s="62"/>
      <c r="IF88" s="62"/>
      <c r="IG88" s="62"/>
      <c r="IH88" s="62"/>
      <c r="II88" s="62"/>
      <c r="IJ88" s="62"/>
      <c r="IK88" s="62"/>
      <c r="IL88" s="62"/>
      <c r="IM88" s="62"/>
      <c r="IN88" s="62"/>
      <c r="IO88" s="62"/>
      <c r="IP88" s="62"/>
      <c r="IQ88" s="62"/>
      <c r="IR88" s="62"/>
      <c r="IS88" s="62"/>
      <c r="IT88" s="62"/>
    </row>
  </sheetData>
  <mergeCells count="3">
    <mergeCell ref="A4:A7"/>
    <mergeCell ref="A8:A11"/>
    <mergeCell ref="A1:B1"/>
  </mergeCells>
  <phoneticPr fontId="31" type="noConversion"/>
  <hyperlinks>
    <hyperlink ref="A1" location="'目   錄'!A1" display="回到首頁"/>
  </hyperlinks>
  <printOptions horizontalCentered="1"/>
  <pageMargins left="0" right="0" top="0" bottom="0" header="0" footer="0"/>
  <pageSetup paperSize="9" scale="7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29FF"/>
    <pageSetUpPr fitToPage="1"/>
  </sheetPr>
  <dimension ref="A1:AD7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B1"/>
    </sheetView>
  </sheetViews>
  <sheetFormatPr defaultRowHeight="15"/>
  <cols>
    <col min="1" max="1" width="10.28515625" bestFit="1" customWidth="1"/>
    <col min="2" max="2" width="11.85546875" style="17" bestFit="1" customWidth="1"/>
    <col min="3" max="3" width="9.7109375" bestFit="1" customWidth="1"/>
    <col min="4" max="4" width="8.5703125" bestFit="1" customWidth="1"/>
    <col min="5" max="5" width="8.140625" bestFit="1" customWidth="1"/>
    <col min="6" max="6" width="7.42578125" bestFit="1" customWidth="1"/>
    <col min="7" max="7" width="8.5703125" bestFit="1" customWidth="1"/>
    <col min="8" max="8" width="7.42578125" bestFit="1" customWidth="1"/>
    <col min="9" max="9" width="8.5703125" bestFit="1" customWidth="1"/>
    <col min="10" max="10" width="7.42578125" bestFit="1" customWidth="1"/>
    <col min="11" max="11" width="6.28515625" bestFit="1" customWidth="1"/>
    <col min="12" max="12" width="8.5703125" bestFit="1" customWidth="1"/>
    <col min="13" max="13" width="7" bestFit="1" customWidth="1"/>
    <col min="14" max="15" width="6.28515625" bestFit="1" customWidth="1"/>
    <col min="16" max="17" width="7.42578125" bestFit="1" customWidth="1"/>
    <col min="18" max="18" width="8.5703125" bestFit="1" customWidth="1"/>
    <col min="19" max="21" width="7.42578125" bestFit="1" customWidth="1"/>
    <col min="22" max="22" width="6.28515625" bestFit="1" customWidth="1"/>
    <col min="23" max="24" width="7.42578125" bestFit="1" customWidth="1"/>
    <col min="25" max="25" width="8.5703125" bestFit="1" customWidth="1"/>
    <col min="26" max="26" width="7.42578125" bestFit="1" customWidth="1"/>
    <col min="27" max="27" width="8.5703125" bestFit="1" customWidth="1"/>
    <col min="28" max="29" width="7.42578125" bestFit="1" customWidth="1"/>
    <col min="30" max="30" width="6.28515625" bestFit="1" customWidth="1"/>
  </cols>
  <sheetData>
    <row r="1" spans="1:30" s="9" customFormat="1" ht="21.75" customHeight="1">
      <c r="A1" s="369" t="s">
        <v>4</v>
      </c>
      <c r="B1" s="370"/>
    </row>
    <row r="2" spans="1:30" s="10" customFormat="1" ht="21.75" customHeight="1">
      <c r="A2" s="381" t="s">
        <v>22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  <c r="AB2" s="381"/>
      <c r="AC2" s="381"/>
      <c r="AD2" s="381"/>
    </row>
    <row r="3" spans="1:30" s="23" customFormat="1" ht="15" customHeight="1">
      <c r="A3" s="383" t="s">
        <v>251</v>
      </c>
      <c r="B3" s="65" t="s">
        <v>21</v>
      </c>
      <c r="C3" s="380" t="s">
        <v>53</v>
      </c>
      <c r="D3" s="380">
        <v>1</v>
      </c>
      <c r="E3" s="380">
        <v>3</v>
      </c>
      <c r="F3" s="380">
        <v>4</v>
      </c>
      <c r="G3" s="380">
        <v>5</v>
      </c>
      <c r="H3" s="380">
        <v>6</v>
      </c>
      <c r="I3" s="380">
        <v>7</v>
      </c>
      <c r="J3" s="380">
        <v>8</v>
      </c>
      <c r="K3" s="380">
        <v>9</v>
      </c>
      <c r="L3" s="380">
        <v>10</v>
      </c>
      <c r="M3" s="380">
        <v>11</v>
      </c>
      <c r="N3" s="380">
        <v>12</v>
      </c>
      <c r="O3" s="380">
        <v>13</v>
      </c>
      <c r="P3" s="380">
        <v>14</v>
      </c>
      <c r="Q3" s="380">
        <v>15</v>
      </c>
      <c r="R3" s="380">
        <v>16</v>
      </c>
      <c r="S3" s="380">
        <v>17</v>
      </c>
      <c r="T3" s="380">
        <v>18</v>
      </c>
      <c r="U3" s="380">
        <v>19</v>
      </c>
      <c r="V3" s="380">
        <v>20</v>
      </c>
      <c r="W3" s="380">
        <v>21</v>
      </c>
      <c r="X3" s="380">
        <v>22</v>
      </c>
      <c r="Y3" s="380">
        <v>24</v>
      </c>
      <c r="Z3" s="380">
        <v>25</v>
      </c>
      <c r="AA3" s="380">
        <v>26</v>
      </c>
      <c r="AB3" s="380">
        <v>28</v>
      </c>
      <c r="AC3" s="380">
        <v>29</v>
      </c>
      <c r="AD3" s="380">
        <v>30</v>
      </c>
    </row>
    <row r="4" spans="1:30" s="23" customFormat="1" ht="15" customHeight="1">
      <c r="A4" s="384"/>
      <c r="B4" s="28" t="s">
        <v>19</v>
      </c>
      <c r="C4" s="380"/>
      <c r="D4" s="380"/>
      <c r="E4" s="380"/>
      <c r="F4" s="380"/>
      <c r="G4" s="380"/>
      <c r="H4" s="380"/>
      <c r="I4" s="380"/>
      <c r="J4" s="380"/>
      <c r="K4" s="380"/>
      <c r="L4" s="380"/>
      <c r="M4" s="380"/>
      <c r="N4" s="380"/>
      <c r="O4" s="380"/>
      <c r="P4" s="380"/>
      <c r="Q4" s="380"/>
      <c r="R4" s="380"/>
      <c r="S4" s="380"/>
      <c r="T4" s="380"/>
      <c r="U4" s="380"/>
      <c r="V4" s="380"/>
      <c r="W4" s="380"/>
      <c r="X4" s="380"/>
      <c r="Y4" s="380"/>
      <c r="Z4" s="380"/>
      <c r="AA4" s="380"/>
      <c r="AB4" s="380"/>
      <c r="AC4" s="380"/>
      <c r="AD4" s="380"/>
    </row>
    <row r="5" spans="1:30" s="64" customFormat="1" ht="19.5" customHeight="1">
      <c r="A5" s="382" t="s">
        <v>29</v>
      </c>
      <c r="B5" s="68" t="s">
        <v>39</v>
      </c>
      <c r="C5" s="363">
        <v>2097929</v>
      </c>
      <c r="D5" s="364">
        <v>141819</v>
      </c>
      <c r="E5" s="364">
        <v>40500</v>
      </c>
      <c r="F5" s="364">
        <v>45432</v>
      </c>
      <c r="G5" s="364">
        <v>244848</v>
      </c>
      <c r="H5" s="364">
        <v>31920</v>
      </c>
      <c r="I5" s="364">
        <v>128076</v>
      </c>
      <c r="J5" s="364">
        <v>29700</v>
      </c>
      <c r="K5" s="364">
        <v>3600</v>
      </c>
      <c r="L5" s="364">
        <v>319876</v>
      </c>
      <c r="M5" s="364">
        <v>744</v>
      </c>
      <c r="N5" s="364">
        <v>7764</v>
      </c>
      <c r="O5" s="364">
        <v>2556</v>
      </c>
      <c r="P5" s="364">
        <v>73414</v>
      </c>
      <c r="Q5" s="364">
        <v>20285</v>
      </c>
      <c r="R5" s="364">
        <v>122280</v>
      </c>
      <c r="S5" s="364">
        <v>67956</v>
      </c>
      <c r="T5" s="364">
        <v>25500</v>
      </c>
      <c r="U5" s="364">
        <v>46553</v>
      </c>
      <c r="V5" s="364">
        <v>2868</v>
      </c>
      <c r="W5" s="364">
        <v>52809</v>
      </c>
      <c r="X5" s="364">
        <v>25380</v>
      </c>
      <c r="Y5" s="364">
        <v>161448</v>
      </c>
      <c r="Z5" s="364">
        <v>36864</v>
      </c>
      <c r="AA5" s="364">
        <v>358060</v>
      </c>
      <c r="AB5" s="364">
        <v>42781</v>
      </c>
      <c r="AC5" s="364">
        <v>58452</v>
      </c>
      <c r="AD5" s="364">
        <v>6444</v>
      </c>
    </row>
    <row r="6" spans="1:30" s="64" customFormat="1" ht="19.5" customHeight="1">
      <c r="A6" s="382"/>
      <c r="B6" s="68" t="s">
        <v>37</v>
      </c>
      <c r="C6" s="363">
        <v>324136</v>
      </c>
      <c r="D6" s="364"/>
      <c r="E6" s="364">
        <v>98976</v>
      </c>
      <c r="F6" s="364">
        <v>27780</v>
      </c>
      <c r="G6" s="364"/>
      <c r="H6" s="364"/>
      <c r="I6" s="364">
        <v>49276</v>
      </c>
      <c r="J6" s="364">
        <v>5148</v>
      </c>
      <c r="K6" s="364"/>
      <c r="L6" s="364">
        <v>136860</v>
      </c>
      <c r="M6" s="364">
        <v>6096</v>
      </c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  <c r="AA6" s="364"/>
      <c r="AB6" s="364"/>
      <c r="AC6" s="364"/>
      <c r="AD6" s="364"/>
    </row>
    <row r="7" spans="1:30" s="64" customFormat="1" ht="19.5" customHeight="1">
      <c r="A7" s="382"/>
      <c r="B7" s="67" t="s">
        <v>38</v>
      </c>
      <c r="C7" s="363">
        <v>240192</v>
      </c>
      <c r="D7" s="364"/>
      <c r="E7" s="364">
        <v>-58476</v>
      </c>
      <c r="F7" s="364">
        <v>17652</v>
      </c>
      <c r="G7" s="364"/>
      <c r="H7" s="364"/>
      <c r="I7" s="364">
        <v>78800</v>
      </c>
      <c r="J7" s="364">
        <v>24552</v>
      </c>
      <c r="K7" s="364"/>
      <c r="L7" s="364">
        <v>183016</v>
      </c>
      <c r="M7" s="364">
        <v>-5352</v>
      </c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  <c r="AB7" s="364"/>
      <c r="AC7" s="364"/>
      <c r="AD7" s="364"/>
    </row>
  </sheetData>
  <mergeCells count="32">
    <mergeCell ref="A5:A7"/>
    <mergeCell ref="A3:A4"/>
    <mergeCell ref="A1:B1"/>
    <mergeCell ref="C3:C4"/>
    <mergeCell ref="D3:D4"/>
    <mergeCell ref="E3:E4"/>
    <mergeCell ref="F3:F4"/>
    <mergeCell ref="G3:G4"/>
    <mergeCell ref="H3:H4"/>
    <mergeCell ref="Q3:Q4"/>
    <mergeCell ref="R3:R4"/>
    <mergeCell ref="I3:I4"/>
    <mergeCell ref="J3:J4"/>
    <mergeCell ref="K3:K4"/>
    <mergeCell ref="L3:L4"/>
    <mergeCell ref="M3:M4"/>
    <mergeCell ref="AC3:AC4"/>
    <mergeCell ref="AD3:AD4"/>
    <mergeCell ref="A2:AD2"/>
    <mergeCell ref="X3:X4"/>
    <mergeCell ref="Y3:Y4"/>
    <mergeCell ref="Z3:Z4"/>
    <mergeCell ref="AA3:AA4"/>
    <mergeCell ref="AB3:AB4"/>
    <mergeCell ref="S3:S4"/>
    <mergeCell ref="T3:T4"/>
    <mergeCell ref="U3:U4"/>
    <mergeCell ref="V3:V4"/>
    <mergeCell ref="W3:W4"/>
    <mergeCell ref="N3:N4"/>
    <mergeCell ref="O3:O4"/>
    <mergeCell ref="P3:P4"/>
  </mergeCells>
  <phoneticPr fontId="31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FF00"/>
  </sheetPr>
  <dimension ref="A1:AF54"/>
  <sheetViews>
    <sheetView workbookViewId="0">
      <pane ySplit="6" topLeftCell="A7" activePane="bottomLeft" state="frozen"/>
      <selection pane="bottomLeft" sqref="A1:B1"/>
    </sheetView>
  </sheetViews>
  <sheetFormatPr defaultRowHeight="16.5"/>
  <cols>
    <col min="1" max="1" width="11.7109375" style="66" bestFit="1" customWidth="1"/>
    <col min="2" max="2" width="12.7109375" style="66" customWidth="1"/>
    <col min="3" max="3" width="6.7109375" style="136" customWidth="1"/>
    <col min="4" max="4" width="6.7109375" style="148" customWidth="1"/>
    <col min="5" max="10" width="6.7109375" style="136" customWidth="1"/>
    <col min="11" max="11" width="6.7109375" style="148" customWidth="1"/>
    <col min="12" max="17" width="6.7109375" style="136" customWidth="1"/>
    <col min="18" max="18" width="6.7109375" style="148" customWidth="1"/>
    <col min="19" max="24" width="6.7109375" style="136" customWidth="1"/>
    <col min="25" max="25" width="6.7109375" style="148" customWidth="1"/>
    <col min="26" max="31" width="6.7109375" style="136" customWidth="1"/>
    <col min="32" max="32" width="6.7109375" style="148" customWidth="1"/>
    <col min="33" max="16384" width="9.140625" style="66"/>
  </cols>
  <sheetData>
    <row r="1" spans="1:32" ht="27.75">
      <c r="A1" s="369" t="s">
        <v>4</v>
      </c>
      <c r="B1" s="370"/>
      <c r="C1" s="137"/>
      <c r="D1" s="70"/>
      <c r="E1" s="137"/>
      <c r="F1" s="137"/>
      <c r="G1" s="137"/>
      <c r="H1" s="137"/>
      <c r="I1" s="137"/>
      <c r="J1" s="137"/>
      <c r="K1" s="70"/>
      <c r="L1" s="137"/>
      <c r="M1" s="137"/>
      <c r="N1" s="137"/>
      <c r="O1" s="137"/>
      <c r="P1" s="137"/>
      <c r="Q1" s="137"/>
      <c r="R1" s="70"/>
      <c r="S1" s="137"/>
      <c r="T1" s="137"/>
      <c r="U1" s="137"/>
      <c r="V1" s="137"/>
      <c r="W1" s="137"/>
      <c r="X1" s="137"/>
      <c r="Y1" s="70"/>
      <c r="Z1" s="137"/>
      <c r="AA1" s="137"/>
      <c r="AB1" s="137"/>
      <c r="AC1" s="137"/>
      <c r="AD1" s="137"/>
      <c r="AE1" s="76"/>
      <c r="AF1" s="313"/>
    </row>
    <row r="2" spans="1:32" ht="30">
      <c r="A2" s="388" t="s">
        <v>229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138"/>
      <c r="AE2" s="77"/>
      <c r="AF2" s="314"/>
    </row>
    <row r="3" spans="1:32" ht="16.5" customHeight="1">
      <c r="A3" s="135" t="s">
        <v>96</v>
      </c>
      <c r="B3" s="283" t="s">
        <v>230</v>
      </c>
      <c r="C3" s="311">
        <v>1</v>
      </c>
      <c r="D3" s="287">
        <v>2</v>
      </c>
      <c r="E3" s="311">
        <v>3</v>
      </c>
      <c r="F3" s="311">
        <v>4</v>
      </c>
      <c r="G3" s="311">
        <v>5</v>
      </c>
      <c r="H3" s="311">
        <v>6</v>
      </c>
      <c r="I3" s="311">
        <v>7</v>
      </c>
      <c r="J3" s="311">
        <v>8</v>
      </c>
      <c r="K3" s="287">
        <v>9</v>
      </c>
      <c r="L3" s="311">
        <v>10</v>
      </c>
      <c r="M3" s="311">
        <v>11</v>
      </c>
      <c r="N3" s="311">
        <v>12</v>
      </c>
      <c r="O3" s="311">
        <v>13</v>
      </c>
      <c r="P3" s="311">
        <v>14</v>
      </c>
      <c r="Q3" s="311">
        <v>15</v>
      </c>
      <c r="R3" s="287">
        <v>16</v>
      </c>
      <c r="S3" s="311">
        <v>17</v>
      </c>
      <c r="T3" s="311">
        <v>18</v>
      </c>
      <c r="U3" s="311">
        <v>19</v>
      </c>
      <c r="V3" s="311">
        <v>20</v>
      </c>
      <c r="W3" s="311">
        <v>21</v>
      </c>
      <c r="X3" s="311">
        <v>22</v>
      </c>
      <c r="Y3" s="287">
        <v>23</v>
      </c>
      <c r="Z3" s="311">
        <v>24</v>
      </c>
      <c r="AA3" s="311">
        <v>25</v>
      </c>
      <c r="AB3" s="311">
        <v>26</v>
      </c>
      <c r="AC3" s="311">
        <v>27</v>
      </c>
      <c r="AD3" s="311">
        <v>28</v>
      </c>
      <c r="AE3" s="311">
        <v>29</v>
      </c>
      <c r="AF3" s="287">
        <v>30</v>
      </c>
    </row>
    <row r="4" spans="1:32" s="3" customFormat="1" ht="18.75" customHeight="1">
      <c r="A4" s="385" t="s">
        <v>54</v>
      </c>
      <c r="B4" s="326" t="s">
        <v>232</v>
      </c>
      <c r="C4" s="327">
        <v>10227</v>
      </c>
      <c r="D4" s="328">
        <v>66</v>
      </c>
      <c r="E4" s="327">
        <v>19802</v>
      </c>
      <c r="F4" s="327">
        <v>19861</v>
      </c>
      <c r="G4" s="327">
        <v>18949</v>
      </c>
      <c r="H4" s="327">
        <v>62</v>
      </c>
      <c r="I4" s="327">
        <v>19543</v>
      </c>
      <c r="J4" s="327">
        <v>19636</v>
      </c>
      <c r="K4" s="328">
        <v>76</v>
      </c>
      <c r="L4" s="327">
        <v>19464</v>
      </c>
      <c r="M4" s="293"/>
      <c r="N4" s="295"/>
      <c r="O4" s="295"/>
      <c r="P4" s="295"/>
      <c r="Q4" s="295"/>
      <c r="R4" s="294"/>
      <c r="S4" s="295"/>
      <c r="T4" s="295"/>
      <c r="U4" s="295"/>
      <c r="V4" s="295"/>
      <c r="W4" s="295"/>
      <c r="X4" s="295"/>
      <c r="Y4" s="294"/>
      <c r="Z4" s="295"/>
      <c r="AA4" s="295"/>
      <c r="AB4" s="295"/>
      <c r="AC4" s="295"/>
      <c r="AD4" s="295"/>
      <c r="AE4" s="317"/>
      <c r="AF4" s="318"/>
    </row>
    <row r="5" spans="1:32" s="4" customFormat="1" ht="20.25" customHeight="1">
      <c r="A5" s="386"/>
      <c r="B5" s="326" t="s">
        <v>234</v>
      </c>
      <c r="C5" s="327">
        <v>8251</v>
      </c>
      <c r="D5" s="328">
        <v>0</v>
      </c>
      <c r="E5" s="327">
        <v>16539</v>
      </c>
      <c r="F5" s="327">
        <v>16586</v>
      </c>
      <c r="G5" s="327">
        <v>15846</v>
      </c>
      <c r="H5" s="327">
        <v>0</v>
      </c>
      <c r="I5" s="327">
        <v>16322</v>
      </c>
      <c r="J5" s="327">
        <v>16433</v>
      </c>
      <c r="K5" s="328">
        <v>0</v>
      </c>
      <c r="L5" s="327">
        <v>16286</v>
      </c>
      <c r="M5" s="293"/>
      <c r="N5" s="295"/>
      <c r="O5" s="295"/>
      <c r="P5" s="295"/>
      <c r="Q5" s="295"/>
      <c r="R5" s="294"/>
      <c r="S5" s="295"/>
      <c r="T5" s="295"/>
      <c r="U5" s="295"/>
      <c r="V5" s="295"/>
      <c r="W5" s="295"/>
      <c r="X5" s="295"/>
      <c r="Y5" s="294"/>
      <c r="Z5" s="295"/>
      <c r="AA5" s="295"/>
      <c r="AB5" s="295"/>
      <c r="AC5" s="295"/>
      <c r="AD5" s="295"/>
      <c r="AE5" s="317"/>
      <c r="AF5" s="318"/>
    </row>
    <row r="6" spans="1:32" s="4" customFormat="1" ht="15" customHeight="1">
      <c r="A6" s="387"/>
      <c r="B6" s="329" t="s">
        <v>236</v>
      </c>
      <c r="C6" s="330">
        <v>1976</v>
      </c>
      <c r="D6" s="331">
        <v>66</v>
      </c>
      <c r="E6" s="330">
        <v>3263</v>
      </c>
      <c r="F6" s="330">
        <v>3275</v>
      </c>
      <c r="G6" s="330">
        <v>3103</v>
      </c>
      <c r="H6" s="330">
        <v>62</v>
      </c>
      <c r="I6" s="330">
        <v>3221</v>
      </c>
      <c r="J6" s="330">
        <v>3203</v>
      </c>
      <c r="K6" s="331">
        <v>76</v>
      </c>
      <c r="L6" s="330">
        <v>3178</v>
      </c>
      <c r="M6" s="300"/>
      <c r="N6" s="302"/>
      <c r="O6" s="302"/>
      <c r="P6" s="302"/>
      <c r="Q6" s="302"/>
      <c r="R6" s="301"/>
      <c r="S6" s="302"/>
      <c r="T6" s="302"/>
      <c r="U6" s="302"/>
      <c r="V6" s="302"/>
      <c r="W6" s="302"/>
      <c r="X6" s="302"/>
      <c r="Y6" s="301"/>
      <c r="Z6" s="302"/>
      <c r="AA6" s="302"/>
      <c r="AB6" s="302"/>
      <c r="AC6" s="302"/>
      <c r="AD6" s="302"/>
      <c r="AE6" s="319"/>
      <c r="AF6" s="320"/>
    </row>
    <row r="7" spans="1:32" s="4" customFormat="1" ht="18.75" customHeight="1">
      <c r="A7" s="385" t="s">
        <v>253</v>
      </c>
      <c r="B7" s="332" t="s">
        <v>232</v>
      </c>
      <c r="C7" s="333">
        <v>348</v>
      </c>
      <c r="D7" s="334">
        <v>66</v>
      </c>
      <c r="E7" s="333">
        <v>406</v>
      </c>
      <c r="F7" s="333">
        <v>408</v>
      </c>
      <c r="G7" s="333">
        <v>391</v>
      </c>
      <c r="H7" s="333">
        <v>62</v>
      </c>
      <c r="I7" s="333">
        <v>403</v>
      </c>
      <c r="J7" s="333">
        <v>396</v>
      </c>
      <c r="K7" s="334">
        <v>76</v>
      </c>
      <c r="L7" s="333">
        <v>395</v>
      </c>
      <c r="M7" s="145"/>
      <c r="N7" s="144"/>
      <c r="O7" s="144"/>
      <c r="P7" s="144"/>
      <c r="Q7" s="144"/>
      <c r="R7" s="321"/>
      <c r="S7" s="144"/>
      <c r="T7" s="144"/>
      <c r="U7" s="144"/>
      <c r="V7" s="144"/>
      <c r="W7" s="144"/>
      <c r="X7" s="144"/>
      <c r="Y7" s="321"/>
      <c r="Z7" s="144"/>
      <c r="AA7" s="144"/>
      <c r="AB7" s="144"/>
      <c r="AC7" s="144"/>
      <c r="AD7" s="144"/>
      <c r="AE7" s="149"/>
      <c r="AF7" s="315"/>
    </row>
    <row r="8" spans="1:32" s="4" customFormat="1" ht="18.75" customHeight="1">
      <c r="A8" s="386"/>
      <c r="B8" s="332" t="s">
        <v>234</v>
      </c>
      <c r="C8" s="333">
        <v>1</v>
      </c>
      <c r="D8" s="334">
        <v>0</v>
      </c>
      <c r="E8" s="333">
        <v>1</v>
      </c>
      <c r="F8" s="333">
        <v>1</v>
      </c>
      <c r="G8" s="333">
        <v>1</v>
      </c>
      <c r="H8" s="333">
        <v>0</v>
      </c>
      <c r="I8" s="333">
        <v>1</v>
      </c>
      <c r="J8" s="333">
        <v>1</v>
      </c>
      <c r="K8" s="334">
        <v>0</v>
      </c>
      <c r="L8" s="333">
        <v>1</v>
      </c>
      <c r="M8" s="145"/>
      <c r="N8" s="144"/>
      <c r="O8" s="144"/>
      <c r="P8" s="144"/>
      <c r="Q8" s="144"/>
      <c r="R8" s="321"/>
      <c r="S8" s="144"/>
      <c r="T8" s="144"/>
      <c r="U8" s="144"/>
      <c r="V8" s="144"/>
      <c r="W8" s="144"/>
      <c r="X8" s="144"/>
      <c r="Y8" s="321"/>
      <c r="Z8" s="144"/>
      <c r="AA8" s="144"/>
      <c r="AB8" s="144"/>
      <c r="AC8" s="144"/>
      <c r="AD8" s="144"/>
      <c r="AE8" s="149"/>
      <c r="AF8" s="315"/>
    </row>
    <row r="9" spans="1:32" s="4" customFormat="1" ht="18.75" customHeight="1">
      <c r="A9" s="387"/>
      <c r="B9" s="335" t="s">
        <v>236</v>
      </c>
      <c r="C9" s="336">
        <v>347</v>
      </c>
      <c r="D9" s="337">
        <v>66</v>
      </c>
      <c r="E9" s="336">
        <v>405</v>
      </c>
      <c r="F9" s="336">
        <v>407</v>
      </c>
      <c r="G9" s="336">
        <v>390</v>
      </c>
      <c r="H9" s="336">
        <v>62</v>
      </c>
      <c r="I9" s="336">
        <v>402</v>
      </c>
      <c r="J9" s="336">
        <v>395</v>
      </c>
      <c r="K9" s="337">
        <v>76</v>
      </c>
      <c r="L9" s="336">
        <v>394</v>
      </c>
      <c r="M9" s="147"/>
      <c r="N9" s="146"/>
      <c r="O9" s="146"/>
      <c r="P9" s="146"/>
      <c r="Q9" s="146"/>
      <c r="R9" s="322"/>
      <c r="S9" s="146"/>
      <c r="T9" s="146"/>
      <c r="U9" s="146"/>
      <c r="V9" s="146"/>
      <c r="W9" s="146"/>
      <c r="X9" s="146"/>
      <c r="Y9" s="322"/>
      <c r="Z9" s="146"/>
      <c r="AA9" s="146"/>
      <c r="AB9" s="146"/>
      <c r="AC9" s="146"/>
      <c r="AD9" s="146"/>
      <c r="AE9" s="150"/>
      <c r="AF9" s="316"/>
    </row>
    <row r="10" spans="1:32" s="4" customFormat="1" ht="18.75" customHeight="1">
      <c r="A10" s="385" t="s">
        <v>237</v>
      </c>
      <c r="B10" s="332" t="s">
        <v>232</v>
      </c>
      <c r="C10" s="333">
        <v>0</v>
      </c>
      <c r="D10" s="334">
        <v>0</v>
      </c>
      <c r="E10" s="333">
        <v>563</v>
      </c>
      <c r="F10" s="333">
        <v>566</v>
      </c>
      <c r="G10" s="333">
        <v>391</v>
      </c>
      <c r="H10" s="333">
        <v>0</v>
      </c>
      <c r="I10" s="333">
        <v>553</v>
      </c>
      <c r="J10" s="333">
        <v>557</v>
      </c>
      <c r="K10" s="334">
        <v>0</v>
      </c>
      <c r="L10" s="333">
        <v>556</v>
      </c>
      <c r="M10" s="145"/>
      <c r="N10" s="144"/>
      <c r="O10" s="144"/>
      <c r="P10" s="144"/>
      <c r="Q10" s="144"/>
      <c r="R10" s="321"/>
      <c r="S10" s="144"/>
      <c r="T10" s="144"/>
      <c r="U10" s="144"/>
      <c r="V10" s="144"/>
      <c r="W10" s="144"/>
      <c r="X10" s="144"/>
      <c r="Y10" s="321"/>
      <c r="Z10" s="144"/>
      <c r="AA10" s="144"/>
      <c r="AB10" s="144"/>
      <c r="AC10" s="144"/>
      <c r="AD10" s="144"/>
      <c r="AE10" s="149"/>
      <c r="AF10" s="315"/>
    </row>
    <row r="11" spans="1:32" s="4" customFormat="1" ht="18.75" customHeight="1">
      <c r="A11" s="386"/>
      <c r="B11" s="332" t="s">
        <v>234</v>
      </c>
      <c r="C11" s="333">
        <v>0</v>
      </c>
      <c r="D11" s="334">
        <v>0</v>
      </c>
      <c r="E11" s="333">
        <v>440</v>
      </c>
      <c r="F11" s="333">
        <v>443</v>
      </c>
      <c r="G11" s="333">
        <v>295</v>
      </c>
      <c r="H11" s="333">
        <v>0</v>
      </c>
      <c r="I11" s="333">
        <v>433</v>
      </c>
      <c r="J11" s="333">
        <v>435</v>
      </c>
      <c r="K11" s="334">
        <v>0</v>
      </c>
      <c r="L11" s="333">
        <v>434</v>
      </c>
      <c r="M11" s="145"/>
      <c r="N11" s="144"/>
      <c r="O11" s="144"/>
      <c r="P11" s="144"/>
      <c r="Q11" s="144"/>
      <c r="R11" s="321"/>
      <c r="S11" s="144"/>
      <c r="T11" s="144"/>
      <c r="U11" s="144"/>
      <c r="V11" s="144"/>
      <c r="W11" s="144"/>
      <c r="X11" s="144"/>
      <c r="Y11" s="321"/>
      <c r="Z11" s="144"/>
      <c r="AA11" s="144"/>
      <c r="AB11" s="144"/>
      <c r="AC11" s="144"/>
      <c r="AD11" s="144"/>
      <c r="AE11" s="149"/>
      <c r="AF11" s="315"/>
    </row>
    <row r="12" spans="1:32" s="4" customFormat="1" ht="18.75" customHeight="1">
      <c r="A12" s="387"/>
      <c r="B12" s="335" t="s">
        <v>236</v>
      </c>
      <c r="C12" s="336">
        <v>0</v>
      </c>
      <c r="D12" s="337">
        <v>0</v>
      </c>
      <c r="E12" s="336">
        <v>123</v>
      </c>
      <c r="F12" s="336">
        <v>123</v>
      </c>
      <c r="G12" s="336">
        <v>96</v>
      </c>
      <c r="H12" s="336">
        <v>0</v>
      </c>
      <c r="I12" s="336">
        <v>120</v>
      </c>
      <c r="J12" s="336">
        <v>122</v>
      </c>
      <c r="K12" s="337">
        <v>0</v>
      </c>
      <c r="L12" s="336">
        <v>122</v>
      </c>
      <c r="M12" s="147"/>
      <c r="N12" s="146"/>
      <c r="O12" s="146"/>
      <c r="P12" s="146"/>
      <c r="Q12" s="146"/>
      <c r="R12" s="322"/>
      <c r="S12" s="146"/>
      <c r="T12" s="146"/>
      <c r="U12" s="146"/>
      <c r="V12" s="146"/>
      <c r="W12" s="146"/>
      <c r="X12" s="146"/>
      <c r="Y12" s="322"/>
      <c r="Z12" s="146"/>
      <c r="AA12" s="146"/>
      <c r="AB12" s="146"/>
      <c r="AC12" s="146"/>
      <c r="AD12" s="146"/>
      <c r="AE12" s="150"/>
      <c r="AF12" s="316"/>
    </row>
    <row r="13" spans="1:32" s="4" customFormat="1" ht="18.75" customHeight="1">
      <c r="A13" s="385" t="s">
        <v>238</v>
      </c>
      <c r="B13" s="332" t="s">
        <v>232</v>
      </c>
      <c r="C13" s="333">
        <v>0</v>
      </c>
      <c r="D13" s="334">
        <v>0</v>
      </c>
      <c r="E13" s="333">
        <v>242</v>
      </c>
      <c r="F13" s="333">
        <v>239</v>
      </c>
      <c r="G13" s="333">
        <v>173</v>
      </c>
      <c r="H13" s="333">
        <v>0</v>
      </c>
      <c r="I13" s="333">
        <v>241</v>
      </c>
      <c r="J13" s="333">
        <v>239</v>
      </c>
      <c r="K13" s="334">
        <v>0</v>
      </c>
      <c r="L13" s="333">
        <v>242</v>
      </c>
      <c r="M13" s="145"/>
      <c r="N13" s="144"/>
      <c r="O13" s="144"/>
      <c r="P13" s="144"/>
      <c r="Q13" s="144"/>
      <c r="R13" s="321"/>
      <c r="S13" s="144"/>
      <c r="T13" s="144"/>
      <c r="U13" s="144"/>
      <c r="V13" s="144"/>
      <c r="W13" s="144"/>
      <c r="X13" s="144"/>
      <c r="Y13" s="321"/>
      <c r="Z13" s="144"/>
      <c r="AA13" s="144"/>
      <c r="AB13" s="144"/>
      <c r="AC13" s="144"/>
      <c r="AD13" s="144"/>
      <c r="AE13" s="149"/>
      <c r="AF13" s="315"/>
    </row>
    <row r="14" spans="1:32" s="4" customFormat="1" ht="18.75" customHeight="1">
      <c r="A14" s="386"/>
      <c r="B14" s="332" t="s">
        <v>234</v>
      </c>
      <c r="C14" s="333">
        <v>0</v>
      </c>
      <c r="D14" s="334">
        <v>0</v>
      </c>
      <c r="E14" s="333">
        <v>194</v>
      </c>
      <c r="F14" s="333">
        <v>191</v>
      </c>
      <c r="G14" s="333">
        <v>133</v>
      </c>
      <c r="H14" s="333">
        <v>0</v>
      </c>
      <c r="I14" s="333">
        <v>194</v>
      </c>
      <c r="J14" s="333">
        <v>192</v>
      </c>
      <c r="K14" s="334">
        <v>0</v>
      </c>
      <c r="L14" s="333">
        <v>194</v>
      </c>
      <c r="M14" s="145"/>
      <c r="N14" s="144"/>
      <c r="O14" s="144"/>
      <c r="P14" s="144"/>
      <c r="Q14" s="144"/>
      <c r="R14" s="321"/>
      <c r="S14" s="144"/>
      <c r="T14" s="144"/>
      <c r="U14" s="144"/>
      <c r="V14" s="144"/>
      <c r="W14" s="144"/>
      <c r="X14" s="144"/>
      <c r="Y14" s="321"/>
      <c r="Z14" s="144"/>
      <c r="AA14" s="144"/>
      <c r="AB14" s="144"/>
      <c r="AC14" s="144"/>
      <c r="AD14" s="144"/>
      <c r="AE14" s="149"/>
      <c r="AF14" s="315"/>
    </row>
    <row r="15" spans="1:32" s="4" customFormat="1" ht="18.75" customHeight="1">
      <c r="A15" s="387"/>
      <c r="B15" s="335" t="s">
        <v>236</v>
      </c>
      <c r="C15" s="336">
        <v>0</v>
      </c>
      <c r="D15" s="337">
        <v>0</v>
      </c>
      <c r="E15" s="336">
        <v>48</v>
      </c>
      <c r="F15" s="336">
        <v>48</v>
      </c>
      <c r="G15" s="336">
        <v>40</v>
      </c>
      <c r="H15" s="336">
        <v>0</v>
      </c>
      <c r="I15" s="336">
        <v>47</v>
      </c>
      <c r="J15" s="336">
        <v>47</v>
      </c>
      <c r="K15" s="337">
        <v>0</v>
      </c>
      <c r="L15" s="336">
        <v>48</v>
      </c>
      <c r="M15" s="147"/>
      <c r="N15" s="146"/>
      <c r="O15" s="146"/>
      <c r="P15" s="146"/>
      <c r="Q15" s="146"/>
      <c r="R15" s="322"/>
      <c r="S15" s="146"/>
      <c r="T15" s="146"/>
      <c r="U15" s="146"/>
      <c r="V15" s="146"/>
      <c r="W15" s="146"/>
      <c r="X15" s="146"/>
      <c r="Y15" s="322"/>
      <c r="Z15" s="146"/>
      <c r="AA15" s="146"/>
      <c r="AB15" s="146"/>
      <c r="AC15" s="146"/>
      <c r="AD15" s="146"/>
      <c r="AE15" s="150"/>
      <c r="AF15" s="316"/>
    </row>
    <row r="16" spans="1:32" s="4" customFormat="1" ht="18.75" customHeight="1">
      <c r="A16" s="385" t="s">
        <v>239</v>
      </c>
      <c r="B16" s="332" t="s">
        <v>232</v>
      </c>
      <c r="C16" s="333">
        <v>0</v>
      </c>
      <c r="D16" s="334">
        <v>0</v>
      </c>
      <c r="E16" s="333">
        <v>12</v>
      </c>
      <c r="F16" s="333">
        <v>13</v>
      </c>
      <c r="G16" s="333">
        <v>13</v>
      </c>
      <c r="H16" s="333">
        <v>0</v>
      </c>
      <c r="I16" s="333">
        <v>13</v>
      </c>
      <c r="J16" s="333">
        <v>13</v>
      </c>
      <c r="K16" s="334">
        <v>0</v>
      </c>
      <c r="L16" s="333">
        <v>12</v>
      </c>
      <c r="M16" s="145"/>
      <c r="N16" s="144"/>
      <c r="O16" s="144"/>
      <c r="P16" s="144"/>
      <c r="Q16" s="144"/>
      <c r="R16" s="321"/>
      <c r="S16" s="144"/>
      <c r="T16" s="144"/>
      <c r="U16" s="144"/>
      <c r="V16" s="144"/>
      <c r="W16" s="144"/>
      <c r="X16" s="144"/>
      <c r="Y16" s="321"/>
      <c r="Z16" s="144"/>
      <c r="AA16" s="144"/>
      <c r="AB16" s="144"/>
      <c r="AC16" s="144"/>
      <c r="AD16" s="144"/>
      <c r="AE16" s="149"/>
      <c r="AF16" s="315"/>
    </row>
    <row r="17" spans="1:32" s="4" customFormat="1" ht="18.75" customHeight="1">
      <c r="A17" s="386"/>
      <c r="B17" s="332" t="s">
        <v>234</v>
      </c>
      <c r="C17" s="333">
        <v>0</v>
      </c>
      <c r="D17" s="334">
        <v>0</v>
      </c>
      <c r="E17" s="333">
        <v>12</v>
      </c>
      <c r="F17" s="333">
        <v>12</v>
      </c>
      <c r="G17" s="333">
        <v>12</v>
      </c>
      <c r="H17" s="333">
        <v>0</v>
      </c>
      <c r="I17" s="333">
        <v>12</v>
      </c>
      <c r="J17" s="333">
        <v>12</v>
      </c>
      <c r="K17" s="334">
        <v>0</v>
      </c>
      <c r="L17" s="333">
        <v>11</v>
      </c>
      <c r="M17" s="145"/>
      <c r="N17" s="144"/>
      <c r="O17" s="144"/>
      <c r="P17" s="144"/>
      <c r="Q17" s="144"/>
      <c r="R17" s="321"/>
      <c r="S17" s="144"/>
      <c r="T17" s="144"/>
      <c r="U17" s="144"/>
      <c r="V17" s="144"/>
      <c r="W17" s="144"/>
      <c r="X17" s="144"/>
      <c r="Y17" s="321"/>
      <c r="Z17" s="144"/>
      <c r="AA17" s="144"/>
      <c r="AB17" s="144"/>
      <c r="AC17" s="144"/>
      <c r="AD17" s="144"/>
      <c r="AE17" s="149"/>
      <c r="AF17" s="315"/>
    </row>
    <row r="18" spans="1:32" s="4" customFormat="1" ht="18.75" customHeight="1">
      <c r="A18" s="387"/>
      <c r="B18" s="335" t="s">
        <v>236</v>
      </c>
      <c r="C18" s="336">
        <v>0</v>
      </c>
      <c r="D18" s="337">
        <v>0</v>
      </c>
      <c r="E18" s="336">
        <v>0</v>
      </c>
      <c r="F18" s="336">
        <v>1</v>
      </c>
      <c r="G18" s="336">
        <v>1</v>
      </c>
      <c r="H18" s="336">
        <v>0</v>
      </c>
      <c r="I18" s="336">
        <v>1</v>
      </c>
      <c r="J18" s="336">
        <v>1</v>
      </c>
      <c r="K18" s="337">
        <v>0</v>
      </c>
      <c r="L18" s="336">
        <v>1</v>
      </c>
      <c r="M18" s="147"/>
      <c r="N18" s="146"/>
      <c r="O18" s="146"/>
      <c r="P18" s="146"/>
      <c r="Q18" s="146"/>
      <c r="R18" s="322"/>
      <c r="S18" s="146"/>
      <c r="T18" s="146"/>
      <c r="U18" s="146"/>
      <c r="V18" s="146"/>
      <c r="W18" s="146"/>
      <c r="X18" s="146"/>
      <c r="Y18" s="322"/>
      <c r="Z18" s="146"/>
      <c r="AA18" s="146"/>
      <c r="AB18" s="146"/>
      <c r="AC18" s="146"/>
      <c r="AD18" s="146"/>
      <c r="AE18" s="150"/>
      <c r="AF18" s="316"/>
    </row>
    <row r="19" spans="1:32" s="4" customFormat="1" ht="18.75" customHeight="1">
      <c r="A19" s="385" t="s">
        <v>240</v>
      </c>
      <c r="B19" s="332" t="s">
        <v>232</v>
      </c>
      <c r="C19" s="333">
        <v>0</v>
      </c>
      <c r="D19" s="334">
        <v>0</v>
      </c>
      <c r="E19" s="333">
        <v>407</v>
      </c>
      <c r="F19" s="333">
        <v>409</v>
      </c>
      <c r="G19" s="333">
        <v>397</v>
      </c>
      <c r="H19" s="333">
        <v>0</v>
      </c>
      <c r="I19" s="333">
        <v>402</v>
      </c>
      <c r="J19" s="333">
        <v>409</v>
      </c>
      <c r="K19" s="334">
        <v>0</v>
      </c>
      <c r="L19" s="333">
        <v>404</v>
      </c>
      <c r="M19" s="145"/>
      <c r="N19" s="144"/>
      <c r="O19" s="144"/>
      <c r="P19" s="144"/>
      <c r="Q19" s="144"/>
      <c r="R19" s="321"/>
      <c r="S19" s="144"/>
      <c r="T19" s="144"/>
      <c r="U19" s="144"/>
      <c r="V19" s="144"/>
      <c r="W19" s="144"/>
      <c r="X19" s="144"/>
      <c r="Y19" s="321"/>
      <c r="Z19" s="144"/>
      <c r="AA19" s="144"/>
      <c r="AB19" s="144"/>
      <c r="AC19" s="144"/>
      <c r="AD19" s="144"/>
      <c r="AE19" s="149"/>
      <c r="AF19" s="315"/>
    </row>
    <row r="20" spans="1:32" s="4" customFormat="1" ht="18.75" customHeight="1">
      <c r="A20" s="386"/>
      <c r="B20" s="332" t="s">
        <v>234</v>
      </c>
      <c r="C20" s="333">
        <v>0</v>
      </c>
      <c r="D20" s="334">
        <v>0</v>
      </c>
      <c r="E20" s="333">
        <v>351</v>
      </c>
      <c r="F20" s="333">
        <v>353</v>
      </c>
      <c r="G20" s="333">
        <v>343</v>
      </c>
      <c r="H20" s="333">
        <v>0</v>
      </c>
      <c r="I20" s="333">
        <v>346</v>
      </c>
      <c r="J20" s="333">
        <v>350</v>
      </c>
      <c r="K20" s="334">
        <v>0</v>
      </c>
      <c r="L20" s="333">
        <v>347</v>
      </c>
      <c r="M20" s="145"/>
      <c r="N20" s="144"/>
      <c r="O20" s="144"/>
      <c r="P20" s="144"/>
      <c r="Q20" s="144"/>
      <c r="R20" s="321"/>
      <c r="S20" s="144"/>
      <c r="T20" s="144"/>
      <c r="U20" s="144"/>
      <c r="V20" s="144"/>
      <c r="W20" s="144"/>
      <c r="X20" s="144"/>
      <c r="Y20" s="321"/>
      <c r="Z20" s="144"/>
      <c r="AA20" s="144"/>
      <c r="AB20" s="144"/>
      <c r="AC20" s="144"/>
      <c r="AD20" s="144"/>
      <c r="AE20" s="149"/>
      <c r="AF20" s="315"/>
    </row>
    <row r="21" spans="1:32" s="4" customFormat="1" ht="18.75" customHeight="1">
      <c r="A21" s="387"/>
      <c r="B21" s="335" t="s">
        <v>236</v>
      </c>
      <c r="C21" s="336">
        <v>0</v>
      </c>
      <c r="D21" s="337">
        <v>0</v>
      </c>
      <c r="E21" s="336">
        <v>56</v>
      </c>
      <c r="F21" s="336">
        <v>56</v>
      </c>
      <c r="G21" s="336">
        <v>54</v>
      </c>
      <c r="H21" s="336">
        <v>0</v>
      </c>
      <c r="I21" s="336">
        <v>56</v>
      </c>
      <c r="J21" s="336">
        <v>59</v>
      </c>
      <c r="K21" s="337">
        <v>0</v>
      </c>
      <c r="L21" s="336">
        <v>57</v>
      </c>
      <c r="M21" s="147"/>
      <c r="N21" s="146"/>
      <c r="O21" s="146"/>
      <c r="P21" s="146"/>
      <c r="Q21" s="146"/>
      <c r="R21" s="322"/>
      <c r="S21" s="146"/>
      <c r="T21" s="146"/>
      <c r="U21" s="146"/>
      <c r="V21" s="146"/>
      <c r="W21" s="146"/>
      <c r="X21" s="146"/>
      <c r="Y21" s="322"/>
      <c r="Z21" s="146"/>
      <c r="AA21" s="146"/>
      <c r="AB21" s="146"/>
      <c r="AC21" s="146"/>
      <c r="AD21" s="146"/>
      <c r="AE21" s="150"/>
      <c r="AF21" s="316"/>
    </row>
    <row r="22" spans="1:32" s="4" customFormat="1" ht="18.75" customHeight="1">
      <c r="A22" s="385" t="s">
        <v>254</v>
      </c>
      <c r="B22" s="332" t="s">
        <v>232</v>
      </c>
      <c r="C22" s="333">
        <v>703</v>
      </c>
      <c r="D22" s="334">
        <v>0</v>
      </c>
      <c r="E22" s="333">
        <v>697</v>
      </c>
      <c r="F22" s="333">
        <v>706</v>
      </c>
      <c r="G22" s="333">
        <v>692</v>
      </c>
      <c r="H22" s="333">
        <v>0</v>
      </c>
      <c r="I22" s="333">
        <v>702</v>
      </c>
      <c r="J22" s="333">
        <v>720</v>
      </c>
      <c r="K22" s="334">
        <v>0</v>
      </c>
      <c r="L22" s="333">
        <v>715</v>
      </c>
      <c r="M22" s="145"/>
      <c r="N22" s="144"/>
      <c r="O22" s="144"/>
      <c r="P22" s="144"/>
      <c r="Q22" s="144"/>
      <c r="R22" s="321"/>
      <c r="S22" s="144"/>
      <c r="T22" s="144"/>
      <c r="U22" s="144"/>
      <c r="V22" s="144"/>
      <c r="W22" s="144"/>
      <c r="X22" s="144"/>
      <c r="Y22" s="321"/>
      <c r="Z22" s="144"/>
      <c r="AA22" s="144"/>
      <c r="AB22" s="144"/>
      <c r="AC22" s="144"/>
      <c r="AD22" s="144"/>
      <c r="AE22" s="149"/>
      <c r="AF22" s="315"/>
    </row>
    <row r="23" spans="1:32" s="4" customFormat="1" ht="18.75" customHeight="1">
      <c r="A23" s="386"/>
      <c r="B23" s="332" t="s">
        <v>234</v>
      </c>
      <c r="C23" s="333">
        <v>678</v>
      </c>
      <c r="D23" s="334">
        <v>0</v>
      </c>
      <c r="E23" s="333">
        <v>671</v>
      </c>
      <c r="F23" s="333">
        <v>680</v>
      </c>
      <c r="G23" s="333">
        <v>666</v>
      </c>
      <c r="H23" s="333">
        <v>0</v>
      </c>
      <c r="I23" s="333">
        <v>678</v>
      </c>
      <c r="J23" s="333">
        <v>695</v>
      </c>
      <c r="K23" s="334">
        <v>0</v>
      </c>
      <c r="L23" s="333">
        <v>690</v>
      </c>
      <c r="M23" s="145"/>
      <c r="N23" s="144"/>
      <c r="O23" s="144"/>
      <c r="P23" s="144"/>
      <c r="Q23" s="144"/>
      <c r="R23" s="321"/>
      <c r="S23" s="144"/>
      <c r="T23" s="144"/>
      <c r="U23" s="144"/>
      <c r="V23" s="144"/>
      <c r="W23" s="144"/>
      <c r="X23" s="144"/>
      <c r="Y23" s="321"/>
      <c r="Z23" s="144"/>
      <c r="AA23" s="144"/>
      <c r="AB23" s="144"/>
      <c r="AC23" s="144"/>
      <c r="AD23" s="144"/>
      <c r="AE23" s="149"/>
      <c r="AF23" s="315"/>
    </row>
    <row r="24" spans="1:32" s="4" customFormat="1" ht="18.75" customHeight="1">
      <c r="A24" s="387"/>
      <c r="B24" s="335" t="s">
        <v>236</v>
      </c>
      <c r="C24" s="336">
        <v>25</v>
      </c>
      <c r="D24" s="337">
        <v>0</v>
      </c>
      <c r="E24" s="336">
        <v>26</v>
      </c>
      <c r="F24" s="336">
        <v>26</v>
      </c>
      <c r="G24" s="336">
        <v>26</v>
      </c>
      <c r="H24" s="336">
        <v>0</v>
      </c>
      <c r="I24" s="336">
        <v>24</v>
      </c>
      <c r="J24" s="336">
        <v>25</v>
      </c>
      <c r="K24" s="337">
        <v>0</v>
      </c>
      <c r="L24" s="336">
        <v>25</v>
      </c>
      <c r="M24" s="147"/>
      <c r="N24" s="146"/>
      <c r="O24" s="146"/>
      <c r="P24" s="146"/>
      <c r="Q24" s="146"/>
      <c r="R24" s="322"/>
      <c r="S24" s="146"/>
      <c r="T24" s="146"/>
      <c r="U24" s="146"/>
      <c r="V24" s="146"/>
      <c r="W24" s="146"/>
      <c r="X24" s="146"/>
      <c r="Y24" s="322"/>
      <c r="Z24" s="146"/>
      <c r="AA24" s="146"/>
      <c r="AB24" s="146"/>
      <c r="AC24" s="146"/>
      <c r="AD24" s="146"/>
      <c r="AE24" s="150"/>
      <c r="AF24" s="316"/>
    </row>
    <row r="25" spans="1:32" s="4" customFormat="1" ht="18.75" customHeight="1">
      <c r="A25" s="385" t="s">
        <v>241</v>
      </c>
      <c r="B25" s="332" t="s">
        <v>232</v>
      </c>
      <c r="C25" s="333">
        <v>21</v>
      </c>
      <c r="D25" s="334">
        <v>0</v>
      </c>
      <c r="E25" s="333">
        <v>21</v>
      </c>
      <c r="F25" s="333">
        <v>20</v>
      </c>
      <c r="G25" s="333">
        <v>22</v>
      </c>
      <c r="H25" s="333">
        <v>0</v>
      </c>
      <c r="I25" s="333">
        <v>22</v>
      </c>
      <c r="J25" s="333">
        <v>22</v>
      </c>
      <c r="K25" s="334">
        <v>0</v>
      </c>
      <c r="L25" s="333">
        <v>21</v>
      </c>
      <c r="M25" s="145"/>
      <c r="N25" s="144"/>
      <c r="O25" s="144"/>
      <c r="P25" s="144"/>
      <c r="Q25" s="144"/>
      <c r="R25" s="321"/>
      <c r="S25" s="144"/>
      <c r="T25" s="144"/>
      <c r="U25" s="144"/>
      <c r="V25" s="144"/>
      <c r="W25" s="144"/>
      <c r="X25" s="144"/>
      <c r="Y25" s="321"/>
      <c r="Z25" s="144"/>
      <c r="AA25" s="144"/>
      <c r="AB25" s="144"/>
      <c r="AC25" s="144"/>
      <c r="AD25" s="144"/>
      <c r="AE25" s="149"/>
      <c r="AF25" s="315"/>
    </row>
    <row r="26" spans="1:32" s="4" customFormat="1" ht="18.75" customHeight="1">
      <c r="A26" s="386"/>
      <c r="B26" s="332" t="s">
        <v>234</v>
      </c>
      <c r="C26" s="333">
        <v>18</v>
      </c>
      <c r="D26" s="334">
        <v>0</v>
      </c>
      <c r="E26" s="333">
        <v>18</v>
      </c>
      <c r="F26" s="333">
        <v>18</v>
      </c>
      <c r="G26" s="333">
        <v>19</v>
      </c>
      <c r="H26" s="333">
        <v>0</v>
      </c>
      <c r="I26" s="333">
        <v>19</v>
      </c>
      <c r="J26" s="333">
        <v>19</v>
      </c>
      <c r="K26" s="334">
        <v>0</v>
      </c>
      <c r="L26" s="333">
        <v>18</v>
      </c>
      <c r="M26" s="145"/>
      <c r="N26" s="144"/>
      <c r="O26" s="144"/>
      <c r="P26" s="144"/>
      <c r="Q26" s="144"/>
      <c r="R26" s="321"/>
      <c r="S26" s="144"/>
      <c r="T26" s="144"/>
      <c r="U26" s="144"/>
      <c r="V26" s="144"/>
      <c r="W26" s="144"/>
      <c r="X26" s="144"/>
      <c r="Y26" s="321"/>
      <c r="Z26" s="144"/>
      <c r="AA26" s="144"/>
      <c r="AB26" s="144"/>
      <c r="AC26" s="144"/>
      <c r="AD26" s="144"/>
      <c r="AE26" s="149"/>
      <c r="AF26" s="315"/>
    </row>
    <row r="27" spans="1:32" s="4" customFormat="1" ht="18.75" hidden="1" customHeight="1">
      <c r="A27" s="387"/>
      <c r="B27" s="335" t="s">
        <v>236</v>
      </c>
      <c r="C27" s="336">
        <v>3</v>
      </c>
      <c r="D27" s="337">
        <v>0</v>
      </c>
      <c r="E27" s="336">
        <v>3</v>
      </c>
      <c r="F27" s="336">
        <v>2</v>
      </c>
      <c r="G27" s="336">
        <v>3</v>
      </c>
      <c r="H27" s="336">
        <v>0</v>
      </c>
      <c r="I27" s="336">
        <v>3</v>
      </c>
      <c r="J27" s="336">
        <v>3</v>
      </c>
      <c r="K27" s="337">
        <v>0</v>
      </c>
      <c r="L27" s="336">
        <v>3</v>
      </c>
      <c r="M27" s="147"/>
      <c r="N27" s="146"/>
      <c r="O27" s="146"/>
      <c r="P27" s="146"/>
      <c r="Q27" s="146"/>
      <c r="R27" s="322"/>
      <c r="S27" s="146"/>
      <c r="T27" s="146"/>
      <c r="U27" s="146"/>
      <c r="V27" s="146"/>
      <c r="W27" s="146"/>
      <c r="X27" s="146"/>
      <c r="Y27" s="322"/>
      <c r="Z27" s="146"/>
      <c r="AA27" s="146"/>
      <c r="AB27" s="146"/>
      <c r="AC27" s="146"/>
      <c r="AD27" s="146"/>
      <c r="AE27" s="150"/>
      <c r="AF27" s="316"/>
    </row>
    <row r="28" spans="1:32" s="4" customFormat="1" ht="18.75" customHeight="1">
      <c r="A28" s="385" t="s">
        <v>242</v>
      </c>
      <c r="B28" s="332" t="s">
        <v>232</v>
      </c>
      <c r="C28" s="333">
        <v>539</v>
      </c>
      <c r="D28" s="334">
        <v>0</v>
      </c>
      <c r="E28" s="333">
        <v>566</v>
      </c>
      <c r="F28" s="333">
        <v>570</v>
      </c>
      <c r="G28" s="333">
        <v>468</v>
      </c>
      <c r="H28" s="333">
        <v>0</v>
      </c>
      <c r="I28" s="333">
        <v>579</v>
      </c>
      <c r="J28" s="333">
        <v>574</v>
      </c>
      <c r="K28" s="334">
        <v>0</v>
      </c>
      <c r="L28" s="333">
        <v>576</v>
      </c>
      <c r="M28" s="145"/>
      <c r="N28" s="144"/>
      <c r="O28" s="144"/>
      <c r="P28" s="144"/>
      <c r="Q28" s="144"/>
      <c r="R28" s="321"/>
      <c r="S28" s="144"/>
      <c r="T28" s="144"/>
      <c r="U28" s="144"/>
      <c r="V28" s="144"/>
      <c r="W28" s="144"/>
      <c r="X28" s="144"/>
      <c r="Y28" s="321"/>
      <c r="Z28" s="144"/>
      <c r="AA28" s="144"/>
      <c r="AB28" s="144"/>
      <c r="AC28" s="144"/>
      <c r="AD28" s="144"/>
      <c r="AE28" s="149"/>
      <c r="AF28" s="315"/>
    </row>
    <row r="29" spans="1:32" s="4" customFormat="1" ht="18.75" customHeight="1">
      <c r="A29" s="386"/>
      <c r="B29" s="332" t="s">
        <v>234</v>
      </c>
      <c r="C29" s="333">
        <v>503</v>
      </c>
      <c r="D29" s="334">
        <v>0</v>
      </c>
      <c r="E29" s="333">
        <v>531</v>
      </c>
      <c r="F29" s="333">
        <v>536</v>
      </c>
      <c r="G29" s="333">
        <v>442</v>
      </c>
      <c r="H29" s="333">
        <v>0</v>
      </c>
      <c r="I29" s="333">
        <v>546</v>
      </c>
      <c r="J29" s="333">
        <v>544</v>
      </c>
      <c r="K29" s="334">
        <v>0</v>
      </c>
      <c r="L29" s="333">
        <v>542</v>
      </c>
      <c r="M29" s="145"/>
      <c r="N29" s="144"/>
      <c r="O29" s="144"/>
      <c r="P29" s="144"/>
      <c r="Q29" s="144"/>
      <c r="R29" s="321"/>
      <c r="S29" s="144"/>
      <c r="T29" s="144"/>
      <c r="U29" s="144"/>
      <c r="V29" s="144"/>
      <c r="W29" s="144"/>
      <c r="X29" s="144"/>
      <c r="Y29" s="321"/>
      <c r="Z29" s="144"/>
      <c r="AA29" s="144"/>
      <c r="AB29" s="144"/>
      <c r="AC29" s="144"/>
      <c r="AD29" s="144"/>
      <c r="AE29" s="149"/>
      <c r="AF29" s="315"/>
    </row>
    <row r="30" spans="1:32" s="4" customFormat="1" ht="18.75" customHeight="1">
      <c r="A30" s="387"/>
      <c r="B30" s="335" t="s">
        <v>236</v>
      </c>
      <c r="C30" s="336">
        <v>36</v>
      </c>
      <c r="D30" s="337">
        <v>0</v>
      </c>
      <c r="E30" s="336">
        <v>35</v>
      </c>
      <c r="F30" s="336">
        <v>34</v>
      </c>
      <c r="G30" s="336">
        <v>26</v>
      </c>
      <c r="H30" s="336">
        <v>0</v>
      </c>
      <c r="I30" s="336">
        <v>33</v>
      </c>
      <c r="J30" s="336">
        <v>30</v>
      </c>
      <c r="K30" s="337">
        <v>0</v>
      </c>
      <c r="L30" s="336">
        <v>34</v>
      </c>
      <c r="M30" s="147"/>
      <c r="N30" s="146"/>
      <c r="O30" s="146"/>
      <c r="P30" s="146"/>
      <c r="Q30" s="146"/>
      <c r="R30" s="322"/>
      <c r="S30" s="146"/>
      <c r="T30" s="146"/>
      <c r="U30" s="146"/>
      <c r="V30" s="146"/>
      <c r="W30" s="146"/>
      <c r="X30" s="146"/>
      <c r="Y30" s="322"/>
      <c r="Z30" s="146"/>
      <c r="AA30" s="146"/>
      <c r="AB30" s="146"/>
      <c r="AC30" s="146"/>
      <c r="AD30" s="146"/>
      <c r="AE30" s="150"/>
      <c r="AF30" s="316"/>
    </row>
    <row r="31" spans="1:32" s="4" customFormat="1" ht="18.75" customHeight="1">
      <c r="A31" s="385" t="s">
        <v>243</v>
      </c>
      <c r="B31" s="332" t="s">
        <v>232</v>
      </c>
      <c r="C31" s="333">
        <v>3208</v>
      </c>
      <c r="D31" s="334">
        <v>0</v>
      </c>
      <c r="E31" s="333">
        <v>3250</v>
      </c>
      <c r="F31" s="333">
        <v>3263</v>
      </c>
      <c r="G31" s="333">
        <v>3177</v>
      </c>
      <c r="H31" s="333">
        <v>0</v>
      </c>
      <c r="I31" s="333">
        <v>3197</v>
      </c>
      <c r="J31" s="333">
        <v>3209</v>
      </c>
      <c r="K31" s="334">
        <v>0</v>
      </c>
      <c r="L31" s="333">
        <v>3163</v>
      </c>
      <c r="M31" s="145"/>
      <c r="N31" s="144"/>
      <c r="O31" s="144"/>
      <c r="P31" s="144"/>
      <c r="Q31" s="144"/>
      <c r="R31" s="321"/>
      <c r="S31" s="144"/>
      <c r="T31" s="144"/>
      <c r="U31" s="144"/>
      <c r="V31" s="144"/>
      <c r="W31" s="144"/>
      <c r="X31" s="144"/>
      <c r="Y31" s="321"/>
      <c r="Z31" s="144"/>
      <c r="AA31" s="144"/>
      <c r="AB31" s="144"/>
      <c r="AC31" s="144"/>
      <c r="AD31" s="144"/>
      <c r="AE31" s="149"/>
      <c r="AF31" s="315"/>
    </row>
    <row r="32" spans="1:32" s="4" customFormat="1" ht="19.5" customHeight="1">
      <c r="A32" s="386"/>
      <c r="B32" s="332" t="s">
        <v>234</v>
      </c>
      <c r="C32" s="333">
        <v>2914</v>
      </c>
      <c r="D32" s="334">
        <v>0</v>
      </c>
      <c r="E32" s="333">
        <v>2950</v>
      </c>
      <c r="F32" s="333">
        <v>2964</v>
      </c>
      <c r="G32" s="333">
        <v>2897</v>
      </c>
      <c r="H32" s="333">
        <v>0</v>
      </c>
      <c r="I32" s="333">
        <v>2897</v>
      </c>
      <c r="J32" s="333">
        <v>2912</v>
      </c>
      <c r="K32" s="334">
        <v>0</v>
      </c>
      <c r="L32" s="333">
        <v>2874</v>
      </c>
      <c r="M32" s="145"/>
      <c r="N32" s="144"/>
      <c r="O32" s="144"/>
      <c r="P32" s="144"/>
      <c r="Q32" s="144"/>
      <c r="R32" s="321"/>
      <c r="S32" s="144"/>
      <c r="T32" s="144"/>
      <c r="U32" s="144"/>
      <c r="V32" s="144"/>
      <c r="W32" s="144"/>
      <c r="X32" s="144"/>
      <c r="Y32" s="321"/>
      <c r="Z32" s="144"/>
      <c r="AA32" s="144"/>
      <c r="AB32" s="144"/>
      <c r="AC32" s="144"/>
      <c r="AD32" s="144"/>
      <c r="AE32" s="149"/>
      <c r="AF32" s="315"/>
    </row>
    <row r="33" spans="1:32" s="5" customFormat="1" ht="24.75" customHeight="1">
      <c r="A33" s="387"/>
      <c r="B33" s="335" t="s">
        <v>236</v>
      </c>
      <c r="C33" s="336">
        <v>294</v>
      </c>
      <c r="D33" s="337">
        <v>0</v>
      </c>
      <c r="E33" s="336">
        <v>300</v>
      </c>
      <c r="F33" s="336">
        <v>299</v>
      </c>
      <c r="G33" s="336">
        <v>280</v>
      </c>
      <c r="H33" s="336">
        <v>0</v>
      </c>
      <c r="I33" s="336">
        <v>300</v>
      </c>
      <c r="J33" s="336">
        <v>297</v>
      </c>
      <c r="K33" s="337">
        <v>0</v>
      </c>
      <c r="L33" s="336">
        <v>289</v>
      </c>
      <c r="M33" s="147"/>
      <c r="N33" s="146"/>
      <c r="O33" s="146"/>
      <c r="P33" s="146"/>
      <c r="Q33" s="146"/>
      <c r="R33" s="322"/>
      <c r="S33" s="146"/>
      <c r="T33" s="146"/>
      <c r="U33" s="146"/>
      <c r="V33" s="146"/>
      <c r="W33" s="146"/>
      <c r="X33" s="146"/>
      <c r="Y33" s="322"/>
      <c r="Z33" s="146"/>
      <c r="AA33" s="146"/>
      <c r="AB33" s="146"/>
      <c r="AC33" s="146"/>
      <c r="AD33" s="146"/>
      <c r="AE33" s="150"/>
      <c r="AF33" s="316"/>
    </row>
    <row r="34" spans="1:32" s="4" customFormat="1" ht="18.75" customHeight="1">
      <c r="A34" s="385" t="s">
        <v>244</v>
      </c>
      <c r="B34" s="332" t="s">
        <v>232</v>
      </c>
      <c r="C34" s="333">
        <v>552</v>
      </c>
      <c r="D34" s="334">
        <v>0</v>
      </c>
      <c r="E34" s="333">
        <v>554</v>
      </c>
      <c r="F34" s="333">
        <v>553</v>
      </c>
      <c r="G34" s="333">
        <v>379</v>
      </c>
      <c r="H34" s="333">
        <v>0</v>
      </c>
      <c r="I34" s="333">
        <v>548</v>
      </c>
      <c r="J34" s="333">
        <v>545</v>
      </c>
      <c r="K34" s="334">
        <v>0</v>
      </c>
      <c r="L34" s="333">
        <v>548</v>
      </c>
      <c r="M34" s="145"/>
      <c r="N34" s="144"/>
      <c r="O34" s="144"/>
      <c r="P34" s="144"/>
      <c r="Q34" s="144"/>
      <c r="R34" s="321"/>
      <c r="S34" s="144"/>
      <c r="T34" s="144"/>
      <c r="U34" s="144"/>
      <c r="V34" s="144"/>
      <c r="W34" s="144"/>
      <c r="X34" s="144"/>
      <c r="Y34" s="321"/>
      <c r="Z34" s="144"/>
      <c r="AA34" s="144"/>
      <c r="AB34" s="144"/>
      <c r="AC34" s="144"/>
      <c r="AD34" s="144"/>
      <c r="AE34" s="149"/>
      <c r="AF34" s="315"/>
    </row>
    <row r="35" spans="1:32" ht="18.75" customHeight="1">
      <c r="A35" s="386"/>
      <c r="B35" s="332" t="s">
        <v>234</v>
      </c>
      <c r="C35" s="333">
        <v>507</v>
      </c>
      <c r="D35" s="334">
        <v>0</v>
      </c>
      <c r="E35" s="333">
        <v>508</v>
      </c>
      <c r="F35" s="333">
        <v>507</v>
      </c>
      <c r="G35" s="333">
        <v>345</v>
      </c>
      <c r="H35" s="333">
        <v>0</v>
      </c>
      <c r="I35" s="333">
        <v>503</v>
      </c>
      <c r="J35" s="333">
        <v>501</v>
      </c>
      <c r="K35" s="334">
        <v>0</v>
      </c>
      <c r="L35" s="333">
        <v>506</v>
      </c>
      <c r="M35" s="145"/>
      <c r="N35" s="144"/>
      <c r="O35" s="144"/>
      <c r="P35" s="144"/>
      <c r="Q35" s="144"/>
      <c r="R35" s="321"/>
      <c r="S35" s="144"/>
      <c r="T35" s="144"/>
      <c r="U35" s="144"/>
      <c r="V35" s="144"/>
      <c r="W35" s="144"/>
      <c r="X35" s="144"/>
      <c r="Y35" s="321"/>
      <c r="Z35" s="144"/>
      <c r="AA35" s="144"/>
      <c r="AB35" s="144"/>
      <c r="AC35" s="144"/>
      <c r="AD35" s="144"/>
      <c r="AE35" s="149"/>
      <c r="AF35" s="315"/>
    </row>
    <row r="36" spans="1:32" ht="18.75" customHeight="1">
      <c r="A36" s="387"/>
      <c r="B36" s="335" t="s">
        <v>236</v>
      </c>
      <c r="C36" s="336">
        <v>45</v>
      </c>
      <c r="D36" s="337">
        <v>0</v>
      </c>
      <c r="E36" s="336">
        <v>46</v>
      </c>
      <c r="F36" s="336">
        <v>46</v>
      </c>
      <c r="G36" s="336">
        <v>34</v>
      </c>
      <c r="H36" s="336">
        <v>0</v>
      </c>
      <c r="I36" s="336">
        <v>45</v>
      </c>
      <c r="J36" s="336">
        <v>44</v>
      </c>
      <c r="K36" s="337">
        <v>0</v>
      </c>
      <c r="L36" s="336">
        <v>42</v>
      </c>
      <c r="M36" s="147"/>
      <c r="N36" s="146"/>
      <c r="O36" s="146"/>
      <c r="P36" s="146"/>
      <c r="Q36" s="146"/>
      <c r="R36" s="322"/>
      <c r="S36" s="146"/>
      <c r="T36" s="146"/>
      <c r="U36" s="146"/>
      <c r="V36" s="146"/>
      <c r="W36" s="146"/>
      <c r="X36" s="146"/>
      <c r="Y36" s="322"/>
      <c r="Z36" s="146"/>
      <c r="AA36" s="146"/>
      <c r="AB36" s="146"/>
      <c r="AC36" s="146"/>
      <c r="AD36" s="146"/>
      <c r="AE36" s="150"/>
      <c r="AF36" s="316"/>
    </row>
    <row r="37" spans="1:32" ht="18.75" customHeight="1">
      <c r="A37" s="385" t="s">
        <v>245</v>
      </c>
      <c r="B37" s="332" t="s">
        <v>232</v>
      </c>
      <c r="C37" s="333">
        <v>668</v>
      </c>
      <c r="D37" s="334">
        <v>0</v>
      </c>
      <c r="E37" s="333">
        <v>668</v>
      </c>
      <c r="F37" s="333">
        <v>669</v>
      </c>
      <c r="G37" s="333">
        <v>647</v>
      </c>
      <c r="H37" s="333">
        <v>0</v>
      </c>
      <c r="I37" s="333">
        <v>655</v>
      </c>
      <c r="J37" s="333">
        <v>665</v>
      </c>
      <c r="K37" s="334">
        <v>0</v>
      </c>
      <c r="L37" s="333">
        <v>660</v>
      </c>
      <c r="M37" s="145"/>
      <c r="N37" s="144"/>
      <c r="O37" s="144"/>
      <c r="P37" s="144"/>
      <c r="Q37" s="144"/>
      <c r="R37" s="321"/>
      <c r="S37" s="144"/>
      <c r="T37" s="144"/>
      <c r="U37" s="144"/>
      <c r="V37" s="144"/>
      <c r="W37" s="144"/>
      <c r="X37" s="144"/>
      <c r="Y37" s="321"/>
      <c r="Z37" s="144"/>
      <c r="AA37" s="144"/>
      <c r="AB37" s="144"/>
      <c r="AC37" s="144"/>
      <c r="AD37" s="144"/>
      <c r="AE37" s="149"/>
      <c r="AF37" s="315"/>
    </row>
    <row r="38" spans="1:32">
      <c r="A38" s="386"/>
      <c r="B38" s="332" t="s">
        <v>234</v>
      </c>
      <c r="C38" s="333">
        <v>629</v>
      </c>
      <c r="D38" s="334">
        <v>0</v>
      </c>
      <c r="E38" s="333">
        <v>628</v>
      </c>
      <c r="F38" s="333">
        <v>629</v>
      </c>
      <c r="G38" s="333">
        <v>608</v>
      </c>
      <c r="H38" s="333">
        <v>0</v>
      </c>
      <c r="I38" s="333">
        <v>614</v>
      </c>
      <c r="J38" s="333">
        <v>625</v>
      </c>
      <c r="K38" s="334">
        <v>0</v>
      </c>
      <c r="L38" s="333">
        <v>622</v>
      </c>
      <c r="M38" s="145"/>
      <c r="N38" s="144"/>
      <c r="O38" s="144"/>
      <c r="P38" s="144"/>
      <c r="Q38" s="144"/>
      <c r="R38" s="321"/>
      <c r="S38" s="144"/>
      <c r="T38" s="144"/>
      <c r="U38" s="144"/>
      <c r="V38" s="144"/>
      <c r="W38" s="144"/>
      <c r="X38" s="144"/>
      <c r="Y38" s="321"/>
      <c r="Z38" s="144"/>
      <c r="AA38" s="144"/>
      <c r="AB38" s="144"/>
      <c r="AC38" s="144"/>
      <c r="AD38" s="144"/>
      <c r="AE38" s="149"/>
      <c r="AF38" s="315"/>
    </row>
    <row r="39" spans="1:32" ht="16.5" customHeight="1">
      <c r="A39" s="387"/>
      <c r="B39" s="335" t="s">
        <v>236</v>
      </c>
      <c r="C39" s="336">
        <v>39</v>
      </c>
      <c r="D39" s="337">
        <v>0</v>
      </c>
      <c r="E39" s="336">
        <v>40</v>
      </c>
      <c r="F39" s="336">
        <v>40</v>
      </c>
      <c r="G39" s="336">
        <v>39</v>
      </c>
      <c r="H39" s="336">
        <v>0</v>
      </c>
      <c r="I39" s="336">
        <v>41</v>
      </c>
      <c r="J39" s="336">
        <v>40</v>
      </c>
      <c r="K39" s="337">
        <v>0</v>
      </c>
      <c r="L39" s="336">
        <v>38</v>
      </c>
      <c r="M39" s="147"/>
      <c r="N39" s="146"/>
      <c r="O39" s="146"/>
      <c r="P39" s="146"/>
      <c r="Q39" s="146"/>
      <c r="R39" s="322"/>
      <c r="S39" s="146"/>
      <c r="T39" s="146"/>
      <c r="U39" s="146"/>
      <c r="V39" s="146"/>
      <c r="W39" s="146"/>
      <c r="X39" s="146"/>
      <c r="Y39" s="322"/>
      <c r="Z39" s="146"/>
      <c r="AA39" s="146"/>
      <c r="AB39" s="146"/>
      <c r="AC39" s="146"/>
      <c r="AD39" s="146"/>
      <c r="AE39" s="150"/>
      <c r="AF39" s="316"/>
    </row>
    <row r="40" spans="1:32" ht="16.5" customHeight="1">
      <c r="A40" s="385" t="s">
        <v>246</v>
      </c>
      <c r="B40" s="332" t="s">
        <v>232</v>
      </c>
      <c r="C40" s="333">
        <v>2806</v>
      </c>
      <c r="D40" s="334">
        <v>0</v>
      </c>
      <c r="E40" s="333">
        <v>2815</v>
      </c>
      <c r="F40" s="333">
        <v>2830</v>
      </c>
      <c r="G40" s="333">
        <v>2774</v>
      </c>
      <c r="H40" s="333">
        <v>0</v>
      </c>
      <c r="I40" s="333">
        <v>2783</v>
      </c>
      <c r="J40" s="333">
        <v>2797</v>
      </c>
      <c r="K40" s="334">
        <v>0</v>
      </c>
      <c r="L40" s="333">
        <v>2750</v>
      </c>
      <c r="M40" s="145"/>
      <c r="N40" s="144"/>
      <c r="O40" s="144"/>
      <c r="P40" s="144"/>
      <c r="Q40" s="144"/>
      <c r="R40" s="321"/>
      <c r="S40" s="144"/>
      <c r="T40" s="144"/>
      <c r="U40" s="144"/>
      <c r="V40" s="144"/>
      <c r="W40" s="144"/>
      <c r="X40" s="144"/>
      <c r="Y40" s="321"/>
      <c r="Z40" s="144"/>
      <c r="AA40" s="144"/>
      <c r="AB40" s="144"/>
      <c r="AC40" s="144"/>
      <c r="AD40" s="144"/>
      <c r="AE40" s="149"/>
      <c r="AF40" s="315"/>
    </row>
    <row r="41" spans="1:32" ht="16.5" customHeight="1">
      <c r="A41" s="386"/>
      <c r="B41" s="332" t="s">
        <v>234</v>
      </c>
      <c r="C41" s="333">
        <v>2637</v>
      </c>
      <c r="D41" s="334">
        <v>0</v>
      </c>
      <c r="E41" s="333">
        <v>2646</v>
      </c>
      <c r="F41" s="333">
        <v>2662</v>
      </c>
      <c r="G41" s="333">
        <v>2613</v>
      </c>
      <c r="H41" s="333">
        <v>0</v>
      </c>
      <c r="I41" s="333">
        <v>2619</v>
      </c>
      <c r="J41" s="333">
        <v>2630</v>
      </c>
      <c r="K41" s="334">
        <v>0</v>
      </c>
      <c r="L41" s="333">
        <v>2590</v>
      </c>
      <c r="M41" s="145"/>
      <c r="N41" s="144"/>
      <c r="O41" s="144"/>
      <c r="P41" s="144"/>
      <c r="Q41" s="144"/>
      <c r="R41" s="321"/>
      <c r="S41" s="144"/>
      <c r="T41" s="144"/>
      <c r="U41" s="144"/>
      <c r="V41" s="144"/>
      <c r="W41" s="144"/>
      <c r="X41" s="144"/>
      <c r="Y41" s="321"/>
      <c r="Z41" s="144"/>
      <c r="AA41" s="144"/>
      <c r="AB41" s="144"/>
      <c r="AC41" s="144"/>
      <c r="AD41" s="144"/>
      <c r="AE41" s="149"/>
      <c r="AF41" s="315"/>
    </row>
    <row r="42" spans="1:32" ht="36.75" customHeight="1">
      <c r="A42" s="387"/>
      <c r="B42" s="335" t="s">
        <v>236</v>
      </c>
      <c r="C42" s="336">
        <v>169</v>
      </c>
      <c r="D42" s="337">
        <v>0</v>
      </c>
      <c r="E42" s="336">
        <v>169</v>
      </c>
      <c r="F42" s="336">
        <v>168</v>
      </c>
      <c r="G42" s="336">
        <v>161</v>
      </c>
      <c r="H42" s="336">
        <v>0</v>
      </c>
      <c r="I42" s="336">
        <v>164</v>
      </c>
      <c r="J42" s="336">
        <v>167</v>
      </c>
      <c r="K42" s="337">
        <v>0</v>
      </c>
      <c r="L42" s="336">
        <v>160</v>
      </c>
      <c r="M42" s="147"/>
      <c r="N42" s="146"/>
      <c r="O42" s="146"/>
      <c r="P42" s="146"/>
      <c r="Q42" s="146"/>
      <c r="R42" s="322"/>
      <c r="S42" s="146"/>
      <c r="T42" s="146"/>
      <c r="U42" s="146"/>
      <c r="V42" s="146"/>
      <c r="W42" s="146"/>
      <c r="X42" s="146"/>
      <c r="Y42" s="322"/>
      <c r="Z42" s="146"/>
      <c r="AA42" s="146"/>
      <c r="AB42" s="146"/>
      <c r="AC42" s="146"/>
      <c r="AD42" s="146"/>
      <c r="AE42" s="150"/>
      <c r="AF42" s="316"/>
    </row>
    <row r="43" spans="1:32" ht="16.5" customHeight="1">
      <c r="A43" s="385" t="s">
        <v>247</v>
      </c>
      <c r="B43" s="332" t="s">
        <v>232</v>
      </c>
      <c r="C43" s="333">
        <v>953</v>
      </c>
      <c r="D43" s="334">
        <v>0</v>
      </c>
      <c r="E43" s="333">
        <v>950</v>
      </c>
      <c r="F43" s="333">
        <v>964</v>
      </c>
      <c r="G43" s="333">
        <v>912</v>
      </c>
      <c r="H43" s="333">
        <v>0</v>
      </c>
      <c r="I43" s="333">
        <v>945</v>
      </c>
      <c r="J43" s="333">
        <v>940</v>
      </c>
      <c r="K43" s="334">
        <v>0</v>
      </c>
      <c r="L43" s="333">
        <v>942</v>
      </c>
      <c r="M43" s="145"/>
      <c r="N43" s="144"/>
      <c r="O43" s="144"/>
      <c r="P43" s="144"/>
      <c r="Q43" s="144"/>
      <c r="R43" s="321"/>
      <c r="S43" s="144"/>
      <c r="T43" s="144"/>
      <c r="U43" s="144"/>
      <c r="V43" s="144"/>
      <c r="W43" s="144"/>
      <c r="X43" s="144"/>
      <c r="Y43" s="321"/>
      <c r="Z43" s="144"/>
      <c r="AA43" s="144"/>
      <c r="AB43" s="144"/>
      <c r="AC43" s="144"/>
      <c r="AD43" s="144"/>
      <c r="AE43" s="149"/>
      <c r="AF43" s="315"/>
    </row>
    <row r="44" spans="1:32" ht="16.5" customHeight="1">
      <c r="A44" s="386"/>
      <c r="B44" s="332" t="s">
        <v>234</v>
      </c>
      <c r="C44" s="333">
        <v>172</v>
      </c>
      <c r="D44" s="334">
        <v>0</v>
      </c>
      <c r="E44" s="333">
        <v>170</v>
      </c>
      <c r="F44" s="333">
        <v>170</v>
      </c>
      <c r="G44" s="333">
        <v>164</v>
      </c>
      <c r="H44" s="333">
        <v>0</v>
      </c>
      <c r="I44" s="333">
        <v>166</v>
      </c>
      <c r="J44" s="333">
        <v>164</v>
      </c>
      <c r="K44" s="334">
        <v>0</v>
      </c>
      <c r="L44" s="333">
        <v>169</v>
      </c>
      <c r="M44" s="145"/>
      <c r="N44" s="144"/>
      <c r="O44" s="144"/>
      <c r="P44" s="144"/>
      <c r="Q44" s="144"/>
      <c r="R44" s="321"/>
      <c r="S44" s="144"/>
      <c r="T44" s="144"/>
      <c r="U44" s="144"/>
      <c r="V44" s="144"/>
      <c r="W44" s="144"/>
      <c r="X44" s="144"/>
      <c r="Y44" s="321"/>
      <c r="Z44" s="144"/>
      <c r="AA44" s="144"/>
      <c r="AB44" s="144"/>
      <c r="AC44" s="144"/>
      <c r="AD44" s="144"/>
      <c r="AE44" s="149"/>
      <c r="AF44" s="315"/>
    </row>
    <row r="45" spans="1:32">
      <c r="A45" s="387"/>
      <c r="B45" s="335" t="s">
        <v>236</v>
      </c>
      <c r="C45" s="336">
        <v>781</v>
      </c>
      <c r="D45" s="337">
        <v>0</v>
      </c>
      <c r="E45" s="336">
        <v>780</v>
      </c>
      <c r="F45" s="336">
        <v>794</v>
      </c>
      <c r="G45" s="336">
        <v>748</v>
      </c>
      <c r="H45" s="336">
        <v>0</v>
      </c>
      <c r="I45" s="336">
        <v>779</v>
      </c>
      <c r="J45" s="336">
        <v>776</v>
      </c>
      <c r="K45" s="337">
        <v>0</v>
      </c>
      <c r="L45" s="336">
        <v>773</v>
      </c>
      <c r="M45" s="147"/>
      <c r="N45" s="146"/>
      <c r="O45" s="146"/>
      <c r="P45" s="146"/>
      <c r="Q45" s="146"/>
      <c r="R45" s="322"/>
      <c r="S45" s="146"/>
      <c r="T45" s="146"/>
      <c r="U45" s="146"/>
      <c r="V45" s="146"/>
      <c r="W45" s="146"/>
      <c r="X45" s="146"/>
      <c r="Y45" s="322"/>
      <c r="Z45" s="146"/>
      <c r="AA45" s="146"/>
      <c r="AB45" s="146"/>
      <c r="AC45" s="146"/>
      <c r="AD45" s="146"/>
      <c r="AE45" s="150"/>
      <c r="AF45" s="316"/>
    </row>
    <row r="46" spans="1:32">
      <c r="A46" s="385" t="s">
        <v>248</v>
      </c>
      <c r="B46" s="332" t="s">
        <v>232</v>
      </c>
      <c r="C46" s="333">
        <v>0</v>
      </c>
      <c r="D46" s="334">
        <v>0</v>
      </c>
      <c r="E46" s="333">
        <v>3641</v>
      </c>
      <c r="F46" s="333">
        <v>3643</v>
      </c>
      <c r="G46" s="333">
        <v>3569</v>
      </c>
      <c r="H46" s="333">
        <v>0</v>
      </c>
      <c r="I46" s="333">
        <v>3574</v>
      </c>
      <c r="J46" s="333">
        <v>3606</v>
      </c>
      <c r="K46" s="334">
        <v>0</v>
      </c>
      <c r="L46" s="333">
        <v>3580</v>
      </c>
      <c r="M46" s="145"/>
      <c r="N46" s="144"/>
      <c r="O46" s="144"/>
      <c r="P46" s="144"/>
      <c r="Q46" s="144"/>
      <c r="R46" s="321"/>
      <c r="S46" s="144"/>
      <c r="T46" s="144"/>
      <c r="U46" s="144"/>
      <c r="V46" s="144"/>
      <c r="W46" s="144"/>
      <c r="X46" s="144"/>
      <c r="Y46" s="321"/>
      <c r="Z46" s="144"/>
      <c r="AA46" s="144"/>
      <c r="AB46" s="144"/>
      <c r="AC46" s="144"/>
      <c r="AD46" s="144"/>
      <c r="AE46" s="149"/>
      <c r="AF46" s="315"/>
    </row>
    <row r="47" spans="1:32">
      <c r="A47" s="386"/>
      <c r="B47" s="332" t="s">
        <v>234</v>
      </c>
      <c r="C47" s="333">
        <v>0</v>
      </c>
      <c r="D47" s="334">
        <v>0</v>
      </c>
      <c r="E47" s="333">
        <v>3304</v>
      </c>
      <c r="F47" s="333">
        <v>3307</v>
      </c>
      <c r="G47" s="333">
        <v>3241</v>
      </c>
      <c r="H47" s="333">
        <v>0</v>
      </c>
      <c r="I47" s="333">
        <v>3242</v>
      </c>
      <c r="J47" s="333">
        <v>3282</v>
      </c>
      <c r="K47" s="334">
        <v>0</v>
      </c>
      <c r="L47" s="333">
        <v>3254</v>
      </c>
      <c r="M47" s="145"/>
      <c r="N47" s="144"/>
      <c r="O47" s="144"/>
      <c r="P47" s="144"/>
      <c r="Q47" s="144"/>
      <c r="R47" s="321"/>
      <c r="S47" s="144"/>
      <c r="T47" s="144"/>
      <c r="U47" s="144"/>
      <c r="V47" s="144"/>
      <c r="W47" s="144"/>
      <c r="X47" s="144"/>
      <c r="Y47" s="321"/>
      <c r="Z47" s="144"/>
      <c r="AA47" s="144"/>
      <c r="AB47" s="144"/>
      <c r="AC47" s="144"/>
      <c r="AD47" s="144"/>
      <c r="AE47" s="149"/>
      <c r="AF47" s="315"/>
    </row>
    <row r="48" spans="1:32">
      <c r="A48" s="387"/>
      <c r="B48" s="335" t="s">
        <v>236</v>
      </c>
      <c r="C48" s="336">
        <v>0</v>
      </c>
      <c r="D48" s="337">
        <v>0</v>
      </c>
      <c r="E48" s="336">
        <v>337</v>
      </c>
      <c r="F48" s="336">
        <v>336</v>
      </c>
      <c r="G48" s="336">
        <v>328</v>
      </c>
      <c r="H48" s="336">
        <v>0</v>
      </c>
      <c r="I48" s="336">
        <v>332</v>
      </c>
      <c r="J48" s="336">
        <v>324</v>
      </c>
      <c r="K48" s="337">
        <v>0</v>
      </c>
      <c r="L48" s="336">
        <v>326</v>
      </c>
      <c r="M48" s="147"/>
      <c r="N48" s="146"/>
      <c r="O48" s="146"/>
      <c r="P48" s="146"/>
      <c r="Q48" s="146"/>
      <c r="R48" s="322"/>
      <c r="S48" s="146"/>
      <c r="T48" s="146"/>
      <c r="U48" s="146"/>
      <c r="V48" s="146"/>
      <c r="W48" s="146"/>
      <c r="X48" s="146"/>
      <c r="Y48" s="322"/>
      <c r="Z48" s="146"/>
      <c r="AA48" s="146"/>
      <c r="AB48" s="146"/>
      <c r="AC48" s="146"/>
      <c r="AD48" s="146"/>
      <c r="AE48" s="150"/>
      <c r="AF48" s="316"/>
    </row>
    <row r="49" spans="1:32">
      <c r="A49" s="385" t="s">
        <v>249</v>
      </c>
      <c r="B49" s="332" t="s">
        <v>232</v>
      </c>
      <c r="C49" s="333">
        <v>429</v>
      </c>
      <c r="D49" s="334">
        <v>0</v>
      </c>
      <c r="E49" s="333">
        <v>669</v>
      </c>
      <c r="F49" s="333">
        <v>667</v>
      </c>
      <c r="G49" s="333">
        <v>665</v>
      </c>
      <c r="H49" s="333">
        <v>0</v>
      </c>
      <c r="I49" s="333">
        <v>652</v>
      </c>
      <c r="J49" s="333">
        <v>655</v>
      </c>
      <c r="K49" s="334">
        <v>0</v>
      </c>
      <c r="L49" s="333">
        <v>654</v>
      </c>
      <c r="M49" s="145"/>
      <c r="N49" s="144"/>
      <c r="O49" s="144"/>
      <c r="P49" s="144"/>
      <c r="Q49" s="144"/>
      <c r="R49" s="321"/>
      <c r="S49" s="144"/>
      <c r="T49" s="144"/>
      <c r="U49" s="144"/>
      <c r="V49" s="144"/>
      <c r="W49" s="144"/>
      <c r="X49" s="144"/>
      <c r="Y49" s="321"/>
      <c r="Z49" s="144"/>
      <c r="AA49" s="144"/>
      <c r="AB49" s="144"/>
      <c r="AC49" s="144"/>
      <c r="AD49" s="144"/>
      <c r="AE49" s="149"/>
      <c r="AF49" s="315"/>
    </row>
    <row r="50" spans="1:32">
      <c r="A50" s="386"/>
      <c r="B50" s="332" t="s">
        <v>234</v>
      </c>
      <c r="C50" s="333">
        <v>192</v>
      </c>
      <c r="D50" s="334">
        <v>0</v>
      </c>
      <c r="E50" s="333">
        <v>196</v>
      </c>
      <c r="F50" s="333">
        <v>196</v>
      </c>
      <c r="G50" s="333">
        <v>197</v>
      </c>
      <c r="H50" s="333">
        <v>0</v>
      </c>
      <c r="I50" s="333">
        <v>193</v>
      </c>
      <c r="J50" s="333">
        <v>197</v>
      </c>
      <c r="K50" s="334">
        <v>0</v>
      </c>
      <c r="L50" s="333">
        <v>196</v>
      </c>
      <c r="M50" s="145"/>
      <c r="N50" s="144"/>
      <c r="O50" s="144"/>
      <c r="P50" s="144"/>
      <c r="Q50" s="144"/>
      <c r="R50" s="321"/>
      <c r="S50" s="144"/>
      <c r="T50" s="144"/>
      <c r="U50" s="144"/>
      <c r="V50" s="144"/>
      <c r="W50" s="144"/>
      <c r="X50" s="144"/>
      <c r="Y50" s="321"/>
      <c r="Z50" s="144"/>
      <c r="AA50" s="144"/>
      <c r="AB50" s="144"/>
      <c r="AC50" s="144"/>
      <c r="AD50" s="144"/>
      <c r="AE50" s="149"/>
      <c r="AF50" s="315"/>
    </row>
    <row r="51" spans="1:32">
      <c r="A51" s="387"/>
      <c r="B51" s="335" t="s">
        <v>236</v>
      </c>
      <c r="C51" s="336">
        <v>237</v>
      </c>
      <c r="D51" s="337">
        <v>0</v>
      </c>
      <c r="E51" s="336">
        <v>473</v>
      </c>
      <c r="F51" s="336">
        <v>471</v>
      </c>
      <c r="G51" s="336">
        <v>468</v>
      </c>
      <c r="H51" s="336">
        <v>0</v>
      </c>
      <c r="I51" s="336">
        <v>459</v>
      </c>
      <c r="J51" s="336">
        <v>458</v>
      </c>
      <c r="K51" s="337">
        <v>0</v>
      </c>
      <c r="L51" s="336">
        <v>458</v>
      </c>
      <c r="M51" s="147"/>
      <c r="N51" s="146"/>
      <c r="O51" s="146"/>
      <c r="P51" s="146"/>
      <c r="Q51" s="146"/>
      <c r="R51" s="322"/>
      <c r="S51" s="146"/>
      <c r="T51" s="146"/>
      <c r="U51" s="146"/>
      <c r="V51" s="146"/>
      <c r="W51" s="146"/>
      <c r="X51" s="146"/>
      <c r="Y51" s="322"/>
      <c r="Z51" s="146"/>
      <c r="AA51" s="146"/>
      <c r="AB51" s="146"/>
      <c r="AC51" s="146"/>
      <c r="AD51" s="146"/>
      <c r="AE51" s="150"/>
      <c r="AF51" s="316"/>
    </row>
    <row r="52" spans="1:32">
      <c r="A52" s="385" t="s">
        <v>250</v>
      </c>
      <c r="B52" s="340" t="s">
        <v>231</v>
      </c>
      <c r="C52" s="338">
        <v>0</v>
      </c>
      <c r="D52" s="339">
        <v>0</v>
      </c>
      <c r="E52" s="341">
        <v>4341</v>
      </c>
      <c r="F52" s="341">
        <v>4341</v>
      </c>
      <c r="G52" s="341">
        <v>4279</v>
      </c>
      <c r="H52" s="341">
        <v>0</v>
      </c>
      <c r="I52" s="341">
        <v>4274</v>
      </c>
      <c r="J52" s="341">
        <v>4289</v>
      </c>
      <c r="K52" s="342">
        <v>0</v>
      </c>
      <c r="L52" s="341">
        <v>4246</v>
      </c>
      <c r="M52" s="323"/>
      <c r="N52" s="324"/>
      <c r="O52" s="324"/>
      <c r="P52" s="324"/>
      <c r="Q52" s="324"/>
      <c r="R52" s="325"/>
      <c r="S52" s="324"/>
      <c r="T52" s="324"/>
      <c r="U52" s="324"/>
      <c r="V52" s="324"/>
      <c r="W52" s="324"/>
      <c r="X52" s="324"/>
      <c r="Y52" s="325"/>
      <c r="Z52" s="324"/>
      <c r="AA52" s="324"/>
      <c r="AB52" s="324"/>
      <c r="AC52" s="324"/>
      <c r="AD52" s="324"/>
      <c r="AE52" s="324"/>
      <c r="AF52" s="325"/>
    </row>
    <row r="53" spans="1:32">
      <c r="A53" s="386"/>
      <c r="B53" s="340" t="s">
        <v>233</v>
      </c>
      <c r="C53" s="338">
        <v>0</v>
      </c>
      <c r="D53" s="339">
        <v>0</v>
      </c>
      <c r="E53" s="341">
        <v>3919</v>
      </c>
      <c r="F53" s="341">
        <v>3917</v>
      </c>
      <c r="G53" s="341">
        <v>3870</v>
      </c>
      <c r="H53" s="341">
        <v>0</v>
      </c>
      <c r="I53" s="341">
        <v>3859</v>
      </c>
      <c r="J53" s="341">
        <v>3874</v>
      </c>
      <c r="K53" s="342">
        <v>0</v>
      </c>
      <c r="L53" s="341">
        <v>3838</v>
      </c>
      <c r="M53" s="323"/>
      <c r="N53" s="324"/>
      <c r="O53" s="324"/>
      <c r="P53" s="324"/>
      <c r="Q53" s="324"/>
      <c r="R53" s="325"/>
      <c r="S53" s="324"/>
      <c r="T53" s="324"/>
      <c r="U53" s="324"/>
      <c r="V53" s="324"/>
      <c r="W53" s="324"/>
      <c r="X53" s="324"/>
      <c r="Y53" s="325"/>
      <c r="Z53" s="324"/>
      <c r="AA53" s="324"/>
      <c r="AB53" s="324"/>
      <c r="AC53" s="324"/>
      <c r="AD53" s="324"/>
      <c r="AE53" s="324"/>
      <c r="AF53" s="325"/>
    </row>
    <row r="54" spans="1:32">
      <c r="A54" s="387"/>
      <c r="B54" s="340" t="s">
        <v>235</v>
      </c>
      <c r="C54" s="338">
        <v>0</v>
      </c>
      <c r="D54" s="339">
        <v>0</v>
      </c>
      <c r="E54" s="341">
        <v>422</v>
      </c>
      <c r="F54" s="341">
        <v>424</v>
      </c>
      <c r="G54" s="341">
        <v>409</v>
      </c>
      <c r="H54" s="341">
        <v>0</v>
      </c>
      <c r="I54" s="341">
        <v>415</v>
      </c>
      <c r="J54" s="341">
        <v>415</v>
      </c>
      <c r="K54" s="342">
        <v>0</v>
      </c>
      <c r="L54" s="341">
        <v>408</v>
      </c>
      <c r="M54" s="323"/>
      <c r="N54" s="324"/>
      <c r="O54" s="324"/>
      <c r="P54" s="324"/>
      <c r="Q54" s="324"/>
      <c r="R54" s="325"/>
      <c r="S54" s="324"/>
      <c r="T54" s="324"/>
      <c r="U54" s="324"/>
      <c r="V54" s="324"/>
      <c r="W54" s="324"/>
      <c r="X54" s="324"/>
      <c r="Y54" s="325"/>
      <c r="Z54" s="324"/>
      <c r="AA54" s="324"/>
      <c r="AB54" s="324"/>
      <c r="AC54" s="324"/>
      <c r="AD54" s="324"/>
      <c r="AE54" s="324"/>
      <c r="AF54" s="325"/>
    </row>
  </sheetData>
  <mergeCells count="19">
    <mergeCell ref="A1:B1"/>
    <mergeCell ref="A2:AC2"/>
    <mergeCell ref="A7:A9"/>
    <mergeCell ref="A10:A12"/>
    <mergeCell ref="A13:A15"/>
    <mergeCell ref="A34:A36"/>
    <mergeCell ref="A37:A39"/>
    <mergeCell ref="A40:A42"/>
    <mergeCell ref="A52:A54"/>
    <mergeCell ref="A4:A6"/>
    <mergeCell ref="A16:A18"/>
    <mergeCell ref="A19:A21"/>
    <mergeCell ref="A22:A24"/>
    <mergeCell ref="A25:A27"/>
    <mergeCell ref="A43:A45"/>
    <mergeCell ref="A46:A48"/>
    <mergeCell ref="A49:A51"/>
    <mergeCell ref="A28:A30"/>
    <mergeCell ref="A31:A33"/>
  </mergeCells>
  <phoneticPr fontId="31" type="noConversion"/>
  <hyperlinks>
    <hyperlink ref="A1" location="'目   錄'!A1" display="回到首頁"/>
  </hyperlinks>
  <printOptions horizontalCentered="1"/>
  <pageMargins left="0" right="0" top="0.39370078740157483" bottom="0.19685039370078741" header="0" footer="0"/>
  <pageSetup paperSize="9" scale="85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FF00"/>
  </sheetPr>
  <dimension ref="A1:AH179"/>
  <sheetViews>
    <sheetView workbookViewId="0">
      <selection sqref="A1:B1"/>
    </sheetView>
  </sheetViews>
  <sheetFormatPr defaultRowHeight="15.75"/>
  <cols>
    <col min="1" max="1" width="10.42578125" style="73" customWidth="1"/>
    <col min="4" max="4" width="7.7109375" style="71" customWidth="1"/>
    <col min="5" max="6" width="4.7109375" style="70" customWidth="1"/>
    <col min="7" max="8" width="4.7109375" customWidth="1"/>
    <col min="9" max="9" width="4.7109375" style="70" customWidth="1"/>
    <col min="10" max="11" width="4.7109375" customWidth="1"/>
    <col min="12" max="13" width="4.7109375" style="70" customWidth="1"/>
    <col min="14" max="15" width="4.7109375" customWidth="1"/>
    <col min="16" max="16" width="4.7109375" style="70" customWidth="1"/>
    <col min="17" max="18" width="4.7109375" customWidth="1"/>
    <col min="19" max="20" width="4.7109375" style="70" customWidth="1"/>
    <col min="21" max="22" width="4.7109375" customWidth="1"/>
    <col min="23" max="23" width="4.7109375" style="70" customWidth="1"/>
    <col min="24" max="25" width="4.7109375" customWidth="1"/>
    <col min="26" max="27" width="4.7109375" style="70" customWidth="1"/>
    <col min="28" max="29" width="4.7109375" customWidth="1"/>
    <col min="30" max="30" width="4.7109375" style="70" customWidth="1"/>
    <col min="31" max="32" width="4.7109375" customWidth="1"/>
    <col min="33" max="34" width="4.7109375" style="70" customWidth="1"/>
  </cols>
  <sheetData>
    <row r="1" spans="1:34" ht="29.25" customHeight="1">
      <c r="A1" s="369" t="s">
        <v>4</v>
      </c>
      <c r="B1" s="370"/>
    </row>
    <row r="2" spans="1:34" s="8" customFormat="1" ht="30">
      <c r="A2" s="388" t="s">
        <v>118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G2" s="74"/>
      <c r="AH2" s="74"/>
    </row>
    <row r="3" spans="1:34" s="8" customFormat="1" ht="16.5">
      <c r="A3" s="72" t="s">
        <v>83</v>
      </c>
      <c r="B3" s="283" t="s">
        <v>119</v>
      </c>
      <c r="C3" s="284" t="s">
        <v>44</v>
      </c>
      <c r="D3" s="285" t="s">
        <v>120</v>
      </c>
      <c r="E3" s="286">
        <v>1</v>
      </c>
      <c r="F3" s="287">
        <v>2</v>
      </c>
      <c r="G3" s="283">
        <v>3</v>
      </c>
      <c r="H3" s="283">
        <v>4</v>
      </c>
      <c r="I3" s="286">
        <v>5</v>
      </c>
      <c r="J3" s="283">
        <v>6</v>
      </c>
      <c r="K3" s="283">
        <v>7</v>
      </c>
      <c r="L3" s="286">
        <v>8</v>
      </c>
      <c r="M3" s="287">
        <v>9</v>
      </c>
      <c r="N3" s="283">
        <v>10</v>
      </c>
      <c r="O3" s="283">
        <v>11</v>
      </c>
      <c r="P3" s="286">
        <v>12</v>
      </c>
      <c r="Q3" s="283">
        <v>13</v>
      </c>
      <c r="R3" s="283">
        <v>14</v>
      </c>
      <c r="S3" s="286">
        <v>15</v>
      </c>
      <c r="T3" s="287">
        <v>16</v>
      </c>
      <c r="U3" s="283">
        <v>17</v>
      </c>
      <c r="V3" s="283">
        <v>18</v>
      </c>
      <c r="W3" s="286">
        <v>19</v>
      </c>
      <c r="X3" s="283">
        <v>20</v>
      </c>
      <c r="Y3" s="283">
        <v>21</v>
      </c>
      <c r="Z3" s="286">
        <v>22</v>
      </c>
      <c r="AA3" s="287">
        <v>23</v>
      </c>
      <c r="AB3" s="283">
        <v>24</v>
      </c>
      <c r="AC3" s="283">
        <v>25</v>
      </c>
      <c r="AD3" s="286">
        <v>26</v>
      </c>
      <c r="AE3" s="283">
        <v>27</v>
      </c>
      <c r="AF3" s="283">
        <v>28</v>
      </c>
      <c r="AG3" s="288">
        <v>29</v>
      </c>
      <c r="AH3" s="289">
        <v>30</v>
      </c>
    </row>
    <row r="4" spans="1:34" s="8" customFormat="1" ht="15" customHeight="1">
      <c r="A4" s="389" t="s">
        <v>44</v>
      </c>
      <c r="B4" s="290" t="s">
        <v>45</v>
      </c>
      <c r="C4" s="291">
        <v>170024</v>
      </c>
      <c r="D4" s="291">
        <v>28630.666666666668</v>
      </c>
      <c r="E4" s="294"/>
      <c r="F4" s="294"/>
      <c r="G4" s="293">
        <v>28992</v>
      </c>
      <c r="H4" s="293">
        <v>28736</v>
      </c>
      <c r="I4" s="292">
        <v>28760</v>
      </c>
      <c r="J4" s="295"/>
      <c r="K4" s="293">
        <v>28536</v>
      </c>
      <c r="L4" s="292">
        <v>28344</v>
      </c>
      <c r="M4" s="294"/>
      <c r="N4" s="293">
        <v>26656</v>
      </c>
      <c r="O4" s="295"/>
      <c r="P4" s="294"/>
      <c r="Q4" s="295"/>
      <c r="R4" s="295"/>
      <c r="S4" s="294"/>
      <c r="T4" s="294"/>
      <c r="U4" s="295"/>
      <c r="V4" s="295"/>
      <c r="W4" s="294"/>
      <c r="X4" s="295"/>
      <c r="Y4" s="295"/>
      <c r="Z4" s="294"/>
      <c r="AA4" s="294"/>
      <c r="AB4" s="295"/>
      <c r="AC4" s="295"/>
      <c r="AD4" s="294"/>
      <c r="AE4" s="295"/>
      <c r="AF4" s="295"/>
      <c r="AG4" s="296"/>
      <c r="AH4" s="296"/>
    </row>
    <row r="5" spans="1:34" s="8" customFormat="1" ht="15" customHeight="1">
      <c r="A5" s="390"/>
      <c r="B5" s="290" t="s">
        <v>46</v>
      </c>
      <c r="C5" s="291">
        <v>158952</v>
      </c>
      <c r="D5" s="291">
        <v>26772</v>
      </c>
      <c r="E5" s="294"/>
      <c r="F5" s="294"/>
      <c r="G5" s="293">
        <v>26992</v>
      </c>
      <c r="H5" s="293">
        <v>26992</v>
      </c>
      <c r="I5" s="292">
        <v>26992</v>
      </c>
      <c r="J5" s="295"/>
      <c r="K5" s="293">
        <v>26992</v>
      </c>
      <c r="L5" s="292">
        <v>26332</v>
      </c>
      <c r="M5" s="294"/>
      <c r="N5" s="293">
        <v>24652</v>
      </c>
      <c r="O5" s="293">
        <v>24932</v>
      </c>
      <c r="P5" s="292">
        <v>25232</v>
      </c>
      <c r="Q5" s="293">
        <v>24952</v>
      </c>
      <c r="R5" s="293">
        <v>24572</v>
      </c>
      <c r="S5" s="292">
        <v>24632</v>
      </c>
      <c r="T5" s="294"/>
      <c r="U5" s="293">
        <v>25232</v>
      </c>
      <c r="V5" s="293">
        <v>25232</v>
      </c>
      <c r="W5" s="292">
        <v>25232</v>
      </c>
      <c r="X5" s="293">
        <v>25112</v>
      </c>
      <c r="Y5" s="293">
        <v>25112</v>
      </c>
      <c r="Z5" s="294"/>
      <c r="AA5" s="294"/>
      <c r="AB5" s="293">
        <v>25132</v>
      </c>
      <c r="AC5" s="293">
        <v>24952</v>
      </c>
      <c r="AD5" s="292">
        <v>25632</v>
      </c>
      <c r="AE5" s="293">
        <v>25972</v>
      </c>
      <c r="AF5" s="293">
        <v>26352</v>
      </c>
      <c r="AG5" s="296"/>
      <c r="AH5" s="296"/>
    </row>
    <row r="6" spans="1:34" s="8" customFormat="1" ht="15" customHeight="1">
      <c r="A6" s="390"/>
      <c r="B6" s="297" t="s">
        <v>121</v>
      </c>
      <c r="C6" s="298">
        <v>157379</v>
      </c>
      <c r="D6" s="298">
        <v>26482.433333333338</v>
      </c>
      <c r="E6" s="301"/>
      <c r="F6" s="301"/>
      <c r="G6" s="300">
        <v>26604</v>
      </c>
      <c r="H6" s="300">
        <v>27007</v>
      </c>
      <c r="I6" s="299">
        <v>26470</v>
      </c>
      <c r="J6" s="302"/>
      <c r="K6" s="300">
        <v>26979</v>
      </c>
      <c r="L6" s="299">
        <v>25798</v>
      </c>
      <c r="M6" s="301"/>
      <c r="N6" s="300">
        <v>24521</v>
      </c>
      <c r="O6" s="302"/>
      <c r="P6" s="301"/>
      <c r="Q6" s="302"/>
      <c r="R6" s="302"/>
      <c r="S6" s="301"/>
      <c r="T6" s="301"/>
      <c r="U6" s="302"/>
      <c r="V6" s="302"/>
      <c r="W6" s="301"/>
      <c r="X6" s="302"/>
      <c r="Y6" s="302"/>
      <c r="Z6" s="301"/>
      <c r="AA6" s="301"/>
      <c r="AB6" s="302"/>
      <c r="AC6" s="302"/>
      <c r="AD6" s="301"/>
      <c r="AE6" s="302"/>
      <c r="AF6" s="302"/>
      <c r="AG6" s="303"/>
      <c r="AH6" s="303"/>
    </row>
    <row r="7" spans="1:34" s="8" customFormat="1" ht="15" customHeight="1">
      <c r="A7" s="390"/>
      <c r="B7" s="297" t="s">
        <v>122</v>
      </c>
      <c r="C7" s="304">
        <v>-1573</v>
      </c>
      <c r="D7" s="304">
        <v>-289.56666666666661</v>
      </c>
      <c r="E7" s="301"/>
      <c r="F7" s="301"/>
      <c r="G7" s="302">
        <v>-388</v>
      </c>
      <c r="H7" s="300">
        <v>15</v>
      </c>
      <c r="I7" s="301">
        <v>-522</v>
      </c>
      <c r="J7" s="302"/>
      <c r="K7" s="302">
        <v>-13</v>
      </c>
      <c r="L7" s="301">
        <v>-534</v>
      </c>
      <c r="M7" s="301"/>
      <c r="N7" s="302">
        <v>-131</v>
      </c>
      <c r="O7" s="302"/>
      <c r="P7" s="301"/>
      <c r="Q7" s="302"/>
      <c r="R7" s="302"/>
      <c r="S7" s="301"/>
      <c r="T7" s="301"/>
      <c r="U7" s="302"/>
      <c r="V7" s="302"/>
      <c r="W7" s="301"/>
      <c r="X7" s="302"/>
      <c r="Y7" s="302"/>
      <c r="Z7" s="301"/>
      <c r="AA7" s="301"/>
      <c r="AB7" s="302"/>
      <c r="AC7" s="302"/>
      <c r="AD7" s="301"/>
      <c r="AE7" s="302"/>
      <c r="AF7" s="302"/>
      <c r="AG7" s="303"/>
      <c r="AH7" s="303"/>
    </row>
    <row r="8" spans="1:34" s="8" customFormat="1" ht="15" customHeight="1">
      <c r="A8" s="390"/>
      <c r="B8" s="297" t="s">
        <v>123</v>
      </c>
      <c r="C8" s="298">
        <v>47.6</v>
      </c>
      <c r="D8" s="298">
        <v>8</v>
      </c>
      <c r="E8" s="301"/>
      <c r="F8" s="301"/>
      <c r="G8" s="300">
        <v>8</v>
      </c>
      <c r="H8" s="300">
        <v>8</v>
      </c>
      <c r="I8" s="299">
        <v>8</v>
      </c>
      <c r="J8" s="302"/>
      <c r="K8" s="300">
        <v>8</v>
      </c>
      <c r="L8" s="299">
        <v>8</v>
      </c>
      <c r="M8" s="301"/>
      <c r="N8" s="300">
        <v>8</v>
      </c>
      <c r="O8" s="302"/>
      <c r="P8" s="301"/>
      <c r="Q8" s="302"/>
      <c r="R8" s="302"/>
      <c r="S8" s="301"/>
      <c r="T8" s="301"/>
      <c r="U8" s="302"/>
      <c r="V8" s="302"/>
      <c r="W8" s="301"/>
      <c r="X8" s="302"/>
      <c r="Y8" s="302"/>
      <c r="Z8" s="301"/>
      <c r="AA8" s="301"/>
      <c r="AB8" s="302"/>
      <c r="AC8" s="302"/>
      <c r="AD8" s="301"/>
      <c r="AE8" s="302"/>
      <c r="AF8" s="302"/>
      <c r="AG8" s="303"/>
      <c r="AH8" s="303"/>
    </row>
    <row r="9" spans="1:34" s="8" customFormat="1" ht="15" customHeight="1">
      <c r="A9" s="390"/>
      <c r="B9" s="297" t="s">
        <v>124</v>
      </c>
      <c r="C9" s="298">
        <v>1966</v>
      </c>
      <c r="D9" s="298">
        <v>1966</v>
      </c>
      <c r="E9" s="301"/>
      <c r="F9" s="301"/>
      <c r="G9" s="300">
        <v>1999</v>
      </c>
      <c r="H9" s="300">
        <v>2001</v>
      </c>
      <c r="I9" s="299">
        <v>1970</v>
      </c>
      <c r="J9" s="302"/>
      <c r="K9" s="300">
        <v>1964</v>
      </c>
      <c r="L9" s="299">
        <v>1970</v>
      </c>
      <c r="M9" s="301"/>
      <c r="N9" s="300">
        <v>1887</v>
      </c>
      <c r="O9" s="302"/>
      <c r="P9" s="301"/>
      <c r="Q9" s="302"/>
      <c r="R9" s="302"/>
      <c r="S9" s="301"/>
      <c r="T9" s="301"/>
      <c r="U9" s="302"/>
      <c r="V9" s="302"/>
      <c r="W9" s="301"/>
      <c r="X9" s="302"/>
      <c r="Y9" s="302"/>
      <c r="Z9" s="301"/>
      <c r="AA9" s="301"/>
      <c r="AB9" s="302"/>
      <c r="AC9" s="302"/>
      <c r="AD9" s="301"/>
      <c r="AE9" s="302"/>
      <c r="AF9" s="302"/>
      <c r="AG9" s="303"/>
      <c r="AH9" s="303"/>
    </row>
    <row r="10" spans="1:34" s="8" customFormat="1" ht="15" customHeight="1">
      <c r="A10" s="390"/>
      <c r="B10" s="297" t="s">
        <v>125</v>
      </c>
      <c r="C10" s="298">
        <v>3310.3041666666668</v>
      </c>
      <c r="D10" s="298">
        <v>3310.3041666666672</v>
      </c>
      <c r="E10" s="301"/>
      <c r="F10" s="301"/>
      <c r="G10" s="300">
        <v>3325.5</v>
      </c>
      <c r="H10" s="300">
        <v>3375.875</v>
      </c>
      <c r="I10" s="299">
        <v>3308.75</v>
      </c>
      <c r="J10" s="302"/>
      <c r="K10" s="300">
        <v>3372.375</v>
      </c>
      <c r="L10" s="299">
        <v>3224.75</v>
      </c>
      <c r="M10" s="301"/>
      <c r="N10" s="300">
        <v>3065.125</v>
      </c>
      <c r="O10" s="302"/>
      <c r="P10" s="301"/>
      <c r="Q10" s="302"/>
      <c r="R10" s="302"/>
      <c r="S10" s="301"/>
      <c r="T10" s="301"/>
      <c r="U10" s="302"/>
      <c r="V10" s="302"/>
      <c r="W10" s="301"/>
      <c r="X10" s="302"/>
      <c r="Y10" s="302"/>
      <c r="Z10" s="301"/>
      <c r="AA10" s="301"/>
      <c r="AB10" s="302"/>
      <c r="AC10" s="302"/>
      <c r="AD10" s="301"/>
      <c r="AE10" s="302"/>
      <c r="AF10" s="302"/>
      <c r="AG10" s="303"/>
      <c r="AH10" s="303"/>
    </row>
    <row r="11" spans="1:34" s="8" customFormat="1" ht="15" customHeight="1">
      <c r="A11" s="391"/>
      <c r="B11" s="305" t="s">
        <v>126</v>
      </c>
      <c r="C11" s="306">
        <v>1.6837762800949474</v>
      </c>
      <c r="D11" s="306">
        <v>1.6837762800949472</v>
      </c>
      <c r="E11" s="308"/>
      <c r="F11" s="308"/>
      <c r="G11" s="306">
        <v>1.6635817908954478</v>
      </c>
      <c r="H11" s="306">
        <v>1.6870939530234883</v>
      </c>
      <c r="I11" s="307">
        <v>1.6795685279187818</v>
      </c>
      <c r="J11" s="309"/>
      <c r="K11" s="306">
        <v>1.7170952138492872</v>
      </c>
      <c r="L11" s="307">
        <v>1.6369289340101523</v>
      </c>
      <c r="M11" s="308"/>
      <c r="N11" s="306">
        <v>1.6243375728669847</v>
      </c>
      <c r="O11" s="309"/>
      <c r="P11" s="308"/>
      <c r="Q11" s="309"/>
      <c r="R11" s="309"/>
      <c r="S11" s="308"/>
      <c r="T11" s="308"/>
      <c r="U11" s="309"/>
      <c r="V11" s="309"/>
      <c r="W11" s="308"/>
      <c r="X11" s="309"/>
      <c r="Y11" s="309"/>
      <c r="Z11" s="308"/>
      <c r="AA11" s="308"/>
      <c r="AB11" s="309"/>
      <c r="AC11" s="309"/>
      <c r="AD11" s="308"/>
      <c r="AE11" s="309"/>
      <c r="AF11" s="309"/>
      <c r="AG11" s="310"/>
      <c r="AH11" s="310"/>
    </row>
    <row r="12" spans="1:34" ht="15">
      <c r="A12" s="389" t="s">
        <v>127</v>
      </c>
      <c r="B12" s="251" t="s">
        <v>45</v>
      </c>
      <c r="C12" s="252">
        <v>8160</v>
      </c>
      <c r="D12" s="252">
        <v>1360</v>
      </c>
      <c r="E12" s="255"/>
      <c r="F12" s="255"/>
      <c r="G12" s="254">
        <v>1360</v>
      </c>
      <c r="H12" s="254">
        <v>1360</v>
      </c>
      <c r="I12" s="253">
        <v>1360</v>
      </c>
      <c r="J12" s="256"/>
      <c r="K12" s="254">
        <v>1360</v>
      </c>
      <c r="L12" s="253">
        <v>1360</v>
      </c>
      <c r="M12" s="255"/>
      <c r="N12" s="254">
        <v>1360</v>
      </c>
      <c r="O12" s="256"/>
      <c r="P12" s="255"/>
      <c r="Q12" s="256"/>
      <c r="R12" s="256"/>
      <c r="S12" s="255"/>
      <c r="T12" s="255"/>
      <c r="U12" s="256"/>
      <c r="V12" s="256"/>
      <c r="W12" s="255"/>
      <c r="X12" s="256"/>
      <c r="Y12" s="256"/>
      <c r="Z12" s="255"/>
      <c r="AA12" s="255"/>
      <c r="AB12" s="256"/>
      <c r="AC12" s="256"/>
      <c r="AD12" s="255"/>
      <c r="AE12" s="256"/>
      <c r="AF12" s="256"/>
      <c r="AG12" s="257"/>
      <c r="AH12" s="257"/>
    </row>
    <row r="13" spans="1:34" ht="15">
      <c r="A13" s="390"/>
      <c r="B13" s="251" t="s">
        <v>46</v>
      </c>
      <c r="C13" s="252">
        <v>8160</v>
      </c>
      <c r="D13" s="252">
        <v>1360</v>
      </c>
      <c r="E13" s="255"/>
      <c r="F13" s="255"/>
      <c r="G13" s="254">
        <v>1360</v>
      </c>
      <c r="H13" s="254">
        <v>1360</v>
      </c>
      <c r="I13" s="253">
        <v>1360</v>
      </c>
      <c r="J13" s="256"/>
      <c r="K13" s="254">
        <v>1360</v>
      </c>
      <c r="L13" s="253">
        <v>1360</v>
      </c>
      <c r="M13" s="255"/>
      <c r="N13" s="254">
        <v>1360</v>
      </c>
      <c r="O13" s="254">
        <v>1360</v>
      </c>
      <c r="P13" s="253">
        <v>1360</v>
      </c>
      <c r="Q13" s="254">
        <v>1360</v>
      </c>
      <c r="R13" s="254">
        <v>1360</v>
      </c>
      <c r="S13" s="253">
        <v>1360</v>
      </c>
      <c r="T13" s="255"/>
      <c r="U13" s="254">
        <v>1360</v>
      </c>
      <c r="V13" s="254">
        <v>1360</v>
      </c>
      <c r="W13" s="253">
        <v>1360</v>
      </c>
      <c r="X13" s="254">
        <v>1360</v>
      </c>
      <c r="Y13" s="254">
        <v>1360</v>
      </c>
      <c r="Z13" s="255"/>
      <c r="AA13" s="255"/>
      <c r="AB13" s="254">
        <v>1360</v>
      </c>
      <c r="AC13" s="254">
        <v>1360</v>
      </c>
      <c r="AD13" s="253">
        <v>1360</v>
      </c>
      <c r="AE13" s="254">
        <v>1360</v>
      </c>
      <c r="AF13" s="254">
        <v>1360</v>
      </c>
      <c r="AG13" s="257"/>
      <c r="AH13" s="257"/>
    </row>
    <row r="14" spans="1:34" ht="15">
      <c r="A14" s="390"/>
      <c r="B14" s="259" t="s">
        <v>47</v>
      </c>
      <c r="C14" s="260">
        <v>8748</v>
      </c>
      <c r="D14" s="260">
        <v>1458</v>
      </c>
      <c r="E14" s="263"/>
      <c r="F14" s="263"/>
      <c r="G14" s="262">
        <v>1386</v>
      </c>
      <c r="H14" s="262">
        <v>1602</v>
      </c>
      <c r="I14" s="261">
        <v>1542</v>
      </c>
      <c r="J14" s="264"/>
      <c r="K14" s="262">
        <v>1494</v>
      </c>
      <c r="L14" s="261">
        <v>1362</v>
      </c>
      <c r="M14" s="263"/>
      <c r="N14" s="262">
        <v>1362</v>
      </c>
      <c r="O14" s="264"/>
      <c r="P14" s="263"/>
      <c r="Q14" s="264"/>
      <c r="R14" s="264"/>
      <c r="S14" s="263"/>
      <c r="T14" s="263"/>
      <c r="U14" s="264"/>
      <c r="V14" s="264"/>
      <c r="W14" s="263"/>
      <c r="X14" s="264"/>
      <c r="Y14" s="264"/>
      <c r="Z14" s="263"/>
      <c r="AA14" s="263"/>
      <c r="AB14" s="264"/>
      <c r="AC14" s="264"/>
      <c r="AD14" s="263"/>
      <c r="AE14" s="264"/>
      <c r="AF14" s="264"/>
      <c r="AG14" s="265"/>
      <c r="AH14" s="265"/>
    </row>
    <row r="15" spans="1:34" ht="15">
      <c r="A15" s="390"/>
      <c r="B15" s="259" t="s">
        <v>48</v>
      </c>
      <c r="C15" s="260">
        <v>588</v>
      </c>
      <c r="D15" s="260">
        <v>98</v>
      </c>
      <c r="E15" s="263"/>
      <c r="F15" s="263"/>
      <c r="G15" s="262">
        <v>26</v>
      </c>
      <c r="H15" s="262">
        <v>242</v>
      </c>
      <c r="I15" s="261">
        <v>182</v>
      </c>
      <c r="J15" s="264"/>
      <c r="K15" s="262">
        <v>134</v>
      </c>
      <c r="L15" s="261">
        <v>2</v>
      </c>
      <c r="M15" s="263"/>
      <c r="N15" s="262">
        <v>2</v>
      </c>
      <c r="O15" s="264"/>
      <c r="P15" s="263"/>
      <c r="Q15" s="264"/>
      <c r="R15" s="264"/>
      <c r="S15" s="263"/>
      <c r="T15" s="263"/>
      <c r="U15" s="264"/>
      <c r="V15" s="264"/>
      <c r="W15" s="263"/>
      <c r="X15" s="264"/>
      <c r="Y15" s="264"/>
      <c r="Z15" s="263"/>
      <c r="AA15" s="263"/>
      <c r="AB15" s="264"/>
      <c r="AC15" s="264"/>
      <c r="AD15" s="263"/>
      <c r="AE15" s="264"/>
      <c r="AF15" s="264"/>
      <c r="AG15" s="265"/>
      <c r="AH15" s="265"/>
    </row>
    <row r="16" spans="1:34" ht="15">
      <c r="A16" s="390"/>
      <c r="B16" s="259" t="s">
        <v>49</v>
      </c>
      <c r="C16" s="260">
        <v>48</v>
      </c>
      <c r="D16" s="260">
        <v>8</v>
      </c>
      <c r="E16" s="263"/>
      <c r="F16" s="263"/>
      <c r="G16" s="262">
        <v>8</v>
      </c>
      <c r="H16" s="262">
        <v>8</v>
      </c>
      <c r="I16" s="261">
        <v>8</v>
      </c>
      <c r="J16" s="264"/>
      <c r="K16" s="262">
        <v>8</v>
      </c>
      <c r="L16" s="261">
        <v>8</v>
      </c>
      <c r="M16" s="263"/>
      <c r="N16" s="262">
        <v>8</v>
      </c>
      <c r="O16" s="264"/>
      <c r="P16" s="263"/>
      <c r="Q16" s="264"/>
      <c r="R16" s="264"/>
      <c r="S16" s="263"/>
      <c r="T16" s="263"/>
      <c r="U16" s="264"/>
      <c r="V16" s="264"/>
      <c r="W16" s="263"/>
      <c r="X16" s="264"/>
      <c r="Y16" s="264"/>
      <c r="Z16" s="263"/>
      <c r="AA16" s="263"/>
      <c r="AB16" s="264"/>
      <c r="AC16" s="264"/>
      <c r="AD16" s="263"/>
      <c r="AE16" s="264"/>
      <c r="AF16" s="264"/>
      <c r="AG16" s="265"/>
      <c r="AH16" s="265"/>
    </row>
    <row r="17" spans="1:34" ht="15">
      <c r="A17" s="390"/>
      <c r="B17" s="259" t="s">
        <v>50</v>
      </c>
      <c r="C17" s="260">
        <v>136</v>
      </c>
      <c r="D17" s="260">
        <v>136</v>
      </c>
      <c r="E17" s="263"/>
      <c r="F17" s="263"/>
      <c r="G17" s="262">
        <v>137</v>
      </c>
      <c r="H17" s="262">
        <v>137</v>
      </c>
      <c r="I17" s="261">
        <v>134</v>
      </c>
      <c r="J17" s="264"/>
      <c r="K17" s="262">
        <v>138</v>
      </c>
      <c r="L17" s="261">
        <v>137</v>
      </c>
      <c r="M17" s="263"/>
      <c r="N17" s="262">
        <v>136</v>
      </c>
      <c r="O17" s="264"/>
      <c r="P17" s="263"/>
      <c r="Q17" s="264"/>
      <c r="R17" s="264"/>
      <c r="S17" s="263"/>
      <c r="T17" s="263"/>
      <c r="U17" s="264"/>
      <c r="V17" s="264"/>
      <c r="W17" s="263"/>
      <c r="X17" s="264"/>
      <c r="Y17" s="264"/>
      <c r="Z17" s="263"/>
      <c r="AA17" s="263"/>
      <c r="AB17" s="264"/>
      <c r="AC17" s="264"/>
      <c r="AD17" s="263"/>
      <c r="AE17" s="264"/>
      <c r="AF17" s="264"/>
      <c r="AG17" s="265"/>
      <c r="AH17" s="265"/>
    </row>
    <row r="18" spans="1:34" ht="15">
      <c r="A18" s="390"/>
      <c r="B18" s="259" t="s">
        <v>51</v>
      </c>
      <c r="C18" s="260">
        <v>182.25</v>
      </c>
      <c r="D18" s="260">
        <v>182.25</v>
      </c>
      <c r="E18" s="263"/>
      <c r="F18" s="263"/>
      <c r="G18" s="262">
        <v>173.25</v>
      </c>
      <c r="H18" s="262">
        <v>200.25</v>
      </c>
      <c r="I18" s="261">
        <v>192.75</v>
      </c>
      <c r="J18" s="264"/>
      <c r="K18" s="262">
        <v>186.75</v>
      </c>
      <c r="L18" s="261">
        <v>170.25</v>
      </c>
      <c r="M18" s="263"/>
      <c r="N18" s="262">
        <v>170.25</v>
      </c>
      <c r="O18" s="264"/>
      <c r="P18" s="263"/>
      <c r="Q18" s="264"/>
      <c r="R18" s="264"/>
      <c r="S18" s="263"/>
      <c r="T18" s="263"/>
      <c r="U18" s="264"/>
      <c r="V18" s="264"/>
      <c r="W18" s="263"/>
      <c r="X18" s="264"/>
      <c r="Y18" s="264"/>
      <c r="Z18" s="263"/>
      <c r="AA18" s="263"/>
      <c r="AB18" s="264"/>
      <c r="AC18" s="264"/>
      <c r="AD18" s="263"/>
      <c r="AE18" s="264"/>
      <c r="AF18" s="264"/>
      <c r="AG18" s="265"/>
      <c r="AH18" s="265"/>
    </row>
    <row r="19" spans="1:34" ht="15">
      <c r="A19" s="391"/>
      <c r="B19" s="267" t="s">
        <v>52</v>
      </c>
      <c r="C19" s="268">
        <v>1.3401000000000001</v>
      </c>
      <c r="D19" s="268">
        <v>1.3401000000000001</v>
      </c>
      <c r="E19" s="270"/>
      <c r="F19" s="270"/>
      <c r="G19" s="268">
        <v>1.2645999999999999</v>
      </c>
      <c r="H19" s="268">
        <v>1.4617</v>
      </c>
      <c r="I19" s="269">
        <v>1.4384000000000001</v>
      </c>
      <c r="J19" s="271"/>
      <c r="K19" s="268">
        <v>1.3532999999999999</v>
      </c>
      <c r="L19" s="269">
        <v>1.2426999999999999</v>
      </c>
      <c r="M19" s="270"/>
      <c r="N19" s="268">
        <v>1.2518</v>
      </c>
      <c r="O19" s="271"/>
      <c r="P19" s="270"/>
      <c r="Q19" s="271"/>
      <c r="R19" s="271"/>
      <c r="S19" s="270"/>
      <c r="T19" s="270"/>
      <c r="U19" s="271"/>
      <c r="V19" s="271"/>
      <c r="W19" s="270"/>
      <c r="X19" s="271"/>
      <c r="Y19" s="271"/>
      <c r="Z19" s="270"/>
      <c r="AA19" s="270"/>
      <c r="AB19" s="271"/>
      <c r="AC19" s="271"/>
      <c r="AD19" s="270"/>
      <c r="AE19" s="271"/>
      <c r="AF19" s="271"/>
      <c r="AG19" s="272"/>
      <c r="AH19" s="272"/>
    </row>
    <row r="20" spans="1:34" ht="15">
      <c r="A20" s="389" t="s">
        <v>128</v>
      </c>
      <c r="B20" s="251" t="s">
        <v>129</v>
      </c>
      <c r="C20" s="252">
        <v>8640</v>
      </c>
      <c r="D20" s="252">
        <v>1440</v>
      </c>
      <c r="E20" s="255"/>
      <c r="F20" s="255"/>
      <c r="G20" s="254">
        <v>1440</v>
      </c>
      <c r="H20" s="254">
        <v>1440</v>
      </c>
      <c r="I20" s="253">
        <v>1440</v>
      </c>
      <c r="J20" s="256"/>
      <c r="K20" s="254">
        <v>1440</v>
      </c>
      <c r="L20" s="253">
        <v>1440</v>
      </c>
      <c r="M20" s="255"/>
      <c r="N20" s="254">
        <v>1440</v>
      </c>
      <c r="O20" s="256"/>
      <c r="P20" s="255"/>
      <c r="Q20" s="256"/>
      <c r="R20" s="256"/>
      <c r="S20" s="255"/>
      <c r="T20" s="255"/>
      <c r="U20" s="256"/>
      <c r="V20" s="256"/>
      <c r="W20" s="255"/>
      <c r="X20" s="256"/>
      <c r="Y20" s="256"/>
      <c r="Z20" s="255"/>
      <c r="AA20" s="255"/>
      <c r="AB20" s="256"/>
      <c r="AC20" s="256"/>
      <c r="AD20" s="255"/>
      <c r="AE20" s="256"/>
      <c r="AF20" s="256"/>
      <c r="AG20" s="257"/>
      <c r="AH20" s="257"/>
    </row>
    <row r="21" spans="1:34" ht="15">
      <c r="A21" s="390"/>
      <c r="B21" s="251" t="s">
        <v>46</v>
      </c>
      <c r="C21" s="252">
        <v>8160</v>
      </c>
      <c r="D21" s="252">
        <v>1360</v>
      </c>
      <c r="E21" s="255"/>
      <c r="F21" s="255"/>
      <c r="G21" s="254">
        <v>1360</v>
      </c>
      <c r="H21" s="254">
        <v>1360</v>
      </c>
      <c r="I21" s="253">
        <v>1360</v>
      </c>
      <c r="J21" s="256"/>
      <c r="K21" s="254">
        <v>1360</v>
      </c>
      <c r="L21" s="253">
        <v>1360</v>
      </c>
      <c r="M21" s="255"/>
      <c r="N21" s="254">
        <v>1360</v>
      </c>
      <c r="O21" s="254">
        <v>1360</v>
      </c>
      <c r="P21" s="253">
        <v>1360</v>
      </c>
      <c r="Q21" s="254">
        <v>1080</v>
      </c>
      <c r="R21" s="254">
        <v>1080</v>
      </c>
      <c r="S21" s="253">
        <v>1440</v>
      </c>
      <c r="T21" s="255"/>
      <c r="U21" s="254">
        <v>1440</v>
      </c>
      <c r="V21" s="254">
        <v>1440</v>
      </c>
      <c r="W21" s="253">
        <v>1440</v>
      </c>
      <c r="X21" s="254">
        <v>1440</v>
      </c>
      <c r="Y21" s="254">
        <v>1440</v>
      </c>
      <c r="Z21" s="255"/>
      <c r="AA21" s="255"/>
      <c r="AB21" s="254">
        <v>1440</v>
      </c>
      <c r="AC21" s="254">
        <v>1440</v>
      </c>
      <c r="AD21" s="253">
        <v>1440</v>
      </c>
      <c r="AE21" s="254">
        <v>1440</v>
      </c>
      <c r="AF21" s="254">
        <v>1440</v>
      </c>
      <c r="AG21" s="257"/>
      <c r="AH21" s="257"/>
    </row>
    <row r="22" spans="1:34" ht="15">
      <c r="A22" s="390"/>
      <c r="B22" s="259" t="s">
        <v>47</v>
      </c>
      <c r="C22" s="260">
        <v>8922</v>
      </c>
      <c r="D22" s="260">
        <v>1487</v>
      </c>
      <c r="E22" s="263"/>
      <c r="F22" s="263"/>
      <c r="G22" s="262">
        <v>1368</v>
      </c>
      <c r="H22" s="262">
        <v>1704</v>
      </c>
      <c r="I22" s="261">
        <v>1632</v>
      </c>
      <c r="J22" s="264"/>
      <c r="K22" s="262">
        <v>1488</v>
      </c>
      <c r="L22" s="261">
        <v>1368</v>
      </c>
      <c r="M22" s="263"/>
      <c r="N22" s="262">
        <v>1362</v>
      </c>
      <c r="O22" s="264"/>
      <c r="P22" s="263"/>
      <c r="Q22" s="264"/>
      <c r="R22" s="264"/>
      <c r="S22" s="263"/>
      <c r="T22" s="263"/>
      <c r="U22" s="264"/>
      <c r="V22" s="264"/>
      <c r="W22" s="263"/>
      <c r="X22" s="264"/>
      <c r="Y22" s="264"/>
      <c r="Z22" s="263"/>
      <c r="AA22" s="263"/>
      <c r="AB22" s="264"/>
      <c r="AC22" s="264"/>
      <c r="AD22" s="263"/>
      <c r="AE22" s="264"/>
      <c r="AF22" s="264"/>
      <c r="AG22" s="265"/>
      <c r="AH22" s="265"/>
    </row>
    <row r="23" spans="1:34" ht="15">
      <c r="A23" s="390"/>
      <c r="B23" s="259" t="s">
        <v>48</v>
      </c>
      <c r="C23" s="260">
        <v>762</v>
      </c>
      <c r="D23" s="260">
        <v>127</v>
      </c>
      <c r="E23" s="263"/>
      <c r="F23" s="263"/>
      <c r="G23" s="262">
        <v>8</v>
      </c>
      <c r="H23" s="262">
        <v>344</v>
      </c>
      <c r="I23" s="261">
        <v>272</v>
      </c>
      <c r="J23" s="264"/>
      <c r="K23" s="262">
        <v>128</v>
      </c>
      <c r="L23" s="261">
        <v>8</v>
      </c>
      <c r="M23" s="263"/>
      <c r="N23" s="262">
        <v>2</v>
      </c>
      <c r="O23" s="264"/>
      <c r="P23" s="263"/>
      <c r="Q23" s="264"/>
      <c r="R23" s="264"/>
      <c r="S23" s="263"/>
      <c r="T23" s="263"/>
      <c r="U23" s="264"/>
      <c r="V23" s="264"/>
      <c r="W23" s="263"/>
      <c r="X23" s="264"/>
      <c r="Y23" s="264"/>
      <c r="Z23" s="263"/>
      <c r="AA23" s="263"/>
      <c r="AB23" s="264"/>
      <c r="AC23" s="264"/>
      <c r="AD23" s="263"/>
      <c r="AE23" s="264"/>
      <c r="AF23" s="264"/>
      <c r="AG23" s="265"/>
      <c r="AH23" s="265"/>
    </row>
    <row r="24" spans="1:34" ht="15">
      <c r="A24" s="390"/>
      <c r="B24" s="259" t="s">
        <v>49</v>
      </c>
      <c r="C24" s="260">
        <v>48</v>
      </c>
      <c r="D24" s="260">
        <v>8</v>
      </c>
      <c r="E24" s="263"/>
      <c r="F24" s="263"/>
      <c r="G24" s="262">
        <v>8</v>
      </c>
      <c r="H24" s="262">
        <v>8</v>
      </c>
      <c r="I24" s="261">
        <v>8</v>
      </c>
      <c r="J24" s="264"/>
      <c r="K24" s="262">
        <v>8</v>
      </c>
      <c r="L24" s="261">
        <v>8</v>
      </c>
      <c r="M24" s="263"/>
      <c r="N24" s="262">
        <v>8</v>
      </c>
      <c r="O24" s="264"/>
      <c r="P24" s="263"/>
      <c r="Q24" s="264"/>
      <c r="R24" s="264"/>
      <c r="S24" s="263"/>
      <c r="T24" s="263"/>
      <c r="U24" s="264"/>
      <c r="V24" s="264"/>
      <c r="W24" s="263"/>
      <c r="X24" s="264"/>
      <c r="Y24" s="264"/>
      <c r="Z24" s="263"/>
      <c r="AA24" s="263"/>
      <c r="AB24" s="264"/>
      <c r="AC24" s="264"/>
      <c r="AD24" s="263"/>
      <c r="AE24" s="264"/>
      <c r="AF24" s="264"/>
      <c r="AG24" s="265"/>
      <c r="AH24" s="265"/>
    </row>
    <row r="25" spans="1:34" ht="15">
      <c r="A25" s="390"/>
      <c r="B25" s="259" t="s">
        <v>50</v>
      </c>
      <c r="C25" s="260">
        <v>109</v>
      </c>
      <c r="D25" s="260">
        <v>109</v>
      </c>
      <c r="E25" s="263"/>
      <c r="F25" s="263"/>
      <c r="G25" s="262">
        <v>113</v>
      </c>
      <c r="H25" s="262">
        <v>113</v>
      </c>
      <c r="I25" s="261">
        <v>109</v>
      </c>
      <c r="J25" s="264"/>
      <c r="K25" s="262">
        <v>108</v>
      </c>
      <c r="L25" s="261">
        <v>105</v>
      </c>
      <c r="M25" s="263"/>
      <c r="N25" s="262">
        <v>107</v>
      </c>
      <c r="O25" s="264"/>
      <c r="P25" s="263"/>
      <c r="Q25" s="264"/>
      <c r="R25" s="264"/>
      <c r="S25" s="263"/>
      <c r="T25" s="263"/>
      <c r="U25" s="264"/>
      <c r="V25" s="264"/>
      <c r="W25" s="263"/>
      <c r="X25" s="264"/>
      <c r="Y25" s="264"/>
      <c r="Z25" s="263"/>
      <c r="AA25" s="263"/>
      <c r="AB25" s="264"/>
      <c r="AC25" s="264"/>
      <c r="AD25" s="263"/>
      <c r="AE25" s="264"/>
      <c r="AF25" s="264"/>
      <c r="AG25" s="265"/>
      <c r="AH25" s="265"/>
    </row>
    <row r="26" spans="1:34" ht="15">
      <c r="A26" s="390"/>
      <c r="B26" s="259" t="s">
        <v>51</v>
      </c>
      <c r="C26" s="260">
        <v>185.875</v>
      </c>
      <c r="D26" s="260">
        <v>185.875</v>
      </c>
      <c r="E26" s="263"/>
      <c r="F26" s="263"/>
      <c r="G26" s="262">
        <v>171</v>
      </c>
      <c r="H26" s="262">
        <v>213</v>
      </c>
      <c r="I26" s="261">
        <v>204</v>
      </c>
      <c r="J26" s="264"/>
      <c r="K26" s="262">
        <v>186</v>
      </c>
      <c r="L26" s="261">
        <v>171</v>
      </c>
      <c r="M26" s="263"/>
      <c r="N26" s="262">
        <v>170.25</v>
      </c>
      <c r="O26" s="264"/>
      <c r="P26" s="263"/>
      <c r="Q26" s="264"/>
      <c r="R26" s="264"/>
      <c r="S26" s="263"/>
      <c r="T26" s="263"/>
      <c r="U26" s="264"/>
      <c r="V26" s="264"/>
      <c r="W26" s="263"/>
      <c r="X26" s="264"/>
      <c r="Y26" s="264"/>
      <c r="Z26" s="263"/>
      <c r="AA26" s="263"/>
      <c r="AB26" s="264"/>
      <c r="AC26" s="264"/>
      <c r="AD26" s="263"/>
      <c r="AE26" s="264"/>
      <c r="AF26" s="264"/>
      <c r="AG26" s="265"/>
      <c r="AH26" s="265"/>
    </row>
    <row r="27" spans="1:34" ht="15">
      <c r="A27" s="391"/>
      <c r="B27" s="267" t="s">
        <v>52</v>
      </c>
      <c r="C27" s="268">
        <v>1.7053</v>
      </c>
      <c r="D27" s="268">
        <v>1.7053</v>
      </c>
      <c r="E27" s="270"/>
      <c r="F27" s="270"/>
      <c r="G27" s="268">
        <v>1.5133000000000001</v>
      </c>
      <c r="H27" s="268">
        <v>1.885</v>
      </c>
      <c r="I27" s="269">
        <v>1.8715999999999999</v>
      </c>
      <c r="J27" s="271"/>
      <c r="K27" s="268">
        <v>1.7222</v>
      </c>
      <c r="L27" s="269">
        <v>1.6286</v>
      </c>
      <c r="M27" s="270"/>
      <c r="N27" s="268">
        <v>1.5911</v>
      </c>
      <c r="O27" s="271"/>
      <c r="P27" s="270"/>
      <c r="Q27" s="271"/>
      <c r="R27" s="271"/>
      <c r="S27" s="270"/>
      <c r="T27" s="270"/>
      <c r="U27" s="271"/>
      <c r="V27" s="271"/>
      <c r="W27" s="270"/>
      <c r="X27" s="271"/>
      <c r="Y27" s="271"/>
      <c r="Z27" s="270"/>
      <c r="AA27" s="270"/>
      <c r="AB27" s="271"/>
      <c r="AC27" s="271"/>
      <c r="AD27" s="270"/>
      <c r="AE27" s="271"/>
      <c r="AF27" s="271"/>
      <c r="AG27" s="272"/>
      <c r="AH27" s="272"/>
    </row>
    <row r="28" spans="1:34" ht="15">
      <c r="A28" s="389" t="s">
        <v>130</v>
      </c>
      <c r="B28" s="251" t="s">
        <v>45</v>
      </c>
      <c r="C28" s="252">
        <v>8208</v>
      </c>
      <c r="D28" s="252">
        <v>1368</v>
      </c>
      <c r="E28" s="255"/>
      <c r="F28" s="255"/>
      <c r="G28" s="254">
        <v>1360</v>
      </c>
      <c r="H28" s="254">
        <v>1360</v>
      </c>
      <c r="I28" s="253">
        <v>1400</v>
      </c>
      <c r="J28" s="256"/>
      <c r="K28" s="254">
        <v>1376</v>
      </c>
      <c r="L28" s="253">
        <v>1376</v>
      </c>
      <c r="M28" s="255"/>
      <c r="N28" s="254">
        <v>1336</v>
      </c>
      <c r="O28" s="256"/>
      <c r="P28" s="255"/>
      <c r="Q28" s="256"/>
      <c r="R28" s="256"/>
      <c r="S28" s="255"/>
      <c r="T28" s="255"/>
      <c r="U28" s="256"/>
      <c r="V28" s="256"/>
      <c r="W28" s="255"/>
      <c r="X28" s="256"/>
      <c r="Y28" s="256"/>
      <c r="Z28" s="255"/>
      <c r="AA28" s="255"/>
      <c r="AB28" s="256"/>
      <c r="AC28" s="256"/>
      <c r="AD28" s="255"/>
      <c r="AE28" s="256"/>
      <c r="AF28" s="256"/>
      <c r="AG28" s="257"/>
      <c r="AH28" s="257"/>
    </row>
    <row r="29" spans="1:34" ht="15">
      <c r="A29" s="390"/>
      <c r="B29" s="251" t="s">
        <v>46</v>
      </c>
      <c r="C29" s="252">
        <v>8160</v>
      </c>
      <c r="D29" s="252">
        <v>1360</v>
      </c>
      <c r="E29" s="255"/>
      <c r="F29" s="255"/>
      <c r="G29" s="254">
        <v>1360</v>
      </c>
      <c r="H29" s="254">
        <v>1360</v>
      </c>
      <c r="I29" s="253">
        <v>1360</v>
      </c>
      <c r="J29" s="256"/>
      <c r="K29" s="254">
        <v>1360</v>
      </c>
      <c r="L29" s="253">
        <v>1360</v>
      </c>
      <c r="M29" s="255"/>
      <c r="N29" s="254">
        <v>1360</v>
      </c>
      <c r="O29" s="254">
        <v>1360</v>
      </c>
      <c r="P29" s="253">
        <v>1360</v>
      </c>
      <c r="Q29" s="254">
        <v>1360</v>
      </c>
      <c r="R29" s="254">
        <v>1360</v>
      </c>
      <c r="S29" s="253">
        <v>1360</v>
      </c>
      <c r="T29" s="255"/>
      <c r="U29" s="254">
        <v>1360</v>
      </c>
      <c r="V29" s="254">
        <v>1360</v>
      </c>
      <c r="W29" s="253">
        <v>1360</v>
      </c>
      <c r="X29" s="254">
        <v>1360</v>
      </c>
      <c r="Y29" s="254">
        <v>1360</v>
      </c>
      <c r="Z29" s="255"/>
      <c r="AA29" s="255"/>
      <c r="AB29" s="254">
        <v>1360</v>
      </c>
      <c r="AC29" s="254">
        <v>1360</v>
      </c>
      <c r="AD29" s="253">
        <v>1360</v>
      </c>
      <c r="AE29" s="254">
        <v>1360</v>
      </c>
      <c r="AF29" s="254">
        <v>1360</v>
      </c>
      <c r="AG29" s="257"/>
      <c r="AH29" s="257"/>
    </row>
    <row r="30" spans="1:34" ht="15">
      <c r="A30" s="390"/>
      <c r="B30" s="259" t="s">
        <v>47</v>
      </c>
      <c r="C30" s="260">
        <v>6864</v>
      </c>
      <c r="D30" s="260">
        <v>1144</v>
      </c>
      <c r="E30" s="263"/>
      <c r="F30" s="263"/>
      <c r="G30" s="262">
        <v>1368</v>
      </c>
      <c r="H30" s="262">
        <v>768</v>
      </c>
      <c r="I30" s="261">
        <v>906</v>
      </c>
      <c r="J30" s="264"/>
      <c r="K30" s="262">
        <v>1098</v>
      </c>
      <c r="L30" s="261">
        <v>1362</v>
      </c>
      <c r="M30" s="263"/>
      <c r="N30" s="262">
        <v>1362</v>
      </c>
      <c r="O30" s="264"/>
      <c r="P30" s="263"/>
      <c r="Q30" s="264"/>
      <c r="R30" s="264"/>
      <c r="S30" s="263"/>
      <c r="T30" s="263"/>
      <c r="U30" s="264"/>
      <c r="V30" s="264"/>
      <c r="W30" s="263"/>
      <c r="X30" s="264"/>
      <c r="Y30" s="264"/>
      <c r="Z30" s="263"/>
      <c r="AA30" s="263"/>
      <c r="AB30" s="264"/>
      <c r="AC30" s="264"/>
      <c r="AD30" s="263"/>
      <c r="AE30" s="264"/>
      <c r="AF30" s="264"/>
      <c r="AG30" s="265"/>
      <c r="AH30" s="265"/>
    </row>
    <row r="31" spans="1:34" ht="15">
      <c r="A31" s="390"/>
      <c r="B31" s="259" t="s">
        <v>48</v>
      </c>
      <c r="C31" s="266">
        <v>-1296</v>
      </c>
      <c r="D31" s="266">
        <v>-216</v>
      </c>
      <c r="E31" s="263"/>
      <c r="F31" s="263"/>
      <c r="G31" s="262">
        <v>8</v>
      </c>
      <c r="H31" s="264">
        <v>-592</v>
      </c>
      <c r="I31" s="263">
        <v>-454</v>
      </c>
      <c r="J31" s="264"/>
      <c r="K31" s="264">
        <v>-262</v>
      </c>
      <c r="L31" s="261">
        <v>2</v>
      </c>
      <c r="M31" s="263"/>
      <c r="N31" s="262">
        <v>2</v>
      </c>
      <c r="O31" s="264"/>
      <c r="P31" s="263"/>
      <c r="Q31" s="264"/>
      <c r="R31" s="264"/>
      <c r="S31" s="263"/>
      <c r="T31" s="263"/>
      <c r="U31" s="264"/>
      <c r="V31" s="264"/>
      <c r="W31" s="263"/>
      <c r="X31" s="264"/>
      <c r="Y31" s="264"/>
      <c r="Z31" s="263"/>
      <c r="AA31" s="263"/>
      <c r="AB31" s="264"/>
      <c r="AC31" s="264"/>
      <c r="AD31" s="263"/>
      <c r="AE31" s="264"/>
      <c r="AF31" s="264"/>
      <c r="AG31" s="265"/>
      <c r="AH31" s="265"/>
    </row>
    <row r="32" spans="1:34" ht="15">
      <c r="A32" s="390"/>
      <c r="B32" s="259" t="s">
        <v>49</v>
      </c>
      <c r="C32" s="260">
        <v>48</v>
      </c>
      <c r="D32" s="260">
        <v>8</v>
      </c>
      <c r="E32" s="263"/>
      <c r="F32" s="263"/>
      <c r="G32" s="262">
        <v>8</v>
      </c>
      <c r="H32" s="262">
        <v>8</v>
      </c>
      <c r="I32" s="261">
        <v>8</v>
      </c>
      <c r="J32" s="264"/>
      <c r="K32" s="262">
        <v>8</v>
      </c>
      <c r="L32" s="261">
        <v>8</v>
      </c>
      <c r="M32" s="263"/>
      <c r="N32" s="262">
        <v>8</v>
      </c>
      <c r="O32" s="264"/>
      <c r="P32" s="263"/>
      <c r="Q32" s="264"/>
      <c r="R32" s="264"/>
      <c r="S32" s="263"/>
      <c r="T32" s="263"/>
      <c r="U32" s="264"/>
      <c r="V32" s="264"/>
      <c r="W32" s="263"/>
      <c r="X32" s="264"/>
      <c r="Y32" s="264"/>
      <c r="Z32" s="263"/>
      <c r="AA32" s="263"/>
      <c r="AB32" s="264"/>
      <c r="AC32" s="264"/>
      <c r="AD32" s="263"/>
      <c r="AE32" s="264"/>
      <c r="AF32" s="264"/>
      <c r="AG32" s="265"/>
      <c r="AH32" s="265"/>
    </row>
    <row r="33" spans="1:34" ht="15">
      <c r="A33" s="390"/>
      <c r="B33" s="259" t="s">
        <v>50</v>
      </c>
      <c r="C33" s="260">
        <v>129</v>
      </c>
      <c r="D33" s="260">
        <v>129</v>
      </c>
      <c r="E33" s="263"/>
      <c r="F33" s="263"/>
      <c r="G33" s="262">
        <v>129</v>
      </c>
      <c r="H33" s="262">
        <v>129</v>
      </c>
      <c r="I33" s="261">
        <v>129</v>
      </c>
      <c r="J33" s="264"/>
      <c r="K33" s="262">
        <v>130</v>
      </c>
      <c r="L33" s="261">
        <v>129</v>
      </c>
      <c r="M33" s="263"/>
      <c r="N33" s="262">
        <v>129</v>
      </c>
      <c r="O33" s="264"/>
      <c r="P33" s="263"/>
      <c r="Q33" s="264"/>
      <c r="R33" s="264"/>
      <c r="S33" s="263"/>
      <c r="T33" s="263"/>
      <c r="U33" s="264"/>
      <c r="V33" s="264"/>
      <c r="W33" s="263"/>
      <c r="X33" s="264"/>
      <c r="Y33" s="264"/>
      <c r="Z33" s="263"/>
      <c r="AA33" s="263"/>
      <c r="AB33" s="264"/>
      <c r="AC33" s="264"/>
      <c r="AD33" s="263"/>
      <c r="AE33" s="264"/>
      <c r="AF33" s="264"/>
      <c r="AG33" s="265"/>
      <c r="AH33" s="265"/>
    </row>
    <row r="34" spans="1:34" ht="15">
      <c r="A34" s="390"/>
      <c r="B34" s="259" t="s">
        <v>51</v>
      </c>
      <c r="C34" s="260">
        <v>143</v>
      </c>
      <c r="D34" s="260">
        <v>143</v>
      </c>
      <c r="E34" s="263"/>
      <c r="F34" s="263"/>
      <c r="G34" s="262">
        <v>171</v>
      </c>
      <c r="H34" s="262">
        <v>96</v>
      </c>
      <c r="I34" s="261">
        <v>113.25</v>
      </c>
      <c r="J34" s="264"/>
      <c r="K34" s="262">
        <v>137.25</v>
      </c>
      <c r="L34" s="261">
        <v>170.25</v>
      </c>
      <c r="M34" s="263"/>
      <c r="N34" s="262">
        <v>170.25</v>
      </c>
      <c r="O34" s="264"/>
      <c r="P34" s="263"/>
      <c r="Q34" s="264"/>
      <c r="R34" s="264"/>
      <c r="S34" s="263"/>
      <c r="T34" s="263"/>
      <c r="U34" s="264"/>
      <c r="V34" s="264"/>
      <c r="W34" s="263"/>
      <c r="X34" s="264"/>
      <c r="Y34" s="264"/>
      <c r="Z34" s="263"/>
      <c r="AA34" s="263"/>
      <c r="AB34" s="264"/>
      <c r="AC34" s="264"/>
      <c r="AD34" s="263"/>
      <c r="AE34" s="264"/>
      <c r="AF34" s="264"/>
      <c r="AG34" s="265"/>
      <c r="AH34" s="265"/>
    </row>
    <row r="35" spans="1:34" ht="15">
      <c r="A35" s="391"/>
      <c r="B35" s="267" t="s">
        <v>52</v>
      </c>
      <c r="C35" s="268">
        <v>1.1085</v>
      </c>
      <c r="D35" s="268">
        <v>1.1085</v>
      </c>
      <c r="E35" s="270"/>
      <c r="F35" s="270"/>
      <c r="G35" s="268">
        <v>1.3256000000000001</v>
      </c>
      <c r="H35" s="268">
        <v>0.74419999999999997</v>
      </c>
      <c r="I35" s="269">
        <v>0.87790000000000001</v>
      </c>
      <c r="J35" s="271"/>
      <c r="K35" s="268">
        <v>1.0558000000000001</v>
      </c>
      <c r="L35" s="269">
        <v>1.3197999999999999</v>
      </c>
      <c r="M35" s="270"/>
      <c r="N35" s="268">
        <v>1.3197999999999999</v>
      </c>
      <c r="O35" s="271"/>
      <c r="P35" s="270"/>
      <c r="Q35" s="271"/>
      <c r="R35" s="271"/>
      <c r="S35" s="270"/>
      <c r="T35" s="270"/>
      <c r="U35" s="271"/>
      <c r="V35" s="271"/>
      <c r="W35" s="270"/>
      <c r="X35" s="271"/>
      <c r="Y35" s="271"/>
      <c r="Z35" s="270"/>
      <c r="AA35" s="270"/>
      <c r="AB35" s="271"/>
      <c r="AC35" s="271"/>
      <c r="AD35" s="270"/>
      <c r="AE35" s="271"/>
      <c r="AF35" s="271"/>
      <c r="AG35" s="272"/>
      <c r="AH35" s="272"/>
    </row>
    <row r="36" spans="1:34" ht="15">
      <c r="A36" s="389" t="s">
        <v>131</v>
      </c>
      <c r="B36" s="251" t="s">
        <v>45</v>
      </c>
      <c r="C36" s="252">
        <v>7680</v>
      </c>
      <c r="D36" s="252">
        <v>1280</v>
      </c>
      <c r="E36" s="255"/>
      <c r="F36" s="255"/>
      <c r="G36" s="254">
        <v>1280</v>
      </c>
      <c r="H36" s="254">
        <v>1280</v>
      </c>
      <c r="I36" s="253">
        <v>1280</v>
      </c>
      <c r="J36" s="256"/>
      <c r="K36" s="254">
        <v>1280</v>
      </c>
      <c r="L36" s="253">
        <v>1280</v>
      </c>
      <c r="M36" s="255"/>
      <c r="N36" s="254">
        <v>1280</v>
      </c>
      <c r="O36" s="256"/>
      <c r="P36" s="255"/>
      <c r="Q36" s="256"/>
      <c r="R36" s="256"/>
      <c r="S36" s="255"/>
      <c r="T36" s="255"/>
      <c r="U36" s="256"/>
      <c r="V36" s="256"/>
      <c r="W36" s="255"/>
      <c r="X36" s="256"/>
      <c r="Y36" s="256"/>
      <c r="Z36" s="255"/>
      <c r="AA36" s="255"/>
      <c r="AB36" s="256"/>
      <c r="AC36" s="256"/>
      <c r="AD36" s="255"/>
      <c r="AE36" s="256"/>
      <c r="AF36" s="256"/>
      <c r="AG36" s="257"/>
      <c r="AH36" s="257"/>
    </row>
    <row r="37" spans="1:34" ht="15">
      <c r="A37" s="390"/>
      <c r="B37" s="251" t="s">
        <v>46</v>
      </c>
      <c r="C37" s="252">
        <v>7872</v>
      </c>
      <c r="D37" s="252">
        <v>1312</v>
      </c>
      <c r="E37" s="255"/>
      <c r="F37" s="255"/>
      <c r="G37" s="254">
        <v>1312</v>
      </c>
      <c r="H37" s="254">
        <v>1312</v>
      </c>
      <c r="I37" s="253">
        <v>1312</v>
      </c>
      <c r="J37" s="256"/>
      <c r="K37" s="254">
        <v>1312</v>
      </c>
      <c r="L37" s="253">
        <v>1312</v>
      </c>
      <c r="M37" s="255"/>
      <c r="N37" s="254">
        <v>1312</v>
      </c>
      <c r="O37" s="254">
        <v>1312</v>
      </c>
      <c r="P37" s="253">
        <v>1312</v>
      </c>
      <c r="Q37" s="254">
        <v>1312</v>
      </c>
      <c r="R37" s="254">
        <v>1312</v>
      </c>
      <c r="S37" s="253">
        <v>1312</v>
      </c>
      <c r="T37" s="255"/>
      <c r="U37" s="254">
        <v>1312</v>
      </c>
      <c r="V37" s="254">
        <v>1312</v>
      </c>
      <c r="W37" s="253">
        <v>1312</v>
      </c>
      <c r="X37" s="254">
        <v>1312</v>
      </c>
      <c r="Y37" s="254">
        <v>1312</v>
      </c>
      <c r="Z37" s="255"/>
      <c r="AA37" s="255"/>
      <c r="AB37" s="254">
        <v>1312</v>
      </c>
      <c r="AC37" s="254">
        <v>1312</v>
      </c>
      <c r="AD37" s="253">
        <v>1312</v>
      </c>
      <c r="AE37" s="254">
        <v>1312</v>
      </c>
      <c r="AF37" s="254">
        <v>1312</v>
      </c>
      <c r="AG37" s="257"/>
      <c r="AH37" s="257"/>
    </row>
    <row r="38" spans="1:34" ht="15">
      <c r="A38" s="390"/>
      <c r="B38" s="259" t="s">
        <v>47</v>
      </c>
      <c r="C38" s="260">
        <v>7915</v>
      </c>
      <c r="D38" s="260">
        <v>1319.1666666666667</v>
      </c>
      <c r="E38" s="263"/>
      <c r="F38" s="263"/>
      <c r="G38" s="262">
        <v>1326</v>
      </c>
      <c r="H38" s="262">
        <v>1326</v>
      </c>
      <c r="I38" s="261">
        <v>1314</v>
      </c>
      <c r="J38" s="264"/>
      <c r="K38" s="262">
        <v>1320</v>
      </c>
      <c r="L38" s="261">
        <v>1314</v>
      </c>
      <c r="M38" s="263"/>
      <c r="N38" s="262">
        <v>1315</v>
      </c>
      <c r="O38" s="264"/>
      <c r="P38" s="263"/>
      <c r="Q38" s="264"/>
      <c r="R38" s="264"/>
      <c r="S38" s="263"/>
      <c r="T38" s="263"/>
      <c r="U38" s="264"/>
      <c r="V38" s="264"/>
      <c r="W38" s="263"/>
      <c r="X38" s="264"/>
      <c r="Y38" s="264"/>
      <c r="Z38" s="263"/>
      <c r="AA38" s="263"/>
      <c r="AB38" s="264"/>
      <c r="AC38" s="264"/>
      <c r="AD38" s="263"/>
      <c r="AE38" s="264"/>
      <c r="AF38" s="264"/>
      <c r="AG38" s="265"/>
      <c r="AH38" s="265"/>
    </row>
    <row r="39" spans="1:34" ht="15">
      <c r="A39" s="390"/>
      <c r="B39" s="259" t="s">
        <v>48</v>
      </c>
      <c r="C39" s="260">
        <v>43</v>
      </c>
      <c r="D39" s="260">
        <v>7.166666666666667</v>
      </c>
      <c r="E39" s="263"/>
      <c r="F39" s="263"/>
      <c r="G39" s="262">
        <v>14</v>
      </c>
      <c r="H39" s="262">
        <v>14</v>
      </c>
      <c r="I39" s="261">
        <v>2</v>
      </c>
      <c r="J39" s="264"/>
      <c r="K39" s="262">
        <v>8</v>
      </c>
      <c r="L39" s="261">
        <v>2</v>
      </c>
      <c r="M39" s="263"/>
      <c r="N39" s="262">
        <v>3</v>
      </c>
      <c r="O39" s="264"/>
      <c r="P39" s="263"/>
      <c r="Q39" s="264"/>
      <c r="R39" s="264"/>
      <c r="S39" s="263"/>
      <c r="T39" s="263"/>
      <c r="U39" s="264"/>
      <c r="V39" s="264"/>
      <c r="W39" s="263"/>
      <c r="X39" s="264"/>
      <c r="Y39" s="264"/>
      <c r="Z39" s="263"/>
      <c r="AA39" s="263"/>
      <c r="AB39" s="264"/>
      <c r="AC39" s="264"/>
      <c r="AD39" s="263"/>
      <c r="AE39" s="264"/>
      <c r="AF39" s="264"/>
      <c r="AG39" s="265"/>
      <c r="AH39" s="265"/>
    </row>
    <row r="40" spans="1:34" ht="15">
      <c r="A40" s="390"/>
      <c r="B40" s="259" t="s">
        <v>49</v>
      </c>
      <c r="C40" s="260">
        <v>48</v>
      </c>
      <c r="D40" s="260">
        <v>8</v>
      </c>
      <c r="E40" s="263"/>
      <c r="F40" s="263"/>
      <c r="G40" s="262">
        <v>8</v>
      </c>
      <c r="H40" s="262">
        <v>8</v>
      </c>
      <c r="I40" s="261">
        <v>8</v>
      </c>
      <c r="J40" s="264"/>
      <c r="K40" s="262">
        <v>8</v>
      </c>
      <c r="L40" s="261">
        <v>8</v>
      </c>
      <c r="M40" s="263"/>
      <c r="N40" s="262">
        <v>8</v>
      </c>
      <c r="O40" s="264"/>
      <c r="P40" s="263"/>
      <c r="Q40" s="264"/>
      <c r="R40" s="264"/>
      <c r="S40" s="263"/>
      <c r="T40" s="263"/>
      <c r="U40" s="264"/>
      <c r="V40" s="264"/>
      <c r="W40" s="263"/>
      <c r="X40" s="264"/>
      <c r="Y40" s="264"/>
      <c r="Z40" s="263"/>
      <c r="AA40" s="263"/>
      <c r="AB40" s="264"/>
      <c r="AC40" s="264"/>
      <c r="AD40" s="263"/>
      <c r="AE40" s="264"/>
      <c r="AF40" s="264"/>
      <c r="AG40" s="265"/>
      <c r="AH40" s="265"/>
    </row>
    <row r="41" spans="1:34" ht="15">
      <c r="A41" s="390"/>
      <c r="B41" s="259" t="s">
        <v>50</v>
      </c>
      <c r="C41" s="260">
        <v>121</v>
      </c>
      <c r="D41" s="260">
        <v>121</v>
      </c>
      <c r="E41" s="263"/>
      <c r="F41" s="263"/>
      <c r="G41" s="262">
        <v>122</v>
      </c>
      <c r="H41" s="262">
        <v>123</v>
      </c>
      <c r="I41" s="261">
        <v>122</v>
      </c>
      <c r="J41" s="264"/>
      <c r="K41" s="262">
        <v>121</v>
      </c>
      <c r="L41" s="261">
        <v>123</v>
      </c>
      <c r="M41" s="263"/>
      <c r="N41" s="262">
        <v>118</v>
      </c>
      <c r="O41" s="264"/>
      <c r="P41" s="263"/>
      <c r="Q41" s="264"/>
      <c r="R41" s="264"/>
      <c r="S41" s="263"/>
      <c r="T41" s="263"/>
      <c r="U41" s="264"/>
      <c r="V41" s="264"/>
      <c r="W41" s="263"/>
      <c r="X41" s="264"/>
      <c r="Y41" s="264"/>
      <c r="Z41" s="263"/>
      <c r="AA41" s="263"/>
      <c r="AB41" s="264"/>
      <c r="AC41" s="264"/>
      <c r="AD41" s="263"/>
      <c r="AE41" s="264"/>
      <c r="AF41" s="264"/>
      <c r="AG41" s="265"/>
      <c r="AH41" s="265"/>
    </row>
    <row r="42" spans="1:34" ht="15">
      <c r="A42" s="390"/>
      <c r="B42" s="259" t="s">
        <v>51</v>
      </c>
      <c r="C42" s="260">
        <v>164.89583333333334</v>
      </c>
      <c r="D42" s="260">
        <v>164.89583333333334</v>
      </c>
      <c r="E42" s="263"/>
      <c r="F42" s="263"/>
      <c r="G42" s="262">
        <v>165.75</v>
      </c>
      <c r="H42" s="262">
        <v>165.75</v>
      </c>
      <c r="I42" s="261">
        <v>164.25</v>
      </c>
      <c r="J42" s="264"/>
      <c r="K42" s="262">
        <v>165</v>
      </c>
      <c r="L42" s="261">
        <v>164.25</v>
      </c>
      <c r="M42" s="263"/>
      <c r="N42" s="262">
        <v>164.375</v>
      </c>
      <c r="O42" s="264"/>
      <c r="P42" s="263"/>
      <c r="Q42" s="264"/>
      <c r="R42" s="264"/>
      <c r="S42" s="263"/>
      <c r="T42" s="263"/>
      <c r="U42" s="264"/>
      <c r="V42" s="264"/>
      <c r="W42" s="263"/>
      <c r="X42" s="264"/>
      <c r="Y42" s="264"/>
      <c r="Z42" s="263"/>
      <c r="AA42" s="263"/>
      <c r="AB42" s="264"/>
      <c r="AC42" s="264"/>
      <c r="AD42" s="263"/>
      <c r="AE42" s="264"/>
      <c r="AF42" s="264"/>
      <c r="AG42" s="265"/>
      <c r="AH42" s="265"/>
    </row>
    <row r="43" spans="1:34" ht="15">
      <c r="A43" s="391"/>
      <c r="B43" s="267" t="s">
        <v>52</v>
      </c>
      <c r="C43" s="268">
        <v>1.3628</v>
      </c>
      <c r="D43" s="268">
        <v>1.3628</v>
      </c>
      <c r="E43" s="270"/>
      <c r="F43" s="270"/>
      <c r="G43" s="268">
        <v>1.3586</v>
      </c>
      <c r="H43" s="268">
        <v>1.3475999999999999</v>
      </c>
      <c r="I43" s="269">
        <v>1.3463000000000001</v>
      </c>
      <c r="J43" s="271"/>
      <c r="K43" s="268">
        <v>1.3635999999999999</v>
      </c>
      <c r="L43" s="269">
        <v>1.3353999999999999</v>
      </c>
      <c r="M43" s="270"/>
      <c r="N43" s="268">
        <v>1.393</v>
      </c>
      <c r="O43" s="271"/>
      <c r="P43" s="270"/>
      <c r="Q43" s="271"/>
      <c r="R43" s="271"/>
      <c r="S43" s="270"/>
      <c r="T43" s="270"/>
      <c r="U43" s="271"/>
      <c r="V43" s="271"/>
      <c r="W43" s="270"/>
      <c r="X43" s="271"/>
      <c r="Y43" s="271"/>
      <c r="Z43" s="270"/>
      <c r="AA43" s="270"/>
      <c r="AB43" s="271"/>
      <c r="AC43" s="271"/>
      <c r="AD43" s="270"/>
      <c r="AE43" s="271"/>
      <c r="AF43" s="271"/>
      <c r="AG43" s="272"/>
      <c r="AH43" s="272"/>
    </row>
    <row r="44" spans="1:34" ht="15">
      <c r="A44" s="389" t="s">
        <v>132</v>
      </c>
      <c r="B44" s="251" t="s">
        <v>45</v>
      </c>
      <c r="C44" s="252">
        <v>8328</v>
      </c>
      <c r="D44" s="252">
        <v>1388</v>
      </c>
      <c r="E44" s="255"/>
      <c r="F44" s="255"/>
      <c r="G44" s="254">
        <v>1400</v>
      </c>
      <c r="H44" s="254">
        <v>1328</v>
      </c>
      <c r="I44" s="253">
        <v>1400</v>
      </c>
      <c r="J44" s="256"/>
      <c r="K44" s="254">
        <v>1400</v>
      </c>
      <c r="L44" s="253">
        <v>1400</v>
      </c>
      <c r="M44" s="255"/>
      <c r="N44" s="254">
        <v>1400</v>
      </c>
      <c r="O44" s="256"/>
      <c r="P44" s="255"/>
      <c r="Q44" s="256"/>
      <c r="R44" s="256"/>
      <c r="S44" s="255"/>
      <c r="T44" s="255"/>
      <c r="U44" s="256"/>
      <c r="V44" s="256"/>
      <c r="W44" s="255"/>
      <c r="X44" s="256"/>
      <c r="Y44" s="256"/>
      <c r="Z44" s="255"/>
      <c r="AA44" s="255"/>
      <c r="AB44" s="256"/>
      <c r="AC44" s="256"/>
      <c r="AD44" s="255"/>
      <c r="AE44" s="256"/>
      <c r="AF44" s="256"/>
      <c r="AG44" s="257"/>
      <c r="AH44" s="257"/>
    </row>
    <row r="45" spans="1:34" ht="15">
      <c r="A45" s="390"/>
      <c r="B45" s="251" t="s">
        <v>46</v>
      </c>
      <c r="C45" s="252">
        <v>8160</v>
      </c>
      <c r="D45" s="252">
        <v>1360</v>
      </c>
      <c r="E45" s="255"/>
      <c r="F45" s="255"/>
      <c r="G45" s="254">
        <v>1360</v>
      </c>
      <c r="H45" s="254">
        <v>1360</v>
      </c>
      <c r="I45" s="253">
        <v>1360</v>
      </c>
      <c r="J45" s="256"/>
      <c r="K45" s="254">
        <v>1360</v>
      </c>
      <c r="L45" s="253">
        <v>1360</v>
      </c>
      <c r="M45" s="255"/>
      <c r="N45" s="254">
        <v>1360</v>
      </c>
      <c r="O45" s="254">
        <v>1360</v>
      </c>
      <c r="P45" s="253">
        <v>1360</v>
      </c>
      <c r="Q45" s="254">
        <v>1360</v>
      </c>
      <c r="R45" s="254">
        <v>900</v>
      </c>
      <c r="S45" s="253">
        <v>900</v>
      </c>
      <c r="T45" s="255"/>
      <c r="U45" s="254">
        <v>1200</v>
      </c>
      <c r="V45" s="254">
        <v>1200</v>
      </c>
      <c r="W45" s="253">
        <v>1200</v>
      </c>
      <c r="X45" s="254">
        <v>1200</v>
      </c>
      <c r="Y45" s="254">
        <v>1200</v>
      </c>
      <c r="Z45" s="255"/>
      <c r="AA45" s="255"/>
      <c r="AB45" s="254">
        <v>1200</v>
      </c>
      <c r="AC45" s="254">
        <v>1200</v>
      </c>
      <c r="AD45" s="253">
        <v>1200</v>
      </c>
      <c r="AE45" s="254">
        <v>1200</v>
      </c>
      <c r="AF45" s="254">
        <v>1200</v>
      </c>
      <c r="AG45" s="257"/>
      <c r="AH45" s="257"/>
    </row>
    <row r="46" spans="1:34" ht="15">
      <c r="A46" s="390"/>
      <c r="B46" s="259" t="s">
        <v>47</v>
      </c>
      <c r="C46" s="260">
        <v>9480</v>
      </c>
      <c r="D46" s="260">
        <v>1580</v>
      </c>
      <c r="E46" s="263"/>
      <c r="F46" s="263"/>
      <c r="G46" s="262">
        <v>1692</v>
      </c>
      <c r="H46" s="262">
        <v>1902</v>
      </c>
      <c r="I46" s="261">
        <v>1098</v>
      </c>
      <c r="J46" s="264"/>
      <c r="K46" s="262">
        <v>1554</v>
      </c>
      <c r="L46" s="261">
        <v>1602</v>
      </c>
      <c r="M46" s="263"/>
      <c r="N46" s="262">
        <v>1632</v>
      </c>
      <c r="O46" s="264"/>
      <c r="P46" s="263"/>
      <c r="Q46" s="264"/>
      <c r="R46" s="264"/>
      <c r="S46" s="263"/>
      <c r="T46" s="263"/>
      <c r="U46" s="264"/>
      <c r="V46" s="264"/>
      <c r="W46" s="263"/>
      <c r="X46" s="264"/>
      <c r="Y46" s="264"/>
      <c r="Z46" s="263"/>
      <c r="AA46" s="263"/>
      <c r="AB46" s="264"/>
      <c r="AC46" s="264"/>
      <c r="AD46" s="263"/>
      <c r="AE46" s="264"/>
      <c r="AF46" s="264"/>
      <c r="AG46" s="265"/>
      <c r="AH46" s="265"/>
    </row>
    <row r="47" spans="1:34" ht="15">
      <c r="A47" s="390"/>
      <c r="B47" s="259" t="s">
        <v>48</v>
      </c>
      <c r="C47" s="260">
        <v>1320</v>
      </c>
      <c r="D47" s="260">
        <v>220</v>
      </c>
      <c r="E47" s="263"/>
      <c r="F47" s="263"/>
      <c r="G47" s="262">
        <v>332</v>
      </c>
      <c r="H47" s="262">
        <v>542</v>
      </c>
      <c r="I47" s="263">
        <v>-262</v>
      </c>
      <c r="J47" s="264"/>
      <c r="K47" s="262">
        <v>194</v>
      </c>
      <c r="L47" s="261">
        <v>242</v>
      </c>
      <c r="M47" s="263"/>
      <c r="N47" s="262">
        <v>272</v>
      </c>
      <c r="O47" s="264"/>
      <c r="P47" s="263"/>
      <c r="Q47" s="264"/>
      <c r="R47" s="264"/>
      <c r="S47" s="263"/>
      <c r="T47" s="263"/>
      <c r="U47" s="264"/>
      <c r="V47" s="264"/>
      <c r="W47" s="263"/>
      <c r="X47" s="264"/>
      <c r="Y47" s="264"/>
      <c r="Z47" s="263"/>
      <c r="AA47" s="263"/>
      <c r="AB47" s="264"/>
      <c r="AC47" s="264"/>
      <c r="AD47" s="263"/>
      <c r="AE47" s="264"/>
      <c r="AF47" s="264"/>
      <c r="AG47" s="265"/>
      <c r="AH47" s="265"/>
    </row>
    <row r="48" spans="1:34" ht="15">
      <c r="A48" s="390"/>
      <c r="B48" s="259" t="s">
        <v>49</v>
      </c>
      <c r="C48" s="260">
        <v>48</v>
      </c>
      <c r="D48" s="260">
        <v>8</v>
      </c>
      <c r="E48" s="263"/>
      <c r="F48" s="263"/>
      <c r="G48" s="262">
        <v>8</v>
      </c>
      <c r="H48" s="262">
        <v>8</v>
      </c>
      <c r="I48" s="261">
        <v>8</v>
      </c>
      <c r="J48" s="264"/>
      <c r="K48" s="262">
        <v>8</v>
      </c>
      <c r="L48" s="261">
        <v>8</v>
      </c>
      <c r="M48" s="263"/>
      <c r="N48" s="262">
        <v>8</v>
      </c>
      <c r="O48" s="264"/>
      <c r="P48" s="263"/>
      <c r="Q48" s="264"/>
      <c r="R48" s="264"/>
      <c r="S48" s="263"/>
      <c r="T48" s="263"/>
      <c r="U48" s="264"/>
      <c r="V48" s="264"/>
      <c r="W48" s="263"/>
      <c r="X48" s="264"/>
      <c r="Y48" s="264"/>
      <c r="Z48" s="263"/>
      <c r="AA48" s="263"/>
      <c r="AB48" s="264"/>
      <c r="AC48" s="264"/>
      <c r="AD48" s="263"/>
      <c r="AE48" s="264"/>
      <c r="AF48" s="264"/>
      <c r="AG48" s="265"/>
      <c r="AH48" s="265"/>
    </row>
    <row r="49" spans="1:34" ht="15">
      <c r="A49" s="390"/>
      <c r="B49" s="259" t="s">
        <v>50</v>
      </c>
      <c r="C49" s="260">
        <v>113</v>
      </c>
      <c r="D49" s="260">
        <v>113</v>
      </c>
      <c r="E49" s="263"/>
      <c r="F49" s="263"/>
      <c r="G49" s="262">
        <v>113</v>
      </c>
      <c r="H49" s="262">
        <v>114</v>
      </c>
      <c r="I49" s="261">
        <v>111</v>
      </c>
      <c r="J49" s="264"/>
      <c r="K49" s="262">
        <v>115</v>
      </c>
      <c r="L49" s="261">
        <v>116</v>
      </c>
      <c r="M49" s="263"/>
      <c r="N49" s="262">
        <v>111</v>
      </c>
      <c r="O49" s="264"/>
      <c r="P49" s="263"/>
      <c r="Q49" s="264"/>
      <c r="R49" s="264"/>
      <c r="S49" s="263"/>
      <c r="T49" s="263"/>
      <c r="U49" s="264"/>
      <c r="V49" s="264"/>
      <c r="W49" s="263"/>
      <c r="X49" s="264"/>
      <c r="Y49" s="264"/>
      <c r="Z49" s="263"/>
      <c r="AA49" s="263"/>
      <c r="AB49" s="264"/>
      <c r="AC49" s="264"/>
      <c r="AD49" s="263"/>
      <c r="AE49" s="264"/>
      <c r="AF49" s="264"/>
      <c r="AG49" s="265"/>
      <c r="AH49" s="265"/>
    </row>
    <row r="50" spans="1:34" ht="15">
      <c r="A50" s="390"/>
      <c r="B50" s="259" t="s">
        <v>51</v>
      </c>
      <c r="C50" s="260">
        <v>197.5</v>
      </c>
      <c r="D50" s="260">
        <v>197.5</v>
      </c>
      <c r="E50" s="263"/>
      <c r="F50" s="263"/>
      <c r="G50" s="262">
        <v>211.5</v>
      </c>
      <c r="H50" s="262">
        <v>237.75</v>
      </c>
      <c r="I50" s="261">
        <v>137.25</v>
      </c>
      <c r="J50" s="264"/>
      <c r="K50" s="262">
        <v>194.25</v>
      </c>
      <c r="L50" s="261">
        <v>200.25</v>
      </c>
      <c r="M50" s="263"/>
      <c r="N50" s="262">
        <v>204</v>
      </c>
      <c r="O50" s="264"/>
      <c r="P50" s="263"/>
      <c r="Q50" s="264"/>
      <c r="R50" s="264"/>
      <c r="S50" s="263"/>
      <c r="T50" s="263"/>
      <c r="U50" s="264"/>
      <c r="V50" s="264"/>
      <c r="W50" s="263"/>
      <c r="X50" s="264"/>
      <c r="Y50" s="264"/>
      <c r="Z50" s="263"/>
      <c r="AA50" s="263"/>
      <c r="AB50" s="264"/>
      <c r="AC50" s="264"/>
      <c r="AD50" s="263"/>
      <c r="AE50" s="264"/>
      <c r="AF50" s="264"/>
      <c r="AG50" s="265"/>
      <c r="AH50" s="265"/>
    </row>
    <row r="51" spans="1:34" ht="15">
      <c r="A51" s="391"/>
      <c r="B51" s="267" t="s">
        <v>52</v>
      </c>
      <c r="C51" s="268">
        <v>1.7478</v>
      </c>
      <c r="D51" s="268">
        <v>1.7478</v>
      </c>
      <c r="E51" s="270"/>
      <c r="F51" s="270"/>
      <c r="G51" s="268">
        <v>1.8717000000000001</v>
      </c>
      <c r="H51" s="268">
        <v>2.0855000000000001</v>
      </c>
      <c r="I51" s="269">
        <v>1.2364999999999999</v>
      </c>
      <c r="J51" s="271"/>
      <c r="K51" s="268">
        <v>1.6891</v>
      </c>
      <c r="L51" s="269">
        <v>1.7262999999999999</v>
      </c>
      <c r="M51" s="270"/>
      <c r="N51" s="268">
        <v>1.8378000000000001</v>
      </c>
      <c r="O51" s="271"/>
      <c r="P51" s="270"/>
      <c r="Q51" s="271"/>
      <c r="R51" s="271"/>
      <c r="S51" s="270"/>
      <c r="T51" s="270"/>
      <c r="U51" s="271"/>
      <c r="V51" s="271"/>
      <c r="W51" s="270"/>
      <c r="X51" s="271"/>
      <c r="Y51" s="271"/>
      <c r="Z51" s="270"/>
      <c r="AA51" s="270"/>
      <c r="AB51" s="271"/>
      <c r="AC51" s="271"/>
      <c r="AD51" s="270"/>
      <c r="AE51" s="271"/>
      <c r="AF51" s="271"/>
      <c r="AG51" s="272"/>
      <c r="AH51" s="272"/>
    </row>
    <row r="52" spans="1:34" ht="15">
      <c r="A52" s="389" t="s">
        <v>133</v>
      </c>
      <c r="B52" s="251" t="s">
        <v>45</v>
      </c>
      <c r="C52" s="252">
        <v>7200</v>
      </c>
      <c r="D52" s="252">
        <v>1200</v>
      </c>
      <c r="E52" s="255"/>
      <c r="F52" s="255"/>
      <c r="G52" s="254">
        <v>1200</v>
      </c>
      <c r="H52" s="254">
        <v>1200</v>
      </c>
      <c r="I52" s="253">
        <v>1200</v>
      </c>
      <c r="J52" s="256"/>
      <c r="K52" s="254">
        <v>1200</v>
      </c>
      <c r="L52" s="253">
        <v>1200</v>
      </c>
      <c r="M52" s="255"/>
      <c r="N52" s="254">
        <v>1200</v>
      </c>
      <c r="O52" s="256"/>
      <c r="P52" s="255"/>
      <c r="Q52" s="256"/>
      <c r="R52" s="256"/>
      <c r="S52" s="255"/>
      <c r="T52" s="255"/>
      <c r="U52" s="256"/>
      <c r="V52" s="256"/>
      <c r="W52" s="255"/>
      <c r="X52" s="256"/>
      <c r="Y52" s="256"/>
      <c r="Z52" s="255"/>
      <c r="AA52" s="255"/>
      <c r="AB52" s="256"/>
      <c r="AC52" s="256"/>
      <c r="AD52" s="255"/>
      <c r="AE52" s="256"/>
      <c r="AF52" s="256"/>
      <c r="AG52" s="257"/>
      <c r="AH52" s="257"/>
    </row>
    <row r="53" spans="1:34" ht="15">
      <c r="A53" s="390"/>
      <c r="B53" s="251" t="s">
        <v>46</v>
      </c>
      <c r="C53" s="252">
        <v>6900</v>
      </c>
      <c r="D53" s="252">
        <v>1150</v>
      </c>
      <c r="E53" s="255"/>
      <c r="F53" s="255"/>
      <c r="G53" s="254">
        <v>1200</v>
      </c>
      <c r="H53" s="254">
        <v>1200</v>
      </c>
      <c r="I53" s="253">
        <v>1200</v>
      </c>
      <c r="J53" s="256"/>
      <c r="K53" s="254">
        <v>1200</v>
      </c>
      <c r="L53" s="253">
        <v>1200</v>
      </c>
      <c r="M53" s="255"/>
      <c r="N53" s="254">
        <v>900</v>
      </c>
      <c r="O53" s="254">
        <v>900</v>
      </c>
      <c r="P53" s="253">
        <v>1200</v>
      </c>
      <c r="Q53" s="254">
        <v>1200</v>
      </c>
      <c r="R53" s="254">
        <v>1200</v>
      </c>
      <c r="S53" s="253">
        <v>1200</v>
      </c>
      <c r="T53" s="255"/>
      <c r="U53" s="254">
        <v>1200</v>
      </c>
      <c r="V53" s="254">
        <v>1200</v>
      </c>
      <c r="W53" s="253">
        <v>1200</v>
      </c>
      <c r="X53" s="254">
        <v>1200</v>
      </c>
      <c r="Y53" s="254">
        <v>1200</v>
      </c>
      <c r="Z53" s="255"/>
      <c r="AA53" s="255"/>
      <c r="AB53" s="254">
        <v>1200</v>
      </c>
      <c r="AC53" s="254">
        <v>1200</v>
      </c>
      <c r="AD53" s="253">
        <v>1200</v>
      </c>
      <c r="AE53" s="254">
        <v>1200</v>
      </c>
      <c r="AF53" s="254">
        <v>1200</v>
      </c>
      <c r="AG53" s="257"/>
      <c r="AH53" s="257"/>
    </row>
    <row r="54" spans="1:34" ht="15">
      <c r="A54" s="390"/>
      <c r="B54" s="259" t="s">
        <v>47</v>
      </c>
      <c r="C54" s="260">
        <v>6648</v>
      </c>
      <c r="D54" s="260">
        <v>1108</v>
      </c>
      <c r="E54" s="263"/>
      <c r="F54" s="263"/>
      <c r="G54" s="262">
        <v>1206</v>
      </c>
      <c r="H54" s="262">
        <v>1038</v>
      </c>
      <c r="I54" s="261">
        <v>1182</v>
      </c>
      <c r="J54" s="264"/>
      <c r="K54" s="262">
        <v>1098</v>
      </c>
      <c r="L54" s="261">
        <v>1206</v>
      </c>
      <c r="M54" s="263"/>
      <c r="N54" s="262">
        <v>918</v>
      </c>
      <c r="O54" s="264"/>
      <c r="P54" s="263"/>
      <c r="Q54" s="264"/>
      <c r="R54" s="264"/>
      <c r="S54" s="263"/>
      <c r="T54" s="263"/>
      <c r="U54" s="264"/>
      <c r="V54" s="264"/>
      <c r="W54" s="263"/>
      <c r="X54" s="264"/>
      <c r="Y54" s="264"/>
      <c r="Z54" s="263"/>
      <c r="AA54" s="263"/>
      <c r="AB54" s="264"/>
      <c r="AC54" s="264"/>
      <c r="AD54" s="263"/>
      <c r="AE54" s="264"/>
      <c r="AF54" s="264"/>
      <c r="AG54" s="265"/>
      <c r="AH54" s="265"/>
    </row>
    <row r="55" spans="1:34" ht="15">
      <c r="A55" s="390"/>
      <c r="B55" s="259" t="s">
        <v>48</v>
      </c>
      <c r="C55" s="266">
        <v>-252</v>
      </c>
      <c r="D55" s="266">
        <v>-42</v>
      </c>
      <c r="E55" s="263"/>
      <c r="F55" s="263"/>
      <c r="G55" s="262">
        <v>6</v>
      </c>
      <c r="H55" s="264">
        <v>-162</v>
      </c>
      <c r="I55" s="263">
        <v>-18</v>
      </c>
      <c r="J55" s="264"/>
      <c r="K55" s="264">
        <v>-102</v>
      </c>
      <c r="L55" s="261">
        <v>6</v>
      </c>
      <c r="M55" s="263"/>
      <c r="N55" s="262">
        <v>18</v>
      </c>
      <c r="O55" s="264"/>
      <c r="P55" s="263"/>
      <c r="Q55" s="264"/>
      <c r="R55" s="264"/>
      <c r="S55" s="263"/>
      <c r="T55" s="263"/>
      <c r="U55" s="264"/>
      <c r="V55" s="264"/>
      <c r="W55" s="263"/>
      <c r="X55" s="264"/>
      <c r="Y55" s="264"/>
      <c r="Z55" s="263"/>
      <c r="AA55" s="263"/>
      <c r="AB55" s="264"/>
      <c r="AC55" s="264"/>
      <c r="AD55" s="263"/>
      <c r="AE55" s="264"/>
      <c r="AF55" s="264"/>
      <c r="AG55" s="265"/>
      <c r="AH55" s="265"/>
    </row>
    <row r="56" spans="1:34" ht="15">
      <c r="A56" s="390"/>
      <c r="B56" s="259" t="s">
        <v>49</v>
      </c>
      <c r="C56" s="260">
        <v>48</v>
      </c>
      <c r="D56" s="260">
        <v>8</v>
      </c>
      <c r="E56" s="263"/>
      <c r="F56" s="263"/>
      <c r="G56" s="262">
        <v>8</v>
      </c>
      <c r="H56" s="262">
        <v>8</v>
      </c>
      <c r="I56" s="261">
        <v>8</v>
      </c>
      <c r="J56" s="264"/>
      <c r="K56" s="262">
        <v>8</v>
      </c>
      <c r="L56" s="261">
        <v>8</v>
      </c>
      <c r="M56" s="263"/>
      <c r="N56" s="262">
        <v>8</v>
      </c>
      <c r="O56" s="264"/>
      <c r="P56" s="263"/>
      <c r="Q56" s="264"/>
      <c r="R56" s="264"/>
      <c r="S56" s="263"/>
      <c r="T56" s="263"/>
      <c r="U56" s="264"/>
      <c r="V56" s="264"/>
      <c r="W56" s="263"/>
      <c r="X56" s="264"/>
      <c r="Y56" s="264"/>
      <c r="Z56" s="263"/>
      <c r="AA56" s="263"/>
      <c r="AB56" s="264"/>
      <c r="AC56" s="264"/>
      <c r="AD56" s="263"/>
      <c r="AE56" s="264"/>
      <c r="AF56" s="264"/>
      <c r="AG56" s="265"/>
      <c r="AH56" s="265"/>
    </row>
    <row r="57" spans="1:34" ht="15">
      <c r="A57" s="390"/>
      <c r="B57" s="259" t="s">
        <v>50</v>
      </c>
      <c r="C57" s="260">
        <v>119</v>
      </c>
      <c r="D57" s="260">
        <v>119</v>
      </c>
      <c r="E57" s="263"/>
      <c r="F57" s="263"/>
      <c r="G57" s="262">
        <v>122</v>
      </c>
      <c r="H57" s="262">
        <v>118</v>
      </c>
      <c r="I57" s="261">
        <v>120</v>
      </c>
      <c r="J57" s="264"/>
      <c r="K57" s="262">
        <v>119</v>
      </c>
      <c r="L57" s="261">
        <v>121</v>
      </c>
      <c r="M57" s="263"/>
      <c r="N57" s="262">
        <v>116</v>
      </c>
      <c r="O57" s="264"/>
      <c r="P57" s="263"/>
      <c r="Q57" s="264"/>
      <c r="R57" s="264"/>
      <c r="S57" s="263"/>
      <c r="T57" s="263"/>
      <c r="U57" s="264"/>
      <c r="V57" s="264"/>
      <c r="W57" s="263"/>
      <c r="X57" s="264"/>
      <c r="Y57" s="264"/>
      <c r="Z57" s="263"/>
      <c r="AA57" s="263"/>
      <c r="AB57" s="264"/>
      <c r="AC57" s="264"/>
      <c r="AD57" s="263"/>
      <c r="AE57" s="264"/>
      <c r="AF57" s="264"/>
      <c r="AG57" s="265"/>
      <c r="AH57" s="265"/>
    </row>
    <row r="58" spans="1:34" ht="15">
      <c r="A58" s="390"/>
      <c r="B58" s="259" t="s">
        <v>51</v>
      </c>
      <c r="C58" s="260">
        <v>138.5</v>
      </c>
      <c r="D58" s="260">
        <v>138.5</v>
      </c>
      <c r="E58" s="263"/>
      <c r="F58" s="263"/>
      <c r="G58" s="262">
        <v>150.75</v>
      </c>
      <c r="H58" s="262">
        <v>129.75</v>
      </c>
      <c r="I58" s="261">
        <v>147.75</v>
      </c>
      <c r="J58" s="264"/>
      <c r="K58" s="262">
        <v>137.25</v>
      </c>
      <c r="L58" s="261">
        <v>150.75</v>
      </c>
      <c r="M58" s="263"/>
      <c r="N58" s="262">
        <v>114.75</v>
      </c>
      <c r="O58" s="264"/>
      <c r="P58" s="263"/>
      <c r="Q58" s="264"/>
      <c r="R58" s="264"/>
      <c r="S58" s="263"/>
      <c r="T58" s="263"/>
      <c r="U58" s="264"/>
      <c r="V58" s="264"/>
      <c r="W58" s="263"/>
      <c r="X58" s="264"/>
      <c r="Y58" s="264"/>
      <c r="Z58" s="263"/>
      <c r="AA58" s="263"/>
      <c r="AB58" s="264"/>
      <c r="AC58" s="264"/>
      <c r="AD58" s="263"/>
      <c r="AE58" s="264"/>
      <c r="AF58" s="264"/>
      <c r="AG58" s="265"/>
      <c r="AH58" s="265"/>
    </row>
    <row r="59" spans="1:34" ht="15">
      <c r="A59" s="391"/>
      <c r="B59" s="267" t="s">
        <v>52</v>
      </c>
      <c r="C59" s="268">
        <v>1.1638999999999999</v>
      </c>
      <c r="D59" s="268">
        <v>1.1638999999999999</v>
      </c>
      <c r="E59" s="270"/>
      <c r="F59" s="270"/>
      <c r="G59" s="268">
        <v>1.2357</v>
      </c>
      <c r="H59" s="268">
        <v>1.0995999999999999</v>
      </c>
      <c r="I59" s="269">
        <v>1.2312000000000001</v>
      </c>
      <c r="J59" s="271"/>
      <c r="K59" s="268">
        <v>1.1534</v>
      </c>
      <c r="L59" s="269">
        <v>1.2459</v>
      </c>
      <c r="M59" s="270"/>
      <c r="N59" s="268">
        <v>0.98919999999999997</v>
      </c>
      <c r="O59" s="271"/>
      <c r="P59" s="270"/>
      <c r="Q59" s="271"/>
      <c r="R59" s="271"/>
      <c r="S59" s="270"/>
      <c r="T59" s="270"/>
      <c r="U59" s="271"/>
      <c r="V59" s="271"/>
      <c r="W59" s="270"/>
      <c r="X59" s="271"/>
      <c r="Y59" s="271"/>
      <c r="Z59" s="270"/>
      <c r="AA59" s="270"/>
      <c r="AB59" s="271"/>
      <c r="AC59" s="271"/>
      <c r="AD59" s="270"/>
      <c r="AE59" s="271"/>
      <c r="AF59" s="271"/>
      <c r="AG59" s="272"/>
      <c r="AH59" s="272"/>
    </row>
    <row r="60" spans="1:34" ht="15">
      <c r="A60" s="389" t="s">
        <v>134</v>
      </c>
      <c r="B60" s="251" t="s">
        <v>45</v>
      </c>
      <c r="C60" s="252">
        <v>7440</v>
      </c>
      <c r="D60" s="252">
        <v>1240</v>
      </c>
      <c r="E60" s="255"/>
      <c r="F60" s="255"/>
      <c r="G60" s="254">
        <v>1440</v>
      </c>
      <c r="H60" s="254">
        <v>1200</v>
      </c>
      <c r="I60" s="253">
        <v>1200</v>
      </c>
      <c r="J60" s="256"/>
      <c r="K60" s="254">
        <v>1200</v>
      </c>
      <c r="L60" s="253">
        <v>1200</v>
      </c>
      <c r="M60" s="255"/>
      <c r="N60" s="254">
        <v>1200</v>
      </c>
      <c r="O60" s="256"/>
      <c r="P60" s="255"/>
      <c r="Q60" s="256"/>
      <c r="R60" s="256"/>
      <c r="S60" s="255"/>
      <c r="T60" s="255"/>
      <c r="U60" s="256"/>
      <c r="V60" s="256"/>
      <c r="W60" s="255"/>
      <c r="X60" s="256"/>
      <c r="Y60" s="256"/>
      <c r="Z60" s="255"/>
      <c r="AA60" s="255"/>
      <c r="AB60" s="256"/>
      <c r="AC60" s="256"/>
      <c r="AD60" s="255"/>
      <c r="AE60" s="256"/>
      <c r="AF60" s="256"/>
      <c r="AG60" s="257"/>
      <c r="AH60" s="257"/>
    </row>
    <row r="61" spans="1:34" ht="15">
      <c r="A61" s="390"/>
      <c r="B61" s="251" t="s">
        <v>46</v>
      </c>
      <c r="C61" s="252">
        <v>7200</v>
      </c>
      <c r="D61" s="252">
        <v>1200</v>
      </c>
      <c r="E61" s="255"/>
      <c r="F61" s="255"/>
      <c r="G61" s="254">
        <v>1200</v>
      </c>
      <c r="H61" s="254">
        <v>1200</v>
      </c>
      <c r="I61" s="253">
        <v>1200</v>
      </c>
      <c r="J61" s="256"/>
      <c r="K61" s="254">
        <v>1200</v>
      </c>
      <c r="L61" s="253">
        <v>1200</v>
      </c>
      <c r="M61" s="255"/>
      <c r="N61" s="254">
        <v>1200</v>
      </c>
      <c r="O61" s="254">
        <v>1200</v>
      </c>
      <c r="P61" s="253">
        <v>1200</v>
      </c>
      <c r="Q61" s="254">
        <v>1200</v>
      </c>
      <c r="R61" s="254">
        <v>1200</v>
      </c>
      <c r="S61" s="253">
        <v>1200</v>
      </c>
      <c r="T61" s="255"/>
      <c r="U61" s="254">
        <v>1200</v>
      </c>
      <c r="V61" s="254">
        <v>1200</v>
      </c>
      <c r="W61" s="253">
        <v>1200</v>
      </c>
      <c r="X61" s="254">
        <v>1200</v>
      </c>
      <c r="Y61" s="254">
        <v>1200</v>
      </c>
      <c r="Z61" s="255"/>
      <c r="AA61" s="255"/>
      <c r="AB61" s="254">
        <v>1200</v>
      </c>
      <c r="AC61" s="254">
        <v>1020</v>
      </c>
      <c r="AD61" s="253">
        <v>1020</v>
      </c>
      <c r="AE61" s="254">
        <v>1360</v>
      </c>
      <c r="AF61" s="254">
        <v>1360</v>
      </c>
      <c r="AG61" s="257"/>
      <c r="AH61" s="257"/>
    </row>
    <row r="62" spans="1:34" ht="15">
      <c r="A62" s="390"/>
      <c r="B62" s="259" t="s">
        <v>47</v>
      </c>
      <c r="C62" s="260">
        <v>7026</v>
      </c>
      <c r="D62" s="260">
        <v>1171</v>
      </c>
      <c r="E62" s="263"/>
      <c r="F62" s="263"/>
      <c r="G62" s="262">
        <v>1212</v>
      </c>
      <c r="H62" s="262">
        <v>1134</v>
      </c>
      <c r="I62" s="261">
        <v>1062</v>
      </c>
      <c r="J62" s="264"/>
      <c r="K62" s="262">
        <v>1368</v>
      </c>
      <c r="L62" s="261">
        <v>1086</v>
      </c>
      <c r="M62" s="263"/>
      <c r="N62" s="262">
        <v>1164</v>
      </c>
      <c r="O62" s="264"/>
      <c r="P62" s="263"/>
      <c r="Q62" s="264"/>
      <c r="R62" s="264"/>
      <c r="S62" s="263"/>
      <c r="T62" s="263"/>
      <c r="U62" s="264"/>
      <c r="V62" s="264"/>
      <c r="W62" s="263"/>
      <c r="X62" s="264"/>
      <c r="Y62" s="264"/>
      <c r="Z62" s="263"/>
      <c r="AA62" s="263"/>
      <c r="AB62" s="264"/>
      <c r="AC62" s="264"/>
      <c r="AD62" s="263"/>
      <c r="AE62" s="264"/>
      <c r="AF62" s="264"/>
      <c r="AG62" s="265"/>
      <c r="AH62" s="265"/>
    </row>
    <row r="63" spans="1:34" ht="15">
      <c r="A63" s="390"/>
      <c r="B63" s="259" t="s">
        <v>48</v>
      </c>
      <c r="C63" s="266">
        <v>-174</v>
      </c>
      <c r="D63" s="266">
        <v>-29</v>
      </c>
      <c r="E63" s="263"/>
      <c r="F63" s="263"/>
      <c r="G63" s="262">
        <v>12</v>
      </c>
      <c r="H63" s="264">
        <v>-66</v>
      </c>
      <c r="I63" s="263">
        <v>-138</v>
      </c>
      <c r="J63" s="264"/>
      <c r="K63" s="262">
        <v>168</v>
      </c>
      <c r="L63" s="263">
        <v>-114</v>
      </c>
      <c r="M63" s="263"/>
      <c r="N63" s="264">
        <v>-36</v>
      </c>
      <c r="O63" s="264"/>
      <c r="P63" s="263"/>
      <c r="Q63" s="264"/>
      <c r="R63" s="264"/>
      <c r="S63" s="263"/>
      <c r="T63" s="263"/>
      <c r="U63" s="264"/>
      <c r="V63" s="264"/>
      <c r="W63" s="263"/>
      <c r="X63" s="264"/>
      <c r="Y63" s="264"/>
      <c r="Z63" s="263"/>
      <c r="AA63" s="263"/>
      <c r="AB63" s="264"/>
      <c r="AC63" s="264"/>
      <c r="AD63" s="263"/>
      <c r="AE63" s="264"/>
      <c r="AF63" s="264"/>
      <c r="AG63" s="265"/>
      <c r="AH63" s="265"/>
    </row>
    <row r="64" spans="1:34" ht="15">
      <c r="A64" s="390"/>
      <c r="B64" s="259" t="s">
        <v>49</v>
      </c>
      <c r="C64" s="260">
        <v>48</v>
      </c>
      <c r="D64" s="260">
        <v>8</v>
      </c>
      <c r="E64" s="263"/>
      <c r="F64" s="263"/>
      <c r="G64" s="262">
        <v>8</v>
      </c>
      <c r="H64" s="262">
        <v>8</v>
      </c>
      <c r="I64" s="261">
        <v>8</v>
      </c>
      <c r="J64" s="264"/>
      <c r="K64" s="262">
        <v>8</v>
      </c>
      <c r="L64" s="261">
        <v>8</v>
      </c>
      <c r="M64" s="263"/>
      <c r="N64" s="262">
        <v>8</v>
      </c>
      <c r="O64" s="264"/>
      <c r="P64" s="263"/>
      <c r="Q64" s="264"/>
      <c r="R64" s="264"/>
      <c r="S64" s="263"/>
      <c r="T64" s="263"/>
      <c r="U64" s="264"/>
      <c r="V64" s="264"/>
      <c r="W64" s="263"/>
      <c r="X64" s="264"/>
      <c r="Y64" s="264"/>
      <c r="Z64" s="263"/>
      <c r="AA64" s="263"/>
      <c r="AB64" s="264"/>
      <c r="AC64" s="264"/>
      <c r="AD64" s="263"/>
      <c r="AE64" s="264"/>
      <c r="AF64" s="264"/>
      <c r="AG64" s="265"/>
      <c r="AH64" s="265"/>
    </row>
    <row r="65" spans="1:34" ht="15">
      <c r="A65" s="390"/>
      <c r="B65" s="259" t="s">
        <v>50</v>
      </c>
      <c r="C65" s="260">
        <v>90</v>
      </c>
      <c r="D65" s="260">
        <v>90</v>
      </c>
      <c r="E65" s="263"/>
      <c r="F65" s="263"/>
      <c r="G65" s="262">
        <v>92</v>
      </c>
      <c r="H65" s="262">
        <v>93</v>
      </c>
      <c r="I65" s="261">
        <v>90</v>
      </c>
      <c r="J65" s="264"/>
      <c r="K65" s="262">
        <v>88</v>
      </c>
      <c r="L65" s="261">
        <v>89</v>
      </c>
      <c r="M65" s="263"/>
      <c r="N65" s="262">
        <v>91</v>
      </c>
      <c r="O65" s="264"/>
      <c r="P65" s="263"/>
      <c r="Q65" s="264"/>
      <c r="R65" s="264"/>
      <c r="S65" s="263"/>
      <c r="T65" s="263"/>
      <c r="U65" s="264"/>
      <c r="V65" s="264"/>
      <c r="W65" s="263"/>
      <c r="X65" s="264"/>
      <c r="Y65" s="264"/>
      <c r="Z65" s="263"/>
      <c r="AA65" s="263"/>
      <c r="AB65" s="264"/>
      <c r="AC65" s="264"/>
      <c r="AD65" s="263"/>
      <c r="AE65" s="264"/>
      <c r="AF65" s="264"/>
      <c r="AG65" s="265"/>
      <c r="AH65" s="265"/>
    </row>
    <row r="66" spans="1:34" ht="15">
      <c r="A66" s="390"/>
      <c r="B66" s="259" t="s">
        <v>51</v>
      </c>
      <c r="C66" s="260">
        <v>146.375</v>
      </c>
      <c r="D66" s="260">
        <v>146.375</v>
      </c>
      <c r="E66" s="263"/>
      <c r="F66" s="263"/>
      <c r="G66" s="262">
        <v>151.5</v>
      </c>
      <c r="H66" s="262">
        <v>141.75</v>
      </c>
      <c r="I66" s="261">
        <v>132.75</v>
      </c>
      <c r="J66" s="264"/>
      <c r="K66" s="262">
        <v>171</v>
      </c>
      <c r="L66" s="261">
        <v>135.75</v>
      </c>
      <c r="M66" s="263"/>
      <c r="N66" s="262">
        <v>145.5</v>
      </c>
      <c r="O66" s="264"/>
      <c r="P66" s="263"/>
      <c r="Q66" s="264"/>
      <c r="R66" s="264"/>
      <c r="S66" s="263"/>
      <c r="T66" s="263"/>
      <c r="U66" s="264"/>
      <c r="V66" s="264"/>
      <c r="W66" s="263"/>
      <c r="X66" s="264"/>
      <c r="Y66" s="264"/>
      <c r="Z66" s="263"/>
      <c r="AA66" s="263"/>
      <c r="AB66" s="264"/>
      <c r="AC66" s="264"/>
      <c r="AD66" s="263"/>
      <c r="AE66" s="264"/>
      <c r="AF66" s="264"/>
      <c r="AG66" s="265"/>
      <c r="AH66" s="265"/>
    </row>
    <row r="67" spans="1:34" ht="15">
      <c r="A67" s="391"/>
      <c r="B67" s="267" t="s">
        <v>52</v>
      </c>
      <c r="C67" s="268">
        <v>1.6263999999999998</v>
      </c>
      <c r="D67" s="268">
        <v>1.6263999999999998</v>
      </c>
      <c r="E67" s="270"/>
      <c r="F67" s="270"/>
      <c r="G67" s="268">
        <v>1.6467000000000001</v>
      </c>
      <c r="H67" s="268">
        <v>1.5242</v>
      </c>
      <c r="I67" s="269">
        <v>1.4750000000000001</v>
      </c>
      <c r="J67" s="271"/>
      <c r="K67" s="268">
        <v>1.9432</v>
      </c>
      <c r="L67" s="269">
        <v>1.5253000000000001</v>
      </c>
      <c r="M67" s="270"/>
      <c r="N67" s="268">
        <v>1.5989</v>
      </c>
      <c r="O67" s="271"/>
      <c r="P67" s="270"/>
      <c r="Q67" s="271"/>
      <c r="R67" s="271"/>
      <c r="S67" s="270"/>
      <c r="T67" s="270"/>
      <c r="U67" s="271"/>
      <c r="V67" s="271"/>
      <c r="W67" s="270"/>
      <c r="X67" s="271"/>
      <c r="Y67" s="271"/>
      <c r="Z67" s="270"/>
      <c r="AA67" s="270"/>
      <c r="AB67" s="271"/>
      <c r="AC67" s="271"/>
      <c r="AD67" s="270"/>
      <c r="AE67" s="271"/>
      <c r="AF67" s="271"/>
      <c r="AG67" s="272"/>
      <c r="AH67" s="272"/>
    </row>
    <row r="68" spans="1:34" ht="15">
      <c r="A68" s="389" t="s">
        <v>135</v>
      </c>
      <c r="B68" s="251" t="s">
        <v>45</v>
      </c>
      <c r="C68" s="252">
        <v>7680</v>
      </c>
      <c r="D68" s="252">
        <v>1280</v>
      </c>
      <c r="E68" s="255"/>
      <c r="F68" s="255"/>
      <c r="G68" s="254">
        <v>1280</v>
      </c>
      <c r="H68" s="254">
        <v>1280</v>
      </c>
      <c r="I68" s="253">
        <v>1280</v>
      </c>
      <c r="J68" s="256"/>
      <c r="K68" s="254">
        <v>1280</v>
      </c>
      <c r="L68" s="253">
        <v>1280</v>
      </c>
      <c r="M68" s="255"/>
      <c r="N68" s="254">
        <v>1280</v>
      </c>
      <c r="O68" s="256"/>
      <c r="P68" s="255"/>
      <c r="Q68" s="256"/>
      <c r="R68" s="256"/>
      <c r="S68" s="255"/>
      <c r="T68" s="255"/>
      <c r="U68" s="256"/>
      <c r="V68" s="256"/>
      <c r="W68" s="255"/>
      <c r="X68" s="256"/>
      <c r="Y68" s="256"/>
      <c r="Z68" s="255"/>
      <c r="AA68" s="255"/>
      <c r="AB68" s="256"/>
      <c r="AC68" s="256"/>
      <c r="AD68" s="255"/>
      <c r="AE68" s="256"/>
      <c r="AF68" s="256"/>
      <c r="AG68" s="257"/>
      <c r="AH68" s="257"/>
    </row>
    <row r="69" spans="1:34" ht="15">
      <c r="A69" s="390"/>
      <c r="B69" s="251" t="s">
        <v>46</v>
      </c>
      <c r="C69" s="252">
        <v>7200</v>
      </c>
      <c r="D69" s="252">
        <v>1200</v>
      </c>
      <c r="E69" s="255"/>
      <c r="F69" s="255"/>
      <c r="G69" s="254">
        <v>1200</v>
      </c>
      <c r="H69" s="254">
        <v>1200</v>
      </c>
      <c r="I69" s="253">
        <v>1200</v>
      </c>
      <c r="J69" s="256"/>
      <c r="K69" s="254">
        <v>1200</v>
      </c>
      <c r="L69" s="253">
        <v>1200</v>
      </c>
      <c r="M69" s="255"/>
      <c r="N69" s="254">
        <v>1200</v>
      </c>
      <c r="O69" s="254">
        <v>1200</v>
      </c>
      <c r="P69" s="253">
        <v>1200</v>
      </c>
      <c r="Q69" s="254">
        <v>1200</v>
      </c>
      <c r="R69" s="254">
        <v>1200</v>
      </c>
      <c r="S69" s="253">
        <v>1200</v>
      </c>
      <c r="T69" s="255"/>
      <c r="U69" s="254">
        <v>1200</v>
      </c>
      <c r="V69" s="254">
        <v>1200</v>
      </c>
      <c r="W69" s="253">
        <v>1200</v>
      </c>
      <c r="X69" s="254">
        <v>1080</v>
      </c>
      <c r="Y69" s="254">
        <v>1080</v>
      </c>
      <c r="Z69" s="255"/>
      <c r="AA69" s="255"/>
      <c r="AB69" s="254">
        <v>1440</v>
      </c>
      <c r="AC69" s="254">
        <v>1440</v>
      </c>
      <c r="AD69" s="253">
        <v>1440</v>
      </c>
      <c r="AE69" s="254">
        <v>1440</v>
      </c>
      <c r="AF69" s="254">
        <v>1440</v>
      </c>
      <c r="AG69" s="257"/>
      <c r="AH69" s="257"/>
    </row>
    <row r="70" spans="1:34" ht="15">
      <c r="A70" s="390"/>
      <c r="B70" s="259" t="s">
        <v>47</v>
      </c>
      <c r="C70" s="260">
        <v>7152</v>
      </c>
      <c r="D70" s="260">
        <v>1192</v>
      </c>
      <c r="E70" s="263"/>
      <c r="F70" s="263"/>
      <c r="G70" s="262">
        <v>912</v>
      </c>
      <c r="H70" s="262">
        <v>1164</v>
      </c>
      <c r="I70" s="261">
        <v>1308</v>
      </c>
      <c r="J70" s="264"/>
      <c r="K70" s="262">
        <v>1308</v>
      </c>
      <c r="L70" s="261">
        <v>1236</v>
      </c>
      <c r="M70" s="263"/>
      <c r="N70" s="262">
        <v>1224</v>
      </c>
      <c r="O70" s="264"/>
      <c r="P70" s="263"/>
      <c r="Q70" s="264"/>
      <c r="R70" s="264"/>
      <c r="S70" s="263"/>
      <c r="T70" s="263"/>
      <c r="U70" s="264"/>
      <c r="V70" s="264"/>
      <c r="W70" s="263"/>
      <c r="X70" s="264"/>
      <c r="Y70" s="264"/>
      <c r="Z70" s="263"/>
      <c r="AA70" s="263"/>
      <c r="AB70" s="264"/>
      <c r="AC70" s="264"/>
      <c r="AD70" s="263"/>
      <c r="AE70" s="264"/>
      <c r="AF70" s="264"/>
      <c r="AG70" s="265"/>
      <c r="AH70" s="265"/>
    </row>
    <row r="71" spans="1:34" ht="15">
      <c r="A71" s="390"/>
      <c r="B71" s="259" t="s">
        <v>48</v>
      </c>
      <c r="C71" s="266">
        <v>-48</v>
      </c>
      <c r="D71" s="266">
        <v>-8</v>
      </c>
      <c r="E71" s="263"/>
      <c r="F71" s="263"/>
      <c r="G71" s="264">
        <v>-288</v>
      </c>
      <c r="H71" s="264">
        <v>-36</v>
      </c>
      <c r="I71" s="261">
        <v>108</v>
      </c>
      <c r="J71" s="264"/>
      <c r="K71" s="262">
        <v>108</v>
      </c>
      <c r="L71" s="261">
        <v>36</v>
      </c>
      <c r="M71" s="263"/>
      <c r="N71" s="262">
        <v>24</v>
      </c>
      <c r="O71" s="264"/>
      <c r="P71" s="263"/>
      <c r="Q71" s="264"/>
      <c r="R71" s="264"/>
      <c r="S71" s="263"/>
      <c r="T71" s="263"/>
      <c r="U71" s="264"/>
      <c r="V71" s="264"/>
      <c r="W71" s="263"/>
      <c r="X71" s="264"/>
      <c r="Y71" s="264"/>
      <c r="Z71" s="263"/>
      <c r="AA71" s="263"/>
      <c r="AB71" s="264"/>
      <c r="AC71" s="264"/>
      <c r="AD71" s="263"/>
      <c r="AE71" s="264"/>
      <c r="AF71" s="264"/>
      <c r="AG71" s="265"/>
      <c r="AH71" s="265"/>
    </row>
    <row r="72" spans="1:34" ht="15">
      <c r="A72" s="390"/>
      <c r="B72" s="259" t="s">
        <v>49</v>
      </c>
      <c r="C72" s="260">
        <v>48</v>
      </c>
      <c r="D72" s="260">
        <v>8</v>
      </c>
      <c r="E72" s="263"/>
      <c r="F72" s="263"/>
      <c r="G72" s="262">
        <v>8</v>
      </c>
      <c r="H72" s="262">
        <v>8</v>
      </c>
      <c r="I72" s="261">
        <v>8</v>
      </c>
      <c r="J72" s="264"/>
      <c r="K72" s="262">
        <v>8</v>
      </c>
      <c r="L72" s="261">
        <v>8</v>
      </c>
      <c r="M72" s="263"/>
      <c r="N72" s="262">
        <v>8</v>
      </c>
      <c r="O72" s="264"/>
      <c r="P72" s="263"/>
      <c r="Q72" s="264"/>
      <c r="R72" s="264"/>
      <c r="S72" s="263"/>
      <c r="T72" s="263"/>
      <c r="U72" s="264"/>
      <c r="V72" s="264"/>
      <c r="W72" s="263"/>
      <c r="X72" s="264"/>
      <c r="Y72" s="264"/>
      <c r="Z72" s="263"/>
      <c r="AA72" s="263"/>
      <c r="AB72" s="264"/>
      <c r="AC72" s="264"/>
      <c r="AD72" s="263"/>
      <c r="AE72" s="264"/>
      <c r="AF72" s="264"/>
      <c r="AG72" s="265"/>
      <c r="AH72" s="265"/>
    </row>
    <row r="73" spans="1:34" ht="15">
      <c r="A73" s="390"/>
      <c r="B73" s="259" t="s">
        <v>50</v>
      </c>
      <c r="C73" s="260">
        <v>82</v>
      </c>
      <c r="D73" s="260">
        <v>82</v>
      </c>
      <c r="E73" s="263"/>
      <c r="F73" s="263"/>
      <c r="G73" s="262">
        <v>84</v>
      </c>
      <c r="H73" s="262">
        <v>84</v>
      </c>
      <c r="I73" s="261">
        <v>84</v>
      </c>
      <c r="J73" s="264"/>
      <c r="K73" s="262">
        <v>83</v>
      </c>
      <c r="L73" s="261">
        <v>80</v>
      </c>
      <c r="M73" s="263"/>
      <c r="N73" s="262">
        <v>82</v>
      </c>
      <c r="O73" s="264"/>
      <c r="P73" s="263"/>
      <c r="Q73" s="264"/>
      <c r="R73" s="264"/>
      <c r="S73" s="263"/>
      <c r="T73" s="263"/>
      <c r="U73" s="264"/>
      <c r="V73" s="264"/>
      <c r="W73" s="263"/>
      <c r="X73" s="264"/>
      <c r="Y73" s="264"/>
      <c r="Z73" s="263"/>
      <c r="AA73" s="263"/>
      <c r="AB73" s="264"/>
      <c r="AC73" s="264"/>
      <c r="AD73" s="263"/>
      <c r="AE73" s="264"/>
      <c r="AF73" s="264"/>
      <c r="AG73" s="265"/>
      <c r="AH73" s="265"/>
    </row>
    <row r="74" spans="1:34" ht="15">
      <c r="A74" s="390"/>
      <c r="B74" s="259" t="s">
        <v>51</v>
      </c>
      <c r="C74" s="260">
        <v>149</v>
      </c>
      <c r="D74" s="260">
        <v>149</v>
      </c>
      <c r="E74" s="263"/>
      <c r="F74" s="263"/>
      <c r="G74" s="262">
        <v>114</v>
      </c>
      <c r="H74" s="262">
        <v>145.5</v>
      </c>
      <c r="I74" s="261">
        <v>163.5</v>
      </c>
      <c r="J74" s="264"/>
      <c r="K74" s="262">
        <v>163.5</v>
      </c>
      <c r="L74" s="261">
        <v>154.5</v>
      </c>
      <c r="M74" s="263"/>
      <c r="N74" s="262">
        <v>153</v>
      </c>
      <c r="O74" s="264"/>
      <c r="P74" s="263"/>
      <c r="Q74" s="264"/>
      <c r="R74" s="264"/>
      <c r="S74" s="263"/>
      <c r="T74" s="263"/>
      <c r="U74" s="264"/>
      <c r="V74" s="264"/>
      <c r="W74" s="263"/>
      <c r="X74" s="264"/>
      <c r="Y74" s="264"/>
      <c r="Z74" s="263"/>
      <c r="AA74" s="263"/>
      <c r="AB74" s="264"/>
      <c r="AC74" s="264"/>
      <c r="AD74" s="263"/>
      <c r="AE74" s="264"/>
      <c r="AF74" s="264"/>
      <c r="AG74" s="265"/>
      <c r="AH74" s="265"/>
    </row>
    <row r="75" spans="1:34" ht="15">
      <c r="A75" s="391"/>
      <c r="B75" s="267" t="s">
        <v>52</v>
      </c>
      <c r="C75" s="268">
        <v>1.8170999999999999</v>
      </c>
      <c r="D75" s="268">
        <v>1.8170999999999999</v>
      </c>
      <c r="E75" s="270"/>
      <c r="F75" s="270"/>
      <c r="G75" s="268">
        <v>1.3571</v>
      </c>
      <c r="H75" s="268">
        <v>1.7321</v>
      </c>
      <c r="I75" s="269">
        <v>1.9464000000000001</v>
      </c>
      <c r="J75" s="271"/>
      <c r="K75" s="268">
        <v>1.9699</v>
      </c>
      <c r="L75" s="269">
        <v>1.9313</v>
      </c>
      <c r="M75" s="270"/>
      <c r="N75" s="268">
        <v>1.8658999999999999</v>
      </c>
      <c r="O75" s="271"/>
      <c r="P75" s="270"/>
      <c r="Q75" s="271"/>
      <c r="R75" s="271"/>
      <c r="S75" s="270"/>
      <c r="T75" s="270"/>
      <c r="U75" s="271"/>
      <c r="V75" s="271"/>
      <c r="W75" s="270"/>
      <c r="X75" s="271"/>
      <c r="Y75" s="271"/>
      <c r="Z75" s="270"/>
      <c r="AA75" s="270"/>
      <c r="AB75" s="271"/>
      <c r="AC75" s="271"/>
      <c r="AD75" s="270"/>
      <c r="AE75" s="271"/>
      <c r="AF75" s="271"/>
      <c r="AG75" s="272"/>
      <c r="AH75" s="272"/>
    </row>
    <row r="76" spans="1:34" ht="15">
      <c r="A76" s="389" t="s">
        <v>136</v>
      </c>
      <c r="B76" s="251" t="s">
        <v>45</v>
      </c>
      <c r="C76" s="252">
        <v>10376</v>
      </c>
      <c r="D76" s="252">
        <v>1729.3333333333333</v>
      </c>
      <c r="E76" s="255"/>
      <c r="F76" s="255"/>
      <c r="G76" s="254">
        <v>1640</v>
      </c>
      <c r="H76" s="254">
        <v>1760</v>
      </c>
      <c r="I76" s="253">
        <v>1760</v>
      </c>
      <c r="J76" s="256"/>
      <c r="K76" s="254">
        <v>1760</v>
      </c>
      <c r="L76" s="253">
        <v>1760</v>
      </c>
      <c r="M76" s="255"/>
      <c r="N76" s="254">
        <v>1696</v>
      </c>
      <c r="O76" s="256"/>
      <c r="P76" s="255"/>
      <c r="Q76" s="256"/>
      <c r="R76" s="256"/>
      <c r="S76" s="255"/>
      <c r="T76" s="255"/>
      <c r="U76" s="256"/>
      <c r="V76" s="256"/>
      <c r="W76" s="255"/>
      <c r="X76" s="256"/>
      <c r="Y76" s="256"/>
      <c r="Z76" s="255"/>
      <c r="AA76" s="255"/>
      <c r="AB76" s="256"/>
      <c r="AC76" s="256"/>
      <c r="AD76" s="255"/>
      <c r="AE76" s="256"/>
      <c r="AF76" s="256"/>
      <c r="AG76" s="257"/>
      <c r="AH76" s="257"/>
    </row>
    <row r="77" spans="1:34" ht="15">
      <c r="A77" s="390"/>
      <c r="B77" s="251" t="s">
        <v>46</v>
      </c>
      <c r="C77" s="252">
        <v>9600</v>
      </c>
      <c r="D77" s="252">
        <v>1600</v>
      </c>
      <c r="E77" s="255"/>
      <c r="F77" s="255"/>
      <c r="G77" s="254">
        <v>1600</v>
      </c>
      <c r="H77" s="254">
        <v>1600</v>
      </c>
      <c r="I77" s="253">
        <v>1600</v>
      </c>
      <c r="J77" s="256"/>
      <c r="K77" s="254">
        <v>1600</v>
      </c>
      <c r="L77" s="253">
        <v>1600</v>
      </c>
      <c r="M77" s="255"/>
      <c r="N77" s="254">
        <v>1600</v>
      </c>
      <c r="O77" s="254">
        <v>1600</v>
      </c>
      <c r="P77" s="253">
        <v>1600</v>
      </c>
      <c r="Q77" s="254">
        <v>1600</v>
      </c>
      <c r="R77" s="254">
        <v>1600</v>
      </c>
      <c r="S77" s="253">
        <v>1600</v>
      </c>
      <c r="T77" s="255"/>
      <c r="U77" s="254">
        <v>1600</v>
      </c>
      <c r="V77" s="254">
        <v>1600</v>
      </c>
      <c r="W77" s="253">
        <v>1600</v>
      </c>
      <c r="X77" s="254">
        <v>1600</v>
      </c>
      <c r="Y77" s="254">
        <v>1600</v>
      </c>
      <c r="Z77" s="255"/>
      <c r="AA77" s="255"/>
      <c r="AB77" s="254">
        <v>1600</v>
      </c>
      <c r="AC77" s="254">
        <v>1600</v>
      </c>
      <c r="AD77" s="253">
        <v>1600</v>
      </c>
      <c r="AE77" s="254">
        <v>1600</v>
      </c>
      <c r="AF77" s="254">
        <v>1600</v>
      </c>
      <c r="AG77" s="257"/>
      <c r="AH77" s="257"/>
    </row>
    <row r="78" spans="1:34" ht="15">
      <c r="A78" s="390"/>
      <c r="B78" s="259" t="s">
        <v>47</v>
      </c>
      <c r="C78" s="260">
        <v>8844</v>
      </c>
      <c r="D78" s="260">
        <v>1474</v>
      </c>
      <c r="E78" s="263"/>
      <c r="F78" s="263"/>
      <c r="G78" s="262">
        <v>1404</v>
      </c>
      <c r="H78" s="262">
        <v>1572</v>
      </c>
      <c r="I78" s="261">
        <v>1572</v>
      </c>
      <c r="J78" s="264"/>
      <c r="K78" s="262">
        <v>1584</v>
      </c>
      <c r="L78" s="261">
        <v>1224</v>
      </c>
      <c r="M78" s="263"/>
      <c r="N78" s="262">
        <v>1488</v>
      </c>
      <c r="O78" s="264"/>
      <c r="P78" s="263"/>
      <c r="Q78" s="264"/>
      <c r="R78" s="264"/>
      <c r="S78" s="263"/>
      <c r="T78" s="263"/>
      <c r="U78" s="264"/>
      <c r="V78" s="264"/>
      <c r="W78" s="263"/>
      <c r="X78" s="264"/>
      <c r="Y78" s="264"/>
      <c r="Z78" s="263"/>
      <c r="AA78" s="263"/>
      <c r="AB78" s="264"/>
      <c r="AC78" s="264"/>
      <c r="AD78" s="263"/>
      <c r="AE78" s="264"/>
      <c r="AF78" s="264"/>
      <c r="AG78" s="265"/>
      <c r="AH78" s="265"/>
    </row>
    <row r="79" spans="1:34" ht="15">
      <c r="A79" s="390"/>
      <c r="B79" s="259" t="s">
        <v>48</v>
      </c>
      <c r="C79" s="266">
        <v>-756</v>
      </c>
      <c r="D79" s="266">
        <v>-126</v>
      </c>
      <c r="E79" s="263"/>
      <c r="F79" s="263"/>
      <c r="G79" s="264">
        <v>-196</v>
      </c>
      <c r="H79" s="264">
        <v>-28</v>
      </c>
      <c r="I79" s="263">
        <v>-28</v>
      </c>
      <c r="J79" s="264"/>
      <c r="K79" s="264">
        <v>-16</v>
      </c>
      <c r="L79" s="263">
        <v>-376</v>
      </c>
      <c r="M79" s="263"/>
      <c r="N79" s="264">
        <v>-112</v>
      </c>
      <c r="O79" s="264"/>
      <c r="P79" s="263"/>
      <c r="Q79" s="264"/>
      <c r="R79" s="264"/>
      <c r="S79" s="263"/>
      <c r="T79" s="263"/>
      <c r="U79" s="264"/>
      <c r="V79" s="264"/>
      <c r="W79" s="263"/>
      <c r="X79" s="264"/>
      <c r="Y79" s="264"/>
      <c r="Z79" s="263"/>
      <c r="AA79" s="263"/>
      <c r="AB79" s="264"/>
      <c r="AC79" s="264"/>
      <c r="AD79" s="263"/>
      <c r="AE79" s="264"/>
      <c r="AF79" s="264"/>
      <c r="AG79" s="265"/>
      <c r="AH79" s="265"/>
    </row>
    <row r="80" spans="1:34" ht="15">
      <c r="A80" s="390"/>
      <c r="B80" s="259" t="s">
        <v>49</v>
      </c>
      <c r="C80" s="260">
        <v>48</v>
      </c>
      <c r="D80" s="260">
        <v>8</v>
      </c>
      <c r="E80" s="263"/>
      <c r="F80" s="263"/>
      <c r="G80" s="262">
        <v>8</v>
      </c>
      <c r="H80" s="262">
        <v>8</v>
      </c>
      <c r="I80" s="261">
        <v>8</v>
      </c>
      <c r="J80" s="264"/>
      <c r="K80" s="262">
        <v>8</v>
      </c>
      <c r="L80" s="261">
        <v>8</v>
      </c>
      <c r="M80" s="263"/>
      <c r="N80" s="262">
        <v>8</v>
      </c>
      <c r="O80" s="264"/>
      <c r="P80" s="263"/>
      <c r="Q80" s="264"/>
      <c r="R80" s="264"/>
      <c r="S80" s="263"/>
      <c r="T80" s="263"/>
      <c r="U80" s="264"/>
      <c r="V80" s="264"/>
      <c r="W80" s="263"/>
      <c r="X80" s="264"/>
      <c r="Y80" s="264"/>
      <c r="Z80" s="263"/>
      <c r="AA80" s="263"/>
      <c r="AB80" s="264"/>
      <c r="AC80" s="264"/>
      <c r="AD80" s="263"/>
      <c r="AE80" s="264"/>
      <c r="AF80" s="264"/>
      <c r="AG80" s="265"/>
      <c r="AH80" s="265"/>
    </row>
    <row r="81" spans="1:34" ht="15">
      <c r="A81" s="390"/>
      <c r="B81" s="259" t="s">
        <v>50</v>
      </c>
      <c r="C81" s="260">
        <v>93</v>
      </c>
      <c r="D81" s="260">
        <v>93</v>
      </c>
      <c r="E81" s="263"/>
      <c r="F81" s="263"/>
      <c r="G81" s="262">
        <v>95</v>
      </c>
      <c r="H81" s="262">
        <v>96</v>
      </c>
      <c r="I81" s="261">
        <v>94</v>
      </c>
      <c r="J81" s="264"/>
      <c r="K81" s="262">
        <v>92</v>
      </c>
      <c r="L81" s="261">
        <v>94</v>
      </c>
      <c r="M81" s="263"/>
      <c r="N81" s="262">
        <v>91</v>
      </c>
      <c r="O81" s="264"/>
      <c r="P81" s="263"/>
      <c r="Q81" s="264"/>
      <c r="R81" s="264"/>
      <c r="S81" s="263"/>
      <c r="T81" s="263"/>
      <c r="U81" s="264"/>
      <c r="V81" s="264"/>
      <c r="W81" s="263"/>
      <c r="X81" s="264"/>
      <c r="Y81" s="264"/>
      <c r="Z81" s="263"/>
      <c r="AA81" s="263"/>
      <c r="AB81" s="264"/>
      <c r="AC81" s="264"/>
      <c r="AD81" s="263"/>
      <c r="AE81" s="264"/>
      <c r="AF81" s="264"/>
      <c r="AG81" s="265"/>
      <c r="AH81" s="265"/>
    </row>
    <row r="82" spans="1:34" ht="15">
      <c r="A82" s="390"/>
      <c r="B82" s="259" t="s">
        <v>51</v>
      </c>
      <c r="C82" s="260">
        <v>184.25</v>
      </c>
      <c r="D82" s="260">
        <v>184.25</v>
      </c>
      <c r="E82" s="263"/>
      <c r="F82" s="263"/>
      <c r="G82" s="262">
        <v>175.5</v>
      </c>
      <c r="H82" s="262">
        <v>196.5</v>
      </c>
      <c r="I82" s="261">
        <v>196.5</v>
      </c>
      <c r="J82" s="264"/>
      <c r="K82" s="262">
        <v>198</v>
      </c>
      <c r="L82" s="261">
        <v>153</v>
      </c>
      <c r="M82" s="263"/>
      <c r="N82" s="262">
        <v>186</v>
      </c>
      <c r="O82" s="264"/>
      <c r="P82" s="263"/>
      <c r="Q82" s="264"/>
      <c r="R82" s="264"/>
      <c r="S82" s="263"/>
      <c r="T82" s="263"/>
      <c r="U82" s="264"/>
      <c r="V82" s="264"/>
      <c r="W82" s="263"/>
      <c r="X82" s="264"/>
      <c r="Y82" s="264"/>
      <c r="Z82" s="263"/>
      <c r="AA82" s="263"/>
      <c r="AB82" s="264"/>
      <c r="AC82" s="264"/>
      <c r="AD82" s="263"/>
      <c r="AE82" s="264"/>
      <c r="AF82" s="264"/>
      <c r="AG82" s="265"/>
      <c r="AH82" s="265"/>
    </row>
    <row r="83" spans="1:34" ht="15">
      <c r="A83" s="391"/>
      <c r="B83" s="267" t="s">
        <v>52</v>
      </c>
      <c r="C83" s="268">
        <v>1.9811999999999999</v>
      </c>
      <c r="D83" s="268">
        <v>1.9811999999999999</v>
      </c>
      <c r="E83" s="270"/>
      <c r="F83" s="270"/>
      <c r="G83" s="268">
        <v>1.8473999999999999</v>
      </c>
      <c r="H83" s="268">
        <v>2.0468999999999999</v>
      </c>
      <c r="I83" s="269">
        <v>2.0903999999999998</v>
      </c>
      <c r="J83" s="271"/>
      <c r="K83" s="268">
        <v>2.1522000000000001</v>
      </c>
      <c r="L83" s="269">
        <v>1.6276999999999999</v>
      </c>
      <c r="M83" s="270"/>
      <c r="N83" s="268">
        <v>2.044</v>
      </c>
      <c r="O83" s="271"/>
      <c r="P83" s="270"/>
      <c r="Q83" s="271"/>
      <c r="R83" s="271"/>
      <c r="S83" s="270"/>
      <c r="T83" s="270"/>
      <c r="U83" s="271"/>
      <c r="V83" s="271"/>
      <c r="W83" s="270"/>
      <c r="X83" s="271"/>
      <c r="Y83" s="271"/>
      <c r="Z83" s="270"/>
      <c r="AA83" s="270"/>
      <c r="AB83" s="271"/>
      <c r="AC83" s="271"/>
      <c r="AD83" s="270"/>
      <c r="AE83" s="271"/>
      <c r="AF83" s="271"/>
      <c r="AG83" s="272"/>
      <c r="AH83" s="272"/>
    </row>
    <row r="84" spans="1:34" ht="15">
      <c r="A84" s="389" t="s">
        <v>137</v>
      </c>
      <c r="B84" s="251" t="s">
        <v>45</v>
      </c>
      <c r="C84" s="252">
        <v>10560</v>
      </c>
      <c r="D84" s="252">
        <v>1760</v>
      </c>
      <c r="E84" s="255"/>
      <c r="F84" s="255"/>
      <c r="G84" s="254">
        <v>1760</v>
      </c>
      <c r="H84" s="254">
        <v>1760</v>
      </c>
      <c r="I84" s="253">
        <v>1760</v>
      </c>
      <c r="J84" s="256"/>
      <c r="K84" s="254">
        <v>1760</v>
      </c>
      <c r="L84" s="253">
        <v>1760</v>
      </c>
      <c r="M84" s="255"/>
      <c r="N84" s="254">
        <v>1760</v>
      </c>
      <c r="O84" s="256"/>
      <c r="P84" s="255"/>
      <c r="Q84" s="256"/>
      <c r="R84" s="256"/>
      <c r="S84" s="255"/>
      <c r="T84" s="255"/>
      <c r="U84" s="256"/>
      <c r="V84" s="256"/>
      <c r="W84" s="255"/>
      <c r="X84" s="256"/>
      <c r="Y84" s="256"/>
      <c r="Z84" s="255"/>
      <c r="AA84" s="255"/>
      <c r="AB84" s="256"/>
      <c r="AC84" s="256"/>
      <c r="AD84" s="255"/>
      <c r="AE84" s="256"/>
      <c r="AF84" s="256"/>
      <c r="AG84" s="257"/>
      <c r="AH84" s="257"/>
    </row>
    <row r="85" spans="1:34" ht="15">
      <c r="A85" s="390"/>
      <c r="B85" s="251" t="s">
        <v>46</v>
      </c>
      <c r="C85" s="252">
        <v>10080</v>
      </c>
      <c r="D85" s="252">
        <v>1680</v>
      </c>
      <c r="E85" s="255"/>
      <c r="F85" s="255"/>
      <c r="G85" s="254">
        <v>1680</v>
      </c>
      <c r="H85" s="254">
        <v>1680</v>
      </c>
      <c r="I85" s="253">
        <v>1680</v>
      </c>
      <c r="J85" s="256"/>
      <c r="K85" s="254">
        <v>1680</v>
      </c>
      <c r="L85" s="253">
        <v>1680</v>
      </c>
      <c r="M85" s="255"/>
      <c r="N85" s="254">
        <v>1680</v>
      </c>
      <c r="O85" s="254">
        <v>1680</v>
      </c>
      <c r="P85" s="253">
        <v>1680</v>
      </c>
      <c r="Q85" s="254">
        <v>1680</v>
      </c>
      <c r="R85" s="254">
        <v>1680</v>
      </c>
      <c r="S85" s="253">
        <v>1680</v>
      </c>
      <c r="T85" s="255"/>
      <c r="U85" s="254">
        <v>1680</v>
      </c>
      <c r="V85" s="254">
        <v>1680</v>
      </c>
      <c r="W85" s="253">
        <v>1680</v>
      </c>
      <c r="X85" s="254">
        <v>1680</v>
      </c>
      <c r="Y85" s="254">
        <v>1680</v>
      </c>
      <c r="Z85" s="255"/>
      <c r="AA85" s="255"/>
      <c r="AB85" s="254">
        <v>1680</v>
      </c>
      <c r="AC85" s="254">
        <v>1680</v>
      </c>
      <c r="AD85" s="253">
        <v>1680</v>
      </c>
      <c r="AE85" s="254">
        <v>1680</v>
      </c>
      <c r="AF85" s="254">
        <v>1680</v>
      </c>
      <c r="AG85" s="257"/>
      <c r="AH85" s="257"/>
    </row>
    <row r="86" spans="1:34" ht="15">
      <c r="A86" s="390"/>
      <c r="B86" s="259" t="s">
        <v>47</v>
      </c>
      <c r="C86" s="260">
        <v>9660</v>
      </c>
      <c r="D86" s="260">
        <v>1610</v>
      </c>
      <c r="E86" s="263"/>
      <c r="F86" s="263"/>
      <c r="G86" s="262">
        <v>1632</v>
      </c>
      <c r="H86" s="262">
        <v>1752</v>
      </c>
      <c r="I86" s="261">
        <v>1608</v>
      </c>
      <c r="J86" s="264"/>
      <c r="K86" s="262">
        <v>1680</v>
      </c>
      <c r="L86" s="261">
        <v>1494</v>
      </c>
      <c r="M86" s="263"/>
      <c r="N86" s="262">
        <v>1494</v>
      </c>
      <c r="O86" s="264"/>
      <c r="P86" s="263"/>
      <c r="Q86" s="264"/>
      <c r="R86" s="264"/>
      <c r="S86" s="263"/>
      <c r="T86" s="263"/>
      <c r="U86" s="264"/>
      <c r="V86" s="264"/>
      <c r="W86" s="263"/>
      <c r="X86" s="264"/>
      <c r="Y86" s="264"/>
      <c r="Z86" s="263"/>
      <c r="AA86" s="263"/>
      <c r="AB86" s="264"/>
      <c r="AC86" s="264"/>
      <c r="AD86" s="263"/>
      <c r="AE86" s="264"/>
      <c r="AF86" s="264"/>
      <c r="AG86" s="265"/>
      <c r="AH86" s="265"/>
    </row>
    <row r="87" spans="1:34" ht="15">
      <c r="A87" s="390"/>
      <c r="B87" s="259" t="s">
        <v>48</v>
      </c>
      <c r="C87" s="266">
        <v>-420</v>
      </c>
      <c r="D87" s="266">
        <v>-70</v>
      </c>
      <c r="E87" s="263"/>
      <c r="F87" s="263"/>
      <c r="G87" s="264">
        <v>-48</v>
      </c>
      <c r="H87" s="262">
        <v>72</v>
      </c>
      <c r="I87" s="263">
        <v>-72</v>
      </c>
      <c r="J87" s="264"/>
      <c r="K87" s="262">
        <v>0</v>
      </c>
      <c r="L87" s="263">
        <v>-186</v>
      </c>
      <c r="M87" s="263"/>
      <c r="N87" s="264">
        <v>-186</v>
      </c>
      <c r="O87" s="264"/>
      <c r="P87" s="263"/>
      <c r="Q87" s="264"/>
      <c r="R87" s="264"/>
      <c r="S87" s="263"/>
      <c r="T87" s="263"/>
      <c r="U87" s="264"/>
      <c r="V87" s="264"/>
      <c r="W87" s="263"/>
      <c r="X87" s="264"/>
      <c r="Y87" s="264"/>
      <c r="Z87" s="263"/>
      <c r="AA87" s="263"/>
      <c r="AB87" s="264"/>
      <c r="AC87" s="264"/>
      <c r="AD87" s="263"/>
      <c r="AE87" s="264"/>
      <c r="AF87" s="264"/>
      <c r="AG87" s="265"/>
      <c r="AH87" s="265"/>
    </row>
    <row r="88" spans="1:34" ht="15">
      <c r="A88" s="390"/>
      <c r="B88" s="259" t="s">
        <v>49</v>
      </c>
      <c r="C88" s="260">
        <v>48</v>
      </c>
      <c r="D88" s="260">
        <v>8</v>
      </c>
      <c r="E88" s="263"/>
      <c r="F88" s="263"/>
      <c r="G88" s="262">
        <v>8</v>
      </c>
      <c r="H88" s="262">
        <v>8</v>
      </c>
      <c r="I88" s="261">
        <v>8</v>
      </c>
      <c r="J88" s="264"/>
      <c r="K88" s="262">
        <v>8</v>
      </c>
      <c r="L88" s="261">
        <v>8</v>
      </c>
      <c r="M88" s="263"/>
      <c r="N88" s="262">
        <v>8</v>
      </c>
      <c r="O88" s="264"/>
      <c r="P88" s="263"/>
      <c r="Q88" s="264"/>
      <c r="R88" s="264"/>
      <c r="S88" s="263"/>
      <c r="T88" s="263"/>
      <c r="U88" s="264"/>
      <c r="V88" s="264"/>
      <c r="W88" s="263"/>
      <c r="X88" s="264"/>
      <c r="Y88" s="264"/>
      <c r="Z88" s="263"/>
      <c r="AA88" s="263"/>
      <c r="AB88" s="264"/>
      <c r="AC88" s="264"/>
      <c r="AD88" s="263"/>
      <c r="AE88" s="264"/>
      <c r="AF88" s="264"/>
      <c r="AG88" s="265"/>
      <c r="AH88" s="265"/>
    </row>
    <row r="89" spans="1:34" ht="15">
      <c r="A89" s="390"/>
      <c r="B89" s="259" t="s">
        <v>50</v>
      </c>
      <c r="C89" s="260">
        <v>61</v>
      </c>
      <c r="D89" s="260">
        <v>61</v>
      </c>
      <c r="E89" s="263"/>
      <c r="F89" s="263"/>
      <c r="G89" s="262">
        <v>61</v>
      </c>
      <c r="H89" s="262">
        <v>62</v>
      </c>
      <c r="I89" s="261">
        <v>63</v>
      </c>
      <c r="J89" s="264"/>
      <c r="K89" s="262">
        <v>60</v>
      </c>
      <c r="L89" s="261">
        <v>60</v>
      </c>
      <c r="M89" s="263"/>
      <c r="N89" s="262">
        <v>61</v>
      </c>
      <c r="O89" s="264"/>
      <c r="P89" s="263"/>
      <c r="Q89" s="264"/>
      <c r="R89" s="264"/>
      <c r="S89" s="263"/>
      <c r="T89" s="263"/>
      <c r="U89" s="264"/>
      <c r="V89" s="264"/>
      <c r="W89" s="263"/>
      <c r="X89" s="264"/>
      <c r="Y89" s="264"/>
      <c r="Z89" s="263"/>
      <c r="AA89" s="263"/>
      <c r="AB89" s="264"/>
      <c r="AC89" s="264"/>
      <c r="AD89" s="263"/>
      <c r="AE89" s="264"/>
      <c r="AF89" s="264"/>
      <c r="AG89" s="265"/>
      <c r="AH89" s="265"/>
    </row>
    <row r="90" spans="1:34" ht="15">
      <c r="A90" s="390"/>
      <c r="B90" s="259" t="s">
        <v>51</v>
      </c>
      <c r="C90" s="260">
        <v>201.25</v>
      </c>
      <c r="D90" s="260">
        <v>201.25</v>
      </c>
      <c r="E90" s="263"/>
      <c r="F90" s="263"/>
      <c r="G90" s="262">
        <v>204</v>
      </c>
      <c r="H90" s="262">
        <v>219</v>
      </c>
      <c r="I90" s="261">
        <v>201</v>
      </c>
      <c r="J90" s="264"/>
      <c r="K90" s="262">
        <v>210</v>
      </c>
      <c r="L90" s="261">
        <v>186.75</v>
      </c>
      <c r="M90" s="263"/>
      <c r="N90" s="262">
        <v>186.75</v>
      </c>
      <c r="O90" s="264"/>
      <c r="P90" s="263"/>
      <c r="Q90" s="264"/>
      <c r="R90" s="264"/>
      <c r="S90" s="263"/>
      <c r="T90" s="263"/>
      <c r="U90" s="264"/>
      <c r="V90" s="264"/>
      <c r="W90" s="263"/>
      <c r="X90" s="264"/>
      <c r="Y90" s="264"/>
      <c r="Z90" s="263"/>
      <c r="AA90" s="263"/>
      <c r="AB90" s="264"/>
      <c r="AC90" s="264"/>
      <c r="AD90" s="263"/>
      <c r="AE90" s="264"/>
      <c r="AF90" s="264"/>
      <c r="AG90" s="265"/>
      <c r="AH90" s="265"/>
    </row>
    <row r="91" spans="1:34" ht="15">
      <c r="A91" s="391"/>
      <c r="B91" s="267" t="s">
        <v>52</v>
      </c>
      <c r="C91" s="268">
        <v>3.2991999999999999</v>
      </c>
      <c r="D91" s="268">
        <v>3.2991999999999999</v>
      </c>
      <c r="E91" s="270"/>
      <c r="F91" s="270"/>
      <c r="G91" s="268">
        <v>3.3443000000000001</v>
      </c>
      <c r="H91" s="268">
        <v>3.5323000000000002</v>
      </c>
      <c r="I91" s="269">
        <v>3.1905000000000001</v>
      </c>
      <c r="J91" s="271"/>
      <c r="K91" s="268">
        <v>3.5</v>
      </c>
      <c r="L91" s="269">
        <v>3.1124999999999998</v>
      </c>
      <c r="M91" s="270"/>
      <c r="N91" s="268">
        <v>3.0615000000000001</v>
      </c>
      <c r="O91" s="271"/>
      <c r="P91" s="270"/>
      <c r="Q91" s="271"/>
      <c r="R91" s="271"/>
      <c r="S91" s="270"/>
      <c r="T91" s="270"/>
      <c r="U91" s="271"/>
      <c r="V91" s="271"/>
      <c r="W91" s="270"/>
      <c r="X91" s="271"/>
      <c r="Y91" s="271"/>
      <c r="Z91" s="270"/>
      <c r="AA91" s="270"/>
      <c r="AB91" s="271"/>
      <c r="AC91" s="271"/>
      <c r="AD91" s="270"/>
      <c r="AE91" s="271"/>
      <c r="AF91" s="271"/>
      <c r="AG91" s="272"/>
      <c r="AH91" s="272"/>
    </row>
    <row r="92" spans="1:34" ht="15">
      <c r="A92" s="389" t="s">
        <v>138</v>
      </c>
      <c r="B92" s="251" t="s">
        <v>45</v>
      </c>
      <c r="C92" s="252">
        <v>10560</v>
      </c>
      <c r="D92" s="252">
        <v>1760</v>
      </c>
      <c r="E92" s="255"/>
      <c r="F92" s="255"/>
      <c r="G92" s="254">
        <v>1760</v>
      </c>
      <c r="H92" s="254">
        <v>1760</v>
      </c>
      <c r="I92" s="253">
        <v>1760</v>
      </c>
      <c r="J92" s="256"/>
      <c r="K92" s="254">
        <v>1760</v>
      </c>
      <c r="L92" s="253">
        <v>1760</v>
      </c>
      <c r="M92" s="255"/>
      <c r="N92" s="254">
        <v>1760</v>
      </c>
      <c r="O92" s="256"/>
      <c r="P92" s="255"/>
      <c r="Q92" s="256"/>
      <c r="R92" s="256"/>
      <c r="S92" s="255"/>
      <c r="T92" s="255"/>
      <c r="U92" s="256"/>
      <c r="V92" s="256"/>
      <c r="W92" s="255"/>
      <c r="X92" s="256"/>
      <c r="Y92" s="256"/>
      <c r="Z92" s="255"/>
      <c r="AA92" s="255"/>
      <c r="AB92" s="256"/>
      <c r="AC92" s="256"/>
      <c r="AD92" s="255"/>
      <c r="AE92" s="256"/>
      <c r="AF92" s="256"/>
      <c r="AG92" s="257"/>
      <c r="AH92" s="257"/>
    </row>
    <row r="93" spans="1:34" ht="15">
      <c r="A93" s="390"/>
      <c r="B93" s="251" t="s">
        <v>46</v>
      </c>
      <c r="C93" s="252">
        <v>10080</v>
      </c>
      <c r="D93" s="252">
        <v>1680</v>
      </c>
      <c r="E93" s="255"/>
      <c r="F93" s="255"/>
      <c r="G93" s="254">
        <v>1680</v>
      </c>
      <c r="H93" s="254">
        <v>1680</v>
      </c>
      <c r="I93" s="253">
        <v>1680</v>
      </c>
      <c r="J93" s="256"/>
      <c r="K93" s="254">
        <v>1680</v>
      </c>
      <c r="L93" s="253">
        <v>1680</v>
      </c>
      <c r="M93" s="255"/>
      <c r="N93" s="254">
        <v>1680</v>
      </c>
      <c r="O93" s="254">
        <v>1680</v>
      </c>
      <c r="P93" s="253">
        <v>1680</v>
      </c>
      <c r="Q93" s="254">
        <v>1680</v>
      </c>
      <c r="R93" s="254">
        <v>1680</v>
      </c>
      <c r="S93" s="253">
        <v>1680</v>
      </c>
      <c r="T93" s="255"/>
      <c r="U93" s="254">
        <v>1680</v>
      </c>
      <c r="V93" s="254">
        <v>1680</v>
      </c>
      <c r="W93" s="253">
        <v>1680</v>
      </c>
      <c r="X93" s="254">
        <v>1680</v>
      </c>
      <c r="Y93" s="254">
        <v>1680</v>
      </c>
      <c r="Z93" s="255"/>
      <c r="AA93" s="255"/>
      <c r="AB93" s="254">
        <v>1680</v>
      </c>
      <c r="AC93" s="254">
        <v>1680</v>
      </c>
      <c r="AD93" s="253">
        <v>1680</v>
      </c>
      <c r="AE93" s="254">
        <v>1680</v>
      </c>
      <c r="AF93" s="254">
        <v>1680</v>
      </c>
      <c r="AG93" s="257"/>
      <c r="AH93" s="257"/>
    </row>
    <row r="94" spans="1:34" ht="15">
      <c r="A94" s="390"/>
      <c r="B94" s="259" t="s">
        <v>47</v>
      </c>
      <c r="C94" s="260">
        <v>9456</v>
      </c>
      <c r="D94" s="260">
        <v>1576</v>
      </c>
      <c r="E94" s="263"/>
      <c r="F94" s="263"/>
      <c r="G94" s="262">
        <v>1596</v>
      </c>
      <c r="H94" s="262">
        <v>1656</v>
      </c>
      <c r="I94" s="261">
        <v>1404</v>
      </c>
      <c r="J94" s="264"/>
      <c r="K94" s="262">
        <v>1548</v>
      </c>
      <c r="L94" s="261">
        <v>1602</v>
      </c>
      <c r="M94" s="263"/>
      <c r="N94" s="262">
        <v>1650</v>
      </c>
      <c r="O94" s="264"/>
      <c r="P94" s="263"/>
      <c r="Q94" s="264"/>
      <c r="R94" s="264"/>
      <c r="S94" s="263"/>
      <c r="T94" s="263"/>
      <c r="U94" s="264"/>
      <c r="V94" s="264"/>
      <c r="W94" s="263"/>
      <c r="X94" s="264"/>
      <c r="Y94" s="264"/>
      <c r="Z94" s="263"/>
      <c r="AA94" s="263"/>
      <c r="AB94" s="264"/>
      <c r="AC94" s="264"/>
      <c r="AD94" s="263"/>
      <c r="AE94" s="264"/>
      <c r="AF94" s="264"/>
      <c r="AG94" s="265"/>
      <c r="AH94" s="265"/>
    </row>
    <row r="95" spans="1:34" ht="15">
      <c r="A95" s="390"/>
      <c r="B95" s="259" t="s">
        <v>48</v>
      </c>
      <c r="C95" s="266">
        <v>-624</v>
      </c>
      <c r="D95" s="266">
        <v>-104</v>
      </c>
      <c r="E95" s="263"/>
      <c r="F95" s="263"/>
      <c r="G95" s="264">
        <v>-84</v>
      </c>
      <c r="H95" s="264">
        <v>-24</v>
      </c>
      <c r="I95" s="263">
        <v>-276</v>
      </c>
      <c r="J95" s="264"/>
      <c r="K95" s="264">
        <v>-132</v>
      </c>
      <c r="L95" s="263">
        <v>-78</v>
      </c>
      <c r="M95" s="263"/>
      <c r="N95" s="264">
        <v>-30</v>
      </c>
      <c r="O95" s="264"/>
      <c r="P95" s="263"/>
      <c r="Q95" s="264"/>
      <c r="R95" s="264"/>
      <c r="S95" s="263"/>
      <c r="T95" s="263"/>
      <c r="U95" s="264"/>
      <c r="V95" s="264"/>
      <c r="W95" s="263"/>
      <c r="X95" s="264"/>
      <c r="Y95" s="264"/>
      <c r="Z95" s="263"/>
      <c r="AA95" s="263"/>
      <c r="AB95" s="264"/>
      <c r="AC95" s="264"/>
      <c r="AD95" s="263"/>
      <c r="AE95" s="264"/>
      <c r="AF95" s="264"/>
      <c r="AG95" s="265"/>
      <c r="AH95" s="265"/>
    </row>
    <row r="96" spans="1:34" ht="15">
      <c r="A96" s="390"/>
      <c r="B96" s="259" t="s">
        <v>49</v>
      </c>
      <c r="C96" s="260">
        <v>48</v>
      </c>
      <c r="D96" s="260">
        <v>8</v>
      </c>
      <c r="E96" s="263"/>
      <c r="F96" s="263"/>
      <c r="G96" s="262">
        <v>8</v>
      </c>
      <c r="H96" s="262">
        <v>8</v>
      </c>
      <c r="I96" s="261">
        <v>8</v>
      </c>
      <c r="J96" s="264"/>
      <c r="K96" s="262">
        <v>8</v>
      </c>
      <c r="L96" s="261">
        <v>8</v>
      </c>
      <c r="M96" s="263"/>
      <c r="N96" s="262">
        <v>8</v>
      </c>
      <c r="O96" s="264"/>
      <c r="P96" s="263"/>
      <c r="Q96" s="264"/>
      <c r="R96" s="264"/>
      <c r="S96" s="263"/>
      <c r="T96" s="263"/>
      <c r="U96" s="264"/>
      <c r="V96" s="264"/>
      <c r="W96" s="263"/>
      <c r="X96" s="264"/>
      <c r="Y96" s="264"/>
      <c r="Z96" s="263"/>
      <c r="AA96" s="263"/>
      <c r="AB96" s="264"/>
      <c r="AC96" s="264"/>
      <c r="AD96" s="263"/>
      <c r="AE96" s="264"/>
      <c r="AF96" s="264"/>
      <c r="AG96" s="265"/>
      <c r="AH96" s="265"/>
    </row>
    <row r="97" spans="1:34" ht="15">
      <c r="A97" s="390"/>
      <c r="B97" s="259" t="s">
        <v>50</v>
      </c>
      <c r="C97" s="260">
        <v>66</v>
      </c>
      <c r="D97" s="260">
        <v>66</v>
      </c>
      <c r="E97" s="263"/>
      <c r="F97" s="263"/>
      <c r="G97" s="262">
        <v>68</v>
      </c>
      <c r="H97" s="262">
        <v>68</v>
      </c>
      <c r="I97" s="261">
        <v>66</v>
      </c>
      <c r="J97" s="264"/>
      <c r="K97" s="262">
        <v>67</v>
      </c>
      <c r="L97" s="261">
        <v>66</v>
      </c>
      <c r="M97" s="263"/>
      <c r="N97" s="262">
        <v>66</v>
      </c>
      <c r="O97" s="264"/>
      <c r="P97" s="263"/>
      <c r="Q97" s="264"/>
      <c r="R97" s="264"/>
      <c r="S97" s="263"/>
      <c r="T97" s="263"/>
      <c r="U97" s="264"/>
      <c r="V97" s="264"/>
      <c r="W97" s="263"/>
      <c r="X97" s="264"/>
      <c r="Y97" s="264"/>
      <c r="Z97" s="263"/>
      <c r="AA97" s="263"/>
      <c r="AB97" s="264"/>
      <c r="AC97" s="264"/>
      <c r="AD97" s="263"/>
      <c r="AE97" s="264"/>
      <c r="AF97" s="264"/>
      <c r="AG97" s="265"/>
      <c r="AH97" s="265"/>
    </row>
    <row r="98" spans="1:34" ht="15">
      <c r="A98" s="390"/>
      <c r="B98" s="259" t="s">
        <v>51</v>
      </c>
      <c r="C98" s="260">
        <v>197</v>
      </c>
      <c r="D98" s="260">
        <v>197</v>
      </c>
      <c r="E98" s="263"/>
      <c r="F98" s="263"/>
      <c r="G98" s="262">
        <v>199.5</v>
      </c>
      <c r="H98" s="262">
        <v>207</v>
      </c>
      <c r="I98" s="261">
        <v>175.5</v>
      </c>
      <c r="J98" s="264"/>
      <c r="K98" s="262">
        <v>193.5</v>
      </c>
      <c r="L98" s="261">
        <v>200.25</v>
      </c>
      <c r="M98" s="263"/>
      <c r="N98" s="262">
        <v>206.25</v>
      </c>
      <c r="O98" s="264"/>
      <c r="P98" s="263"/>
      <c r="Q98" s="264"/>
      <c r="R98" s="264"/>
      <c r="S98" s="263"/>
      <c r="T98" s="263"/>
      <c r="U98" s="264"/>
      <c r="V98" s="264"/>
      <c r="W98" s="263"/>
      <c r="X98" s="264"/>
      <c r="Y98" s="264"/>
      <c r="Z98" s="263"/>
      <c r="AA98" s="263"/>
      <c r="AB98" s="264"/>
      <c r="AC98" s="264"/>
      <c r="AD98" s="263"/>
      <c r="AE98" s="264"/>
      <c r="AF98" s="264"/>
      <c r="AG98" s="265"/>
      <c r="AH98" s="265"/>
    </row>
    <row r="99" spans="1:34" ht="15">
      <c r="A99" s="391"/>
      <c r="B99" s="267" t="s">
        <v>52</v>
      </c>
      <c r="C99" s="268">
        <v>2.9847999999999999</v>
      </c>
      <c r="D99" s="268">
        <v>2.9847999999999999</v>
      </c>
      <c r="E99" s="270"/>
      <c r="F99" s="270"/>
      <c r="G99" s="268">
        <v>2.9337999999999997</v>
      </c>
      <c r="H99" s="268">
        <v>3.0440999999999998</v>
      </c>
      <c r="I99" s="269">
        <v>2.6591</v>
      </c>
      <c r="J99" s="271"/>
      <c r="K99" s="268">
        <v>2.8881000000000001</v>
      </c>
      <c r="L99" s="269">
        <v>3.0341</v>
      </c>
      <c r="M99" s="270"/>
      <c r="N99" s="268">
        <v>3.125</v>
      </c>
      <c r="O99" s="271"/>
      <c r="P99" s="270"/>
      <c r="Q99" s="271"/>
      <c r="R99" s="271"/>
      <c r="S99" s="270"/>
      <c r="T99" s="270"/>
      <c r="U99" s="271"/>
      <c r="V99" s="271"/>
      <c r="W99" s="270"/>
      <c r="X99" s="271"/>
      <c r="Y99" s="271"/>
      <c r="Z99" s="270"/>
      <c r="AA99" s="270"/>
      <c r="AB99" s="271"/>
      <c r="AC99" s="271"/>
      <c r="AD99" s="270"/>
      <c r="AE99" s="271"/>
      <c r="AF99" s="271"/>
      <c r="AG99" s="272"/>
      <c r="AH99" s="272"/>
    </row>
    <row r="100" spans="1:34" ht="15">
      <c r="A100" s="389" t="s">
        <v>139</v>
      </c>
      <c r="B100" s="251" t="s">
        <v>45</v>
      </c>
      <c r="C100" s="252">
        <v>8800</v>
      </c>
      <c r="D100" s="252">
        <v>1760</v>
      </c>
      <c r="E100" s="255"/>
      <c r="F100" s="255"/>
      <c r="G100" s="254">
        <v>1760</v>
      </c>
      <c r="H100" s="254">
        <v>1760</v>
      </c>
      <c r="I100" s="253">
        <v>1760</v>
      </c>
      <c r="J100" s="256"/>
      <c r="K100" s="254">
        <v>1760</v>
      </c>
      <c r="L100" s="253">
        <v>1760</v>
      </c>
      <c r="M100" s="255"/>
      <c r="N100" s="256"/>
      <c r="O100" s="256"/>
      <c r="P100" s="255"/>
      <c r="Q100" s="256"/>
      <c r="R100" s="256"/>
      <c r="S100" s="255"/>
      <c r="T100" s="255"/>
      <c r="U100" s="256"/>
      <c r="V100" s="256"/>
      <c r="W100" s="255"/>
      <c r="X100" s="256"/>
      <c r="Y100" s="256"/>
      <c r="Z100" s="255"/>
      <c r="AA100" s="255"/>
      <c r="AB100" s="256"/>
      <c r="AC100" s="256"/>
      <c r="AD100" s="255"/>
      <c r="AE100" s="256"/>
      <c r="AF100" s="256"/>
      <c r="AG100" s="257"/>
      <c r="AH100" s="257"/>
    </row>
    <row r="101" spans="1:34" ht="15">
      <c r="A101" s="390"/>
      <c r="B101" s="251" t="s">
        <v>46</v>
      </c>
      <c r="C101" s="252">
        <v>8400</v>
      </c>
      <c r="D101" s="252">
        <v>1680</v>
      </c>
      <c r="E101" s="255"/>
      <c r="F101" s="255"/>
      <c r="G101" s="254">
        <v>1680</v>
      </c>
      <c r="H101" s="254">
        <v>1680</v>
      </c>
      <c r="I101" s="253">
        <v>1680</v>
      </c>
      <c r="J101" s="256"/>
      <c r="K101" s="254">
        <v>1680</v>
      </c>
      <c r="L101" s="253">
        <v>1680</v>
      </c>
      <c r="M101" s="255"/>
      <c r="N101" s="256"/>
      <c r="O101" s="256"/>
      <c r="P101" s="255"/>
      <c r="Q101" s="256"/>
      <c r="R101" s="256"/>
      <c r="S101" s="255"/>
      <c r="T101" s="255"/>
      <c r="U101" s="256"/>
      <c r="V101" s="256"/>
      <c r="W101" s="255"/>
      <c r="X101" s="256"/>
      <c r="Y101" s="256"/>
      <c r="Z101" s="255"/>
      <c r="AA101" s="255"/>
      <c r="AB101" s="256"/>
      <c r="AC101" s="256"/>
      <c r="AD101" s="255"/>
      <c r="AE101" s="256"/>
      <c r="AF101" s="256"/>
      <c r="AG101" s="257"/>
      <c r="AH101" s="257"/>
    </row>
    <row r="102" spans="1:34" ht="15">
      <c r="A102" s="390"/>
      <c r="B102" s="259" t="s">
        <v>47</v>
      </c>
      <c r="C102" s="260">
        <v>7578</v>
      </c>
      <c r="D102" s="260">
        <v>1515.6</v>
      </c>
      <c r="E102" s="263"/>
      <c r="F102" s="263"/>
      <c r="G102" s="262">
        <v>1590</v>
      </c>
      <c r="H102" s="262">
        <v>1620</v>
      </c>
      <c r="I102" s="261">
        <v>1596</v>
      </c>
      <c r="J102" s="264"/>
      <c r="K102" s="262">
        <v>1380</v>
      </c>
      <c r="L102" s="261">
        <v>1392</v>
      </c>
      <c r="M102" s="263"/>
      <c r="N102" s="264"/>
      <c r="O102" s="264"/>
      <c r="P102" s="263"/>
      <c r="Q102" s="264"/>
      <c r="R102" s="264"/>
      <c r="S102" s="263"/>
      <c r="T102" s="263"/>
      <c r="U102" s="264"/>
      <c r="V102" s="264"/>
      <c r="W102" s="263"/>
      <c r="X102" s="264"/>
      <c r="Y102" s="264"/>
      <c r="Z102" s="263"/>
      <c r="AA102" s="263"/>
      <c r="AB102" s="264"/>
      <c r="AC102" s="264"/>
      <c r="AD102" s="263"/>
      <c r="AE102" s="264"/>
      <c r="AF102" s="264"/>
      <c r="AG102" s="265"/>
      <c r="AH102" s="265"/>
    </row>
    <row r="103" spans="1:34" ht="15">
      <c r="A103" s="390"/>
      <c r="B103" s="259" t="s">
        <v>48</v>
      </c>
      <c r="C103" s="266">
        <v>-822</v>
      </c>
      <c r="D103" s="266">
        <v>-164.4</v>
      </c>
      <c r="E103" s="263"/>
      <c r="F103" s="263"/>
      <c r="G103" s="264">
        <v>-90</v>
      </c>
      <c r="H103" s="264">
        <v>-60</v>
      </c>
      <c r="I103" s="263">
        <v>-84</v>
      </c>
      <c r="J103" s="264"/>
      <c r="K103" s="264">
        <v>-300</v>
      </c>
      <c r="L103" s="263">
        <v>-288</v>
      </c>
      <c r="M103" s="263"/>
      <c r="N103" s="264"/>
      <c r="O103" s="264"/>
      <c r="P103" s="263"/>
      <c r="Q103" s="264"/>
      <c r="R103" s="264"/>
      <c r="S103" s="263"/>
      <c r="T103" s="263"/>
      <c r="U103" s="264"/>
      <c r="V103" s="264"/>
      <c r="W103" s="263"/>
      <c r="X103" s="264"/>
      <c r="Y103" s="264"/>
      <c r="Z103" s="263"/>
      <c r="AA103" s="263"/>
      <c r="AB103" s="264"/>
      <c r="AC103" s="264"/>
      <c r="AD103" s="263"/>
      <c r="AE103" s="264"/>
      <c r="AF103" s="264"/>
      <c r="AG103" s="265"/>
      <c r="AH103" s="265"/>
    </row>
    <row r="104" spans="1:34" ht="15">
      <c r="A104" s="390"/>
      <c r="B104" s="259" t="s">
        <v>49</v>
      </c>
      <c r="C104" s="260">
        <v>40</v>
      </c>
      <c r="D104" s="260">
        <v>8</v>
      </c>
      <c r="E104" s="263"/>
      <c r="F104" s="263"/>
      <c r="G104" s="262">
        <v>8</v>
      </c>
      <c r="H104" s="262">
        <v>8</v>
      </c>
      <c r="I104" s="261">
        <v>8</v>
      </c>
      <c r="J104" s="264"/>
      <c r="K104" s="262">
        <v>8</v>
      </c>
      <c r="L104" s="261">
        <v>8</v>
      </c>
      <c r="M104" s="263"/>
      <c r="N104" s="264"/>
      <c r="O104" s="264"/>
      <c r="P104" s="263"/>
      <c r="Q104" s="264"/>
      <c r="R104" s="264"/>
      <c r="S104" s="263"/>
      <c r="T104" s="263"/>
      <c r="U104" s="264"/>
      <c r="V104" s="264"/>
      <c r="W104" s="263"/>
      <c r="X104" s="264"/>
      <c r="Y104" s="264"/>
      <c r="Z104" s="263"/>
      <c r="AA104" s="263"/>
      <c r="AB104" s="264"/>
      <c r="AC104" s="264"/>
      <c r="AD104" s="263"/>
      <c r="AE104" s="264"/>
      <c r="AF104" s="264"/>
      <c r="AG104" s="265"/>
      <c r="AH104" s="265"/>
    </row>
    <row r="105" spans="1:34" ht="15">
      <c r="A105" s="390"/>
      <c r="B105" s="259" t="s">
        <v>50</v>
      </c>
      <c r="C105" s="260">
        <v>60</v>
      </c>
      <c r="D105" s="260">
        <v>60</v>
      </c>
      <c r="E105" s="263"/>
      <c r="F105" s="263"/>
      <c r="G105" s="262">
        <v>62</v>
      </c>
      <c r="H105" s="262">
        <v>62</v>
      </c>
      <c r="I105" s="261">
        <v>59</v>
      </c>
      <c r="J105" s="264"/>
      <c r="K105" s="262">
        <v>58</v>
      </c>
      <c r="L105" s="261">
        <v>61</v>
      </c>
      <c r="M105" s="263"/>
      <c r="N105" s="264"/>
      <c r="O105" s="264"/>
      <c r="P105" s="263"/>
      <c r="Q105" s="264"/>
      <c r="R105" s="264"/>
      <c r="S105" s="263"/>
      <c r="T105" s="263"/>
      <c r="U105" s="264"/>
      <c r="V105" s="264"/>
      <c r="W105" s="263"/>
      <c r="X105" s="264"/>
      <c r="Y105" s="264"/>
      <c r="Z105" s="263"/>
      <c r="AA105" s="263"/>
      <c r="AB105" s="264"/>
      <c r="AC105" s="264"/>
      <c r="AD105" s="263"/>
      <c r="AE105" s="264"/>
      <c r="AF105" s="264"/>
      <c r="AG105" s="265"/>
      <c r="AH105" s="265"/>
    </row>
    <row r="106" spans="1:34" ht="15">
      <c r="A106" s="390"/>
      <c r="B106" s="259" t="s">
        <v>51</v>
      </c>
      <c r="C106" s="260">
        <v>189.45</v>
      </c>
      <c r="D106" s="260">
        <v>189.45</v>
      </c>
      <c r="E106" s="263"/>
      <c r="F106" s="263"/>
      <c r="G106" s="262">
        <v>198.75</v>
      </c>
      <c r="H106" s="262">
        <v>202.5</v>
      </c>
      <c r="I106" s="261">
        <v>199.5</v>
      </c>
      <c r="J106" s="264"/>
      <c r="K106" s="262">
        <v>172.5</v>
      </c>
      <c r="L106" s="261">
        <v>174</v>
      </c>
      <c r="M106" s="263"/>
      <c r="N106" s="264"/>
      <c r="O106" s="264"/>
      <c r="P106" s="263"/>
      <c r="Q106" s="264"/>
      <c r="R106" s="264"/>
      <c r="S106" s="263"/>
      <c r="T106" s="263"/>
      <c r="U106" s="264"/>
      <c r="V106" s="264"/>
      <c r="W106" s="263"/>
      <c r="X106" s="264"/>
      <c r="Y106" s="264"/>
      <c r="Z106" s="263"/>
      <c r="AA106" s="263"/>
      <c r="AB106" s="264"/>
      <c r="AC106" s="264"/>
      <c r="AD106" s="263"/>
      <c r="AE106" s="264"/>
      <c r="AF106" s="264"/>
      <c r="AG106" s="265"/>
      <c r="AH106" s="265"/>
    </row>
    <row r="107" spans="1:34" ht="15">
      <c r="A107" s="391"/>
      <c r="B107" s="267" t="s">
        <v>52</v>
      </c>
      <c r="C107" s="268">
        <v>3.1575000000000002</v>
      </c>
      <c r="D107" s="268">
        <v>3.1575000000000002</v>
      </c>
      <c r="E107" s="270"/>
      <c r="F107" s="270"/>
      <c r="G107" s="268">
        <v>3.2056</v>
      </c>
      <c r="H107" s="268">
        <v>3.2660999999999998</v>
      </c>
      <c r="I107" s="269">
        <v>3.3814000000000002</v>
      </c>
      <c r="J107" s="271"/>
      <c r="K107" s="268">
        <v>2.9741</v>
      </c>
      <c r="L107" s="269">
        <v>2.8525</v>
      </c>
      <c r="M107" s="270"/>
      <c r="N107" s="271"/>
      <c r="O107" s="271"/>
      <c r="P107" s="270"/>
      <c r="Q107" s="271"/>
      <c r="R107" s="271"/>
      <c r="S107" s="270"/>
      <c r="T107" s="270"/>
      <c r="U107" s="271"/>
      <c r="V107" s="271"/>
      <c r="W107" s="270"/>
      <c r="X107" s="271"/>
      <c r="Y107" s="271"/>
      <c r="Z107" s="270"/>
      <c r="AA107" s="270"/>
      <c r="AB107" s="271"/>
      <c r="AC107" s="271"/>
      <c r="AD107" s="270"/>
      <c r="AE107" s="271"/>
      <c r="AF107" s="271"/>
      <c r="AG107" s="272"/>
      <c r="AH107" s="272"/>
    </row>
    <row r="108" spans="1:34" ht="15">
      <c r="A108" s="389" t="s">
        <v>140</v>
      </c>
      <c r="B108" s="251" t="s">
        <v>45</v>
      </c>
      <c r="C108" s="252">
        <v>8424</v>
      </c>
      <c r="D108" s="252">
        <v>1404</v>
      </c>
      <c r="E108" s="255"/>
      <c r="F108" s="255"/>
      <c r="G108" s="254">
        <v>1520</v>
      </c>
      <c r="H108" s="254">
        <v>1488</v>
      </c>
      <c r="I108" s="253">
        <v>1400</v>
      </c>
      <c r="J108" s="256"/>
      <c r="K108" s="254">
        <v>1360</v>
      </c>
      <c r="L108" s="253">
        <v>1328</v>
      </c>
      <c r="M108" s="255"/>
      <c r="N108" s="254">
        <v>1328</v>
      </c>
      <c r="O108" s="256"/>
      <c r="P108" s="255"/>
      <c r="Q108" s="256"/>
      <c r="R108" s="256"/>
      <c r="S108" s="255"/>
      <c r="T108" s="255"/>
      <c r="U108" s="256"/>
      <c r="V108" s="256"/>
      <c r="W108" s="255"/>
      <c r="X108" s="256"/>
      <c r="Y108" s="256"/>
      <c r="Z108" s="255"/>
      <c r="AA108" s="255"/>
      <c r="AB108" s="256"/>
      <c r="AC108" s="256"/>
      <c r="AD108" s="255"/>
      <c r="AE108" s="256"/>
      <c r="AF108" s="256"/>
      <c r="AG108" s="257"/>
      <c r="AH108" s="257"/>
    </row>
    <row r="109" spans="1:34" ht="15">
      <c r="A109" s="390"/>
      <c r="B109" s="251" t="s">
        <v>46</v>
      </c>
      <c r="C109" s="252">
        <v>7680</v>
      </c>
      <c r="D109" s="252">
        <v>1280</v>
      </c>
      <c r="E109" s="255"/>
      <c r="F109" s="255"/>
      <c r="G109" s="254">
        <v>1280</v>
      </c>
      <c r="H109" s="254">
        <v>1280</v>
      </c>
      <c r="I109" s="253">
        <v>1280</v>
      </c>
      <c r="J109" s="256"/>
      <c r="K109" s="254">
        <v>1280</v>
      </c>
      <c r="L109" s="253">
        <v>1280</v>
      </c>
      <c r="M109" s="255"/>
      <c r="N109" s="254">
        <v>1280</v>
      </c>
      <c r="O109" s="254">
        <v>1280</v>
      </c>
      <c r="P109" s="253">
        <v>1280</v>
      </c>
      <c r="Q109" s="254">
        <v>1280</v>
      </c>
      <c r="R109" s="254">
        <v>1280</v>
      </c>
      <c r="S109" s="253">
        <v>1280</v>
      </c>
      <c r="T109" s="255"/>
      <c r="U109" s="254">
        <v>1280</v>
      </c>
      <c r="V109" s="254">
        <v>1280</v>
      </c>
      <c r="W109" s="253">
        <v>1280</v>
      </c>
      <c r="X109" s="254">
        <v>1280</v>
      </c>
      <c r="Y109" s="254">
        <v>1280</v>
      </c>
      <c r="Z109" s="255"/>
      <c r="AA109" s="255"/>
      <c r="AB109" s="254">
        <v>1260</v>
      </c>
      <c r="AC109" s="254">
        <v>1260</v>
      </c>
      <c r="AD109" s="253">
        <v>1680</v>
      </c>
      <c r="AE109" s="254">
        <v>1680</v>
      </c>
      <c r="AF109" s="254">
        <v>1680</v>
      </c>
      <c r="AG109" s="257"/>
      <c r="AH109" s="257"/>
    </row>
    <row r="110" spans="1:34" ht="15">
      <c r="A110" s="390"/>
      <c r="B110" s="259" t="s">
        <v>47</v>
      </c>
      <c r="C110" s="260">
        <v>7582</v>
      </c>
      <c r="D110" s="260">
        <v>1263.6666666666667</v>
      </c>
      <c r="E110" s="263"/>
      <c r="F110" s="263"/>
      <c r="G110" s="262">
        <v>1284</v>
      </c>
      <c r="H110" s="262">
        <v>1102</v>
      </c>
      <c r="I110" s="261">
        <v>1488</v>
      </c>
      <c r="J110" s="264"/>
      <c r="K110" s="262">
        <v>1284</v>
      </c>
      <c r="L110" s="261">
        <v>1284</v>
      </c>
      <c r="M110" s="263"/>
      <c r="N110" s="262">
        <v>1140</v>
      </c>
      <c r="O110" s="264"/>
      <c r="P110" s="263"/>
      <c r="Q110" s="264"/>
      <c r="R110" s="264"/>
      <c r="S110" s="263"/>
      <c r="T110" s="263"/>
      <c r="U110" s="264"/>
      <c r="V110" s="264"/>
      <c r="W110" s="263"/>
      <c r="X110" s="264"/>
      <c r="Y110" s="264"/>
      <c r="Z110" s="263"/>
      <c r="AA110" s="263"/>
      <c r="AB110" s="264"/>
      <c r="AC110" s="264"/>
      <c r="AD110" s="263"/>
      <c r="AE110" s="264"/>
      <c r="AF110" s="264"/>
      <c r="AG110" s="265"/>
      <c r="AH110" s="265"/>
    </row>
    <row r="111" spans="1:34" ht="15">
      <c r="A111" s="390"/>
      <c r="B111" s="259" t="s">
        <v>48</v>
      </c>
      <c r="C111" s="266">
        <v>-98</v>
      </c>
      <c r="D111" s="266">
        <v>-16.333333333333332</v>
      </c>
      <c r="E111" s="263"/>
      <c r="F111" s="263"/>
      <c r="G111" s="262">
        <v>4</v>
      </c>
      <c r="H111" s="264">
        <v>-178</v>
      </c>
      <c r="I111" s="261">
        <v>208</v>
      </c>
      <c r="J111" s="264"/>
      <c r="K111" s="262">
        <v>4</v>
      </c>
      <c r="L111" s="261">
        <v>4</v>
      </c>
      <c r="M111" s="263"/>
      <c r="N111" s="264">
        <v>-140</v>
      </c>
      <c r="O111" s="264"/>
      <c r="P111" s="263"/>
      <c r="Q111" s="264"/>
      <c r="R111" s="264"/>
      <c r="S111" s="263"/>
      <c r="T111" s="263"/>
      <c r="U111" s="264"/>
      <c r="V111" s="264"/>
      <c r="W111" s="263"/>
      <c r="X111" s="264"/>
      <c r="Y111" s="264"/>
      <c r="Z111" s="263"/>
      <c r="AA111" s="263"/>
      <c r="AB111" s="264"/>
      <c r="AC111" s="264"/>
      <c r="AD111" s="263"/>
      <c r="AE111" s="264"/>
      <c r="AF111" s="264"/>
      <c r="AG111" s="265"/>
      <c r="AH111" s="265"/>
    </row>
    <row r="112" spans="1:34" ht="15">
      <c r="A112" s="390"/>
      <c r="B112" s="259" t="s">
        <v>49</v>
      </c>
      <c r="C112" s="260">
        <v>48</v>
      </c>
      <c r="D112" s="260">
        <v>8</v>
      </c>
      <c r="E112" s="263"/>
      <c r="F112" s="263"/>
      <c r="G112" s="262">
        <v>8</v>
      </c>
      <c r="H112" s="262">
        <v>8</v>
      </c>
      <c r="I112" s="261">
        <v>8</v>
      </c>
      <c r="J112" s="264"/>
      <c r="K112" s="262">
        <v>8</v>
      </c>
      <c r="L112" s="261">
        <v>8</v>
      </c>
      <c r="M112" s="263"/>
      <c r="N112" s="262">
        <v>8</v>
      </c>
      <c r="O112" s="264"/>
      <c r="P112" s="263"/>
      <c r="Q112" s="264"/>
      <c r="R112" s="264"/>
      <c r="S112" s="263"/>
      <c r="T112" s="263"/>
      <c r="U112" s="264"/>
      <c r="V112" s="264"/>
      <c r="W112" s="263"/>
      <c r="X112" s="264"/>
      <c r="Y112" s="264"/>
      <c r="Z112" s="263"/>
      <c r="AA112" s="263"/>
      <c r="AB112" s="264"/>
      <c r="AC112" s="264"/>
      <c r="AD112" s="263"/>
      <c r="AE112" s="264"/>
      <c r="AF112" s="264"/>
      <c r="AG112" s="265"/>
      <c r="AH112" s="265"/>
    </row>
    <row r="113" spans="1:34" ht="15">
      <c r="A113" s="390"/>
      <c r="B113" s="259" t="s">
        <v>50</v>
      </c>
      <c r="C113" s="260">
        <v>87</v>
      </c>
      <c r="D113" s="260">
        <v>87</v>
      </c>
      <c r="E113" s="263"/>
      <c r="F113" s="263"/>
      <c r="G113" s="262">
        <v>89</v>
      </c>
      <c r="H113" s="262">
        <v>86</v>
      </c>
      <c r="I113" s="261">
        <v>88</v>
      </c>
      <c r="J113" s="264"/>
      <c r="K113" s="262">
        <v>86</v>
      </c>
      <c r="L113" s="261">
        <v>90</v>
      </c>
      <c r="M113" s="263"/>
      <c r="N113" s="262">
        <v>88</v>
      </c>
      <c r="O113" s="264"/>
      <c r="P113" s="263"/>
      <c r="Q113" s="264"/>
      <c r="R113" s="264"/>
      <c r="S113" s="263"/>
      <c r="T113" s="263"/>
      <c r="U113" s="264"/>
      <c r="V113" s="264"/>
      <c r="W113" s="263"/>
      <c r="X113" s="264"/>
      <c r="Y113" s="264"/>
      <c r="Z113" s="263"/>
      <c r="AA113" s="263"/>
      <c r="AB113" s="264"/>
      <c r="AC113" s="264"/>
      <c r="AD113" s="263"/>
      <c r="AE113" s="264"/>
      <c r="AF113" s="264"/>
      <c r="AG113" s="265"/>
      <c r="AH113" s="265"/>
    </row>
    <row r="114" spans="1:34" ht="15">
      <c r="A114" s="390"/>
      <c r="B114" s="259" t="s">
        <v>51</v>
      </c>
      <c r="C114" s="260">
        <v>157.95833333333334</v>
      </c>
      <c r="D114" s="260">
        <v>157.95833333333334</v>
      </c>
      <c r="E114" s="263"/>
      <c r="F114" s="263"/>
      <c r="G114" s="262">
        <v>160.5</v>
      </c>
      <c r="H114" s="262">
        <v>137.75</v>
      </c>
      <c r="I114" s="261">
        <v>186</v>
      </c>
      <c r="J114" s="264"/>
      <c r="K114" s="262">
        <v>160.5</v>
      </c>
      <c r="L114" s="261">
        <v>160.5</v>
      </c>
      <c r="M114" s="263"/>
      <c r="N114" s="262">
        <v>142.5</v>
      </c>
      <c r="O114" s="264"/>
      <c r="P114" s="263"/>
      <c r="Q114" s="264"/>
      <c r="R114" s="264"/>
      <c r="S114" s="263"/>
      <c r="T114" s="263"/>
      <c r="U114" s="264"/>
      <c r="V114" s="264"/>
      <c r="W114" s="263"/>
      <c r="X114" s="264"/>
      <c r="Y114" s="264"/>
      <c r="Z114" s="263"/>
      <c r="AA114" s="263"/>
      <c r="AB114" s="264"/>
      <c r="AC114" s="264"/>
      <c r="AD114" s="263"/>
      <c r="AE114" s="264"/>
      <c r="AF114" s="264"/>
      <c r="AG114" s="265"/>
      <c r="AH114" s="265"/>
    </row>
    <row r="115" spans="1:34" ht="15">
      <c r="A115" s="391"/>
      <c r="B115" s="267" t="s">
        <v>52</v>
      </c>
      <c r="C115" s="268">
        <v>1.8155999999999999</v>
      </c>
      <c r="D115" s="268">
        <v>1.8155999999999999</v>
      </c>
      <c r="E115" s="270"/>
      <c r="F115" s="270"/>
      <c r="G115" s="268">
        <v>1.8033999999999999</v>
      </c>
      <c r="H115" s="268">
        <v>1.6017000000000001</v>
      </c>
      <c r="I115" s="269">
        <v>2.1135999999999999</v>
      </c>
      <c r="J115" s="271"/>
      <c r="K115" s="268">
        <v>1.8662999999999998</v>
      </c>
      <c r="L115" s="269">
        <v>1.7833000000000001</v>
      </c>
      <c r="M115" s="270"/>
      <c r="N115" s="268">
        <v>1.6193</v>
      </c>
      <c r="O115" s="271"/>
      <c r="P115" s="270"/>
      <c r="Q115" s="271"/>
      <c r="R115" s="271"/>
      <c r="S115" s="270"/>
      <c r="T115" s="270"/>
      <c r="U115" s="271"/>
      <c r="V115" s="271"/>
      <c r="W115" s="270"/>
      <c r="X115" s="271"/>
      <c r="Y115" s="271"/>
      <c r="Z115" s="270"/>
      <c r="AA115" s="270"/>
      <c r="AB115" s="271"/>
      <c r="AC115" s="271"/>
      <c r="AD115" s="270"/>
      <c r="AE115" s="271"/>
      <c r="AF115" s="271"/>
      <c r="AG115" s="272"/>
      <c r="AH115" s="272"/>
    </row>
    <row r="116" spans="1:34" ht="15">
      <c r="A116" s="389" t="s">
        <v>141</v>
      </c>
      <c r="B116" s="251" t="s">
        <v>129</v>
      </c>
      <c r="C116" s="252">
        <v>8208</v>
      </c>
      <c r="D116" s="252">
        <v>1368</v>
      </c>
      <c r="E116" s="255"/>
      <c r="F116" s="255"/>
      <c r="G116" s="254">
        <v>1472</v>
      </c>
      <c r="H116" s="254">
        <v>1440</v>
      </c>
      <c r="I116" s="253">
        <v>1440</v>
      </c>
      <c r="J116" s="256"/>
      <c r="K116" s="254">
        <v>1280</v>
      </c>
      <c r="L116" s="253">
        <v>1280</v>
      </c>
      <c r="M116" s="255"/>
      <c r="N116" s="254">
        <v>1296</v>
      </c>
      <c r="O116" s="256"/>
      <c r="P116" s="255"/>
      <c r="Q116" s="256"/>
      <c r="R116" s="256"/>
      <c r="S116" s="255"/>
      <c r="T116" s="255"/>
      <c r="U116" s="256"/>
      <c r="V116" s="256"/>
      <c r="W116" s="255"/>
      <c r="X116" s="256"/>
      <c r="Y116" s="256"/>
      <c r="Z116" s="255"/>
      <c r="AA116" s="255"/>
      <c r="AB116" s="256"/>
      <c r="AC116" s="256"/>
      <c r="AD116" s="255"/>
      <c r="AE116" s="256"/>
      <c r="AF116" s="256"/>
      <c r="AG116" s="257"/>
      <c r="AH116" s="257"/>
    </row>
    <row r="117" spans="1:34" ht="15">
      <c r="A117" s="390"/>
      <c r="B117" s="251" t="s">
        <v>46</v>
      </c>
      <c r="C117" s="252">
        <v>7680</v>
      </c>
      <c r="D117" s="252">
        <v>1280</v>
      </c>
      <c r="E117" s="255"/>
      <c r="F117" s="255"/>
      <c r="G117" s="254">
        <v>1280</v>
      </c>
      <c r="H117" s="254">
        <v>1280</v>
      </c>
      <c r="I117" s="253">
        <v>1280</v>
      </c>
      <c r="J117" s="256"/>
      <c r="K117" s="254">
        <v>1280</v>
      </c>
      <c r="L117" s="253">
        <v>1280</v>
      </c>
      <c r="M117" s="255"/>
      <c r="N117" s="254">
        <v>1280</v>
      </c>
      <c r="O117" s="254">
        <v>1280</v>
      </c>
      <c r="P117" s="253">
        <v>1280</v>
      </c>
      <c r="Q117" s="254">
        <v>1280</v>
      </c>
      <c r="R117" s="254">
        <v>1280</v>
      </c>
      <c r="S117" s="253">
        <v>1280</v>
      </c>
      <c r="T117" s="255"/>
      <c r="U117" s="254">
        <v>1280</v>
      </c>
      <c r="V117" s="254">
        <v>1280</v>
      </c>
      <c r="W117" s="253">
        <v>1280</v>
      </c>
      <c r="X117" s="254">
        <v>1280</v>
      </c>
      <c r="Y117" s="254">
        <v>1280</v>
      </c>
      <c r="Z117" s="255"/>
      <c r="AA117" s="255"/>
      <c r="AB117" s="254">
        <v>960</v>
      </c>
      <c r="AC117" s="254">
        <v>960</v>
      </c>
      <c r="AD117" s="253">
        <v>1280</v>
      </c>
      <c r="AE117" s="254">
        <v>1280</v>
      </c>
      <c r="AF117" s="254">
        <v>1280</v>
      </c>
      <c r="AG117" s="257"/>
      <c r="AH117" s="257"/>
    </row>
    <row r="118" spans="1:34" ht="15">
      <c r="A118" s="390"/>
      <c r="B118" s="259" t="s">
        <v>47</v>
      </c>
      <c r="C118" s="260">
        <v>7723</v>
      </c>
      <c r="D118" s="260">
        <v>1287.1666666666667</v>
      </c>
      <c r="E118" s="263"/>
      <c r="F118" s="263"/>
      <c r="G118" s="262">
        <v>1281</v>
      </c>
      <c r="H118" s="262">
        <v>1309</v>
      </c>
      <c r="I118" s="261">
        <v>1293</v>
      </c>
      <c r="J118" s="264"/>
      <c r="K118" s="262">
        <v>1284</v>
      </c>
      <c r="L118" s="261">
        <v>1250</v>
      </c>
      <c r="M118" s="263"/>
      <c r="N118" s="262">
        <v>1306</v>
      </c>
      <c r="O118" s="264"/>
      <c r="P118" s="263"/>
      <c r="Q118" s="264"/>
      <c r="R118" s="264"/>
      <c r="S118" s="263"/>
      <c r="T118" s="263"/>
      <c r="U118" s="264"/>
      <c r="V118" s="264"/>
      <c r="W118" s="263"/>
      <c r="X118" s="264"/>
      <c r="Y118" s="264"/>
      <c r="Z118" s="263"/>
      <c r="AA118" s="263"/>
      <c r="AB118" s="264"/>
      <c r="AC118" s="264"/>
      <c r="AD118" s="263"/>
      <c r="AE118" s="264"/>
      <c r="AF118" s="264"/>
      <c r="AG118" s="265"/>
      <c r="AH118" s="265"/>
    </row>
    <row r="119" spans="1:34" ht="15">
      <c r="A119" s="390"/>
      <c r="B119" s="259" t="s">
        <v>48</v>
      </c>
      <c r="C119" s="260">
        <v>43</v>
      </c>
      <c r="D119" s="260">
        <v>7.166666666666667</v>
      </c>
      <c r="E119" s="263"/>
      <c r="F119" s="263"/>
      <c r="G119" s="262">
        <v>1</v>
      </c>
      <c r="H119" s="262">
        <v>29</v>
      </c>
      <c r="I119" s="261">
        <v>13</v>
      </c>
      <c r="J119" s="264"/>
      <c r="K119" s="262">
        <v>4</v>
      </c>
      <c r="L119" s="263">
        <v>-30</v>
      </c>
      <c r="M119" s="263"/>
      <c r="N119" s="262">
        <v>26</v>
      </c>
      <c r="O119" s="264"/>
      <c r="P119" s="263"/>
      <c r="Q119" s="264"/>
      <c r="R119" s="264"/>
      <c r="S119" s="263"/>
      <c r="T119" s="263"/>
      <c r="U119" s="264"/>
      <c r="V119" s="264"/>
      <c r="W119" s="263"/>
      <c r="X119" s="264"/>
      <c r="Y119" s="264"/>
      <c r="Z119" s="263"/>
      <c r="AA119" s="263"/>
      <c r="AB119" s="264"/>
      <c r="AC119" s="264"/>
      <c r="AD119" s="263"/>
      <c r="AE119" s="264"/>
      <c r="AF119" s="264"/>
      <c r="AG119" s="265"/>
      <c r="AH119" s="265"/>
    </row>
    <row r="120" spans="1:34" ht="15">
      <c r="A120" s="390"/>
      <c r="B120" s="259" t="s">
        <v>49</v>
      </c>
      <c r="C120" s="260">
        <v>48</v>
      </c>
      <c r="D120" s="260">
        <v>8</v>
      </c>
      <c r="E120" s="263"/>
      <c r="F120" s="263"/>
      <c r="G120" s="262">
        <v>8</v>
      </c>
      <c r="H120" s="262">
        <v>8</v>
      </c>
      <c r="I120" s="261">
        <v>8</v>
      </c>
      <c r="J120" s="264"/>
      <c r="K120" s="262">
        <v>8</v>
      </c>
      <c r="L120" s="261">
        <v>8</v>
      </c>
      <c r="M120" s="263"/>
      <c r="N120" s="262">
        <v>8</v>
      </c>
      <c r="O120" s="264"/>
      <c r="P120" s="263"/>
      <c r="Q120" s="264"/>
      <c r="R120" s="264"/>
      <c r="S120" s="263"/>
      <c r="T120" s="263"/>
      <c r="U120" s="264"/>
      <c r="V120" s="264"/>
      <c r="W120" s="263"/>
      <c r="X120" s="264"/>
      <c r="Y120" s="264"/>
      <c r="Z120" s="263"/>
      <c r="AA120" s="263"/>
      <c r="AB120" s="264"/>
      <c r="AC120" s="264"/>
      <c r="AD120" s="263"/>
      <c r="AE120" s="264"/>
      <c r="AF120" s="264"/>
      <c r="AG120" s="265"/>
      <c r="AH120" s="265"/>
    </row>
    <row r="121" spans="1:34" ht="15">
      <c r="A121" s="390"/>
      <c r="B121" s="259" t="s">
        <v>50</v>
      </c>
      <c r="C121" s="260">
        <v>92</v>
      </c>
      <c r="D121" s="260">
        <v>92</v>
      </c>
      <c r="E121" s="263"/>
      <c r="F121" s="263"/>
      <c r="G121" s="262">
        <v>92</v>
      </c>
      <c r="H121" s="262">
        <v>93</v>
      </c>
      <c r="I121" s="261">
        <v>94</v>
      </c>
      <c r="J121" s="264"/>
      <c r="K121" s="262">
        <v>93</v>
      </c>
      <c r="L121" s="261">
        <v>91</v>
      </c>
      <c r="M121" s="263"/>
      <c r="N121" s="262">
        <v>92</v>
      </c>
      <c r="O121" s="264"/>
      <c r="P121" s="263"/>
      <c r="Q121" s="264"/>
      <c r="R121" s="264"/>
      <c r="S121" s="263"/>
      <c r="T121" s="263"/>
      <c r="U121" s="264"/>
      <c r="V121" s="264"/>
      <c r="W121" s="263"/>
      <c r="X121" s="264"/>
      <c r="Y121" s="264"/>
      <c r="Z121" s="263"/>
      <c r="AA121" s="263"/>
      <c r="AB121" s="264"/>
      <c r="AC121" s="264"/>
      <c r="AD121" s="263"/>
      <c r="AE121" s="264"/>
      <c r="AF121" s="264"/>
      <c r="AG121" s="265"/>
      <c r="AH121" s="265"/>
    </row>
    <row r="122" spans="1:34" ht="15">
      <c r="A122" s="390"/>
      <c r="B122" s="259" t="s">
        <v>51</v>
      </c>
      <c r="C122" s="260">
        <v>160.89583333333334</v>
      </c>
      <c r="D122" s="260">
        <v>160.89583333333334</v>
      </c>
      <c r="E122" s="263"/>
      <c r="F122" s="263"/>
      <c r="G122" s="262">
        <v>160.125</v>
      </c>
      <c r="H122" s="262">
        <v>163.625</v>
      </c>
      <c r="I122" s="261">
        <v>161.625</v>
      </c>
      <c r="J122" s="264"/>
      <c r="K122" s="262">
        <v>160.5</v>
      </c>
      <c r="L122" s="261">
        <v>156.25</v>
      </c>
      <c r="M122" s="263"/>
      <c r="N122" s="262">
        <v>163.25</v>
      </c>
      <c r="O122" s="264"/>
      <c r="P122" s="263"/>
      <c r="Q122" s="264"/>
      <c r="R122" s="264"/>
      <c r="S122" s="263"/>
      <c r="T122" s="263"/>
      <c r="U122" s="264"/>
      <c r="V122" s="264"/>
      <c r="W122" s="263"/>
      <c r="X122" s="264"/>
      <c r="Y122" s="264"/>
      <c r="Z122" s="263"/>
      <c r="AA122" s="263"/>
      <c r="AB122" s="264"/>
      <c r="AC122" s="264"/>
      <c r="AD122" s="263"/>
      <c r="AE122" s="264"/>
      <c r="AF122" s="264"/>
      <c r="AG122" s="265"/>
      <c r="AH122" s="265"/>
    </row>
    <row r="123" spans="1:34" ht="15">
      <c r="A123" s="391"/>
      <c r="B123" s="267" t="s">
        <v>52</v>
      </c>
      <c r="C123" s="268">
        <v>1.7488999999999999</v>
      </c>
      <c r="D123" s="268">
        <v>1.7488999999999999</v>
      </c>
      <c r="E123" s="270"/>
      <c r="F123" s="270"/>
      <c r="G123" s="268">
        <v>1.7404999999999999</v>
      </c>
      <c r="H123" s="268">
        <v>1.7593999999999999</v>
      </c>
      <c r="I123" s="269">
        <v>1.7194</v>
      </c>
      <c r="J123" s="271"/>
      <c r="K123" s="268">
        <v>1.7258</v>
      </c>
      <c r="L123" s="269">
        <v>1.7170000000000001</v>
      </c>
      <c r="M123" s="270"/>
      <c r="N123" s="268">
        <v>1.7745</v>
      </c>
      <c r="O123" s="271"/>
      <c r="P123" s="270"/>
      <c r="Q123" s="271"/>
      <c r="R123" s="271"/>
      <c r="S123" s="270"/>
      <c r="T123" s="270"/>
      <c r="U123" s="271"/>
      <c r="V123" s="271"/>
      <c r="W123" s="270"/>
      <c r="X123" s="271"/>
      <c r="Y123" s="271"/>
      <c r="Z123" s="270"/>
      <c r="AA123" s="270"/>
      <c r="AB123" s="271"/>
      <c r="AC123" s="271"/>
      <c r="AD123" s="270"/>
      <c r="AE123" s="271"/>
      <c r="AF123" s="271"/>
      <c r="AG123" s="272"/>
      <c r="AH123" s="272"/>
    </row>
    <row r="124" spans="1:34" ht="15">
      <c r="A124" s="389" t="s">
        <v>142</v>
      </c>
      <c r="B124" s="251" t="s">
        <v>45</v>
      </c>
      <c r="C124" s="252">
        <v>8640</v>
      </c>
      <c r="D124" s="252">
        <v>1440</v>
      </c>
      <c r="E124" s="255"/>
      <c r="F124" s="255"/>
      <c r="G124" s="254">
        <v>1440</v>
      </c>
      <c r="H124" s="254">
        <v>1440</v>
      </c>
      <c r="I124" s="253">
        <v>1440</v>
      </c>
      <c r="J124" s="256"/>
      <c r="K124" s="254">
        <v>1440</v>
      </c>
      <c r="L124" s="253">
        <v>1440</v>
      </c>
      <c r="M124" s="255"/>
      <c r="N124" s="254">
        <v>1440</v>
      </c>
      <c r="O124" s="256"/>
      <c r="P124" s="255"/>
      <c r="Q124" s="256"/>
      <c r="R124" s="256"/>
      <c r="S124" s="255"/>
      <c r="T124" s="255"/>
      <c r="U124" s="256"/>
      <c r="V124" s="256"/>
      <c r="W124" s="255"/>
      <c r="X124" s="256"/>
      <c r="Y124" s="256"/>
      <c r="Z124" s="255"/>
      <c r="AA124" s="255"/>
      <c r="AB124" s="256"/>
      <c r="AC124" s="256"/>
      <c r="AD124" s="255"/>
      <c r="AE124" s="256"/>
      <c r="AF124" s="256"/>
      <c r="AG124" s="257"/>
      <c r="AH124" s="257"/>
    </row>
    <row r="125" spans="1:34" ht="15">
      <c r="A125" s="390"/>
      <c r="B125" s="251" t="s">
        <v>46</v>
      </c>
      <c r="C125" s="252">
        <v>6900</v>
      </c>
      <c r="D125" s="252">
        <v>1150</v>
      </c>
      <c r="E125" s="255"/>
      <c r="F125" s="255"/>
      <c r="G125" s="254">
        <v>1200</v>
      </c>
      <c r="H125" s="254">
        <v>1200</v>
      </c>
      <c r="I125" s="253">
        <v>1200</v>
      </c>
      <c r="J125" s="256"/>
      <c r="K125" s="254">
        <v>1200</v>
      </c>
      <c r="L125" s="253">
        <v>900</v>
      </c>
      <c r="M125" s="255"/>
      <c r="N125" s="254">
        <v>1200</v>
      </c>
      <c r="O125" s="254">
        <v>1200</v>
      </c>
      <c r="P125" s="253">
        <v>1200</v>
      </c>
      <c r="Q125" s="254">
        <v>1200</v>
      </c>
      <c r="R125" s="254">
        <v>1200</v>
      </c>
      <c r="S125" s="253">
        <v>900</v>
      </c>
      <c r="T125" s="255"/>
      <c r="U125" s="254">
        <v>1200</v>
      </c>
      <c r="V125" s="254">
        <v>1200</v>
      </c>
      <c r="W125" s="253">
        <v>1200</v>
      </c>
      <c r="X125" s="254">
        <v>1200</v>
      </c>
      <c r="Y125" s="254">
        <v>1200</v>
      </c>
      <c r="Z125" s="255"/>
      <c r="AA125" s="255"/>
      <c r="AB125" s="254">
        <v>1200</v>
      </c>
      <c r="AC125" s="254">
        <v>1200</v>
      </c>
      <c r="AD125" s="253">
        <v>1140</v>
      </c>
      <c r="AE125" s="254">
        <v>1140</v>
      </c>
      <c r="AF125" s="254">
        <v>1520</v>
      </c>
      <c r="AG125" s="257"/>
      <c r="AH125" s="257"/>
    </row>
    <row r="126" spans="1:34" ht="15">
      <c r="A126" s="390"/>
      <c r="B126" s="259" t="s">
        <v>47</v>
      </c>
      <c r="C126" s="260">
        <v>6868</v>
      </c>
      <c r="D126" s="260">
        <v>1144.6666666666667</v>
      </c>
      <c r="E126" s="263"/>
      <c r="F126" s="263"/>
      <c r="G126" s="262">
        <v>1218</v>
      </c>
      <c r="H126" s="262">
        <v>1114</v>
      </c>
      <c r="I126" s="261">
        <v>1226</v>
      </c>
      <c r="J126" s="264"/>
      <c r="K126" s="262">
        <v>1210</v>
      </c>
      <c r="L126" s="261">
        <v>888</v>
      </c>
      <c r="M126" s="263"/>
      <c r="N126" s="262">
        <v>1212</v>
      </c>
      <c r="O126" s="264"/>
      <c r="P126" s="263"/>
      <c r="Q126" s="264"/>
      <c r="R126" s="264"/>
      <c r="S126" s="263"/>
      <c r="T126" s="263"/>
      <c r="U126" s="264"/>
      <c r="V126" s="264"/>
      <c r="W126" s="263"/>
      <c r="X126" s="264"/>
      <c r="Y126" s="264"/>
      <c r="Z126" s="263"/>
      <c r="AA126" s="263"/>
      <c r="AB126" s="264"/>
      <c r="AC126" s="264"/>
      <c r="AD126" s="263"/>
      <c r="AE126" s="264"/>
      <c r="AF126" s="264"/>
      <c r="AG126" s="265"/>
      <c r="AH126" s="265"/>
    </row>
    <row r="127" spans="1:34" ht="15">
      <c r="A127" s="390"/>
      <c r="B127" s="259" t="s">
        <v>48</v>
      </c>
      <c r="C127" s="266">
        <v>-32</v>
      </c>
      <c r="D127" s="266">
        <v>-5.333333333333333</v>
      </c>
      <c r="E127" s="263"/>
      <c r="F127" s="263"/>
      <c r="G127" s="262">
        <v>18</v>
      </c>
      <c r="H127" s="264">
        <v>-86</v>
      </c>
      <c r="I127" s="261">
        <v>26</v>
      </c>
      <c r="J127" s="264"/>
      <c r="K127" s="262">
        <v>10</v>
      </c>
      <c r="L127" s="263">
        <v>-12</v>
      </c>
      <c r="M127" s="263"/>
      <c r="N127" s="262">
        <v>12</v>
      </c>
      <c r="O127" s="264"/>
      <c r="P127" s="263"/>
      <c r="Q127" s="264"/>
      <c r="R127" s="264"/>
      <c r="S127" s="263"/>
      <c r="T127" s="263"/>
      <c r="U127" s="264"/>
      <c r="V127" s="264"/>
      <c r="W127" s="263"/>
      <c r="X127" s="264"/>
      <c r="Y127" s="264"/>
      <c r="Z127" s="263"/>
      <c r="AA127" s="263"/>
      <c r="AB127" s="264"/>
      <c r="AC127" s="264"/>
      <c r="AD127" s="263"/>
      <c r="AE127" s="264"/>
      <c r="AF127" s="264"/>
      <c r="AG127" s="265"/>
      <c r="AH127" s="265"/>
    </row>
    <row r="128" spans="1:34" ht="15">
      <c r="A128" s="390"/>
      <c r="B128" s="259" t="s">
        <v>49</v>
      </c>
      <c r="C128" s="260">
        <v>48</v>
      </c>
      <c r="D128" s="260">
        <v>8</v>
      </c>
      <c r="E128" s="263"/>
      <c r="F128" s="263"/>
      <c r="G128" s="262">
        <v>8</v>
      </c>
      <c r="H128" s="262">
        <v>8</v>
      </c>
      <c r="I128" s="261">
        <v>8</v>
      </c>
      <c r="J128" s="264"/>
      <c r="K128" s="262">
        <v>8</v>
      </c>
      <c r="L128" s="261">
        <v>8</v>
      </c>
      <c r="M128" s="263"/>
      <c r="N128" s="262">
        <v>8</v>
      </c>
      <c r="O128" s="264"/>
      <c r="P128" s="263"/>
      <c r="Q128" s="264"/>
      <c r="R128" s="264"/>
      <c r="S128" s="263"/>
      <c r="T128" s="263"/>
      <c r="U128" s="264"/>
      <c r="V128" s="264"/>
      <c r="W128" s="263"/>
      <c r="X128" s="264"/>
      <c r="Y128" s="264"/>
      <c r="Z128" s="263"/>
      <c r="AA128" s="263"/>
      <c r="AB128" s="264"/>
      <c r="AC128" s="264"/>
      <c r="AD128" s="263"/>
      <c r="AE128" s="264"/>
      <c r="AF128" s="264"/>
      <c r="AG128" s="265"/>
      <c r="AH128" s="265"/>
    </row>
    <row r="129" spans="1:34" ht="15">
      <c r="A129" s="390"/>
      <c r="B129" s="259" t="s">
        <v>50</v>
      </c>
      <c r="C129" s="260">
        <v>80</v>
      </c>
      <c r="D129" s="260">
        <v>80</v>
      </c>
      <c r="E129" s="263"/>
      <c r="F129" s="263"/>
      <c r="G129" s="262">
        <v>82</v>
      </c>
      <c r="H129" s="262">
        <v>82</v>
      </c>
      <c r="I129" s="261">
        <v>81</v>
      </c>
      <c r="J129" s="264"/>
      <c r="K129" s="262">
        <v>79</v>
      </c>
      <c r="L129" s="261">
        <v>79</v>
      </c>
      <c r="M129" s="263"/>
      <c r="N129" s="262">
        <v>79</v>
      </c>
      <c r="O129" s="264"/>
      <c r="P129" s="263"/>
      <c r="Q129" s="264"/>
      <c r="R129" s="264"/>
      <c r="S129" s="263"/>
      <c r="T129" s="263"/>
      <c r="U129" s="264"/>
      <c r="V129" s="264"/>
      <c r="W129" s="263"/>
      <c r="X129" s="264"/>
      <c r="Y129" s="264"/>
      <c r="Z129" s="263"/>
      <c r="AA129" s="263"/>
      <c r="AB129" s="264"/>
      <c r="AC129" s="264"/>
      <c r="AD129" s="263"/>
      <c r="AE129" s="264"/>
      <c r="AF129" s="264"/>
      <c r="AG129" s="265"/>
      <c r="AH129" s="265"/>
    </row>
    <row r="130" spans="1:34" ht="15">
      <c r="A130" s="390"/>
      <c r="B130" s="259" t="s">
        <v>51</v>
      </c>
      <c r="C130" s="260">
        <v>143.08333333333334</v>
      </c>
      <c r="D130" s="260">
        <v>143.08333333333334</v>
      </c>
      <c r="E130" s="263"/>
      <c r="F130" s="263"/>
      <c r="G130" s="262">
        <v>152.25</v>
      </c>
      <c r="H130" s="262">
        <v>139.25</v>
      </c>
      <c r="I130" s="261">
        <v>153.25</v>
      </c>
      <c r="J130" s="264"/>
      <c r="K130" s="262">
        <v>151.25</v>
      </c>
      <c r="L130" s="261">
        <v>111</v>
      </c>
      <c r="M130" s="263"/>
      <c r="N130" s="262">
        <v>151.5</v>
      </c>
      <c r="O130" s="264"/>
      <c r="P130" s="263"/>
      <c r="Q130" s="264"/>
      <c r="R130" s="264"/>
      <c r="S130" s="263"/>
      <c r="T130" s="263"/>
      <c r="U130" s="264"/>
      <c r="V130" s="264"/>
      <c r="W130" s="263"/>
      <c r="X130" s="264"/>
      <c r="Y130" s="264"/>
      <c r="Z130" s="263"/>
      <c r="AA130" s="263"/>
      <c r="AB130" s="264"/>
      <c r="AC130" s="264"/>
      <c r="AD130" s="263"/>
      <c r="AE130" s="264"/>
      <c r="AF130" s="264"/>
      <c r="AG130" s="265"/>
      <c r="AH130" s="265"/>
    </row>
    <row r="131" spans="1:34" ht="15">
      <c r="A131" s="391"/>
      <c r="B131" s="267" t="s">
        <v>52</v>
      </c>
      <c r="C131" s="268">
        <v>1.7885</v>
      </c>
      <c r="D131" s="268">
        <v>1.7885</v>
      </c>
      <c r="E131" s="270"/>
      <c r="F131" s="270"/>
      <c r="G131" s="268">
        <v>1.8567</v>
      </c>
      <c r="H131" s="268">
        <v>1.6981999999999999</v>
      </c>
      <c r="I131" s="269">
        <v>1.8919999999999999</v>
      </c>
      <c r="J131" s="271"/>
      <c r="K131" s="268">
        <v>1.9146000000000001</v>
      </c>
      <c r="L131" s="269">
        <v>1.4051</v>
      </c>
      <c r="M131" s="270"/>
      <c r="N131" s="268">
        <v>1.9177</v>
      </c>
      <c r="O131" s="271"/>
      <c r="P131" s="270"/>
      <c r="Q131" s="271"/>
      <c r="R131" s="271"/>
      <c r="S131" s="270"/>
      <c r="T131" s="270"/>
      <c r="U131" s="271"/>
      <c r="V131" s="271"/>
      <c r="W131" s="270"/>
      <c r="X131" s="271"/>
      <c r="Y131" s="271"/>
      <c r="Z131" s="270"/>
      <c r="AA131" s="270"/>
      <c r="AB131" s="271"/>
      <c r="AC131" s="271"/>
      <c r="AD131" s="270"/>
      <c r="AE131" s="271"/>
      <c r="AF131" s="271"/>
      <c r="AG131" s="272"/>
      <c r="AH131" s="272"/>
    </row>
    <row r="132" spans="1:34" ht="15">
      <c r="A132" s="389" t="s">
        <v>143</v>
      </c>
      <c r="B132" s="251" t="s">
        <v>45</v>
      </c>
      <c r="C132" s="252">
        <v>10400</v>
      </c>
      <c r="D132" s="252">
        <v>1733.3333333333333</v>
      </c>
      <c r="E132" s="255"/>
      <c r="F132" s="255"/>
      <c r="G132" s="254">
        <v>1760</v>
      </c>
      <c r="H132" s="254">
        <v>1760</v>
      </c>
      <c r="I132" s="253">
        <v>1760</v>
      </c>
      <c r="J132" s="256"/>
      <c r="K132" s="254">
        <v>1760</v>
      </c>
      <c r="L132" s="253">
        <v>1600</v>
      </c>
      <c r="M132" s="255"/>
      <c r="N132" s="254">
        <v>1760</v>
      </c>
      <c r="O132" s="256"/>
      <c r="P132" s="255"/>
      <c r="Q132" s="256"/>
      <c r="R132" s="256"/>
      <c r="S132" s="255"/>
      <c r="T132" s="255"/>
      <c r="U132" s="256"/>
      <c r="V132" s="256"/>
      <c r="W132" s="255"/>
      <c r="X132" s="256"/>
      <c r="Y132" s="256"/>
      <c r="Z132" s="255"/>
      <c r="AA132" s="255"/>
      <c r="AB132" s="256"/>
      <c r="AC132" s="256"/>
      <c r="AD132" s="255"/>
      <c r="AE132" s="256"/>
      <c r="AF132" s="256"/>
      <c r="AG132" s="257"/>
      <c r="AH132" s="257"/>
    </row>
    <row r="133" spans="1:34" ht="15">
      <c r="A133" s="390"/>
      <c r="B133" s="251" t="s">
        <v>46</v>
      </c>
      <c r="C133" s="252">
        <v>8640</v>
      </c>
      <c r="D133" s="252">
        <v>1440</v>
      </c>
      <c r="E133" s="255"/>
      <c r="F133" s="255"/>
      <c r="G133" s="254">
        <v>1440</v>
      </c>
      <c r="H133" s="254">
        <v>1440</v>
      </c>
      <c r="I133" s="253">
        <v>1440</v>
      </c>
      <c r="J133" s="256"/>
      <c r="K133" s="254">
        <v>1440</v>
      </c>
      <c r="L133" s="253">
        <v>1440</v>
      </c>
      <c r="M133" s="255"/>
      <c r="N133" s="254">
        <v>1440</v>
      </c>
      <c r="O133" s="254">
        <v>1440</v>
      </c>
      <c r="P133" s="253">
        <v>1440</v>
      </c>
      <c r="Q133" s="254">
        <v>1440</v>
      </c>
      <c r="R133" s="254">
        <v>1440</v>
      </c>
      <c r="S133" s="253">
        <v>1440</v>
      </c>
      <c r="T133" s="255"/>
      <c r="U133" s="254">
        <v>1440</v>
      </c>
      <c r="V133" s="254">
        <v>1440</v>
      </c>
      <c r="W133" s="253">
        <v>1440</v>
      </c>
      <c r="X133" s="254">
        <v>1440</v>
      </c>
      <c r="Y133" s="254">
        <v>1440</v>
      </c>
      <c r="Z133" s="255"/>
      <c r="AA133" s="255"/>
      <c r="AB133" s="254">
        <v>1440</v>
      </c>
      <c r="AC133" s="254">
        <v>1440</v>
      </c>
      <c r="AD133" s="253">
        <v>1440</v>
      </c>
      <c r="AE133" s="254">
        <v>1440</v>
      </c>
      <c r="AF133" s="254">
        <v>1440</v>
      </c>
      <c r="AG133" s="257"/>
      <c r="AH133" s="257"/>
    </row>
    <row r="134" spans="1:34" ht="15">
      <c r="A134" s="390"/>
      <c r="B134" s="259" t="s">
        <v>47</v>
      </c>
      <c r="C134" s="260">
        <v>8773</v>
      </c>
      <c r="D134" s="260">
        <v>1462.1666666666667</v>
      </c>
      <c r="E134" s="263"/>
      <c r="F134" s="263"/>
      <c r="G134" s="262">
        <v>1479</v>
      </c>
      <c r="H134" s="262">
        <v>1444</v>
      </c>
      <c r="I134" s="261">
        <v>1430</v>
      </c>
      <c r="J134" s="264"/>
      <c r="K134" s="262">
        <v>1466</v>
      </c>
      <c r="L134" s="261">
        <v>1508</v>
      </c>
      <c r="M134" s="263"/>
      <c r="N134" s="262">
        <v>1446</v>
      </c>
      <c r="O134" s="264"/>
      <c r="P134" s="263"/>
      <c r="Q134" s="264"/>
      <c r="R134" s="264"/>
      <c r="S134" s="263"/>
      <c r="T134" s="263"/>
      <c r="U134" s="264"/>
      <c r="V134" s="264"/>
      <c r="W134" s="263"/>
      <c r="X134" s="264"/>
      <c r="Y134" s="264"/>
      <c r="Z134" s="263"/>
      <c r="AA134" s="263"/>
      <c r="AB134" s="264"/>
      <c r="AC134" s="264"/>
      <c r="AD134" s="263"/>
      <c r="AE134" s="264"/>
      <c r="AF134" s="264"/>
      <c r="AG134" s="265"/>
      <c r="AH134" s="265"/>
    </row>
    <row r="135" spans="1:34" ht="15">
      <c r="A135" s="390"/>
      <c r="B135" s="259" t="s">
        <v>48</v>
      </c>
      <c r="C135" s="260">
        <v>133</v>
      </c>
      <c r="D135" s="260">
        <v>22.166666666666668</v>
      </c>
      <c r="E135" s="263"/>
      <c r="F135" s="263"/>
      <c r="G135" s="262">
        <v>39</v>
      </c>
      <c r="H135" s="262">
        <v>4</v>
      </c>
      <c r="I135" s="263">
        <v>-10</v>
      </c>
      <c r="J135" s="264"/>
      <c r="K135" s="262">
        <v>26</v>
      </c>
      <c r="L135" s="261">
        <v>68</v>
      </c>
      <c r="M135" s="263"/>
      <c r="N135" s="262">
        <v>6</v>
      </c>
      <c r="O135" s="264"/>
      <c r="P135" s="263"/>
      <c r="Q135" s="264"/>
      <c r="R135" s="264"/>
      <c r="S135" s="263"/>
      <c r="T135" s="263"/>
      <c r="U135" s="264"/>
      <c r="V135" s="264"/>
      <c r="W135" s="263"/>
      <c r="X135" s="264"/>
      <c r="Y135" s="264"/>
      <c r="Z135" s="263"/>
      <c r="AA135" s="263"/>
      <c r="AB135" s="264"/>
      <c r="AC135" s="264"/>
      <c r="AD135" s="263"/>
      <c r="AE135" s="264"/>
      <c r="AF135" s="264"/>
      <c r="AG135" s="265"/>
      <c r="AH135" s="265"/>
    </row>
    <row r="136" spans="1:34" ht="15">
      <c r="A136" s="390"/>
      <c r="B136" s="259" t="s">
        <v>49</v>
      </c>
      <c r="C136" s="260">
        <v>48</v>
      </c>
      <c r="D136" s="260">
        <v>8</v>
      </c>
      <c r="E136" s="263"/>
      <c r="F136" s="263"/>
      <c r="G136" s="262">
        <v>8</v>
      </c>
      <c r="H136" s="262">
        <v>8</v>
      </c>
      <c r="I136" s="261">
        <v>8</v>
      </c>
      <c r="J136" s="264"/>
      <c r="K136" s="262">
        <v>8</v>
      </c>
      <c r="L136" s="261">
        <v>8</v>
      </c>
      <c r="M136" s="263"/>
      <c r="N136" s="262">
        <v>8</v>
      </c>
      <c r="O136" s="264"/>
      <c r="P136" s="263"/>
      <c r="Q136" s="264"/>
      <c r="R136" s="264"/>
      <c r="S136" s="263"/>
      <c r="T136" s="263"/>
      <c r="U136" s="264"/>
      <c r="V136" s="264"/>
      <c r="W136" s="263"/>
      <c r="X136" s="264"/>
      <c r="Y136" s="264"/>
      <c r="Z136" s="263"/>
      <c r="AA136" s="263"/>
      <c r="AB136" s="264"/>
      <c r="AC136" s="264"/>
      <c r="AD136" s="263"/>
      <c r="AE136" s="264"/>
      <c r="AF136" s="264"/>
      <c r="AG136" s="265"/>
      <c r="AH136" s="265"/>
    </row>
    <row r="137" spans="1:34" ht="15">
      <c r="A137" s="390"/>
      <c r="B137" s="259" t="s">
        <v>50</v>
      </c>
      <c r="C137" s="260">
        <v>86</v>
      </c>
      <c r="D137" s="260">
        <v>86</v>
      </c>
      <c r="E137" s="263"/>
      <c r="F137" s="263"/>
      <c r="G137" s="262">
        <v>88</v>
      </c>
      <c r="H137" s="262">
        <v>88</v>
      </c>
      <c r="I137" s="261">
        <v>84</v>
      </c>
      <c r="J137" s="264"/>
      <c r="K137" s="262">
        <v>86</v>
      </c>
      <c r="L137" s="261">
        <v>86</v>
      </c>
      <c r="M137" s="263"/>
      <c r="N137" s="262">
        <v>88</v>
      </c>
      <c r="O137" s="264"/>
      <c r="P137" s="263"/>
      <c r="Q137" s="264"/>
      <c r="R137" s="264"/>
      <c r="S137" s="263"/>
      <c r="T137" s="263"/>
      <c r="U137" s="264"/>
      <c r="V137" s="264"/>
      <c r="W137" s="263"/>
      <c r="X137" s="264"/>
      <c r="Y137" s="264"/>
      <c r="Z137" s="263"/>
      <c r="AA137" s="263"/>
      <c r="AB137" s="264"/>
      <c r="AC137" s="264"/>
      <c r="AD137" s="263"/>
      <c r="AE137" s="264"/>
      <c r="AF137" s="264"/>
      <c r="AG137" s="265"/>
      <c r="AH137" s="265"/>
    </row>
    <row r="138" spans="1:34" ht="15">
      <c r="A138" s="390"/>
      <c r="B138" s="259" t="s">
        <v>51</v>
      </c>
      <c r="C138" s="260">
        <v>182.77083333333334</v>
      </c>
      <c r="D138" s="260">
        <v>182.77083333333334</v>
      </c>
      <c r="E138" s="263"/>
      <c r="F138" s="263"/>
      <c r="G138" s="262">
        <v>184.875</v>
      </c>
      <c r="H138" s="262">
        <v>180.5</v>
      </c>
      <c r="I138" s="261">
        <v>178.75</v>
      </c>
      <c r="J138" s="264"/>
      <c r="K138" s="262">
        <v>183.25</v>
      </c>
      <c r="L138" s="261">
        <v>188.5</v>
      </c>
      <c r="M138" s="263"/>
      <c r="N138" s="262">
        <v>180.75</v>
      </c>
      <c r="O138" s="264"/>
      <c r="P138" s="263"/>
      <c r="Q138" s="264"/>
      <c r="R138" s="264"/>
      <c r="S138" s="263"/>
      <c r="T138" s="263"/>
      <c r="U138" s="264"/>
      <c r="V138" s="264"/>
      <c r="W138" s="263"/>
      <c r="X138" s="264"/>
      <c r="Y138" s="264"/>
      <c r="Z138" s="263"/>
      <c r="AA138" s="263"/>
      <c r="AB138" s="264"/>
      <c r="AC138" s="264"/>
      <c r="AD138" s="263"/>
      <c r="AE138" s="264"/>
      <c r="AF138" s="264"/>
      <c r="AG138" s="265"/>
      <c r="AH138" s="265"/>
    </row>
    <row r="139" spans="1:34" ht="15">
      <c r="A139" s="391"/>
      <c r="B139" s="267" t="s">
        <v>52</v>
      </c>
      <c r="C139" s="268">
        <v>2.1252</v>
      </c>
      <c r="D139" s="268">
        <v>2.1252</v>
      </c>
      <c r="E139" s="270"/>
      <c r="F139" s="270"/>
      <c r="G139" s="268">
        <v>2.1009000000000002</v>
      </c>
      <c r="H139" s="268">
        <v>2.0510999999999999</v>
      </c>
      <c r="I139" s="269">
        <v>2.1280000000000001</v>
      </c>
      <c r="J139" s="271"/>
      <c r="K139" s="268">
        <v>2.1307999999999998</v>
      </c>
      <c r="L139" s="269">
        <v>2.1919</v>
      </c>
      <c r="M139" s="270"/>
      <c r="N139" s="268">
        <v>2.0539999999999998</v>
      </c>
      <c r="O139" s="271"/>
      <c r="P139" s="270"/>
      <c r="Q139" s="271"/>
      <c r="R139" s="271"/>
      <c r="S139" s="270"/>
      <c r="T139" s="270"/>
      <c r="U139" s="271"/>
      <c r="V139" s="271"/>
      <c r="W139" s="270"/>
      <c r="X139" s="271"/>
      <c r="Y139" s="271"/>
      <c r="Z139" s="270"/>
      <c r="AA139" s="270"/>
      <c r="AB139" s="271"/>
      <c r="AC139" s="271"/>
      <c r="AD139" s="270"/>
      <c r="AE139" s="271"/>
      <c r="AF139" s="271"/>
      <c r="AG139" s="272"/>
      <c r="AH139" s="272"/>
    </row>
    <row r="140" spans="1:34" ht="15">
      <c r="A140" s="389" t="s">
        <v>144</v>
      </c>
      <c r="B140" s="251" t="s">
        <v>45</v>
      </c>
      <c r="C140" s="252">
        <v>7680</v>
      </c>
      <c r="D140" s="252">
        <v>1280</v>
      </c>
      <c r="E140" s="255"/>
      <c r="F140" s="255"/>
      <c r="G140" s="254">
        <v>1280</v>
      </c>
      <c r="H140" s="254">
        <v>1280</v>
      </c>
      <c r="I140" s="253">
        <v>1280</v>
      </c>
      <c r="J140" s="256"/>
      <c r="K140" s="254">
        <v>1280</v>
      </c>
      <c r="L140" s="253">
        <v>1280</v>
      </c>
      <c r="M140" s="255"/>
      <c r="N140" s="254">
        <v>1280</v>
      </c>
      <c r="O140" s="256"/>
      <c r="P140" s="255"/>
      <c r="Q140" s="256"/>
      <c r="R140" s="256"/>
      <c r="S140" s="255"/>
      <c r="T140" s="255"/>
      <c r="U140" s="256"/>
      <c r="V140" s="256"/>
      <c r="W140" s="255"/>
      <c r="X140" s="256"/>
      <c r="Y140" s="256"/>
      <c r="Z140" s="255"/>
      <c r="AA140" s="255"/>
      <c r="AB140" s="256"/>
      <c r="AC140" s="256"/>
      <c r="AD140" s="255"/>
      <c r="AE140" s="256"/>
      <c r="AF140" s="256"/>
      <c r="AG140" s="257"/>
      <c r="AH140" s="257"/>
    </row>
    <row r="141" spans="1:34" ht="15">
      <c r="A141" s="390"/>
      <c r="B141" s="251" t="s">
        <v>46</v>
      </c>
      <c r="C141" s="252">
        <v>6480</v>
      </c>
      <c r="D141" s="252">
        <v>1080</v>
      </c>
      <c r="E141" s="255"/>
      <c r="F141" s="255"/>
      <c r="G141" s="254">
        <v>1200</v>
      </c>
      <c r="H141" s="254">
        <v>1200</v>
      </c>
      <c r="I141" s="253">
        <v>1200</v>
      </c>
      <c r="J141" s="256"/>
      <c r="K141" s="254">
        <v>1200</v>
      </c>
      <c r="L141" s="253">
        <v>840</v>
      </c>
      <c r="M141" s="255"/>
      <c r="N141" s="254">
        <v>840</v>
      </c>
      <c r="O141" s="254">
        <v>1120</v>
      </c>
      <c r="P141" s="253">
        <v>1120</v>
      </c>
      <c r="Q141" s="254">
        <v>1120</v>
      </c>
      <c r="R141" s="254">
        <v>1200</v>
      </c>
      <c r="S141" s="253">
        <v>1200</v>
      </c>
      <c r="T141" s="255"/>
      <c r="U141" s="254">
        <v>1200</v>
      </c>
      <c r="V141" s="254">
        <v>1200</v>
      </c>
      <c r="W141" s="253">
        <v>1200</v>
      </c>
      <c r="X141" s="254">
        <v>1200</v>
      </c>
      <c r="Y141" s="254">
        <v>1200</v>
      </c>
      <c r="Z141" s="255"/>
      <c r="AA141" s="255"/>
      <c r="AB141" s="254">
        <v>1200</v>
      </c>
      <c r="AC141" s="254">
        <v>1200</v>
      </c>
      <c r="AD141" s="253">
        <v>1200</v>
      </c>
      <c r="AE141" s="254">
        <v>1200</v>
      </c>
      <c r="AF141" s="254">
        <v>1200</v>
      </c>
      <c r="AG141" s="257"/>
      <c r="AH141" s="257"/>
    </row>
    <row r="142" spans="1:34" ht="15">
      <c r="A142" s="390"/>
      <c r="B142" s="259" t="s">
        <v>47</v>
      </c>
      <c r="C142" s="260">
        <v>6660</v>
      </c>
      <c r="D142" s="260">
        <v>1110</v>
      </c>
      <c r="E142" s="263"/>
      <c r="F142" s="263"/>
      <c r="G142" s="262">
        <v>1200</v>
      </c>
      <c r="H142" s="262">
        <v>1200</v>
      </c>
      <c r="I142" s="261">
        <v>1200</v>
      </c>
      <c r="J142" s="264"/>
      <c r="K142" s="262">
        <v>1200</v>
      </c>
      <c r="L142" s="261">
        <v>1020</v>
      </c>
      <c r="M142" s="263"/>
      <c r="N142" s="262">
        <v>840</v>
      </c>
      <c r="O142" s="264"/>
      <c r="P142" s="263"/>
      <c r="Q142" s="264"/>
      <c r="R142" s="264"/>
      <c r="S142" s="263"/>
      <c r="T142" s="263"/>
      <c r="U142" s="264"/>
      <c r="V142" s="264"/>
      <c r="W142" s="263"/>
      <c r="X142" s="264"/>
      <c r="Y142" s="264"/>
      <c r="Z142" s="263"/>
      <c r="AA142" s="263"/>
      <c r="AB142" s="264"/>
      <c r="AC142" s="264"/>
      <c r="AD142" s="263"/>
      <c r="AE142" s="264"/>
      <c r="AF142" s="264"/>
      <c r="AG142" s="265"/>
      <c r="AH142" s="265"/>
    </row>
    <row r="143" spans="1:34" ht="15">
      <c r="A143" s="390"/>
      <c r="B143" s="259" t="s">
        <v>48</v>
      </c>
      <c r="C143" s="260">
        <v>180</v>
      </c>
      <c r="D143" s="260">
        <v>30</v>
      </c>
      <c r="E143" s="263"/>
      <c r="F143" s="263"/>
      <c r="G143" s="262">
        <v>0</v>
      </c>
      <c r="H143" s="262">
        <v>0</v>
      </c>
      <c r="I143" s="261">
        <v>0</v>
      </c>
      <c r="J143" s="264"/>
      <c r="K143" s="262">
        <v>0</v>
      </c>
      <c r="L143" s="261">
        <v>180</v>
      </c>
      <c r="M143" s="263"/>
      <c r="N143" s="262">
        <v>0</v>
      </c>
      <c r="O143" s="264"/>
      <c r="P143" s="263"/>
      <c r="Q143" s="264"/>
      <c r="R143" s="264"/>
      <c r="S143" s="263"/>
      <c r="T143" s="263"/>
      <c r="U143" s="264"/>
      <c r="V143" s="264"/>
      <c r="W143" s="263"/>
      <c r="X143" s="264"/>
      <c r="Y143" s="264"/>
      <c r="Z143" s="263"/>
      <c r="AA143" s="263"/>
      <c r="AB143" s="264"/>
      <c r="AC143" s="264"/>
      <c r="AD143" s="263"/>
      <c r="AE143" s="264"/>
      <c r="AF143" s="264"/>
      <c r="AG143" s="265"/>
      <c r="AH143" s="265"/>
    </row>
    <row r="144" spans="1:34" ht="15">
      <c r="A144" s="390"/>
      <c r="B144" s="259" t="s">
        <v>49</v>
      </c>
      <c r="C144" s="260">
        <v>48</v>
      </c>
      <c r="D144" s="260">
        <v>8</v>
      </c>
      <c r="E144" s="263"/>
      <c r="F144" s="263"/>
      <c r="G144" s="262">
        <v>8</v>
      </c>
      <c r="H144" s="262">
        <v>8</v>
      </c>
      <c r="I144" s="261">
        <v>8</v>
      </c>
      <c r="J144" s="264"/>
      <c r="K144" s="262">
        <v>8</v>
      </c>
      <c r="L144" s="261">
        <v>8</v>
      </c>
      <c r="M144" s="263"/>
      <c r="N144" s="262">
        <v>8</v>
      </c>
      <c r="O144" s="264"/>
      <c r="P144" s="263"/>
      <c r="Q144" s="264"/>
      <c r="R144" s="264"/>
      <c r="S144" s="263"/>
      <c r="T144" s="263"/>
      <c r="U144" s="264"/>
      <c r="V144" s="264"/>
      <c r="W144" s="263"/>
      <c r="X144" s="264"/>
      <c r="Y144" s="264"/>
      <c r="Z144" s="263"/>
      <c r="AA144" s="263"/>
      <c r="AB144" s="264"/>
      <c r="AC144" s="264"/>
      <c r="AD144" s="263"/>
      <c r="AE144" s="264"/>
      <c r="AF144" s="264"/>
      <c r="AG144" s="265"/>
      <c r="AH144" s="265"/>
    </row>
    <row r="145" spans="1:34" ht="15">
      <c r="A145" s="390"/>
      <c r="B145" s="259" t="s">
        <v>50</v>
      </c>
      <c r="C145" s="260">
        <v>114</v>
      </c>
      <c r="D145" s="260">
        <v>114</v>
      </c>
      <c r="E145" s="263"/>
      <c r="F145" s="263"/>
      <c r="G145" s="262">
        <v>117</v>
      </c>
      <c r="H145" s="262">
        <v>117</v>
      </c>
      <c r="I145" s="261">
        <v>115</v>
      </c>
      <c r="J145" s="264"/>
      <c r="K145" s="262">
        <v>112</v>
      </c>
      <c r="L145" s="261">
        <v>114</v>
      </c>
      <c r="M145" s="263"/>
      <c r="N145" s="262">
        <v>111</v>
      </c>
      <c r="O145" s="264"/>
      <c r="P145" s="263"/>
      <c r="Q145" s="264"/>
      <c r="R145" s="264"/>
      <c r="S145" s="263"/>
      <c r="T145" s="263"/>
      <c r="U145" s="264"/>
      <c r="V145" s="264"/>
      <c r="W145" s="263"/>
      <c r="X145" s="264"/>
      <c r="Y145" s="264"/>
      <c r="Z145" s="263"/>
      <c r="AA145" s="263"/>
      <c r="AB145" s="264"/>
      <c r="AC145" s="264"/>
      <c r="AD145" s="263"/>
      <c r="AE145" s="264"/>
      <c r="AF145" s="264"/>
      <c r="AG145" s="265"/>
      <c r="AH145" s="265"/>
    </row>
    <row r="146" spans="1:34" ht="15">
      <c r="A146" s="390"/>
      <c r="B146" s="259" t="s">
        <v>51</v>
      </c>
      <c r="C146" s="260">
        <v>138.75</v>
      </c>
      <c r="D146" s="260">
        <v>138.75</v>
      </c>
      <c r="E146" s="263"/>
      <c r="F146" s="263"/>
      <c r="G146" s="262">
        <v>150</v>
      </c>
      <c r="H146" s="262">
        <v>150</v>
      </c>
      <c r="I146" s="261">
        <v>150</v>
      </c>
      <c r="J146" s="264"/>
      <c r="K146" s="262">
        <v>150</v>
      </c>
      <c r="L146" s="261">
        <v>127.5</v>
      </c>
      <c r="M146" s="263"/>
      <c r="N146" s="262">
        <v>105</v>
      </c>
      <c r="O146" s="264"/>
      <c r="P146" s="263"/>
      <c r="Q146" s="264"/>
      <c r="R146" s="264"/>
      <c r="S146" s="263"/>
      <c r="T146" s="263"/>
      <c r="U146" s="264"/>
      <c r="V146" s="264"/>
      <c r="W146" s="263"/>
      <c r="X146" s="264"/>
      <c r="Y146" s="264"/>
      <c r="Z146" s="263"/>
      <c r="AA146" s="263"/>
      <c r="AB146" s="264"/>
      <c r="AC146" s="264"/>
      <c r="AD146" s="263"/>
      <c r="AE146" s="264"/>
      <c r="AF146" s="264"/>
      <c r="AG146" s="265"/>
      <c r="AH146" s="265"/>
    </row>
    <row r="147" spans="1:34" ht="15">
      <c r="A147" s="391"/>
      <c r="B147" s="267" t="s">
        <v>52</v>
      </c>
      <c r="C147" s="268">
        <v>1.2171000000000001</v>
      </c>
      <c r="D147" s="268">
        <v>1.2171000000000001</v>
      </c>
      <c r="E147" s="270"/>
      <c r="F147" s="270"/>
      <c r="G147" s="268">
        <v>1.2821</v>
      </c>
      <c r="H147" s="268">
        <v>1.2821</v>
      </c>
      <c r="I147" s="269">
        <v>1.3043</v>
      </c>
      <c r="J147" s="271"/>
      <c r="K147" s="268">
        <v>1.3392999999999999</v>
      </c>
      <c r="L147" s="269">
        <v>1.1184000000000001</v>
      </c>
      <c r="M147" s="270"/>
      <c r="N147" s="268">
        <v>0.94589999999999996</v>
      </c>
      <c r="O147" s="271"/>
      <c r="P147" s="270"/>
      <c r="Q147" s="271"/>
      <c r="R147" s="271"/>
      <c r="S147" s="270"/>
      <c r="T147" s="270"/>
      <c r="U147" s="271"/>
      <c r="V147" s="271"/>
      <c r="W147" s="270"/>
      <c r="X147" s="271"/>
      <c r="Y147" s="271"/>
      <c r="Z147" s="270"/>
      <c r="AA147" s="270"/>
      <c r="AB147" s="271"/>
      <c r="AC147" s="271"/>
      <c r="AD147" s="270"/>
      <c r="AE147" s="271"/>
      <c r="AF147" s="271"/>
      <c r="AG147" s="272"/>
      <c r="AH147" s="272"/>
    </row>
    <row r="148" spans="1:34" ht="15">
      <c r="A148" s="389" t="s">
        <v>145</v>
      </c>
      <c r="B148" s="251" t="s">
        <v>129</v>
      </c>
      <c r="C148" s="252">
        <v>7680</v>
      </c>
      <c r="D148" s="252">
        <v>1280</v>
      </c>
      <c r="E148" s="255"/>
      <c r="F148" s="255"/>
      <c r="G148" s="254">
        <v>1280</v>
      </c>
      <c r="H148" s="254">
        <v>1280</v>
      </c>
      <c r="I148" s="253">
        <v>1280</v>
      </c>
      <c r="J148" s="256"/>
      <c r="K148" s="254">
        <v>1280</v>
      </c>
      <c r="L148" s="253">
        <v>1280</v>
      </c>
      <c r="M148" s="255"/>
      <c r="N148" s="254">
        <v>1280</v>
      </c>
      <c r="O148" s="256"/>
      <c r="P148" s="255"/>
      <c r="Q148" s="256"/>
      <c r="R148" s="256"/>
      <c r="S148" s="255"/>
      <c r="T148" s="255"/>
      <c r="U148" s="256"/>
      <c r="V148" s="256"/>
      <c r="W148" s="255"/>
      <c r="X148" s="256"/>
      <c r="Y148" s="256"/>
      <c r="Z148" s="255"/>
      <c r="AA148" s="255"/>
      <c r="AB148" s="256"/>
      <c r="AC148" s="256"/>
      <c r="AD148" s="255"/>
      <c r="AE148" s="256"/>
      <c r="AF148" s="256"/>
      <c r="AG148" s="257"/>
      <c r="AH148" s="257"/>
    </row>
    <row r="149" spans="1:34" ht="15">
      <c r="A149" s="390"/>
      <c r="B149" s="251" t="s">
        <v>46</v>
      </c>
      <c r="C149" s="252">
        <v>7200</v>
      </c>
      <c r="D149" s="252">
        <v>1200</v>
      </c>
      <c r="E149" s="255"/>
      <c r="F149" s="255"/>
      <c r="G149" s="254">
        <v>1200</v>
      </c>
      <c r="H149" s="254">
        <v>1200</v>
      </c>
      <c r="I149" s="253">
        <v>1200</v>
      </c>
      <c r="J149" s="256"/>
      <c r="K149" s="254">
        <v>1200</v>
      </c>
      <c r="L149" s="253">
        <v>1200</v>
      </c>
      <c r="M149" s="255"/>
      <c r="N149" s="254">
        <v>1200</v>
      </c>
      <c r="O149" s="254">
        <v>1200</v>
      </c>
      <c r="P149" s="253">
        <v>1200</v>
      </c>
      <c r="Q149" s="254">
        <v>1200</v>
      </c>
      <c r="R149" s="254">
        <v>1200</v>
      </c>
      <c r="S149" s="253">
        <v>1200</v>
      </c>
      <c r="T149" s="255"/>
      <c r="U149" s="254">
        <v>1200</v>
      </c>
      <c r="V149" s="254">
        <v>1200</v>
      </c>
      <c r="W149" s="253">
        <v>1200</v>
      </c>
      <c r="X149" s="254">
        <v>1200</v>
      </c>
      <c r="Y149" s="254">
        <v>1200</v>
      </c>
      <c r="Z149" s="255"/>
      <c r="AA149" s="255"/>
      <c r="AB149" s="254">
        <v>1200</v>
      </c>
      <c r="AC149" s="254">
        <v>1200</v>
      </c>
      <c r="AD149" s="253">
        <v>1200</v>
      </c>
      <c r="AE149" s="254">
        <v>1200</v>
      </c>
      <c r="AF149" s="254">
        <v>1200</v>
      </c>
      <c r="AG149" s="257"/>
      <c r="AH149" s="257"/>
    </row>
    <row r="150" spans="1:34" ht="15">
      <c r="A150" s="390"/>
      <c r="B150" s="259" t="s">
        <v>47</v>
      </c>
      <c r="C150" s="260">
        <v>7212</v>
      </c>
      <c r="D150" s="260">
        <v>1202</v>
      </c>
      <c r="E150" s="263"/>
      <c r="F150" s="263"/>
      <c r="G150" s="262">
        <v>1200</v>
      </c>
      <c r="H150" s="262">
        <v>1200</v>
      </c>
      <c r="I150" s="261">
        <v>1206</v>
      </c>
      <c r="J150" s="264"/>
      <c r="K150" s="262">
        <v>1206</v>
      </c>
      <c r="L150" s="261">
        <v>1200</v>
      </c>
      <c r="M150" s="263"/>
      <c r="N150" s="262">
        <v>1200</v>
      </c>
      <c r="O150" s="264"/>
      <c r="P150" s="263"/>
      <c r="Q150" s="264"/>
      <c r="R150" s="264"/>
      <c r="S150" s="263"/>
      <c r="T150" s="263"/>
      <c r="U150" s="264"/>
      <c r="V150" s="264"/>
      <c r="W150" s="263"/>
      <c r="X150" s="264"/>
      <c r="Y150" s="264"/>
      <c r="Z150" s="263"/>
      <c r="AA150" s="263"/>
      <c r="AB150" s="264"/>
      <c r="AC150" s="264"/>
      <c r="AD150" s="263"/>
      <c r="AE150" s="264"/>
      <c r="AF150" s="264"/>
      <c r="AG150" s="265"/>
      <c r="AH150" s="265"/>
    </row>
    <row r="151" spans="1:34" ht="15">
      <c r="A151" s="390"/>
      <c r="B151" s="259" t="s">
        <v>48</v>
      </c>
      <c r="C151" s="260">
        <v>12</v>
      </c>
      <c r="D151" s="260">
        <v>2</v>
      </c>
      <c r="E151" s="263"/>
      <c r="F151" s="263"/>
      <c r="G151" s="262">
        <v>0</v>
      </c>
      <c r="H151" s="262">
        <v>0</v>
      </c>
      <c r="I151" s="261">
        <v>6</v>
      </c>
      <c r="J151" s="264"/>
      <c r="K151" s="262">
        <v>6</v>
      </c>
      <c r="L151" s="261">
        <v>0</v>
      </c>
      <c r="M151" s="263"/>
      <c r="N151" s="262">
        <v>0</v>
      </c>
      <c r="O151" s="264"/>
      <c r="P151" s="263"/>
      <c r="Q151" s="264"/>
      <c r="R151" s="264"/>
      <c r="S151" s="263"/>
      <c r="T151" s="263"/>
      <c r="U151" s="264"/>
      <c r="V151" s="264"/>
      <c r="W151" s="263"/>
      <c r="X151" s="264"/>
      <c r="Y151" s="264"/>
      <c r="Z151" s="263"/>
      <c r="AA151" s="263"/>
      <c r="AB151" s="264"/>
      <c r="AC151" s="264"/>
      <c r="AD151" s="263"/>
      <c r="AE151" s="264"/>
      <c r="AF151" s="264"/>
      <c r="AG151" s="265"/>
      <c r="AH151" s="265"/>
    </row>
    <row r="152" spans="1:34" ht="15">
      <c r="A152" s="390"/>
      <c r="B152" s="259" t="s">
        <v>49</v>
      </c>
      <c r="C152" s="260">
        <v>48</v>
      </c>
      <c r="D152" s="260">
        <v>8</v>
      </c>
      <c r="E152" s="263"/>
      <c r="F152" s="263"/>
      <c r="G152" s="262">
        <v>8</v>
      </c>
      <c r="H152" s="262">
        <v>8</v>
      </c>
      <c r="I152" s="261">
        <v>8</v>
      </c>
      <c r="J152" s="264"/>
      <c r="K152" s="262">
        <v>8</v>
      </c>
      <c r="L152" s="261">
        <v>8</v>
      </c>
      <c r="M152" s="263"/>
      <c r="N152" s="262">
        <v>8</v>
      </c>
      <c r="O152" s="264"/>
      <c r="P152" s="263"/>
      <c r="Q152" s="264"/>
      <c r="R152" s="264"/>
      <c r="S152" s="263"/>
      <c r="T152" s="263"/>
      <c r="U152" s="264"/>
      <c r="V152" s="264"/>
      <c r="W152" s="263"/>
      <c r="X152" s="264"/>
      <c r="Y152" s="264"/>
      <c r="Z152" s="263"/>
      <c r="AA152" s="263"/>
      <c r="AB152" s="264"/>
      <c r="AC152" s="264"/>
      <c r="AD152" s="263"/>
      <c r="AE152" s="264"/>
      <c r="AF152" s="264"/>
      <c r="AG152" s="265"/>
      <c r="AH152" s="265"/>
    </row>
    <row r="153" spans="1:34" ht="15">
      <c r="A153" s="390"/>
      <c r="B153" s="259" t="s">
        <v>50</v>
      </c>
      <c r="C153" s="260">
        <v>113</v>
      </c>
      <c r="D153" s="260">
        <v>113</v>
      </c>
      <c r="E153" s="263"/>
      <c r="F153" s="263"/>
      <c r="G153" s="262">
        <v>114</v>
      </c>
      <c r="H153" s="262">
        <v>116</v>
      </c>
      <c r="I153" s="261">
        <v>112</v>
      </c>
      <c r="J153" s="264"/>
      <c r="K153" s="262">
        <v>114</v>
      </c>
      <c r="L153" s="261">
        <v>113</v>
      </c>
      <c r="M153" s="263"/>
      <c r="N153" s="262">
        <v>110</v>
      </c>
      <c r="O153" s="264"/>
      <c r="P153" s="263"/>
      <c r="Q153" s="264"/>
      <c r="R153" s="264"/>
      <c r="S153" s="263"/>
      <c r="T153" s="263"/>
      <c r="U153" s="264"/>
      <c r="V153" s="264"/>
      <c r="W153" s="263"/>
      <c r="X153" s="264"/>
      <c r="Y153" s="264"/>
      <c r="Z153" s="263"/>
      <c r="AA153" s="263"/>
      <c r="AB153" s="264"/>
      <c r="AC153" s="264"/>
      <c r="AD153" s="263"/>
      <c r="AE153" s="264"/>
      <c r="AF153" s="264"/>
      <c r="AG153" s="265"/>
      <c r="AH153" s="265"/>
    </row>
    <row r="154" spans="1:34" ht="15">
      <c r="A154" s="390"/>
      <c r="B154" s="259" t="s">
        <v>51</v>
      </c>
      <c r="C154" s="260">
        <v>150.25</v>
      </c>
      <c r="D154" s="260">
        <v>150.25</v>
      </c>
      <c r="E154" s="263"/>
      <c r="F154" s="263"/>
      <c r="G154" s="262">
        <v>150</v>
      </c>
      <c r="H154" s="262">
        <v>150</v>
      </c>
      <c r="I154" s="261">
        <v>150.75</v>
      </c>
      <c r="J154" s="264"/>
      <c r="K154" s="262">
        <v>150.75</v>
      </c>
      <c r="L154" s="261">
        <v>150</v>
      </c>
      <c r="M154" s="263"/>
      <c r="N154" s="262">
        <v>150</v>
      </c>
      <c r="O154" s="264"/>
      <c r="P154" s="263"/>
      <c r="Q154" s="264"/>
      <c r="R154" s="264"/>
      <c r="S154" s="263"/>
      <c r="T154" s="263"/>
      <c r="U154" s="264"/>
      <c r="V154" s="264"/>
      <c r="W154" s="263"/>
      <c r="X154" s="264"/>
      <c r="Y154" s="264"/>
      <c r="Z154" s="263"/>
      <c r="AA154" s="263"/>
      <c r="AB154" s="264"/>
      <c r="AC154" s="264"/>
      <c r="AD154" s="263"/>
      <c r="AE154" s="264"/>
      <c r="AF154" s="264"/>
      <c r="AG154" s="265"/>
      <c r="AH154" s="265"/>
    </row>
    <row r="155" spans="1:34" ht="15">
      <c r="A155" s="391"/>
      <c r="B155" s="267" t="s">
        <v>52</v>
      </c>
      <c r="C155" s="268">
        <v>1.3296000000000001</v>
      </c>
      <c r="D155" s="268">
        <v>1.3296000000000001</v>
      </c>
      <c r="E155" s="270"/>
      <c r="F155" s="270"/>
      <c r="G155" s="268">
        <v>1.3158000000000001</v>
      </c>
      <c r="H155" s="268">
        <v>1.2930999999999999</v>
      </c>
      <c r="I155" s="269">
        <v>1.3460000000000001</v>
      </c>
      <c r="J155" s="271"/>
      <c r="K155" s="268">
        <v>1.3224</v>
      </c>
      <c r="L155" s="269">
        <v>1.3273999999999999</v>
      </c>
      <c r="M155" s="270"/>
      <c r="N155" s="268">
        <v>1.3635999999999999</v>
      </c>
      <c r="O155" s="271"/>
      <c r="P155" s="270"/>
      <c r="Q155" s="271"/>
      <c r="R155" s="271"/>
      <c r="S155" s="270"/>
      <c r="T155" s="270"/>
      <c r="U155" s="271"/>
      <c r="V155" s="271"/>
      <c r="W155" s="270"/>
      <c r="X155" s="271"/>
      <c r="Y155" s="271"/>
      <c r="Z155" s="270"/>
      <c r="AA155" s="270"/>
      <c r="AB155" s="271"/>
      <c r="AC155" s="271"/>
      <c r="AD155" s="270"/>
      <c r="AE155" s="271"/>
      <c r="AF155" s="271"/>
      <c r="AG155" s="272"/>
      <c r="AH155" s="272"/>
    </row>
    <row r="156" spans="1:34" ht="15">
      <c r="A156" s="389" t="s">
        <v>146</v>
      </c>
      <c r="B156" s="251" t="s">
        <v>45</v>
      </c>
      <c r="C156" s="252">
        <v>7680</v>
      </c>
      <c r="D156" s="252">
        <v>1280</v>
      </c>
      <c r="E156" s="255"/>
      <c r="F156" s="255"/>
      <c r="G156" s="254">
        <v>1280</v>
      </c>
      <c r="H156" s="254">
        <v>1280</v>
      </c>
      <c r="I156" s="253">
        <v>1280</v>
      </c>
      <c r="J156" s="256"/>
      <c r="K156" s="254">
        <v>1280</v>
      </c>
      <c r="L156" s="253">
        <v>1280</v>
      </c>
      <c r="M156" s="255"/>
      <c r="N156" s="254">
        <v>1280</v>
      </c>
      <c r="O156" s="256"/>
      <c r="P156" s="255"/>
      <c r="Q156" s="256"/>
      <c r="R156" s="256"/>
      <c r="S156" s="255"/>
      <c r="T156" s="255"/>
      <c r="U156" s="256"/>
      <c r="V156" s="256"/>
      <c r="W156" s="255"/>
      <c r="X156" s="256"/>
      <c r="Y156" s="256"/>
      <c r="Z156" s="255"/>
      <c r="AA156" s="255"/>
      <c r="AB156" s="256"/>
      <c r="AC156" s="256"/>
      <c r="AD156" s="255"/>
      <c r="AE156" s="256"/>
      <c r="AF156" s="256"/>
      <c r="AG156" s="257"/>
      <c r="AH156" s="257"/>
    </row>
    <row r="157" spans="1:34" ht="15">
      <c r="A157" s="390"/>
      <c r="B157" s="251" t="s">
        <v>46</v>
      </c>
      <c r="C157" s="252">
        <v>7200</v>
      </c>
      <c r="D157" s="252">
        <v>1200</v>
      </c>
      <c r="E157" s="255"/>
      <c r="F157" s="255"/>
      <c r="G157" s="254">
        <v>1200</v>
      </c>
      <c r="H157" s="254">
        <v>1200</v>
      </c>
      <c r="I157" s="253">
        <v>1200</v>
      </c>
      <c r="J157" s="256"/>
      <c r="K157" s="254">
        <v>1200</v>
      </c>
      <c r="L157" s="253">
        <v>1200</v>
      </c>
      <c r="M157" s="255"/>
      <c r="N157" s="254">
        <v>1200</v>
      </c>
      <c r="O157" s="254">
        <v>1200</v>
      </c>
      <c r="P157" s="253">
        <v>1200</v>
      </c>
      <c r="Q157" s="254">
        <v>1200</v>
      </c>
      <c r="R157" s="254">
        <v>1200</v>
      </c>
      <c r="S157" s="253">
        <v>1200</v>
      </c>
      <c r="T157" s="255"/>
      <c r="U157" s="254">
        <v>1200</v>
      </c>
      <c r="V157" s="254">
        <v>1200</v>
      </c>
      <c r="W157" s="253">
        <v>1200</v>
      </c>
      <c r="X157" s="254">
        <v>1200</v>
      </c>
      <c r="Y157" s="254">
        <v>1200</v>
      </c>
      <c r="Z157" s="255"/>
      <c r="AA157" s="255"/>
      <c r="AB157" s="254">
        <v>1200</v>
      </c>
      <c r="AC157" s="254">
        <v>1200</v>
      </c>
      <c r="AD157" s="253">
        <v>1200</v>
      </c>
      <c r="AE157" s="254">
        <v>1200</v>
      </c>
      <c r="AF157" s="254">
        <v>1200</v>
      </c>
      <c r="AG157" s="257"/>
      <c r="AH157" s="257"/>
    </row>
    <row r="158" spans="1:34" ht="15">
      <c r="A158" s="390"/>
      <c r="B158" s="259" t="s">
        <v>47</v>
      </c>
      <c r="C158" s="260">
        <v>7212</v>
      </c>
      <c r="D158" s="260">
        <v>1202</v>
      </c>
      <c r="E158" s="263"/>
      <c r="F158" s="263"/>
      <c r="G158" s="262">
        <v>1200</v>
      </c>
      <c r="H158" s="262">
        <v>1200</v>
      </c>
      <c r="I158" s="261">
        <v>1200</v>
      </c>
      <c r="J158" s="264"/>
      <c r="K158" s="262">
        <v>1206</v>
      </c>
      <c r="L158" s="261">
        <v>1200</v>
      </c>
      <c r="M158" s="263"/>
      <c r="N158" s="262">
        <v>1206</v>
      </c>
      <c r="O158" s="264"/>
      <c r="P158" s="263"/>
      <c r="Q158" s="264"/>
      <c r="R158" s="264"/>
      <c r="S158" s="263"/>
      <c r="T158" s="263"/>
      <c r="U158" s="264"/>
      <c r="V158" s="264"/>
      <c r="W158" s="263"/>
      <c r="X158" s="264"/>
      <c r="Y158" s="264"/>
      <c r="Z158" s="263"/>
      <c r="AA158" s="263"/>
      <c r="AB158" s="264"/>
      <c r="AC158" s="264"/>
      <c r="AD158" s="263"/>
      <c r="AE158" s="264"/>
      <c r="AF158" s="264"/>
      <c r="AG158" s="265"/>
      <c r="AH158" s="265"/>
    </row>
    <row r="159" spans="1:34" ht="15">
      <c r="A159" s="390"/>
      <c r="B159" s="259" t="s">
        <v>48</v>
      </c>
      <c r="C159" s="260">
        <v>12</v>
      </c>
      <c r="D159" s="260">
        <v>2</v>
      </c>
      <c r="E159" s="263"/>
      <c r="F159" s="263"/>
      <c r="G159" s="262">
        <v>0</v>
      </c>
      <c r="H159" s="262">
        <v>0</v>
      </c>
      <c r="I159" s="261">
        <v>0</v>
      </c>
      <c r="J159" s="264"/>
      <c r="K159" s="262">
        <v>6</v>
      </c>
      <c r="L159" s="261">
        <v>0</v>
      </c>
      <c r="M159" s="263"/>
      <c r="N159" s="262">
        <v>6</v>
      </c>
      <c r="O159" s="264"/>
      <c r="P159" s="263"/>
      <c r="Q159" s="264"/>
      <c r="R159" s="264"/>
      <c r="S159" s="263"/>
      <c r="T159" s="263"/>
      <c r="U159" s="264"/>
      <c r="V159" s="264"/>
      <c r="W159" s="263"/>
      <c r="X159" s="264"/>
      <c r="Y159" s="264"/>
      <c r="Z159" s="263"/>
      <c r="AA159" s="263"/>
      <c r="AB159" s="264"/>
      <c r="AC159" s="264"/>
      <c r="AD159" s="263"/>
      <c r="AE159" s="264"/>
      <c r="AF159" s="264"/>
      <c r="AG159" s="265"/>
      <c r="AH159" s="265"/>
    </row>
    <row r="160" spans="1:34" ht="15">
      <c r="A160" s="390"/>
      <c r="B160" s="259" t="s">
        <v>49</v>
      </c>
      <c r="C160" s="260">
        <v>48</v>
      </c>
      <c r="D160" s="260">
        <v>8</v>
      </c>
      <c r="E160" s="263"/>
      <c r="F160" s="263"/>
      <c r="G160" s="262">
        <v>8</v>
      </c>
      <c r="H160" s="262">
        <v>8</v>
      </c>
      <c r="I160" s="261">
        <v>8</v>
      </c>
      <c r="J160" s="264"/>
      <c r="K160" s="262">
        <v>8</v>
      </c>
      <c r="L160" s="261">
        <v>8</v>
      </c>
      <c r="M160" s="263"/>
      <c r="N160" s="262">
        <v>8</v>
      </c>
      <c r="O160" s="264"/>
      <c r="P160" s="263"/>
      <c r="Q160" s="264"/>
      <c r="R160" s="264"/>
      <c r="S160" s="263"/>
      <c r="T160" s="263"/>
      <c r="U160" s="264"/>
      <c r="V160" s="264"/>
      <c r="W160" s="263"/>
      <c r="X160" s="264"/>
      <c r="Y160" s="264"/>
      <c r="Z160" s="263"/>
      <c r="AA160" s="263"/>
      <c r="AB160" s="264"/>
      <c r="AC160" s="264"/>
      <c r="AD160" s="263"/>
      <c r="AE160" s="264"/>
      <c r="AF160" s="264"/>
      <c r="AG160" s="265"/>
      <c r="AH160" s="265"/>
    </row>
    <row r="161" spans="1:34" ht="15">
      <c r="A161" s="390"/>
      <c r="B161" s="259" t="s">
        <v>50</v>
      </c>
      <c r="C161" s="260">
        <v>125</v>
      </c>
      <c r="D161" s="260">
        <v>125</v>
      </c>
      <c r="E161" s="263"/>
      <c r="F161" s="263"/>
      <c r="G161" s="262">
        <v>129</v>
      </c>
      <c r="H161" s="262">
        <v>129</v>
      </c>
      <c r="I161" s="261">
        <v>123</v>
      </c>
      <c r="J161" s="264"/>
      <c r="K161" s="262">
        <v>125</v>
      </c>
      <c r="L161" s="261">
        <v>124</v>
      </c>
      <c r="M161" s="263"/>
      <c r="N161" s="262">
        <v>123</v>
      </c>
      <c r="O161" s="264"/>
      <c r="P161" s="263"/>
      <c r="Q161" s="264"/>
      <c r="R161" s="264"/>
      <c r="S161" s="263"/>
      <c r="T161" s="263"/>
      <c r="U161" s="264"/>
      <c r="V161" s="264"/>
      <c r="W161" s="263"/>
      <c r="X161" s="264"/>
      <c r="Y161" s="264"/>
      <c r="Z161" s="263"/>
      <c r="AA161" s="263"/>
      <c r="AB161" s="264"/>
      <c r="AC161" s="264"/>
      <c r="AD161" s="263"/>
      <c r="AE161" s="264"/>
      <c r="AF161" s="264"/>
      <c r="AG161" s="265"/>
      <c r="AH161" s="265"/>
    </row>
    <row r="162" spans="1:34" ht="15">
      <c r="A162" s="390"/>
      <c r="B162" s="259" t="s">
        <v>51</v>
      </c>
      <c r="C162" s="260">
        <v>150.25</v>
      </c>
      <c r="D162" s="260">
        <v>150.25</v>
      </c>
      <c r="E162" s="263"/>
      <c r="F162" s="263"/>
      <c r="G162" s="262">
        <v>150</v>
      </c>
      <c r="H162" s="262">
        <v>150</v>
      </c>
      <c r="I162" s="261">
        <v>150</v>
      </c>
      <c r="J162" s="264"/>
      <c r="K162" s="262">
        <v>150.75</v>
      </c>
      <c r="L162" s="261">
        <v>150</v>
      </c>
      <c r="M162" s="263"/>
      <c r="N162" s="262">
        <v>150.75</v>
      </c>
      <c r="O162" s="264"/>
      <c r="P162" s="263"/>
      <c r="Q162" s="264"/>
      <c r="R162" s="264"/>
      <c r="S162" s="263"/>
      <c r="T162" s="263"/>
      <c r="U162" s="264"/>
      <c r="V162" s="264"/>
      <c r="W162" s="263"/>
      <c r="X162" s="264"/>
      <c r="Y162" s="264"/>
      <c r="Z162" s="263"/>
      <c r="AA162" s="263"/>
      <c r="AB162" s="264"/>
      <c r="AC162" s="264"/>
      <c r="AD162" s="263"/>
      <c r="AE162" s="264"/>
      <c r="AF162" s="264"/>
      <c r="AG162" s="265"/>
      <c r="AH162" s="265"/>
    </row>
    <row r="163" spans="1:34" ht="15">
      <c r="A163" s="391"/>
      <c r="B163" s="267" t="s">
        <v>52</v>
      </c>
      <c r="C163" s="268">
        <v>1.202</v>
      </c>
      <c r="D163" s="268">
        <v>1.202</v>
      </c>
      <c r="E163" s="270"/>
      <c r="F163" s="270"/>
      <c r="G163" s="268">
        <v>1.1628000000000001</v>
      </c>
      <c r="H163" s="268">
        <v>1.1628000000000001</v>
      </c>
      <c r="I163" s="269">
        <v>1.2195</v>
      </c>
      <c r="J163" s="271"/>
      <c r="K163" s="268">
        <v>1.206</v>
      </c>
      <c r="L163" s="269">
        <v>1.2097</v>
      </c>
      <c r="M163" s="270"/>
      <c r="N163" s="268">
        <v>1.2256</v>
      </c>
      <c r="O163" s="271"/>
      <c r="P163" s="270"/>
      <c r="Q163" s="271"/>
      <c r="R163" s="271"/>
      <c r="S163" s="270"/>
      <c r="T163" s="270"/>
      <c r="U163" s="271"/>
      <c r="V163" s="271"/>
      <c r="W163" s="270"/>
      <c r="X163" s="271"/>
      <c r="Y163" s="271"/>
      <c r="Z163" s="270"/>
      <c r="AA163" s="270"/>
      <c r="AB163" s="271"/>
      <c r="AC163" s="271"/>
      <c r="AD163" s="270"/>
      <c r="AE163" s="271"/>
      <c r="AF163" s="271"/>
      <c r="AG163" s="272"/>
      <c r="AH163" s="272"/>
    </row>
    <row r="164" spans="1:34" ht="15">
      <c r="A164" s="389" t="s">
        <v>147</v>
      </c>
      <c r="B164" s="251" t="s">
        <v>45</v>
      </c>
      <c r="C164" s="252">
        <v>7680</v>
      </c>
      <c r="D164" s="252">
        <v>1280</v>
      </c>
      <c r="E164" s="255"/>
      <c r="F164" s="255"/>
      <c r="G164" s="254">
        <v>1280</v>
      </c>
      <c r="H164" s="254">
        <v>1280</v>
      </c>
      <c r="I164" s="253">
        <v>1280</v>
      </c>
      <c r="J164" s="256"/>
      <c r="K164" s="254">
        <v>1280</v>
      </c>
      <c r="L164" s="253">
        <v>1280</v>
      </c>
      <c r="M164" s="255"/>
      <c r="N164" s="254">
        <v>1280</v>
      </c>
      <c r="O164" s="256"/>
      <c r="P164" s="255"/>
      <c r="Q164" s="256"/>
      <c r="R164" s="256"/>
      <c r="S164" s="255"/>
      <c r="T164" s="255"/>
      <c r="U164" s="256"/>
      <c r="V164" s="256"/>
      <c r="W164" s="255"/>
      <c r="X164" s="256"/>
      <c r="Y164" s="256"/>
      <c r="Z164" s="255"/>
      <c r="AA164" s="255"/>
      <c r="AB164" s="256"/>
      <c r="AC164" s="256"/>
      <c r="AD164" s="255"/>
      <c r="AE164" s="256"/>
      <c r="AF164" s="256"/>
      <c r="AG164" s="257"/>
      <c r="AH164" s="257"/>
    </row>
    <row r="165" spans="1:34" ht="15">
      <c r="A165" s="390"/>
      <c r="B165" s="251" t="s">
        <v>46</v>
      </c>
      <c r="C165" s="252">
        <v>7200</v>
      </c>
      <c r="D165" s="252">
        <v>1200</v>
      </c>
      <c r="E165" s="255"/>
      <c r="F165" s="255"/>
      <c r="G165" s="254">
        <v>1200</v>
      </c>
      <c r="H165" s="254">
        <v>1200</v>
      </c>
      <c r="I165" s="253">
        <v>1200</v>
      </c>
      <c r="J165" s="256"/>
      <c r="K165" s="254">
        <v>1200</v>
      </c>
      <c r="L165" s="253">
        <v>1200</v>
      </c>
      <c r="M165" s="255"/>
      <c r="N165" s="254">
        <v>1200</v>
      </c>
      <c r="O165" s="254">
        <v>1200</v>
      </c>
      <c r="P165" s="253">
        <v>1200</v>
      </c>
      <c r="Q165" s="254">
        <v>1200</v>
      </c>
      <c r="R165" s="254">
        <v>1200</v>
      </c>
      <c r="S165" s="253">
        <v>1200</v>
      </c>
      <c r="T165" s="255"/>
      <c r="U165" s="254">
        <v>1200</v>
      </c>
      <c r="V165" s="254">
        <v>1200</v>
      </c>
      <c r="W165" s="253">
        <v>1200</v>
      </c>
      <c r="X165" s="254">
        <v>1200</v>
      </c>
      <c r="Y165" s="254">
        <v>1200</v>
      </c>
      <c r="Z165" s="255"/>
      <c r="AA165" s="255"/>
      <c r="AB165" s="254">
        <v>1200</v>
      </c>
      <c r="AC165" s="254">
        <v>1200</v>
      </c>
      <c r="AD165" s="253">
        <v>1200</v>
      </c>
      <c r="AE165" s="254">
        <v>1200</v>
      </c>
      <c r="AF165" s="254">
        <v>1200</v>
      </c>
      <c r="AG165" s="257"/>
      <c r="AH165" s="257"/>
    </row>
    <row r="166" spans="1:34" ht="15">
      <c r="A166" s="390"/>
      <c r="B166" s="259" t="s">
        <v>47</v>
      </c>
      <c r="C166" s="260">
        <v>7056</v>
      </c>
      <c r="D166" s="260">
        <v>1176</v>
      </c>
      <c r="E166" s="263"/>
      <c r="F166" s="263"/>
      <c r="G166" s="262">
        <v>1050</v>
      </c>
      <c r="H166" s="262">
        <v>1200</v>
      </c>
      <c r="I166" s="261">
        <v>1203</v>
      </c>
      <c r="J166" s="264"/>
      <c r="K166" s="262">
        <v>1203</v>
      </c>
      <c r="L166" s="261">
        <v>1200</v>
      </c>
      <c r="M166" s="263"/>
      <c r="N166" s="262">
        <v>1200</v>
      </c>
      <c r="O166" s="264"/>
      <c r="P166" s="263"/>
      <c r="Q166" s="264"/>
      <c r="R166" s="264"/>
      <c r="S166" s="263"/>
      <c r="T166" s="263"/>
      <c r="U166" s="264"/>
      <c r="V166" s="264"/>
      <c r="W166" s="263"/>
      <c r="X166" s="264"/>
      <c r="Y166" s="264"/>
      <c r="Z166" s="263"/>
      <c r="AA166" s="263"/>
      <c r="AB166" s="264"/>
      <c r="AC166" s="264"/>
      <c r="AD166" s="263"/>
      <c r="AE166" s="264"/>
      <c r="AF166" s="264"/>
      <c r="AG166" s="265"/>
      <c r="AH166" s="265"/>
    </row>
    <row r="167" spans="1:34" ht="15">
      <c r="A167" s="390"/>
      <c r="B167" s="259" t="s">
        <v>48</v>
      </c>
      <c r="C167" s="266">
        <v>-144</v>
      </c>
      <c r="D167" s="266">
        <v>-24</v>
      </c>
      <c r="E167" s="263"/>
      <c r="F167" s="263"/>
      <c r="G167" s="264">
        <v>-150</v>
      </c>
      <c r="H167" s="262">
        <v>0</v>
      </c>
      <c r="I167" s="261">
        <v>3</v>
      </c>
      <c r="J167" s="264"/>
      <c r="K167" s="262">
        <v>3</v>
      </c>
      <c r="L167" s="261">
        <v>0</v>
      </c>
      <c r="M167" s="263"/>
      <c r="N167" s="262">
        <v>0</v>
      </c>
      <c r="O167" s="264"/>
      <c r="P167" s="263"/>
      <c r="Q167" s="264"/>
      <c r="R167" s="264"/>
      <c r="S167" s="263"/>
      <c r="T167" s="263"/>
      <c r="U167" s="264"/>
      <c r="V167" s="264"/>
      <c r="W167" s="263"/>
      <c r="X167" s="264"/>
      <c r="Y167" s="264"/>
      <c r="Z167" s="263"/>
      <c r="AA167" s="263"/>
      <c r="AB167" s="264"/>
      <c r="AC167" s="264"/>
      <c r="AD167" s="263"/>
      <c r="AE167" s="264"/>
      <c r="AF167" s="264"/>
      <c r="AG167" s="265"/>
      <c r="AH167" s="265"/>
    </row>
    <row r="168" spans="1:34" ht="15">
      <c r="A168" s="390"/>
      <c r="B168" s="259" t="s">
        <v>49</v>
      </c>
      <c r="C168" s="260">
        <v>48</v>
      </c>
      <c r="D168" s="260">
        <v>8</v>
      </c>
      <c r="E168" s="263"/>
      <c r="F168" s="263"/>
      <c r="G168" s="262">
        <v>8</v>
      </c>
      <c r="H168" s="262">
        <v>8</v>
      </c>
      <c r="I168" s="261">
        <v>8</v>
      </c>
      <c r="J168" s="264"/>
      <c r="K168" s="262">
        <v>8</v>
      </c>
      <c r="L168" s="261">
        <v>8</v>
      </c>
      <c r="M168" s="263"/>
      <c r="N168" s="262">
        <v>8</v>
      </c>
      <c r="O168" s="264"/>
      <c r="P168" s="263"/>
      <c r="Q168" s="264"/>
      <c r="R168" s="264"/>
      <c r="S168" s="263"/>
      <c r="T168" s="263"/>
      <c r="U168" s="264"/>
      <c r="V168" s="264"/>
      <c r="W168" s="263"/>
      <c r="X168" s="264"/>
      <c r="Y168" s="264"/>
      <c r="Z168" s="263"/>
      <c r="AA168" s="263"/>
      <c r="AB168" s="264"/>
      <c r="AC168" s="264"/>
      <c r="AD168" s="263"/>
      <c r="AE168" s="264"/>
      <c r="AF168" s="264"/>
      <c r="AG168" s="265"/>
      <c r="AH168" s="265"/>
    </row>
    <row r="169" spans="1:34" ht="15">
      <c r="A169" s="390"/>
      <c r="B169" s="259" t="s">
        <v>50</v>
      </c>
      <c r="C169" s="260">
        <v>90</v>
      </c>
      <c r="D169" s="260">
        <v>90</v>
      </c>
      <c r="E169" s="263"/>
      <c r="F169" s="263"/>
      <c r="G169" s="262">
        <v>90</v>
      </c>
      <c r="H169" s="262">
        <v>91</v>
      </c>
      <c r="I169" s="261">
        <v>92</v>
      </c>
      <c r="J169" s="264"/>
      <c r="K169" s="262">
        <v>90</v>
      </c>
      <c r="L169" s="261">
        <v>92</v>
      </c>
      <c r="M169" s="263"/>
      <c r="N169" s="262">
        <v>88</v>
      </c>
      <c r="O169" s="264"/>
      <c r="P169" s="263"/>
      <c r="Q169" s="264"/>
      <c r="R169" s="264"/>
      <c r="S169" s="263"/>
      <c r="T169" s="263"/>
      <c r="U169" s="264"/>
      <c r="V169" s="264"/>
      <c r="W169" s="263"/>
      <c r="X169" s="264"/>
      <c r="Y169" s="264"/>
      <c r="Z169" s="263"/>
      <c r="AA169" s="263"/>
      <c r="AB169" s="264"/>
      <c r="AC169" s="264"/>
      <c r="AD169" s="263"/>
      <c r="AE169" s="264"/>
      <c r="AF169" s="264"/>
      <c r="AG169" s="265"/>
      <c r="AH169" s="265"/>
    </row>
    <row r="170" spans="1:34" ht="15">
      <c r="A170" s="390"/>
      <c r="B170" s="259" t="s">
        <v>51</v>
      </c>
      <c r="C170" s="260">
        <v>147</v>
      </c>
      <c r="D170" s="260">
        <v>147</v>
      </c>
      <c r="E170" s="263"/>
      <c r="F170" s="263"/>
      <c r="G170" s="262">
        <v>131.25</v>
      </c>
      <c r="H170" s="262">
        <v>150</v>
      </c>
      <c r="I170" s="261">
        <v>150.375</v>
      </c>
      <c r="J170" s="264"/>
      <c r="K170" s="262">
        <v>150.375</v>
      </c>
      <c r="L170" s="261">
        <v>150</v>
      </c>
      <c r="M170" s="263"/>
      <c r="N170" s="262">
        <v>150</v>
      </c>
      <c r="O170" s="264"/>
      <c r="P170" s="263"/>
      <c r="Q170" s="264"/>
      <c r="R170" s="264"/>
      <c r="S170" s="263"/>
      <c r="T170" s="263"/>
      <c r="U170" s="264"/>
      <c r="V170" s="264"/>
      <c r="W170" s="263"/>
      <c r="X170" s="264"/>
      <c r="Y170" s="264"/>
      <c r="Z170" s="263"/>
      <c r="AA170" s="263"/>
      <c r="AB170" s="264"/>
      <c r="AC170" s="264"/>
      <c r="AD170" s="263"/>
      <c r="AE170" s="264"/>
      <c r="AF170" s="264"/>
      <c r="AG170" s="265"/>
      <c r="AH170" s="265"/>
    </row>
    <row r="171" spans="1:34" ht="15">
      <c r="A171" s="391"/>
      <c r="B171" s="267" t="s">
        <v>52</v>
      </c>
      <c r="C171" s="268">
        <v>1.6333</v>
      </c>
      <c r="D171" s="268">
        <v>1.6333</v>
      </c>
      <c r="E171" s="270"/>
      <c r="F171" s="270"/>
      <c r="G171" s="268">
        <v>1.4582999999999999</v>
      </c>
      <c r="H171" s="268">
        <v>1.6484000000000001</v>
      </c>
      <c r="I171" s="269">
        <v>1.6345000000000001</v>
      </c>
      <c r="J171" s="271"/>
      <c r="K171" s="268">
        <v>1.6707999999999998</v>
      </c>
      <c r="L171" s="269">
        <v>1.6303999999999998</v>
      </c>
      <c r="M171" s="270"/>
      <c r="N171" s="268">
        <v>1.7044999999999999</v>
      </c>
      <c r="O171" s="271"/>
      <c r="P171" s="270"/>
      <c r="Q171" s="271"/>
      <c r="R171" s="271"/>
      <c r="S171" s="270"/>
      <c r="T171" s="270"/>
      <c r="U171" s="271"/>
      <c r="V171" s="271"/>
      <c r="W171" s="270"/>
      <c r="X171" s="271"/>
      <c r="Y171" s="271"/>
      <c r="Z171" s="270"/>
      <c r="AA171" s="270"/>
      <c r="AB171" s="271"/>
      <c r="AC171" s="271"/>
      <c r="AD171" s="270"/>
      <c r="AE171" s="271"/>
      <c r="AF171" s="271"/>
      <c r="AG171" s="272"/>
      <c r="AH171" s="272"/>
    </row>
    <row r="172" spans="1:34" ht="15">
      <c r="A172" s="389" t="s">
        <v>112</v>
      </c>
      <c r="B172" s="251" t="s">
        <v>45</v>
      </c>
      <c r="C172" s="252">
        <v>49048</v>
      </c>
      <c r="D172" s="252">
        <v>2229.4545454545455</v>
      </c>
      <c r="E172" s="253">
        <v>2480</v>
      </c>
      <c r="F172" s="253">
        <v>2480</v>
      </c>
      <c r="G172" s="254">
        <v>2480</v>
      </c>
      <c r="H172" s="254">
        <v>2480</v>
      </c>
      <c r="I172" s="255"/>
      <c r="J172" s="254">
        <v>2480</v>
      </c>
      <c r="K172" s="254">
        <v>2480</v>
      </c>
      <c r="L172" s="253">
        <v>2480</v>
      </c>
      <c r="M172" s="253">
        <v>2480</v>
      </c>
      <c r="N172" s="254">
        <v>2480</v>
      </c>
      <c r="O172" s="254">
        <v>2480</v>
      </c>
      <c r="P172" s="255"/>
      <c r="Q172" s="254">
        <v>2480</v>
      </c>
      <c r="R172" s="254">
        <v>2480</v>
      </c>
      <c r="S172" s="253">
        <v>2480</v>
      </c>
      <c r="T172" s="253">
        <v>2480</v>
      </c>
      <c r="U172" s="254">
        <v>2480</v>
      </c>
      <c r="V172" s="254">
        <v>2480</v>
      </c>
      <c r="W172" s="255"/>
      <c r="X172" s="254">
        <v>1960</v>
      </c>
      <c r="Y172" s="254">
        <v>1648</v>
      </c>
      <c r="Z172" s="253">
        <v>1440</v>
      </c>
      <c r="AA172" s="253">
        <v>1440</v>
      </c>
      <c r="AB172" s="254">
        <v>1440</v>
      </c>
      <c r="AC172" s="254">
        <v>1440</v>
      </c>
      <c r="AD172" s="255"/>
      <c r="AE172" s="256"/>
      <c r="AF172" s="256"/>
      <c r="AG172" s="257"/>
      <c r="AH172" s="257"/>
    </row>
    <row r="173" spans="1:34" ht="15">
      <c r="A173" s="390"/>
      <c r="B173" s="251" t="s">
        <v>46</v>
      </c>
      <c r="C173" s="252">
        <v>45880</v>
      </c>
      <c r="D173" s="252">
        <v>2085.4545454545455</v>
      </c>
      <c r="E173" s="253">
        <v>2400</v>
      </c>
      <c r="F173" s="253">
        <v>2400</v>
      </c>
      <c r="G173" s="254">
        <v>2400</v>
      </c>
      <c r="H173" s="254">
        <v>2400</v>
      </c>
      <c r="I173" s="255"/>
      <c r="J173" s="254">
        <v>2400</v>
      </c>
      <c r="K173" s="254">
        <v>2400</v>
      </c>
      <c r="L173" s="253">
        <v>2400</v>
      </c>
      <c r="M173" s="253">
        <v>2400</v>
      </c>
      <c r="N173" s="254">
        <v>2400</v>
      </c>
      <c r="O173" s="254">
        <v>2400</v>
      </c>
      <c r="P173" s="255"/>
      <c r="Q173" s="254">
        <v>2400</v>
      </c>
      <c r="R173" s="254">
        <v>2400</v>
      </c>
      <c r="S173" s="253">
        <v>2400</v>
      </c>
      <c r="T173" s="253">
        <v>2400</v>
      </c>
      <c r="U173" s="254">
        <v>2400</v>
      </c>
      <c r="V173" s="254">
        <v>2400</v>
      </c>
      <c r="W173" s="255"/>
      <c r="X173" s="254">
        <v>1020</v>
      </c>
      <c r="Y173" s="254">
        <v>1020</v>
      </c>
      <c r="Z173" s="253">
        <v>1360</v>
      </c>
      <c r="AA173" s="253">
        <v>1360</v>
      </c>
      <c r="AB173" s="254">
        <v>1360</v>
      </c>
      <c r="AC173" s="254">
        <v>1360</v>
      </c>
      <c r="AD173" s="255"/>
      <c r="AE173" s="254">
        <v>1360</v>
      </c>
      <c r="AF173" s="254">
        <v>1360</v>
      </c>
      <c r="AG173" s="258">
        <v>1360</v>
      </c>
      <c r="AH173" s="258">
        <v>1360</v>
      </c>
    </row>
    <row r="174" spans="1:34" ht="15">
      <c r="A174" s="390"/>
      <c r="B174" s="259" t="s">
        <v>47</v>
      </c>
      <c r="C174" s="260">
        <v>46296</v>
      </c>
      <c r="D174" s="260">
        <v>2104.3636363636365</v>
      </c>
      <c r="E174" s="261">
        <v>2004</v>
      </c>
      <c r="F174" s="261">
        <v>2502</v>
      </c>
      <c r="G174" s="262">
        <v>2502</v>
      </c>
      <c r="H174" s="262">
        <v>2604</v>
      </c>
      <c r="I174" s="263"/>
      <c r="J174" s="262">
        <v>4050</v>
      </c>
      <c r="K174" s="262">
        <v>3162</v>
      </c>
      <c r="L174" s="261">
        <v>2412</v>
      </c>
      <c r="M174" s="261">
        <v>2400</v>
      </c>
      <c r="N174" s="262">
        <v>2400</v>
      </c>
      <c r="O174" s="262">
        <v>2400</v>
      </c>
      <c r="P174" s="263"/>
      <c r="Q174" s="262">
        <v>2412</v>
      </c>
      <c r="R174" s="262">
        <v>1704</v>
      </c>
      <c r="S174" s="261">
        <v>2004</v>
      </c>
      <c r="T174" s="261">
        <v>1812</v>
      </c>
      <c r="U174" s="262">
        <v>2400</v>
      </c>
      <c r="V174" s="262">
        <v>2400</v>
      </c>
      <c r="W174" s="263"/>
      <c r="X174" s="262">
        <v>1020</v>
      </c>
      <c r="Y174" s="262">
        <v>1020</v>
      </c>
      <c r="Z174" s="261">
        <v>1362</v>
      </c>
      <c r="AA174" s="261">
        <v>1362</v>
      </c>
      <c r="AB174" s="262">
        <v>1362</v>
      </c>
      <c r="AC174" s="262">
        <v>1002</v>
      </c>
      <c r="AD174" s="263"/>
      <c r="AE174" s="264"/>
      <c r="AF174" s="264"/>
      <c r="AG174" s="265"/>
      <c r="AH174" s="265"/>
    </row>
    <row r="175" spans="1:34" ht="15">
      <c r="A175" s="390"/>
      <c r="B175" s="259" t="s">
        <v>48</v>
      </c>
      <c r="C175" s="260">
        <v>416</v>
      </c>
      <c r="D175" s="260">
        <v>18.90909090909091</v>
      </c>
      <c r="E175" s="263">
        <v>-396</v>
      </c>
      <c r="F175" s="261">
        <v>102</v>
      </c>
      <c r="G175" s="262">
        <v>102</v>
      </c>
      <c r="H175" s="262">
        <v>204</v>
      </c>
      <c r="I175" s="263"/>
      <c r="J175" s="262">
        <v>1650</v>
      </c>
      <c r="K175" s="262">
        <v>762</v>
      </c>
      <c r="L175" s="261">
        <v>12</v>
      </c>
      <c r="M175" s="261">
        <v>0</v>
      </c>
      <c r="N175" s="262">
        <v>0</v>
      </c>
      <c r="O175" s="262">
        <v>0</v>
      </c>
      <c r="P175" s="263"/>
      <c r="Q175" s="262">
        <v>12</v>
      </c>
      <c r="R175" s="264">
        <v>-696</v>
      </c>
      <c r="S175" s="263">
        <v>-396</v>
      </c>
      <c r="T175" s="263">
        <v>-588</v>
      </c>
      <c r="U175" s="262">
        <v>0</v>
      </c>
      <c r="V175" s="262">
        <v>0</v>
      </c>
      <c r="W175" s="263"/>
      <c r="X175" s="262">
        <v>0</v>
      </c>
      <c r="Y175" s="262">
        <v>0</v>
      </c>
      <c r="Z175" s="261">
        <v>2</v>
      </c>
      <c r="AA175" s="261">
        <v>2</v>
      </c>
      <c r="AB175" s="262">
        <v>2</v>
      </c>
      <c r="AC175" s="264">
        <v>-358</v>
      </c>
      <c r="AD175" s="263"/>
      <c r="AE175" s="264"/>
      <c r="AF175" s="264"/>
      <c r="AG175" s="265"/>
      <c r="AH175" s="265"/>
    </row>
    <row r="176" spans="1:34" ht="15">
      <c r="A176" s="390"/>
      <c r="B176" s="259" t="s">
        <v>49</v>
      </c>
      <c r="C176" s="260">
        <v>176</v>
      </c>
      <c r="D176" s="260">
        <v>8</v>
      </c>
      <c r="E176" s="261">
        <v>8</v>
      </c>
      <c r="F176" s="261">
        <v>8</v>
      </c>
      <c r="G176" s="262">
        <v>8</v>
      </c>
      <c r="H176" s="262">
        <v>8</v>
      </c>
      <c r="I176" s="263"/>
      <c r="J176" s="262">
        <v>8</v>
      </c>
      <c r="K176" s="262">
        <v>8</v>
      </c>
      <c r="L176" s="261">
        <v>8</v>
      </c>
      <c r="M176" s="261">
        <v>8</v>
      </c>
      <c r="N176" s="262">
        <v>8</v>
      </c>
      <c r="O176" s="262">
        <v>8</v>
      </c>
      <c r="P176" s="263"/>
      <c r="Q176" s="262">
        <v>8</v>
      </c>
      <c r="R176" s="262">
        <v>8</v>
      </c>
      <c r="S176" s="261">
        <v>8</v>
      </c>
      <c r="T176" s="261">
        <v>8</v>
      </c>
      <c r="U176" s="262">
        <v>8</v>
      </c>
      <c r="V176" s="262">
        <v>8</v>
      </c>
      <c r="W176" s="263"/>
      <c r="X176" s="262">
        <v>8</v>
      </c>
      <c r="Y176" s="262">
        <v>8</v>
      </c>
      <c r="Z176" s="261">
        <v>8</v>
      </c>
      <c r="AA176" s="261">
        <v>8</v>
      </c>
      <c r="AB176" s="262">
        <v>8</v>
      </c>
      <c r="AC176" s="262">
        <v>8</v>
      </c>
      <c r="AD176" s="263"/>
      <c r="AE176" s="264"/>
      <c r="AF176" s="264"/>
      <c r="AG176" s="265"/>
      <c r="AH176" s="265"/>
    </row>
    <row r="177" spans="1:34" ht="15">
      <c r="A177" s="390"/>
      <c r="B177" s="259" t="s">
        <v>50</v>
      </c>
      <c r="C177" s="260">
        <v>135</v>
      </c>
      <c r="D177" s="260">
        <v>135</v>
      </c>
      <c r="E177" s="261">
        <v>138</v>
      </c>
      <c r="F177" s="261">
        <v>137</v>
      </c>
      <c r="G177" s="262">
        <v>137</v>
      </c>
      <c r="H177" s="262">
        <v>139</v>
      </c>
      <c r="I177" s="263"/>
      <c r="J177" s="262">
        <v>134</v>
      </c>
      <c r="K177" s="262">
        <v>136</v>
      </c>
      <c r="L177" s="261">
        <v>136</v>
      </c>
      <c r="M177" s="261">
        <v>136</v>
      </c>
      <c r="N177" s="262">
        <v>136</v>
      </c>
      <c r="O177" s="262">
        <v>134</v>
      </c>
      <c r="P177" s="263"/>
      <c r="Q177" s="262">
        <v>132</v>
      </c>
      <c r="R177" s="262">
        <v>134</v>
      </c>
      <c r="S177" s="261">
        <v>135</v>
      </c>
      <c r="T177" s="261">
        <v>131</v>
      </c>
      <c r="U177" s="262">
        <v>137</v>
      </c>
      <c r="V177" s="262">
        <v>133</v>
      </c>
      <c r="W177" s="263"/>
      <c r="X177" s="262">
        <v>134</v>
      </c>
      <c r="Y177" s="262">
        <v>135</v>
      </c>
      <c r="Z177" s="261">
        <v>135</v>
      </c>
      <c r="AA177" s="261">
        <v>134</v>
      </c>
      <c r="AB177" s="262">
        <v>134</v>
      </c>
      <c r="AC177" s="262">
        <v>133</v>
      </c>
      <c r="AD177" s="263"/>
      <c r="AE177" s="264"/>
      <c r="AF177" s="264"/>
      <c r="AG177" s="265"/>
      <c r="AH177" s="265"/>
    </row>
    <row r="178" spans="1:34" ht="15">
      <c r="A178" s="390"/>
      <c r="B178" s="259" t="s">
        <v>51</v>
      </c>
      <c r="C178" s="260">
        <v>263.04545454545456</v>
      </c>
      <c r="D178" s="260">
        <v>263.04545454545456</v>
      </c>
      <c r="E178" s="261">
        <v>250.5</v>
      </c>
      <c r="F178" s="261">
        <v>312.75</v>
      </c>
      <c r="G178" s="262">
        <v>312.75</v>
      </c>
      <c r="H178" s="262">
        <v>325.5</v>
      </c>
      <c r="I178" s="263"/>
      <c r="J178" s="262">
        <v>506.25</v>
      </c>
      <c r="K178" s="262">
        <v>395.25</v>
      </c>
      <c r="L178" s="261">
        <v>301.5</v>
      </c>
      <c r="M178" s="261">
        <v>300</v>
      </c>
      <c r="N178" s="262">
        <v>300</v>
      </c>
      <c r="O178" s="262">
        <v>300</v>
      </c>
      <c r="P178" s="263"/>
      <c r="Q178" s="262">
        <v>301.5</v>
      </c>
      <c r="R178" s="262">
        <v>213</v>
      </c>
      <c r="S178" s="261">
        <v>250.5</v>
      </c>
      <c r="T178" s="261">
        <v>226.5</v>
      </c>
      <c r="U178" s="262">
        <v>300</v>
      </c>
      <c r="V178" s="262">
        <v>300</v>
      </c>
      <c r="W178" s="263"/>
      <c r="X178" s="262">
        <v>127.5</v>
      </c>
      <c r="Y178" s="262">
        <v>127.5</v>
      </c>
      <c r="Z178" s="261">
        <v>170.25</v>
      </c>
      <c r="AA178" s="261">
        <v>170.25</v>
      </c>
      <c r="AB178" s="262">
        <v>170.25</v>
      </c>
      <c r="AC178" s="262">
        <v>125.25</v>
      </c>
      <c r="AD178" s="263"/>
      <c r="AE178" s="264"/>
      <c r="AF178" s="264"/>
      <c r="AG178" s="265"/>
      <c r="AH178" s="265"/>
    </row>
    <row r="179" spans="1:34" ht="15">
      <c r="A179" s="391"/>
      <c r="B179" s="267" t="s">
        <v>52</v>
      </c>
      <c r="C179" s="268">
        <v>1.9485000000000001</v>
      </c>
      <c r="D179" s="268">
        <v>1.9485000000000001</v>
      </c>
      <c r="E179" s="269">
        <v>1.8151999999999999</v>
      </c>
      <c r="F179" s="269">
        <v>2.2827999999999999</v>
      </c>
      <c r="G179" s="268">
        <v>2.2827999999999999</v>
      </c>
      <c r="H179" s="268">
        <v>2.3416999999999999</v>
      </c>
      <c r="I179" s="270"/>
      <c r="J179" s="268">
        <v>3.778</v>
      </c>
      <c r="K179" s="268">
        <v>2.9062999999999999</v>
      </c>
      <c r="L179" s="269">
        <v>2.2168999999999999</v>
      </c>
      <c r="M179" s="269">
        <v>2.2059000000000002</v>
      </c>
      <c r="N179" s="268">
        <v>2.2059000000000002</v>
      </c>
      <c r="O179" s="268">
        <v>2.2387999999999999</v>
      </c>
      <c r="P179" s="270"/>
      <c r="Q179" s="268">
        <v>2.2841</v>
      </c>
      <c r="R179" s="268">
        <v>1.5895999999999999</v>
      </c>
      <c r="S179" s="269">
        <v>1.8555999999999999</v>
      </c>
      <c r="T179" s="269">
        <v>1.7290000000000001</v>
      </c>
      <c r="U179" s="268">
        <v>2.1898</v>
      </c>
      <c r="V179" s="268">
        <v>2.2555999999999998</v>
      </c>
      <c r="W179" s="270"/>
      <c r="X179" s="268">
        <v>0.95150000000000001</v>
      </c>
      <c r="Y179" s="268">
        <v>0.94440000000000002</v>
      </c>
      <c r="Z179" s="269">
        <v>1.2610999999999999</v>
      </c>
      <c r="AA179" s="269">
        <v>1.2705</v>
      </c>
      <c r="AB179" s="268">
        <v>1.2705</v>
      </c>
      <c r="AC179" s="268">
        <v>0.94169999999999998</v>
      </c>
      <c r="AD179" s="270"/>
      <c r="AE179" s="271"/>
      <c r="AF179" s="271"/>
      <c r="AG179" s="272"/>
      <c r="AH179" s="272"/>
    </row>
  </sheetData>
  <mergeCells count="24">
    <mergeCell ref="A1:B1"/>
    <mergeCell ref="A2:AE2"/>
    <mergeCell ref="A4:A11"/>
    <mergeCell ref="A12:A19"/>
    <mergeCell ref="A20:A27"/>
    <mergeCell ref="A28:A35"/>
    <mergeCell ref="A36:A43"/>
    <mergeCell ref="A44:A51"/>
    <mergeCell ref="A52:A59"/>
    <mergeCell ref="A60:A67"/>
    <mergeCell ref="A68:A75"/>
    <mergeCell ref="A76:A83"/>
    <mergeCell ref="A84:A91"/>
    <mergeCell ref="A92:A99"/>
    <mergeCell ref="A100:A107"/>
    <mergeCell ref="A108:A115"/>
    <mergeCell ref="A116:A123"/>
    <mergeCell ref="A124:A131"/>
    <mergeCell ref="A172:A179"/>
    <mergeCell ref="A132:A139"/>
    <mergeCell ref="A140:A147"/>
    <mergeCell ref="A148:A155"/>
    <mergeCell ref="A156:A163"/>
    <mergeCell ref="A164:A171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4" fitToHeight="2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FF00"/>
  </sheetPr>
  <dimension ref="A1:AH147"/>
  <sheetViews>
    <sheetView workbookViewId="0">
      <selection sqref="A1:B1"/>
    </sheetView>
  </sheetViews>
  <sheetFormatPr defaultRowHeight="15.75"/>
  <cols>
    <col min="1" max="1" width="10.42578125" style="73" customWidth="1"/>
    <col min="4" max="4" width="7.7109375" style="71" customWidth="1"/>
    <col min="5" max="6" width="4.7109375" style="70" customWidth="1"/>
    <col min="7" max="8" width="4.7109375" customWidth="1"/>
    <col min="9" max="9" width="4.7109375" style="70" customWidth="1"/>
    <col min="10" max="11" width="4.7109375" customWidth="1"/>
    <col min="12" max="13" width="4.7109375" style="70" customWidth="1"/>
    <col min="14" max="15" width="4.7109375" customWidth="1"/>
    <col min="16" max="16" width="4.7109375" style="70" customWidth="1"/>
    <col min="17" max="18" width="4.7109375" customWidth="1"/>
    <col min="19" max="20" width="4.7109375" style="70" customWidth="1"/>
    <col min="21" max="22" width="4.7109375" customWidth="1"/>
    <col min="23" max="23" width="4.7109375" style="70" customWidth="1"/>
    <col min="24" max="25" width="4.7109375" customWidth="1"/>
    <col min="26" max="27" width="4.7109375" style="70" customWidth="1"/>
    <col min="28" max="29" width="4.7109375" customWidth="1"/>
    <col min="30" max="30" width="4.7109375" style="70" customWidth="1"/>
    <col min="31" max="32" width="4.7109375" customWidth="1"/>
    <col min="33" max="34" width="4.7109375" style="70" customWidth="1"/>
  </cols>
  <sheetData>
    <row r="1" spans="1:34" ht="29.25" customHeight="1">
      <c r="A1" s="369" t="s">
        <v>4</v>
      </c>
      <c r="B1" s="370"/>
    </row>
    <row r="2" spans="1:34" s="8" customFormat="1" ht="30">
      <c r="A2" s="388" t="s">
        <v>148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G2" s="74"/>
      <c r="AH2" s="74"/>
    </row>
    <row r="3" spans="1:34" s="8" customFormat="1" ht="16.5">
      <c r="A3" s="72" t="s">
        <v>83</v>
      </c>
      <c r="B3" s="283" t="s">
        <v>149</v>
      </c>
      <c r="C3" s="284" t="s">
        <v>44</v>
      </c>
      <c r="D3" s="285" t="s">
        <v>84</v>
      </c>
      <c r="E3" s="286">
        <v>1</v>
      </c>
      <c r="F3" s="287">
        <v>2</v>
      </c>
      <c r="G3" s="283">
        <v>3</v>
      </c>
      <c r="H3" s="283">
        <v>4</v>
      </c>
      <c r="I3" s="286">
        <v>5</v>
      </c>
      <c r="J3" s="283">
        <v>6</v>
      </c>
      <c r="K3" s="283">
        <v>7</v>
      </c>
      <c r="L3" s="286">
        <v>8</v>
      </c>
      <c r="M3" s="287">
        <v>9</v>
      </c>
      <c r="N3" s="283">
        <v>10</v>
      </c>
      <c r="O3" s="283">
        <v>11</v>
      </c>
      <c r="P3" s="286">
        <v>12</v>
      </c>
      <c r="Q3" s="283">
        <v>13</v>
      </c>
      <c r="R3" s="283">
        <v>14</v>
      </c>
      <c r="S3" s="286">
        <v>15</v>
      </c>
      <c r="T3" s="287">
        <v>16</v>
      </c>
      <c r="U3" s="283">
        <v>17</v>
      </c>
      <c r="V3" s="283">
        <v>18</v>
      </c>
      <c r="W3" s="286">
        <v>19</v>
      </c>
      <c r="X3" s="283">
        <v>20</v>
      </c>
      <c r="Y3" s="283">
        <v>21</v>
      </c>
      <c r="Z3" s="286">
        <v>22</v>
      </c>
      <c r="AA3" s="287">
        <v>23</v>
      </c>
      <c r="AB3" s="283">
        <v>24</v>
      </c>
      <c r="AC3" s="283">
        <v>25</v>
      </c>
      <c r="AD3" s="286">
        <v>26</v>
      </c>
      <c r="AE3" s="283">
        <v>27</v>
      </c>
      <c r="AF3" s="283">
        <v>28</v>
      </c>
      <c r="AG3" s="288">
        <v>29</v>
      </c>
      <c r="AH3" s="289">
        <v>30</v>
      </c>
    </row>
    <row r="4" spans="1:34" s="8" customFormat="1" ht="15" customHeight="1">
      <c r="A4" s="389" t="s">
        <v>44</v>
      </c>
      <c r="B4" s="290" t="s">
        <v>45</v>
      </c>
      <c r="C4" s="291">
        <v>156928</v>
      </c>
      <c r="D4" s="291">
        <v>26448</v>
      </c>
      <c r="E4" s="294"/>
      <c r="F4" s="294"/>
      <c r="G4" s="293">
        <v>26336</v>
      </c>
      <c r="H4" s="293">
        <v>26736</v>
      </c>
      <c r="I4" s="292">
        <v>26744</v>
      </c>
      <c r="J4" s="295"/>
      <c r="K4" s="293">
        <v>26512</v>
      </c>
      <c r="L4" s="292">
        <v>26240</v>
      </c>
      <c r="M4" s="294"/>
      <c r="N4" s="293">
        <v>24360</v>
      </c>
      <c r="O4" s="295"/>
      <c r="P4" s="294"/>
      <c r="Q4" s="295"/>
      <c r="R4" s="295"/>
      <c r="S4" s="294"/>
      <c r="T4" s="294"/>
      <c r="U4" s="295"/>
      <c r="V4" s="295"/>
      <c r="W4" s="294"/>
      <c r="X4" s="295"/>
      <c r="Y4" s="295"/>
      <c r="Z4" s="294"/>
      <c r="AA4" s="294"/>
      <c r="AB4" s="295"/>
      <c r="AC4" s="295"/>
      <c r="AD4" s="294"/>
      <c r="AE4" s="295"/>
      <c r="AF4" s="295"/>
      <c r="AG4" s="296"/>
      <c r="AH4" s="296"/>
    </row>
    <row r="5" spans="1:34" s="8" customFormat="1" ht="15" customHeight="1">
      <c r="A5" s="390"/>
      <c r="B5" s="290" t="s">
        <v>46</v>
      </c>
      <c r="C5" s="291">
        <v>145740</v>
      </c>
      <c r="D5" s="291">
        <v>24570</v>
      </c>
      <c r="E5" s="294"/>
      <c r="F5" s="294"/>
      <c r="G5" s="293">
        <v>24240</v>
      </c>
      <c r="H5" s="293">
        <v>25360</v>
      </c>
      <c r="I5" s="292">
        <v>24460</v>
      </c>
      <c r="J5" s="295"/>
      <c r="K5" s="293">
        <v>24370</v>
      </c>
      <c r="L5" s="292">
        <v>24710</v>
      </c>
      <c r="M5" s="294"/>
      <c r="N5" s="293">
        <v>22600</v>
      </c>
      <c r="O5" s="293">
        <v>22680</v>
      </c>
      <c r="P5" s="292">
        <v>23040</v>
      </c>
      <c r="Q5" s="293">
        <v>23160</v>
      </c>
      <c r="R5" s="293">
        <v>23160</v>
      </c>
      <c r="S5" s="292">
        <v>22800</v>
      </c>
      <c r="T5" s="294"/>
      <c r="U5" s="293">
        <v>22600</v>
      </c>
      <c r="V5" s="293">
        <v>22100</v>
      </c>
      <c r="W5" s="292">
        <v>22160</v>
      </c>
      <c r="X5" s="293">
        <v>23000</v>
      </c>
      <c r="Y5" s="293">
        <v>23420</v>
      </c>
      <c r="Z5" s="294"/>
      <c r="AA5" s="294"/>
      <c r="AB5" s="293">
        <v>23300</v>
      </c>
      <c r="AC5" s="293">
        <v>23780</v>
      </c>
      <c r="AD5" s="292">
        <v>24260</v>
      </c>
      <c r="AE5" s="293">
        <v>24040</v>
      </c>
      <c r="AF5" s="293">
        <v>24040</v>
      </c>
      <c r="AG5" s="296"/>
      <c r="AH5" s="296"/>
    </row>
    <row r="6" spans="1:34" s="8" customFormat="1" ht="15" customHeight="1">
      <c r="A6" s="390"/>
      <c r="B6" s="297" t="s">
        <v>150</v>
      </c>
      <c r="C6" s="298">
        <v>140350</v>
      </c>
      <c r="D6" s="298">
        <v>23672.466666666667</v>
      </c>
      <c r="E6" s="301"/>
      <c r="F6" s="301"/>
      <c r="G6" s="300">
        <v>23246</v>
      </c>
      <c r="H6" s="300">
        <v>23556</v>
      </c>
      <c r="I6" s="299">
        <v>23653</v>
      </c>
      <c r="J6" s="302"/>
      <c r="K6" s="300">
        <v>22242</v>
      </c>
      <c r="L6" s="299">
        <v>25129</v>
      </c>
      <c r="M6" s="301"/>
      <c r="N6" s="300">
        <v>22524</v>
      </c>
      <c r="O6" s="302"/>
      <c r="P6" s="301"/>
      <c r="Q6" s="302"/>
      <c r="R6" s="302"/>
      <c r="S6" s="301"/>
      <c r="T6" s="301"/>
      <c r="U6" s="302"/>
      <c r="V6" s="302"/>
      <c r="W6" s="301"/>
      <c r="X6" s="302"/>
      <c r="Y6" s="302"/>
      <c r="Z6" s="301"/>
      <c r="AA6" s="301"/>
      <c r="AB6" s="302"/>
      <c r="AC6" s="302"/>
      <c r="AD6" s="301"/>
      <c r="AE6" s="302"/>
      <c r="AF6" s="302"/>
      <c r="AG6" s="303"/>
      <c r="AH6" s="303"/>
    </row>
    <row r="7" spans="1:34" s="8" customFormat="1" ht="15" customHeight="1">
      <c r="A7" s="390"/>
      <c r="B7" s="297" t="s">
        <v>151</v>
      </c>
      <c r="C7" s="304">
        <v>-5390</v>
      </c>
      <c r="D7" s="304">
        <v>-897.53333333333319</v>
      </c>
      <c r="E7" s="301"/>
      <c r="F7" s="301"/>
      <c r="G7" s="302">
        <v>-994</v>
      </c>
      <c r="H7" s="302">
        <v>-1804</v>
      </c>
      <c r="I7" s="301">
        <v>-807</v>
      </c>
      <c r="J7" s="302"/>
      <c r="K7" s="302">
        <v>-2128</v>
      </c>
      <c r="L7" s="299">
        <v>419</v>
      </c>
      <c r="M7" s="301"/>
      <c r="N7" s="302">
        <v>-76</v>
      </c>
      <c r="O7" s="302"/>
      <c r="P7" s="301"/>
      <c r="Q7" s="302"/>
      <c r="R7" s="302"/>
      <c r="S7" s="301"/>
      <c r="T7" s="301"/>
      <c r="U7" s="302"/>
      <c r="V7" s="302"/>
      <c r="W7" s="301"/>
      <c r="X7" s="302"/>
      <c r="Y7" s="302"/>
      <c r="Z7" s="301"/>
      <c r="AA7" s="301"/>
      <c r="AB7" s="302"/>
      <c r="AC7" s="302"/>
      <c r="AD7" s="301"/>
      <c r="AE7" s="302"/>
      <c r="AF7" s="302"/>
      <c r="AG7" s="303"/>
      <c r="AH7" s="303"/>
    </row>
    <row r="8" spans="1:34" s="8" customFormat="1" ht="15" customHeight="1">
      <c r="A8" s="390"/>
      <c r="B8" s="297" t="s">
        <v>49</v>
      </c>
      <c r="C8" s="298">
        <v>47.529411764705884</v>
      </c>
      <c r="D8" s="298">
        <v>8</v>
      </c>
      <c r="E8" s="301"/>
      <c r="F8" s="301"/>
      <c r="G8" s="300">
        <v>8</v>
      </c>
      <c r="H8" s="300">
        <v>8</v>
      </c>
      <c r="I8" s="299">
        <v>8</v>
      </c>
      <c r="J8" s="302"/>
      <c r="K8" s="300">
        <v>8</v>
      </c>
      <c r="L8" s="299">
        <v>8</v>
      </c>
      <c r="M8" s="301"/>
      <c r="N8" s="300">
        <v>8</v>
      </c>
      <c r="O8" s="302"/>
      <c r="P8" s="301"/>
      <c r="Q8" s="302"/>
      <c r="R8" s="302"/>
      <c r="S8" s="301"/>
      <c r="T8" s="301"/>
      <c r="U8" s="302"/>
      <c r="V8" s="302"/>
      <c r="W8" s="301"/>
      <c r="X8" s="302"/>
      <c r="Y8" s="302"/>
      <c r="Z8" s="301"/>
      <c r="AA8" s="301"/>
      <c r="AB8" s="302"/>
      <c r="AC8" s="302"/>
      <c r="AD8" s="301"/>
      <c r="AE8" s="302"/>
      <c r="AF8" s="302"/>
      <c r="AG8" s="303"/>
      <c r="AH8" s="303"/>
    </row>
    <row r="9" spans="1:34" s="8" customFormat="1" ht="15" customHeight="1">
      <c r="A9" s="390"/>
      <c r="B9" s="297" t="s">
        <v>152</v>
      </c>
      <c r="C9" s="298">
        <v>1674</v>
      </c>
      <c r="D9" s="298">
        <v>1674</v>
      </c>
      <c r="E9" s="301"/>
      <c r="F9" s="301"/>
      <c r="G9" s="300">
        <v>1694</v>
      </c>
      <c r="H9" s="300">
        <v>1702</v>
      </c>
      <c r="I9" s="299">
        <v>1668</v>
      </c>
      <c r="J9" s="302"/>
      <c r="K9" s="300">
        <v>1665</v>
      </c>
      <c r="L9" s="299">
        <v>1686</v>
      </c>
      <c r="M9" s="301"/>
      <c r="N9" s="300">
        <v>1585</v>
      </c>
      <c r="O9" s="302"/>
      <c r="P9" s="301"/>
      <c r="Q9" s="302"/>
      <c r="R9" s="302"/>
      <c r="S9" s="301"/>
      <c r="T9" s="301"/>
      <c r="U9" s="302"/>
      <c r="V9" s="302"/>
      <c r="W9" s="301"/>
      <c r="X9" s="302"/>
      <c r="Y9" s="302"/>
      <c r="Z9" s="301"/>
      <c r="AA9" s="301"/>
      <c r="AB9" s="302"/>
      <c r="AC9" s="302"/>
      <c r="AD9" s="301"/>
      <c r="AE9" s="302"/>
      <c r="AF9" s="302"/>
      <c r="AG9" s="303"/>
      <c r="AH9" s="303"/>
    </row>
    <row r="10" spans="1:34" s="8" customFormat="1" ht="15" customHeight="1">
      <c r="A10" s="390"/>
      <c r="B10" s="297" t="s">
        <v>153</v>
      </c>
      <c r="C10" s="298">
        <v>2959.0583333333329</v>
      </c>
      <c r="D10" s="298">
        <v>2959.0583333333334</v>
      </c>
      <c r="E10" s="301"/>
      <c r="F10" s="301"/>
      <c r="G10" s="300">
        <v>2905.75</v>
      </c>
      <c r="H10" s="300">
        <v>2944.5</v>
      </c>
      <c r="I10" s="299">
        <v>2956.625</v>
      </c>
      <c r="J10" s="302"/>
      <c r="K10" s="300">
        <v>2780.25</v>
      </c>
      <c r="L10" s="299">
        <v>3141.125</v>
      </c>
      <c r="M10" s="301"/>
      <c r="N10" s="300">
        <v>2815.5</v>
      </c>
      <c r="O10" s="302"/>
      <c r="P10" s="301"/>
      <c r="Q10" s="302"/>
      <c r="R10" s="302"/>
      <c r="S10" s="301"/>
      <c r="T10" s="301"/>
      <c r="U10" s="302"/>
      <c r="V10" s="302"/>
      <c r="W10" s="301"/>
      <c r="X10" s="302"/>
      <c r="Y10" s="302"/>
      <c r="Z10" s="301"/>
      <c r="AA10" s="301"/>
      <c r="AB10" s="302"/>
      <c r="AC10" s="302"/>
      <c r="AD10" s="301"/>
      <c r="AE10" s="302"/>
      <c r="AF10" s="302"/>
      <c r="AG10" s="303"/>
      <c r="AH10" s="303"/>
    </row>
    <row r="11" spans="1:34" s="8" customFormat="1" ht="15" customHeight="1">
      <c r="A11" s="391"/>
      <c r="B11" s="305" t="s">
        <v>154</v>
      </c>
      <c r="C11" s="306">
        <v>1.76765730784548</v>
      </c>
      <c r="D11" s="306">
        <v>1.76765730784548</v>
      </c>
      <c r="E11" s="308"/>
      <c r="F11" s="308"/>
      <c r="G11" s="306">
        <v>1.7153187721369541</v>
      </c>
      <c r="H11" s="306">
        <v>1.7300235017626322</v>
      </c>
      <c r="I11" s="307">
        <v>1.7725569544364508</v>
      </c>
      <c r="J11" s="309"/>
      <c r="K11" s="306">
        <v>1.6698198198198198</v>
      </c>
      <c r="L11" s="307">
        <v>1.8630634638196917</v>
      </c>
      <c r="M11" s="308"/>
      <c r="N11" s="306">
        <v>1.7763406940063091</v>
      </c>
      <c r="O11" s="309"/>
      <c r="P11" s="308"/>
      <c r="Q11" s="309"/>
      <c r="R11" s="309"/>
      <c r="S11" s="308"/>
      <c r="T11" s="308"/>
      <c r="U11" s="309"/>
      <c r="V11" s="309"/>
      <c r="W11" s="308"/>
      <c r="X11" s="309"/>
      <c r="Y11" s="309"/>
      <c r="Z11" s="308"/>
      <c r="AA11" s="308"/>
      <c r="AB11" s="309"/>
      <c r="AC11" s="309"/>
      <c r="AD11" s="308"/>
      <c r="AE11" s="309"/>
      <c r="AF11" s="309"/>
      <c r="AG11" s="310"/>
      <c r="AH11" s="310"/>
    </row>
    <row r="12" spans="1:34" ht="15">
      <c r="A12" s="389" t="s">
        <v>155</v>
      </c>
      <c r="B12" s="152" t="s">
        <v>45</v>
      </c>
      <c r="C12" s="153">
        <v>10104</v>
      </c>
      <c r="D12" s="153">
        <v>1684</v>
      </c>
      <c r="E12" s="156"/>
      <c r="F12" s="156"/>
      <c r="G12" s="155">
        <v>1760</v>
      </c>
      <c r="H12" s="155">
        <v>1744</v>
      </c>
      <c r="I12" s="154">
        <v>1680</v>
      </c>
      <c r="J12" s="157"/>
      <c r="K12" s="155">
        <v>1680</v>
      </c>
      <c r="L12" s="154">
        <v>1640</v>
      </c>
      <c r="M12" s="156"/>
      <c r="N12" s="155">
        <v>1600</v>
      </c>
      <c r="O12" s="157"/>
      <c r="P12" s="156"/>
      <c r="Q12" s="157"/>
      <c r="R12" s="157"/>
      <c r="S12" s="156"/>
      <c r="T12" s="156"/>
      <c r="U12" s="157"/>
      <c r="V12" s="157"/>
      <c r="W12" s="156"/>
      <c r="X12" s="157"/>
      <c r="Y12" s="157"/>
      <c r="Z12" s="156"/>
      <c r="AA12" s="156"/>
      <c r="AB12" s="157"/>
      <c r="AC12" s="157"/>
      <c r="AD12" s="156"/>
      <c r="AE12" s="157"/>
      <c r="AF12" s="157"/>
      <c r="AG12" s="158"/>
      <c r="AH12" s="158"/>
    </row>
    <row r="13" spans="1:34" ht="15">
      <c r="A13" s="390"/>
      <c r="B13" s="152" t="s">
        <v>46</v>
      </c>
      <c r="C13" s="153">
        <v>8280</v>
      </c>
      <c r="D13" s="153">
        <v>1380</v>
      </c>
      <c r="E13" s="156"/>
      <c r="F13" s="156"/>
      <c r="G13" s="155">
        <v>1440</v>
      </c>
      <c r="H13" s="155">
        <v>1440</v>
      </c>
      <c r="I13" s="154">
        <v>1080</v>
      </c>
      <c r="J13" s="157"/>
      <c r="K13" s="155">
        <v>1440</v>
      </c>
      <c r="L13" s="154">
        <v>1440</v>
      </c>
      <c r="M13" s="156"/>
      <c r="N13" s="155">
        <v>1440</v>
      </c>
      <c r="O13" s="155">
        <v>1440</v>
      </c>
      <c r="P13" s="154">
        <v>1440</v>
      </c>
      <c r="Q13" s="155">
        <v>1440</v>
      </c>
      <c r="R13" s="155">
        <v>1440</v>
      </c>
      <c r="S13" s="154">
        <v>1080</v>
      </c>
      <c r="T13" s="156"/>
      <c r="U13" s="155">
        <v>1440</v>
      </c>
      <c r="V13" s="155">
        <v>1440</v>
      </c>
      <c r="W13" s="154">
        <v>1440</v>
      </c>
      <c r="X13" s="155">
        <v>1440</v>
      </c>
      <c r="Y13" s="155">
        <v>1440</v>
      </c>
      <c r="Z13" s="156"/>
      <c r="AA13" s="156"/>
      <c r="AB13" s="155">
        <v>1440</v>
      </c>
      <c r="AC13" s="155">
        <v>1440</v>
      </c>
      <c r="AD13" s="154">
        <v>1140</v>
      </c>
      <c r="AE13" s="155">
        <v>1520</v>
      </c>
      <c r="AF13" s="155">
        <v>1520</v>
      </c>
      <c r="AG13" s="158"/>
      <c r="AH13" s="158"/>
    </row>
    <row r="14" spans="1:34" ht="15">
      <c r="A14" s="390"/>
      <c r="B14" s="159" t="s">
        <v>47</v>
      </c>
      <c r="C14" s="160">
        <v>7638</v>
      </c>
      <c r="D14" s="160">
        <v>1273</v>
      </c>
      <c r="E14" s="163"/>
      <c r="F14" s="163"/>
      <c r="G14" s="162">
        <v>1554</v>
      </c>
      <c r="H14" s="162">
        <v>1212</v>
      </c>
      <c r="I14" s="161">
        <v>1104</v>
      </c>
      <c r="J14" s="164"/>
      <c r="K14" s="162">
        <v>984</v>
      </c>
      <c r="L14" s="161">
        <v>1440</v>
      </c>
      <c r="M14" s="163"/>
      <c r="N14" s="162">
        <v>1344</v>
      </c>
      <c r="O14" s="164"/>
      <c r="P14" s="163"/>
      <c r="Q14" s="164"/>
      <c r="R14" s="164"/>
      <c r="S14" s="163"/>
      <c r="T14" s="163"/>
      <c r="U14" s="164"/>
      <c r="V14" s="164"/>
      <c r="W14" s="163"/>
      <c r="X14" s="164"/>
      <c r="Y14" s="164"/>
      <c r="Z14" s="163"/>
      <c r="AA14" s="163"/>
      <c r="AB14" s="164"/>
      <c r="AC14" s="164"/>
      <c r="AD14" s="163"/>
      <c r="AE14" s="164"/>
      <c r="AF14" s="164"/>
      <c r="AG14" s="165"/>
      <c r="AH14" s="165"/>
    </row>
    <row r="15" spans="1:34" ht="15">
      <c r="A15" s="390"/>
      <c r="B15" s="159" t="s">
        <v>48</v>
      </c>
      <c r="C15" s="166">
        <v>-642</v>
      </c>
      <c r="D15" s="166">
        <v>-107</v>
      </c>
      <c r="E15" s="163"/>
      <c r="F15" s="163"/>
      <c r="G15" s="162">
        <v>114</v>
      </c>
      <c r="H15" s="164">
        <v>-228</v>
      </c>
      <c r="I15" s="161">
        <v>24</v>
      </c>
      <c r="J15" s="164"/>
      <c r="K15" s="164">
        <v>-456</v>
      </c>
      <c r="L15" s="161">
        <v>0</v>
      </c>
      <c r="M15" s="163"/>
      <c r="N15" s="164">
        <v>-96</v>
      </c>
      <c r="O15" s="164"/>
      <c r="P15" s="163"/>
      <c r="Q15" s="164"/>
      <c r="R15" s="164"/>
      <c r="S15" s="163"/>
      <c r="T15" s="163"/>
      <c r="U15" s="164"/>
      <c r="V15" s="164"/>
      <c r="W15" s="163"/>
      <c r="X15" s="164"/>
      <c r="Y15" s="164"/>
      <c r="Z15" s="163"/>
      <c r="AA15" s="163"/>
      <c r="AB15" s="164"/>
      <c r="AC15" s="164"/>
      <c r="AD15" s="163"/>
      <c r="AE15" s="164"/>
      <c r="AF15" s="164"/>
      <c r="AG15" s="165"/>
      <c r="AH15" s="165"/>
    </row>
    <row r="16" spans="1:34" ht="15">
      <c r="A16" s="390"/>
      <c r="B16" s="159" t="s">
        <v>49</v>
      </c>
      <c r="C16" s="160">
        <v>48</v>
      </c>
      <c r="D16" s="160">
        <v>8</v>
      </c>
      <c r="E16" s="163"/>
      <c r="F16" s="163"/>
      <c r="G16" s="162">
        <v>8</v>
      </c>
      <c r="H16" s="162">
        <v>8</v>
      </c>
      <c r="I16" s="161">
        <v>8</v>
      </c>
      <c r="J16" s="164"/>
      <c r="K16" s="162">
        <v>8</v>
      </c>
      <c r="L16" s="161">
        <v>8</v>
      </c>
      <c r="M16" s="163"/>
      <c r="N16" s="162">
        <v>8</v>
      </c>
      <c r="O16" s="164"/>
      <c r="P16" s="163"/>
      <c r="Q16" s="164"/>
      <c r="R16" s="164"/>
      <c r="S16" s="163"/>
      <c r="T16" s="163"/>
      <c r="U16" s="164"/>
      <c r="V16" s="164"/>
      <c r="W16" s="163"/>
      <c r="X16" s="164"/>
      <c r="Y16" s="164"/>
      <c r="Z16" s="163"/>
      <c r="AA16" s="163"/>
      <c r="AB16" s="164"/>
      <c r="AC16" s="164"/>
      <c r="AD16" s="163"/>
      <c r="AE16" s="164"/>
      <c r="AF16" s="164"/>
      <c r="AG16" s="165"/>
      <c r="AH16" s="165"/>
    </row>
    <row r="17" spans="1:34" ht="15">
      <c r="A17" s="390"/>
      <c r="B17" s="159" t="s">
        <v>50</v>
      </c>
      <c r="C17" s="160">
        <v>73</v>
      </c>
      <c r="D17" s="160">
        <v>73</v>
      </c>
      <c r="E17" s="163"/>
      <c r="F17" s="163"/>
      <c r="G17" s="162">
        <v>74</v>
      </c>
      <c r="H17" s="162">
        <v>74</v>
      </c>
      <c r="I17" s="161">
        <v>73</v>
      </c>
      <c r="J17" s="164"/>
      <c r="K17" s="162">
        <v>73</v>
      </c>
      <c r="L17" s="161">
        <v>74</v>
      </c>
      <c r="M17" s="163"/>
      <c r="N17" s="162">
        <v>71</v>
      </c>
      <c r="O17" s="164"/>
      <c r="P17" s="163"/>
      <c r="Q17" s="164"/>
      <c r="R17" s="164"/>
      <c r="S17" s="163"/>
      <c r="T17" s="163"/>
      <c r="U17" s="164"/>
      <c r="V17" s="164"/>
      <c r="W17" s="163"/>
      <c r="X17" s="164"/>
      <c r="Y17" s="164"/>
      <c r="Z17" s="163"/>
      <c r="AA17" s="163"/>
      <c r="AB17" s="164"/>
      <c r="AC17" s="164"/>
      <c r="AD17" s="163"/>
      <c r="AE17" s="164"/>
      <c r="AF17" s="164"/>
      <c r="AG17" s="165"/>
      <c r="AH17" s="165"/>
    </row>
    <row r="18" spans="1:34" ht="15">
      <c r="A18" s="390"/>
      <c r="B18" s="159" t="s">
        <v>51</v>
      </c>
      <c r="C18" s="160">
        <v>159.125</v>
      </c>
      <c r="D18" s="160">
        <v>159.125</v>
      </c>
      <c r="E18" s="163"/>
      <c r="F18" s="163"/>
      <c r="G18" s="162">
        <v>194.25</v>
      </c>
      <c r="H18" s="162">
        <v>151.5</v>
      </c>
      <c r="I18" s="161">
        <v>138</v>
      </c>
      <c r="J18" s="164"/>
      <c r="K18" s="162">
        <v>123</v>
      </c>
      <c r="L18" s="161">
        <v>180</v>
      </c>
      <c r="M18" s="163"/>
      <c r="N18" s="162">
        <v>168</v>
      </c>
      <c r="O18" s="164"/>
      <c r="P18" s="163"/>
      <c r="Q18" s="164"/>
      <c r="R18" s="164"/>
      <c r="S18" s="163"/>
      <c r="T18" s="163"/>
      <c r="U18" s="164"/>
      <c r="V18" s="164"/>
      <c r="W18" s="163"/>
      <c r="X18" s="164"/>
      <c r="Y18" s="164"/>
      <c r="Z18" s="163"/>
      <c r="AA18" s="163"/>
      <c r="AB18" s="164"/>
      <c r="AC18" s="164"/>
      <c r="AD18" s="163"/>
      <c r="AE18" s="164"/>
      <c r="AF18" s="164"/>
      <c r="AG18" s="165"/>
      <c r="AH18" s="165"/>
    </row>
    <row r="19" spans="1:34" ht="15">
      <c r="A19" s="391"/>
      <c r="B19" s="167" t="s">
        <v>52</v>
      </c>
      <c r="C19" s="168">
        <v>2.1798000000000002</v>
      </c>
      <c r="D19" s="168">
        <v>2.1798000000000002</v>
      </c>
      <c r="E19" s="170"/>
      <c r="F19" s="170"/>
      <c r="G19" s="168">
        <v>2.625</v>
      </c>
      <c r="H19" s="168">
        <v>2.0472999999999999</v>
      </c>
      <c r="I19" s="169">
        <v>1.8904000000000001</v>
      </c>
      <c r="J19" s="171"/>
      <c r="K19" s="168">
        <v>1.6848999999999998</v>
      </c>
      <c r="L19" s="169">
        <v>2.4323999999999999</v>
      </c>
      <c r="M19" s="170"/>
      <c r="N19" s="168">
        <v>2.3662000000000001</v>
      </c>
      <c r="O19" s="171"/>
      <c r="P19" s="170"/>
      <c r="Q19" s="171"/>
      <c r="R19" s="171"/>
      <c r="S19" s="170"/>
      <c r="T19" s="170"/>
      <c r="U19" s="171"/>
      <c r="V19" s="171"/>
      <c r="W19" s="170"/>
      <c r="X19" s="171"/>
      <c r="Y19" s="171"/>
      <c r="Z19" s="170"/>
      <c r="AA19" s="170"/>
      <c r="AB19" s="171"/>
      <c r="AC19" s="171"/>
      <c r="AD19" s="170"/>
      <c r="AE19" s="171"/>
      <c r="AF19" s="171"/>
      <c r="AG19" s="172"/>
      <c r="AH19" s="172"/>
    </row>
    <row r="20" spans="1:34" ht="15">
      <c r="A20" s="389" t="s">
        <v>156</v>
      </c>
      <c r="B20" s="152" t="s">
        <v>157</v>
      </c>
      <c r="C20" s="153">
        <v>8800</v>
      </c>
      <c r="D20" s="153">
        <v>1760</v>
      </c>
      <c r="E20" s="156"/>
      <c r="F20" s="156"/>
      <c r="G20" s="155">
        <v>1760</v>
      </c>
      <c r="H20" s="155">
        <v>1760</v>
      </c>
      <c r="I20" s="154">
        <v>1760</v>
      </c>
      <c r="J20" s="157"/>
      <c r="K20" s="155">
        <v>1760</v>
      </c>
      <c r="L20" s="154">
        <v>1760</v>
      </c>
      <c r="M20" s="156"/>
      <c r="N20" s="157"/>
      <c r="O20" s="157"/>
      <c r="P20" s="156"/>
      <c r="Q20" s="157"/>
      <c r="R20" s="157"/>
      <c r="S20" s="156"/>
      <c r="T20" s="156"/>
      <c r="U20" s="157"/>
      <c r="V20" s="157"/>
      <c r="W20" s="156"/>
      <c r="X20" s="157"/>
      <c r="Y20" s="157"/>
      <c r="Z20" s="156"/>
      <c r="AA20" s="156"/>
      <c r="AB20" s="157"/>
      <c r="AC20" s="157"/>
      <c r="AD20" s="156"/>
      <c r="AE20" s="157"/>
      <c r="AF20" s="157"/>
      <c r="AG20" s="158"/>
      <c r="AH20" s="158"/>
    </row>
    <row r="21" spans="1:34" ht="15">
      <c r="A21" s="390"/>
      <c r="B21" s="152" t="s">
        <v>46</v>
      </c>
      <c r="C21" s="153">
        <v>8400</v>
      </c>
      <c r="D21" s="153">
        <v>1680</v>
      </c>
      <c r="E21" s="156"/>
      <c r="F21" s="156"/>
      <c r="G21" s="155">
        <v>1680</v>
      </c>
      <c r="H21" s="155">
        <v>1680</v>
      </c>
      <c r="I21" s="154">
        <v>1680</v>
      </c>
      <c r="J21" s="157"/>
      <c r="K21" s="155">
        <v>1680</v>
      </c>
      <c r="L21" s="154">
        <v>1680</v>
      </c>
      <c r="M21" s="156"/>
      <c r="N21" s="157"/>
      <c r="O21" s="157"/>
      <c r="P21" s="156"/>
      <c r="Q21" s="157"/>
      <c r="R21" s="157"/>
      <c r="S21" s="156"/>
      <c r="T21" s="156"/>
      <c r="U21" s="157"/>
      <c r="V21" s="157"/>
      <c r="W21" s="156"/>
      <c r="X21" s="157"/>
      <c r="Y21" s="157"/>
      <c r="Z21" s="156"/>
      <c r="AA21" s="156"/>
      <c r="AB21" s="157"/>
      <c r="AC21" s="157"/>
      <c r="AD21" s="156"/>
      <c r="AE21" s="157"/>
      <c r="AF21" s="157"/>
      <c r="AG21" s="158"/>
      <c r="AH21" s="158"/>
    </row>
    <row r="22" spans="1:34" ht="15">
      <c r="A22" s="390"/>
      <c r="B22" s="159" t="s">
        <v>47</v>
      </c>
      <c r="C22" s="160">
        <v>8424</v>
      </c>
      <c r="D22" s="160">
        <v>1684.8</v>
      </c>
      <c r="E22" s="163"/>
      <c r="F22" s="163"/>
      <c r="G22" s="162">
        <v>1728</v>
      </c>
      <c r="H22" s="162">
        <v>2100</v>
      </c>
      <c r="I22" s="161">
        <v>1596</v>
      </c>
      <c r="J22" s="164"/>
      <c r="K22" s="162">
        <v>1452</v>
      </c>
      <c r="L22" s="161">
        <v>1548</v>
      </c>
      <c r="M22" s="163"/>
      <c r="N22" s="164"/>
      <c r="O22" s="164"/>
      <c r="P22" s="163"/>
      <c r="Q22" s="164"/>
      <c r="R22" s="164"/>
      <c r="S22" s="163"/>
      <c r="T22" s="163"/>
      <c r="U22" s="164"/>
      <c r="V22" s="164"/>
      <c r="W22" s="163"/>
      <c r="X22" s="164"/>
      <c r="Y22" s="164"/>
      <c r="Z22" s="163"/>
      <c r="AA22" s="163"/>
      <c r="AB22" s="164"/>
      <c r="AC22" s="164"/>
      <c r="AD22" s="163"/>
      <c r="AE22" s="164"/>
      <c r="AF22" s="164"/>
      <c r="AG22" s="165"/>
      <c r="AH22" s="165"/>
    </row>
    <row r="23" spans="1:34" ht="15">
      <c r="A23" s="390"/>
      <c r="B23" s="159" t="s">
        <v>48</v>
      </c>
      <c r="C23" s="160">
        <v>24</v>
      </c>
      <c r="D23" s="160">
        <v>4.8</v>
      </c>
      <c r="E23" s="163"/>
      <c r="F23" s="163"/>
      <c r="G23" s="162">
        <v>48</v>
      </c>
      <c r="H23" s="162">
        <v>420</v>
      </c>
      <c r="I23" s="163">
        <v>-84</v>
      </c>
      <c r="J23" s="164"/>
      <c r="K23" s="164">
        <v>-228</v>
      </c>
      <c r="L23" s="163">
        <v>-132</v>
      </c>
      <c r="M23" s="163"/>
      <c r="N23" s="164"/>
      <c r="O23" s="164"/>
      <c r="P23" s="163"/>
      <c r="Q23" s="164"/>
      <c r="R23" s="164"/>
      <c r="S23" s="163"/>
      <c r="T23" s="163"/>
      <c r="U23" s="164"/>
      <c r="V23" s="164"/>
      <c r="W23" s="163"/>
      <c r="X23" s="164"/>
      <c r="Y23" s="164"/>
      <c r="Z23" s="163"/>
      <c r="AA23" s="163"/>
      <c r="AB23" s="164"/>
      <c r="AC23" s="164"/>
      <c r="AD23" s="163"/>
      <c r="AE23" s="164"/>
      <c r="AF23" s="164"/>
      <c r="AG23" s="165"/>
      <c r="AH23" s="165"/>
    </row>
    <row r="24" spans="1:34" ht="15">
      <c r="A24" s="390"/>
      <c r="B24" s="159" t="s">
        <v>49</v>
      </c>
      <c r="C24" s="160">
        <v>40</v>
      </c>
      <c r="D24" s="160">
        <v>8</v>
      </c>
      <c r="E24" s="163"/>
      <c r="F24" s="163"/>
      <c r="G24" s="162">
        <v>8</v>
      </c>
      <c r="H24" s="162">
        <v>8</v>
      </c>
      <c r="I24" s="161">
        <v>8</v>
      </c>
      <c r="J24" s="164"/>
      <c r="K24" s="162">
        <v>8</v>
      </c>
      <c r="L24" s="161">
        <v>8</v>
      </c>
      <c r="M24" s="163"/>
      <c r="N24" s="164"/>
      <c r="O24" s="164"/>
      <c r="P24" s="163"/>
      <c r="Q24" s="164"/>
      <c r="R24" s="164"/>
      <c r="S24" s="163"/>
      <c r="T24" s="163"/>
      <c r="U24" s="164"/>
      <c r="V24" s="164"/>
      <c r="W24" s="163"/>
      <c r="X24" s="164"/>
      <c r="Y24" s="164"/>
      <c r="Z24" s="163"/>
      <c r="AA24" s="163"/>
      <c r="AB24" s="164"/>
      <c r="AC24" s="164"/>
      <c r="AD24" s="163"/>
      <c r="AE24" s="164"/>
      <c r="AF24" s="164"/>
      <c r="AG24" s="165"/>
      <c r="AH24" s="165"/>
    </row>
    <row r="25" spans="1:34" ht="15">
      <c r="A25" s="390"/>
      <c r="B25" s="159" t="s">
        <v>50</v>
      </c>
      <c r="C25" s="160">
        <v>87</v>
      </c>
      <c r="D25" s="160">
        <v>87</v>
      </c>
      <c r="E25" s="163"/>
      <c r="F25" s="163"/>
      <c r="G25" s="162">
        <v>89</v>
      </c>
      <c r="H25" s="162">
        <v>89</v>
      </c>
      <c r="I25" s="161">
        <v>88</v>
      </c>
      <c r="J25" s="164"/>
      <c r="K25" s="162">
        <v>84</v>
      </c>
      <c r="L25" s="161">
        <v>87</v>
      </c>
      <c r="M25" s="163"/>
      <c r="N25" s="164"/>
      <c r="O25" s="164"/>
      <c r="P25" s="163"/>
      <c r="Q25" s="164"/>
      <c r="R25" s="164"/>
      <c r="S25" s="163"/>
      <c r="T25" s="163"/>
      <c r="U25" s="164"/>
      <c r="V25" s="164"/>
      <c r="W25" s="163"/>
      <c r="X25" s="164"/>
      <c r="Y25" s="164"/>
      <c r="Z25" s="163"/>
      <c r="AA25" s="163"/>
      <c r="AB25" s="164"/>
      <c r="AC25" s="164"/>
      <c r="AD25" s="163"/>
      <c r="AE25" s="164"/>
      <c r="AF25" s="164"/>
      <c r="AG25" s="165"/>
      <c r="AH25" s="165"/>
    </row>
    <row r="26" spans="1:34" ht="15">
      <c r="A26" s="390"/>
      <c r="B26" s="159" t="s">
        <v>51</v>
      </c>
      <c r="C26" s="160">
        <v>210.6</v>
      </c>
      <c r="D26" s="160">
        <v>210.6</v>
      </c>
      <c r="E26" s="163"/>
      <c r="F26" s="163"/>
      <c r="G26" s="162">
        <v>216</v>
      </c>
      <c r="H26" s="162">
        <v>262.5</v>
      </c>
      <c r="I26" s="161">
        <v>199.5</v>
      </c>
      <c r="J26" s="164"/>
      <c r="K26" s="162">
        <v>181.5</v>
      </c>
      <c r="L26" s="161">
        <v>193.5</v>
      </c>
      <c r="M26" s="163"/>
      <c r="N26" s="164"/>
      <c r="O26" s="164"/>
      <c r="P26" s="163"/>
      <c r="Q26" s="164"/>
      <c r="R26" s="164"/>
      <c r="S26" s="163"/>
      <c r="T26" s="163"/>
      <c r="U26" s="164"/>
      <c r="V26" s="164"/>
      <c r="W26" s="163"/>
      <c r="X26" s="164"/>
      <c r="Y26" s="164"/>
      <c r="Z26" s="163"/>
      <c r="AA26" s="163"/>
      <c r="AB26" s="164"/>
      <c r="AC26" s="164"/>
      <c r="AD26" s="163"/>
      <c r="AE26" s="164"/>
      <c r="AF26" s="164"/>
      <c r="AG26" s="165"/>
      <c r="AH26" s="165"/>
    </row>
    <row r="27" spans="1:34" ht="15">
      <c r="A27" s="391"/>
      <c r="B27" s="167" t="s">
        <v>52</v>
      </c>
      <c r="C27" s="168">
        <v>2.4207000000000001</v>
      </c>
      <c r="D27" s="168">
        <v>2.4207000000000001</v>
      </c>
      <c r="E27" s="170"/>
      <c r="F27" s="170"/>
      <c r="G27" s="168">
        <v>2.427</v>
      </c>
      <c r="H27" s="168">
        <v>2.9493999999999998</v>
      </c>
      <c r="I27" s="169">
        <v>2.2669999999999999</v>
      </c>
      <c r="J27" s="171"/>
      <c r="K27" s="168">
        <v>2.1606999999999998</v>
      </c>
      <c r="L27" s="169">
        <v>2.2241</v>
      </c>
      <c r="M27" s="170"/>
      <c r="N27" s="171"/>
      <c r="O27" s="171"/>
      <c r="P27" s="170"/>
      <c r="Q27" s="171"/>
      <c r="R27" s="171"/>
      <c r="S27" s="170"/>
      <c r="T27" s="170"/>
      <c r="U27" s="171"/>
      <c r="V27" s="171"/>
      <c r="W27" s="170"/>
      <c r="X27" s="171"/>
      <c r="Y27" s="171"/>
      <c r="Z27" s="170"/>
      <c r="AA27" s="170"/>
      <c r="AB27" s="171"/>
      <c r="AC27" s="171"/>
      <c r="AD27" s="170"/>
      <c r="AE27" s="171"/>
      <c r="AF27" s="171"/>
      <c r="AG27" s="172"/>
      <c r="AH27" s="172"/>
    </row>
    <row r="28" spans="1:34" ht="15">
      <c r="A28" s="389" t="s">
        <v>158</v>
      </c>
      <c r="B28" s="152" t="s">
        <v>45</v>
      </c>
      <c r="C28" s="153">
        <v>10560</v>
      </c>
      <c r="D28" s="153">
        <v>1760</v>
      </c>
      <c r="E28" s="156"/>
      <c r="F28" s="156"/>
      <c r="G28" s="155">
        <v>1760</v>
      </c>
      <c r="H28" s="155">
        <v>1760</v>
      </c>
      <c r="I28" s="154">
        <v>1760</v>
      </c>
      <c r="J28" s="157"/>
      <c r="K28" s="155">
        <v>1760</v>
      </c>
      <c r="L28" s="154">
        <v>1760</v>
      </c>
      <c r="M28" s="156"/>
      <c r="N28" s="155">
        <v>1760</v>
      </c>
      <c r="O28" s="157"/>
      <c r="P28" s="156"/>
      <c r="Q28" s="157"/>
      <c r="R28" s="157"/>
      <c r="S28" s="156"/>
      <c r="T28" s="156"/>
      <c r="U28" s="157"/>
      <c r="V28" s="157"/>
      <c r="W28" s="156"/>
      <c r="X28" s="157"/>
      <c r="Y28" s="157"/>
      <c r="Z28" s="156"/>
      <c r="AA28" s="156"/>
      <c r="AB28" s="157"/>
      <c r="AC28" s="157"/>
      <c r="AD28" s="156"/>
      <c r="AE28" s="157"/>
      <c r="AF28" s="157"/>
      <c r="AG28" s="158"/>
      <c r="AH28" s="158"/>
    </row>
    <row r="29" spans="1:34" ht="15">
      <c r="A29" s="390"/>
      <c r="B29" s="152" t="s">
        <v>46</v>
      </c>
      <c r="C29" s="153">
        <v>10080</v>
      </c>
      <c r="D29" s="153">
        <v>1680</v>
      </c>
      <c r="E29" s="156"/>
      <c r="F29" s="156"/>
      <c r="G29" s="155">
        <v>1680</v>
      </c>
      <c r="H29" s="155">
        <v>1680</v>
      </c>
      <c r="I29" s="154">
        <v>1680</v>
      </c>
      <c r="J29" s="157"/>
      <c r="K29" s="155">
        <v>1680</v>
      </c>
      <c r="L29" s="154">
        <v>1680</v>
      </c>
      <c r="M29" s="156"/>
      <c r="N29" s="155">
        <v>1680</v>
      </c>
      <c r="O29" s="155">
        <v>1680</v>
      </c>
      <c r="P29" s="154">
        <v>1680</v>
      </c>
      <c r="Q29" s="155">
        <v>1680</v>
      </c>
      <c r="R29" s="155">
        <v>1680</v>
      </c>
      <c r="S29" s="154">
        <v>1680</v>
      </c>
      <c r="T29" s="156"/>
      <c r="U29" s="155">
        <v>1680</v>
      </c>
      <c r="V29" s="155">
        <v>1680</v>
      </c>
      <c r="W29" s="154">
        <v>1680</v>
      </c>
      <c r="X29" s="155">
        <v>1680</v>
      </c>
      <c r="Y29" s="155">
        <v>1680</v>
      </c>
      <c r="Z29" s="156"/>
      <c r="AA29" s="156"/>
      <c r="AB29" s="155">
        <v>1680</v>
      </c>
      <c r="AC29" s="155">
        <v>1680</v>
      </c>
      <c r="AD29" s="154">
        <v>1680</v>
      </c>
      <c r="AE29" s="155">
        <v>1680</v>
      </c>
      <c r="AF29" s="155">
        <v>1680</v>
      </c>
      <c r="AG29" s="158"/>
      <c r="AH29" s="158"/>
    </row>
    <row r="30" spans="1:34" ht="15">
      <c r="A30" s="390"/>
      <c r="B30" s="159" t="s">
        <v>47</v>
      </c>
      <c r="C30" s="160">
        <v>10032</v>
      </c>
      <c r="D30" s="160">
        <v>1672</v>
      </c>
      <c r="E30" s="163"/>
      <c r="F30" s="163"/>
      <c r="G30" s="162">
        <v>1680</v>
      </c>
      <c r="H30" s="162">
        <v>1716</v>
      </c>
      <c r="I30" s="161">
        <v>1578</v>
      </c>
      <c r="J30" s="164"/>
      <c r="K30" s="162">
        <v>1482</v>
      </c>
      <c r="L30" s="161">
        <v>1734</v>
      </c>
      <c r="M30" s="163"/>
      <c r="N30" s="162">
        <v>1842</v>
      </c>
      <c r="O30" s="164"/>
      <c r="P30" s="163"/>
      <c r="Q30" s="164"/>
      <c r="R30" s="164"/>
      <c r="S30" s="163"/>
      <c r="T30" s="163"/>
      <c r="U30" s="164"/>
      <c r="V30" s="164"/>
      <c r="W30" s="163"/>
      <c r="X30" s="164"/>
      <c r="Y30" s="164"/>
      <c r="Z30" s="163"/>
      <c r="AA30" s="163"/>
      <c r="AB30" s="164"/>
      <c r="AC30" s="164"/>
      <c r="AD30" s="163"/>
      <c r="AE30" s="164"/>
      <c r="AF30" s="164"/>
      <c r="AG30" s="165"/>
      <c r="AH30" s="165"/>
    </row>
    <row r="31" spans="1:34" ht="15">
      <c r="A31" s="390"/>
      <c r="B31" s="159" t="s">
        <v>48</v>
      </c>
      <c r="C31" s="166">
        <v>-48</v>
      </c>
      <c r="D31" s="166">
        <v>-8</v>
      </c>
      <c r="E31" s="163"/>
      <c r="F31" s="163"/>
      <c r="G31" s="162">
        <v>0</v>
      </c>
      <c r="H31" s="162">
        <v>36</v>
      </c>
      <c r="I31" s="163">
        <v>-102</v>
      </c>
      <c r="J31" s="164"/>
      <c r="K31" s="164">
        <v>-198</v>
      </c>
      <c r="L31" s="161">
        <v>54</v>
      </c>
      <c r="M31" s="163"/>
      <c r="N31" s="162">
        <v>162</v>
      </c>
      <c r="O31" s="164"/>
      <c r="P31" s="163"/>
      <c r="Q31" s="164"/>
      <c r="R31" s="164"/>
      <c r="S31" s="163"/>
      <c r="T31" s="163"/>
      <c r="U31" s="164"/>
      <c r="V31" s="164"/>
      <c r="W31" s="163"/>
      <c r="X31" s="164"/>
      <c r="Y31" s="164"/>
      <c r="Z31" s="163"/>
      <c r="AA31" s="163"/>
      <c r="AB31" s="164"/>
      <c r="AC31" s="164"/>
      <c r="AD31" s="163"/>
      <c r="AE31" s="164"/>
      <c r="AF31" s="164"/>
      <c r="AG31" s="165"/>
      <c r="AH31" s="165"/>
    </row>
    <row r="32" spans="1:34" ht="15">
      <c r="A32" s="390"/>
      <c r="B32" s="159" t="s">
        <v>49</v>
      </c>
      <c r="C32" s="160">
        <v>48</v>
      </c>
      <c r="D32" s="160">
        <v>8</v>
      </c>
      <c r="E32" s="163"/>
      <c r="F32" s="163"/>
      <c r="G32" s="162">
        <v>8</v>
      </c>
      <c r="H32" s="162">
        <v>8</v>
      </c>
      <c r="I32" s="161">
        <v>8</v>
      </c>
      <c r="J32" s="164"/>
      <c r="K32" s="162">
        <v>8</v>
      </c>
      <c r="L32" s="161">
        <v>8</v>
      </c>
      <c r="M32" s="163"/>
      <c r="N32" s="162">
        <v>8</v>
      </c>
      <c r="O32" s="164"/>
      <c r="P32" s="163"/>
      <c r="Q32" s="164"/>
      <c r="R32" s="164"/>
      <c r="S32" s="163"/>
      <c r="T32" s="163"/>
      <c r="U32" s="164"/>
      <c r="V32" s="164"/>
      <c r="W32" s="163"/>
      <c r="X32" s="164"/>
      <c r="Y32" s="164"/>
      <c r="Z32" s="163"/>
      <c r="AA32" s="163"/>
      <c r="AB32" s="164"/>
      <c r="AC32" s="164"/>
      <c r="AD32" s="163"/>
      <c r="AE32" s="164"/>
      <c r="AF32" s="164"/>
      <c r="AG32" s="165"/>
      <c r="AH32" s="165"/>
    </row>
    <row r="33" spans="1:34" ht="15">
      <c r="A33" s="390"/>
      <c r="B33" s="159" t="s">
        <v>50</v>
      </c>
      <c r="C33" s="160">
        <v>84</v>
      </c>
      <c r="D33" s="160">
        <v>84</v>
      </c>
      <c r="E33" s="163"/>
      <c r="F33" s="163"/>
      <c r="G33" s="162">
        <v>81</v>
      </c>
      <c r="H33" s="162">
        <v>86</v>
      </c>
      <c r="I33" s="161">
        <v>87</v>
      </c>
      <c r="J33" s="164"/>
      <c r="K33" s="162">
        <v>85</v>
      </c>
      <c r="L33" s="161">
        <v>86</v>
      </c>
      <c r="M33" s="163"/>
      <c r="N33" s="162">
        <v>84</v>
      </c>
      <c r="O33" s="164"/>
      <c r="P33" s="163"/>
      <c r="Q33" s="164"/>
      <c r="R33" s="164"/>
      <c r="S33" s="163"/>
      <c r="T33" s="163"/>
      <c r="U33" s="164"/>
      <c r="V33" s="164"/>
      <c r="W33" s="163"/>
      <c r="X33" s="164"/>
      <c r="Y33" s="164"/>
      <c r="Z33" s="163"/>
      <c r="AA33" s="163"/>
      <c r="AB33" s="164"/>
      <c r="AC33" s="164"/>
      <c r="AD33" s="163"/>
      <c r="AE33" s="164"/>
      <c r="AF33" s="164"/>
      <c r="AG33" s="165"/>
      <c r="AH33" s="165"/>
    </row>
    <row r="34" spans="1:34" ht="15">
      <c r="A34" s="390"/>
      <c r="B34" s="159" t="s">
        <v>51</v>
      </c>
      <c r="C34" s="160">
        <v>209</v>
      </c>
      <c r="D34" s="160">
        <v>209</v>
      </c>
      <c r="E34" s="163"/>
      <c r="F34" s="163"/>
      <c r="G34" s="162">
        <v>210</v>
      </c>
      <c r="H34" s="162">
        <v>214.5</v>
      </c>
      <c r="I34" s="161">
        <v>197.25</v>
      </c>
      <c r="J34" s="164"/>
      <c r="K34" s="162">
        <v>185.25</v>
      </c>
      <c r="L34" s="161">
        <v>216.75</v>
      </c>
      <c r="M34" s="163"/>
      <c r="N34" s="162">
        <v>230.25</v>
      </c>
      <c r="O34" s="164"/>
      <c r="P34" s="163"/>
      <c r="Q34" s="164"/>
      <c r="R34" s="164"/>
      <c r="S34" s="163"/>
      <c r="T34" s="163"/>
      <c r="U34" s="164"/>
      <c r="V34" s="164"/>
      <c r="W34" s="163"/>
      <c r="X34" s="164"/>
      <c r="Y34" s="164"/>
      <c r="Z34" s="163"/>
      <c r="AA34" s="163"/>
      <c r="AB34" s="164"/>
      <c r="AC34" s="164"/>
      <c r="AD34" s="163"/>
      <c r="AE34" s="164"/>
      <c r="AF34" s="164"/>
      <c r="AG34" s="165"/>
      <c r="AH34" s="165"/>
    </row>
    <row r="35" spans="1:34" ht="15">
      <c r="A35" s="391"/>
      <c r="B35" s="167" t="s">
        <v>52</v>
      </c>
      <c r="C35" s="168">
        <v>2.4881000000000002</v>
      </c>
      <c r="D35" s="168">
        <v>2.4881000000000002</v>
      </c>
      <c r="E35" s="170"/>
      <c r="F35" s="170"/>
      <c r="G35" s="168">
        <v>2.5926</v>
      </c>
      <c r="H35" s="168">
        <v>2.4942000000000002</v>
      </c>
      <c r="I35" s="169">
        <v>2.2671999999999999</v>
      </c>
      <c r="J35" s="171"/>
      <c r="K35" s="168">
        <v>2.1794000000000002</v>
      </c>
      <c r="L35" s="169">
        <v>2.5202999999999998</v>
      </c>
      <c r="M35" s="170"/>
      <c r="N35" s="168">
        <v>2.7410999999999999</v>
      </c>
      <c r="O35" s="171"/>
      <c r="P35" s="170"/>
      <c r="Q35" s="171"/>
      <c r="R35" s="171"/>
      <c r="S35" s="170"/>
      <c r="T35" s="170"/>
      <c r="U35" s="171"/>
      <c r="V35" s="171"/>
      <c r="W35" s="170"/>
      <c r="X35" s="171"/>
      <c r="Y35" s="171"/>
      <c r="Z35" s="170"/>
      <c r="AA35" s="170"/>
      <c r="AB35" s="171"/>
      <c r="AC35" s="171"/>
      <c r="AD35" s="170"/>
      <c r="AE35" s="171"/>
      <c r="AF35" s="171"/>
      <c r="AG35" s="172"/>
      <c r="AH35" s="172"/>
    </row>
    <row r="36" spans="1:34" ht="15">
      <c r="A36" s="389" t="s">
        <v>159</v>
      </c>
      <c r="B36" s="152" t="s">
        <v>45</v>
      </c>
      <c r="C36" s="153">
        <v>7680</v>
      </c>
      <c r="D36" s="153">
        <v>1280</v>
      </c>
      <c r="E36" s="156"/>
      <c r="F36" s="156"/>
      <c r="G36" s="155">
        <v>1280</v>
      </c>
      <c r="H36" s="155">
        <v>1280</v>
      </c>
      <c r="I36" s="154">
        <v>1280</v>
      </c>
      <c r="J36" s="157"/>
      <c r="K36" s="155">
        <v>1280</v>
      </c>
      <c r="L36" s="154">
        <v>1280</v>
      </c>
      <c r="M36" s="156"/>
      <c r="N36" s="155">
        <v>1280</v>
      </c>
      <c r="O36" s="157"/>
      <c r="P36" s="156"/>
      <c r="Q36" s="157"/>
      <c r="R36" s="157"/>
      <c r="S36" s="156"/>
      <c r="T36" s="156"/>
      <c r="U36" s="157"/>
      <c r="V36" s="157"/>
      <c r="W36" s="156"/>
      <c r="X36" s="157"/>
      <c r="Y36" s="157"/>
      <c r="Z36" s="156"/>
      <c r="AA36" s="156"/>
      <c r="AB36" s="157"/>
      <c r="AC36" s="157"/>
      <c r="AD36" s="156"/>
      <c r="AE36" s="157"/>
      <c r="AF36" s="157"/>
      <c r="AG36" s="158"/>
      <c r="AH36" s="158"/>
    </row>
    <row r="37" spans="1:34" ht="15">
      <c r="A37" s="390"/>
      <c r="B37" s="152" t="s">
        <v>46</v>
      </c>
      <c r="C37" s="153">
        <v>7680</v>
      </c>
      <c r="D37" s="153">
        <v>1280</v>
      </c>
      <c r="E37" s="156"/>
      <c r="F37" s="156"/>
      <c r="G37" s="155">
        <v>1280</v>
      </c>
      <c r="H37" s="155">
        <v>1280</v>
      </c>
      <c r="I37" s="154">
        <v>1280</v>
      </c>
      <c r="J37" s="157"/>
      <c r="K37" s="155">
        <v>1280</v>
      </c>
      <c r="L37" s="154">
        <v>1280</v>
      </c>
      <c r="M37" s="156"/>
      <c r="N37" s="155">
        <v>1280</v>
      </c>
      <c r="O37" s="155">
        <v>1280</v>
      </c>
      <c r="P37" s="154">
        <v>1280</v>
      </c>
      <c r="Q37" s="155">
        <v>1280</v>
      </c>
      <c r="R37" s="155">
        <v>1280</v>
      </c>
      <c r="S37" s="154">
        <v>1280</v>
      </c>
      <c r="T37" s="156"/>
      <c r="U37" s="155">
        <v>1280</v>
      </c>
      <c r="V37" s="155">
        <v>1280</v>
      </c>
      <c r="W37" s="154">
        <v>1280</v>
      </c>
      <c r="X37" s="155">
        <v>1280</v>
      </c>
      <c r="Y37" s="155">
        <v>1280</v>
      </c>
      <c r="Z37" s="156"/>
      <c r="AA37" s="156"/>
      <c r="AB37" s="155">
        <v>1280</v>
      </c>
      <c r="AC37" s="155">
        <v>1280</v>
      </c>
      <c r="AD37" s="154">
        <v>1280</v>
      </c>
      <c r="AE37" s="155">
        <v>1280</v>
      </c>
      <c r="AF37" s="155">
        <v>1280</v>
      </c>
      <c r="AG37" s="158"/>
      <c r="AH37" s="158"/>
    </row>
    <row r="38" spans="1:34" ht="15">
      <c r="A38" s="390"/>
      <c r="B38" s="159" t="s">
        <v>47</v>
      </c>
      <c r="C38" s="160">
        <v>6786</v>
      </c>
      <c r="D38" s="160">
        <v>1131</v>
      </c>
      <c r="E38" s="163"/>
      <c r="F38" s="163"/>
      <c r="G38" s="162">
        <v>1290</v>
      </c>
      <c r="H38" s="162">
        <v>978</v>
      </c>
      <c r="I38" s="161">
        <v>1182</v>
      </c>
      <c r="J38" s="164"/>
      <c r="K38" s="162">
        <v>1068</v>
      </c>
      <c r="L38" s="161">
        <v>1056</v>
      </c>
      <c r="M38" s="163"/>
      <c r="N38" s="162">
        <v>1212</v>
      </c>
      <c r="O38" s="164"/>
      <c r="P38" s="163"/>
      <c r="Q38" s="164"/>
      <c r="R38" s="164"/>
      <c r="S38" s="163"/>
      <c r="T38" s="163"/>
      <c r="U38" s="164"/>
      <c r="V38" s="164"/>
      <c r="W38" s="163"/>
      <c r="X38" s="164"/>
      <c r="Y38" s="164"/>
      <c r="Z38" s="163"/>
      <c r="AA38" s="163"/>
      <c r="AB38" s="164"/>
      <c r="AC38" s="164"/>
      <c r="AD38" s="163"/>
      <c r="AE38" s="164"/>
      <c r="AF38" s="164"/>
      <c r="AG38" s="165"/>
      <c r="AH38" s="165"/>
    </row>
    <row r="39" spans="1:34" ht="15">
      <c r="A39" s="390"/>
      <c r="B39" s="159" t="s">
        <v>48</v>
      </c>
      <c r="C39" s="166">
        <v>-894</v>
      </c>
      <c r="D39" s="166">
        <v>-149</v>
      </c>
      <c r="E39" s="163"/>
      <c r="F39" s="163"/>
      <c r="G39" s="162">
        <v>10</v>
      </c>
      <c r="H39" s="164">
        <v>-302</v>
      </c>
      <c r="I39" s="163">
        <v>-98</v>
      </c>
      <c r="J39" s="164"/>
      <c r="K39" s="164">
        <v>-212</v>
      </c>
      <c r="L39" s="163">
        <v>-224</v>
      </c>
      <c r="M39" s="163"/>
      <c r="N39" s="164">
        <v>-68</v>
      </c>
      <c r="O39" s="164"/>
      <c r="P39" s="163"/>
      <c r="Q39" s="164"/>
      <c r="R39" s="164"/>
      <c r="S39" s="163"/>
      <c r="T39" s="163"/>
      <c r="U39" s="164"/>
      <c r="V39" s="164"/>
      <c r="W39" s="163"/>
      <c r="X39" s="164"/>
      <c r="Y39" s="164"/>
      <c r="Z39" s="163"/>
      <c r="AA39" s="163"/>
      <c r="AB39" s="164"/>
      <c r="AC39" s="164"/>
      <c r="AD39" s="163"/>
      <c r="AE39" s="164"/>
      <c r="AF39" s="164"/>
      <c r="AG39" s="165"/>
      <c r="AH39" s="165"/>
    </row>
    <row r="40" spans="1:34" ht="15">
      <c r="A40" s="390"/>
      <c r="B40" s="159" t="s">
        <v>49</v>
      </c>
      <c r="C40" s="160">
        <v>48</v>
      </c>
      <c r="D40" s="160">
        <v>8</v>
      </c>
      <c r="E40" s="163"/>
      <c r="F40" s="163"/>
      <c r="G40" s="162">
        <v>8</v>
      </c>
      <c r="H40" s="162">
        <v>8</v>
      </c>
      <c r="I40" s="161">
        <v>8</v>
      </c>
      <c r="J40" s="164"/>
      <c r="K40" s="162">
        <v>8</v>
      </c>
      <c r="L40" s="161">
        <v>8</v>
      </c>
      <c r="M40" s="163"/>
      <c r="N40" s="162">
        <v>8</v>
      </c>
      <c r="O40" s="164"/>
      <c r="P40" s="163"/>
      <c r="Q40" s="164"/>
      <c r="R40" s="164"/>
      <c r="S40" s="163"/>
      <c r="T40" s="163"/>
      <c r="U40" s="164"/>
      <c r="V40" s="164"/>
      <c r="W40" s="163"/>
      <c r="X40" s="164"/>
      <c r="Y40" s="164"/>
      <c r="Z40" s="163"/>
      <c r="AA40" s="163"/>
      <c r="AB40" s="164"/>
      <c r="AC40" s="164"/>
      <c r="AD40" s="163"/>
      <c r="AE40" s="164"/>
      <c r="AF40" s="164"/>
      <c r="AG40" s="165"/>
      <c r="AH40" s="165"/>
    </row>
    <row r="41" spans="1:34" ht="15">
      <c r="A41" s="390"/>
      <c r="B41" s="159" t="s">
        <v>50</v>
      </c>
      <c r="C41" s="160">
        <v>82</v>
      </c>
      <c r="D41" s="160">
        <v>82</v>
      </c>
      <c r="E41" s="163"/>
      <c r="F41" s="163"/>
      <c r="G41" s="162">
        <v>86</v>
      </c>
      <c r="H41" s="162">
        <v>83</v>
      </c>
      <c r="I41" s="161">
        <v>84</v>
      </c>
      <c r="J41" s="164"/>
      <c r="K41" s="162">
        <v>81</v>
      </c>
      <c r="L41" s="161">
        <v>81</v>
      </c>
      <c r="M41" s="163"/>
      <c r="N41" s="162">
        <v>79</v>
      </c>
      <c r="O41" s="164"/>
      <c r="P41" s="163"/>
      <c r="Q41" s="164"/>
      <c r="R41" s="164"/>
      <c r="S41" s="163"/>
      <c r="T41" s="163"/>
      <c r="U41" s="164"/>
      <c r="V41" s="164"/>
      <c r="W41" s="163"/>
      <c r="X41" s="164"/>
      <c r="Y41" s="164"/>
      <c r="Z41" s="163"/>
      <c r="AA41" s="163"/>
      <c r="AB41" s="164"/>
      <c r="AC41" s="164"/>
      <c r="AD41" s="163"/>
      <c r="AE41" s="164"/>
      <c r="AF41" s="164"/>
      <c r="AG41" s="165"/>
      <c r="AH41" s="165"/>
    </row>
    <row r="42" spans="1:34" ht="15">
      <c r="A42" s="390"/>
      <c r="B42" s="159" t="s">
        <v>51</v>
      </c>
      <c r="C42" s="160">
        <v>141.375</v>
      </c>
      <c r="D42" s="160">
        <v>141.375</v>
      </c>
      <c r="E42" s="163"/>
      <c r="F42" s="163"/>
      <c r="G42" s="162">
        <v>161.25</v>
      </c>
      <c r="H42" s="162">
        <v>122.25</v>
      </c>
      <c r="I42" s="161">
        <v>147.75</v>
      </c>
      <c r="J42" s="164"/>
      <c r="K42" s="162">
        <v>133.5</v>
      </c>
      <c r="L42" s="161">
        <v>132</v>
      </c>
      <c r="M42" s="163"/>
      <c r="N42" s="162">
        <v>151.5</v>
      </c>
      <c r="O42" s="164"/>
      <c r="P42" s="163"/>
      <c r="Q42" s="164"/>
      <c r="R42" s="164"/>
      <c r="S42" s="163"/>
      <c r="T42" s="163"/>
      <c r="U42" s="164"/>
      <c r="V42" s="164"/>
      <c r="W42" s="163"/>
      <c r="X42" s="164"/>
      <c r="Y42" s="164"/>
      <c r="Z42" s="163"/>
      <c r="AA42" s="163"/>
      <c r="AB42" s="164"/>
      <c r="AC42" s="164"/>
      <c r="AD42" s="163"/>
      <c r="AE42" s="164"/>
      <c r="AF42" s="164"/>
      <c r="AG42" s="165"/>
      <c r="AH42" s="165"/>
    </row>
    <row r="43" spans="1:34" ht="15">
      <c r="A43" s="391"/>
      <c r="B43" s="167" t="s">
        <v>52</v>
      </c>
      <c r="C43" s="168">
        <v>1.7241</v>
      </c>
      <c r="D43" s="168">
        <v>1.7241</v>
      </c>
      <c r="E43" s="170"/>
      <c r="F43" s="170"/>
      <c r="G43" s="168">
        <v>1.875</v>
      </c>
      <c r="H43" s="168">
        <v>1.4729000000000001</v>
      </c>
      <c r="I43" s="169">
        <v>1.7589000000000001</v>
      </c>
      <c r="J43" s="171"/>
      <c r="K43" s="168">
        <v>1.6480999999999999</v>
      </c>
      <c r="L43" s="169">
        <v>1.6295999999999999</v>
      </c>
      <c r="M43" s="170"/>
      <c r="N43" s="168">
        <v>1.9177</v>
      </c>
      <c r="O43" s="171"/>
      <c r="P43" s="170"/>
      <c r="Q43" s="171"/>
      <c r="R43" s="171"/>
      <c r="S43" s="170"/>
      <c r="T43" s="170"/>
      <c r="U43" s="171"/>
      <c r="V43" s="171"/>
      <c r="W43" s="170"/>
      <c r="X43" s="171"/>
      <c r="Y43" s="171"/>
      <c r="Z43" s="170"/>
      <c r="AA43" s="170"/>
      <c r="AB43" s="171"/>
      <c r="AC43" s="171"/>
      <c r="AD43" s="170"/>
      <c r="AE43" s="171"/>
      <c r="AF43" s="171"/>
      <c r="AG43" s="172"/>
      <c r="AH43" s="172"/>
    </row>
    <row r="44" spans="1:34" ht="15">
      <c r="A44" s="389" t="s">
        <v>160</v>
      </c>
      <c r="B44" s="152" t="s">
        <v>45</v>
      </c>
      <c r="C44" s="153">
        <v>10560</v>
      </c>
      <c r="D44" s="153">
        <v>1760</v>
      </c>
      <c r="E44" s="156"/>
      <c r="F44" s="156"/>
      <c r="G44" s="155">
        <v>1760</v>
      </c>
      <c r="H44" s="155">
        <v>1760</v>
      </c>
      <c r="I44" s="154">
        <v>1760</v>
      </c>
      <c r="J44" s="157"/>
      <c r="K44" s="155">
        <v>1760</v>
      </c>
      <c r="L44" s="154">
        <v>1760</v>
      </c>
      <c r="M44" s="156"/>
      <c r="N44" s="155">
        <v>1760</v>
      </c>
      <c r="O44" s="157"/>
      <c r="P44" s="156"/>
      <c r="Q44" s="157"/>
      <c r="R44" s="157"/>
      <c r="S44" s="156"/>
      <c r="T44" s="156"/>
      <c r="U44" s="157"/>
      <c r="V44" s="157"/>
      <c r="W44" s="156"/>
      <c r="X44" s="157"/>
      <c r="Y44" s="157"/>
      <c r="Z44" s="156"/>
      <c r="AA44" s="156"/>
      <c r="AB44" s="157"/>
      <c r="AC44" s="157"/>
      <c r="AD44" s="156"/>
      <c r="AE44" s="157"/>
      <c r="AF44" s="157"/>
      <c r="AG44" s="158"/>
      <c r="AH44" s="158"/>
    </row>
    <row r="45" spans="1:34" ht="15">
      <c r="A45" s="390"/>
      <c r="B45" s="152" t="s">
        <v>46</v>
      </c>
      <c r="C45" s="153">
        <v>10080</v>
      </c>
      <c r="D45" s="153">
        <v>1680</v>
      </c>
      <c r="E45" s="156"/>
      <c r="F45" s="156"/>
      <c r="G45" s="155">
        <v>1680</v>
      </c>
      <c r="H45" s="155">
        <v>1680</v>
      </c>
      <c r="I45" s="154">
        <v>1680</v>
      </c>
      <c r="J45" s="157"/>
      <c r="K45" s="155">
        <v>1680</v>
      </c>
      <c r="L45" s="154">
        <v>1680</v>
      </c>
      <c r="M45" s="156"/>
      <c r="N45" s="155">
        <v>1680</v>
      </c>
      <c r="O45" s="155">
        <v>1680</v>
      </c>
      <c r="P45" s="154">
        <v>1680</v>
      </c>
      <c r="Q45" s="155">
        <v>1680</v>
      </c>
      <c r="R45" s="155">
        <v>1680</v>
      </c>
      <c r="S45" s="154">
        <v>1680</v>
      </c>
      <c r="T45" s="156"/>
      <c r="U45" s="155">
        <v>1680</v>
      </c>
      <c r="V45" s="155">
        <v>1680</v>
      </c>
      <c r="W45" s="154">
        <v>1680</v>
      </c>
      <c r="X45" s="155">
        <v>1680</v>
      </c>
      <c r="Y45" s="155">
        <v>1680</v>
      </c>
      <c r="Z45" s="156"/>
      <c r="AA45" s="156"/>
      <c r="AB45" s="155">
        <v>1680</v>
      </c>
      <c r="AC45" s="155">
        <v>1680</v>
      </c>
      <c r="AD45" s="154">
        <v>1680</v>
      </c>
      <c r="AE45" s="155">
        <v>1680</v>
      </c>
      <c r="AF45" s="155">
        <v>1680</v>
      </c>
      <c r="AG45" s="158"/>
      <c r="AH45" s="158"/>
    </row>
    <row r="46" spans="1:34" ht="15">
      <c r="A46" s="390"/>
      <c r="B46" s="159" t="s">
        <v>47</v>
      </c>
      <c r="C46" s="160">
        <v>10350</v>
      </c>
      <c r="D46" s="160">
        <v>1725</v>
      </c>
      <c r="E46" s="163"/>
      <c r="F46" s="163"/>
      <c r="G46" s="162">
        <v>1734</v>
      </c>
      <c r="H46" s="162">
        <v>1734</v>
      </c>
      <c r="I46" s="161">
        <v>1554</v>
      </c>
      <c r="J46" s="164"/>
      <c r="K46" s="162">
        <v>1896</v>
      </c>
      <c r="L46" s="161">
        <v>1734</v>
      </c>
      <c r="M46" s="163"/>
      <c r="N46" s="162">
        <v>1698</v>
      </c>
      <c r="O46" s="164"/>
      <c r="P46" s="163"/>
      <c r="Q46" s="164"/>
      <c r="R46" s="164"/>
      <c r="S46" s="163"/>
      <c r="T46" s="163"/>
      <c r="U46" s="164"/>
      <c r="V46" s="164"/>
      <c r="W46" s="163"/>
      <c r="X46" s="164"/>
      <c r="Y46" s="164"/>
      <c r="Z46" s="163"/>
      <c r="AA46" s="163"/>
      <c r="AB46" s="164"/>
      <c r="AC46" s="164"/>
      <c r="AD46" s="163"/>
      <c r="AE46" s="164"/>
      <c r="AF46" s="164"/>
      <c r="AG46" s="165"/>
      <c r="AH46" s="165"/>
    </row>
    <row r="47" spans="1:34" ht="15">
      <c r="A47" s="390"/>
      <c r="B47" s="159" t="s">
        <v>48</v>
      </c>
      <c r="C47" s="160">
        <v>270</v>
      </c>
      <c r="D47" s="160">
        <v>45</v>
      </c>
      <c r="E47" s="163"/>
      <c r="F47" s="163"/>
      <c r="G47" s="162">
        <v>54</v>
      </c>
      <c r="H47" s="162">
        <v>54</v>
      </c>
      <c r="I47" s="163">
        <v>-126</v>
      </c>
      <c r="J47" s="164"/>
      <c r="K47" s="162">
        <v>216</v>
      </c>
      <c r="L47" s="161">
        <v>54</v>
      </c>
      <c r="M47" s="163"/>
      <c r="N47" s="162">
        <v>18</v>
      </c>
      <c r="O47" s="164"/>
      <c r="P47" s="163"/>
      <c r="Q47" s="164"/>
      <c r="R47" s="164"/>
      <c r="S47" s="163"/>
      <c r="T47" s="163"/>
      <c r="U47" s="164"/>
      <c r="V47" s="164"/>
      <c r="W47" s="163"/>
      <c r="X47" s="164"/>
      <c r="Y47" s="164"/>
      <c r="Z47" s="163"/>
      <c r="AA47" s="163"/>
      <c r="AB47" s="164"/>
      <c r="AC47" s="164"/>
      <c r="AD47" s="163"/>
      <c r="AE47" s="164"/>
      <c r="AF47" s="164"/>
      <c r="AG47" s="165"/>
      <c r="AH47" s="165"/>
    </row>
    <row r="48" spans="1:34" ht="15">
      <c r="A48" s="390"/>
      <c r="B48" s="159" t="s">
        <v>49</v>
      </c>
      <c r="C48" s="160">
        <v>48</v>
      </c>
      <c r="D48" s="160">
        <v>8</v>
      </c>
      <c r="E48" s="163"/>
      <c r="F48" s="163"/>
      <c r="G48" s="162">
        <v>8</v>
      </c>
      <c r="H48" s="162">
        <v>8</v>
      </c>
      <c r="I48" s="161">
        <v>8</v>
      </c>
      <c r="J48" s="164"/>
      <c r="K48" s="162">
        <v>8</v>
      </c>
      <c r="L48" s="161">
        <v>8</v>
      </c>
      <c r="M48" s="163"/>
      <c r="N48" s="162">
        <v>8</v>
      </c>
      <c r="O48" s="164"/>
      <c r="P48" s="163"/>
      <c r="Q48" s="164"/>
      <c r="R48" s="164"/>
      <c r="S48" s="163"/>
      <c r="T48" s="163"/>
      <c r="U48" s="164"/>
      <c r="V48" s="164"/>
      <c r="W48" s="163"/>
      <c r="X48" s="164"/>
      <c r="Y48" s="164"/>
      <c r="Z48" s="163"/>
      <c r="AA48" s="163"/>
      <c r="AB48" s="164"/>
      <c r="AC48" s="164"/>
      <c r="AD48" s="163"/>
      <c r="AE48" s="164"/>
      <c r="AF48" s="164"/>
      <c r="AG48" s="165"/>
      <c r="AH48" s="165"/>
    </row>
    <row r="49" spans="1:34" ht="15">
      <c r="A49" s="390"/>
      <c r="B49" s="159" t="s">
        <v>50</v>
      </c>
      <c r="C49" s="160">
        <v>74</v>
      </c>
      <c r="D49" s="160">
        <v>74</v>
      </c>
      <c r="E49" s="163"/>
      <c r="F49" s="163"/>
      <c r="G49" s="162">
        <v>75</v>
      </c>
      <c r="H49" s="162">
        <v>75</v>
      </c>
      <c r="I49" s="161">
        <v>75</v>
      </c>
      <c r="J49" s="164"/>
      <c r="K49" s="162">
        <v>74</v>
      </c>
      <c r="L49" s="161">
        <v>73</v>
      </c>
      <c r="M49" s="163"/>
      <c r="N49" s="162">
        <v>74</v>
      </c>
      <c r="O49" s="164"/>
      <c r="P49" s="163"/>
      <c r="Q49" s="164"/>
      <c r="R49" s="164"/>
      <c r="S49" s="163"/>
      <c r="T49" s="163"/>
      <c r="U49" s="164"/>
      <c r="V49" s="164"/>
      <c r="W49" s="163"/>
      <c r="X49" s="164"/>
      <c r="Y49" s="164"/>
      <c r="Z49" s="163"/>
      <c r="AA49" s="163"/>
      <c r="AB49" s="164"/>
      <c r="AC49" s="164"/>
      <c r="AD49" s="163"/>
      <c r="AE49" s="164"/>
      <c r="AF49" s="164"/>
      <c r="AG49" s="165"/>
      <c r="AH49" s="165"/>
    </row>
    <row r="50" spans="1:34" ht="15">
      <c r="A50" s="390"/>
      <c r="B50" s="159" t="s">
        <v>51</v>
      </c>
      <c r="C50" s="160">
        <v>215.625</v>
      </c>
      <c r="D50" s="160">
        <v>215.625</v>
      </c>
      <c r="E50" s="163"/>
      <c r="F50" s="163"/>
      <c r="G50" s="162">
        <v>216.75</v>
      </c>
      <c r="H50" s="162">
        <v>216.75</v>
      </c>
      <c r="I50" s="161">
        <v>194.25</v>
      </c>
      <c r="J50" s="164"/>
      <c r="K50" s="162">
        <v>237</v>
      </c>
      <c r="L50" s="161">
        <v>216.75</v>
      </c>
      <c r="M50" s="163"/>
      <c r="N50" s="162">
        <v>212.25</v>
      </c>
      <c r="O50" s="164"/>
      <c r="P50" s="163"/>
      <c r="Q50" s="164"/>
      <c r="R50" s="164"/>
      <c r="S50" s="163"/>
      <c r="T50" s="163"/>
      <c r="U50" s="164"/>
      <c r="V50" s="164"/>
      <c r="W50" s="163"/>
      <c r="X50" s="164"/>
      <c r="Y50" s="164"/>
      <c r="Z50" s="163"/>
      <c r="AA50" s="163"/>
      <c r="AB50" s="164"/>
      <c r="AC50" s="164"/>
      <c r="AD50" s="163"/>
      <c r="AE50" s="164"/>
      <c r="AF50" s="164"/>
      <c r="AG50" s="165"/>
      <c r="AH50" s="165"/>
    </row>
    <row r="51" spans="1:34" ht="15">
      <c r="A51" s="391"/>
      <c r="B51" s="167" t="s">
        <v>52</v>
      </c>
      <c r="C51" s="168">
        <v>2.9138999999999999</v>
      </c>
      <c r="D51" s="168">
        <v>2.9138999999999999</v>
      </c>
      <c r="E51" s="170"/>
      <c r="F51" s="170"/>
      <c r="G51" s="168">
        <v>2.89</v>
      </c>
      <c r="H51" s="168">
        <v>2.89</v>
      </c>
      <c r="I51" s="169">
        <v>2.59</v>
      </c>
      <c r="J51" s="171"/>
      <c r="K51" s="168">
        <v>3.2027000000000001</v>
      </c>
      <c r="L51" s="169">
        <v>2.9691999999999998</v>
      </c>
      <c r="M51" s="170"/>
      <c r="N51" s="168">
        <v>2.8681999999999999</v>
      </c>
      <c r="O51" s="171"/>
      <c r="P51" s="170"/>
      <c r="Q51" s="171"/>
      <c r="R51" s="171"/>
      <c r="S51" s="170"/>
      <c r="T51" s="170"/>
      <c r="U51" s="171"/>
      <c r="V51" s="171"/>
      <c r="W51" s="170"/>
      <c r="X51" s="171"/>
      <c r="Y51" s="171"/>
      <c r="Z51" s="170"/>
      <c r="AA51" s="170"/>
      <c r="AB51" s="171"/>
      <c r="AC51" s="171"/>
      <c r="AD51" s="170"/>
      <c r="AE51" s="171"/>
      <c r="AF51" s="171"/>
      <c r="AG51" s="172"/>
      <c r="AH51" s="172"/>
    </row>
    <row r="52" spans="1:34" ht="15">
      <c r="A52" s="389" t="s">
        <v>161</v>
      </c>
      <c r="B52" s="152" t="s">
        <v>45</v>
      </c>
      <c r="C52" s="153">
        <v>10560</v>
      </c>
      <c r="D52" s="153">
        <v>1760</v>
      </c>
      <c r="E52" s="156"/>
      <c r="F52" s="156"/>
      <c r="G52" s="155">
        <v>1760</v>
      </c>
      <c r="H52" s="155">
        <v>1760</v>
      </c>
      <c r="I52" s="154">
        <v>1760</v>
      </c>
      <c r="J52" s="157"/>
      <c r="K52" s="155">
        <v>1760</v>
      </c>
      <c r="L52" s="154">
        <v>1760</v>
      </c>
      <c r="M52" s="156"/>
      <c r="N52" s="155">
        <v>1760</v>
      </c>
      <c r="O52" s="157"/>
      <c r="P52" s="156"/>
      <c r="Q52" s="157"/>
      <c r="R52" s="157"/>
      <c r="S52" s="156"/>
      <c r="T52" s="156"/>
      <c r="U52" s="157"/>
      <c r="V52" s="157"/>
      <c r="W52" s="156"/>
      <c r="X52" s="157"/>
      <c r="Y52" s="157"/>
      <c r="Z52" s="156"/>
      <c r="AA52" s="156"/>
      <c r="AB52" s="157"/>
      <c r="AC52" s="157"/>
      <c r="AD52" s="156"/>
      <c r="AE52" s="157"/>
      <c r="AF52" s="157"/>
      <c r="AG52" s="158"/>
      <c r="AH52" s="158"/>
    </row>
    <row r="53" spans="1:34" ht="15">
      <c r="A53" s="390"/>
      <c r="B53" s="152" t="s">
        <v>46</v>
      </c>
      <c r="C53" s="153">
        <v>10080</v>
      </c>
      <c r="D53" s="153">
        <v>1680</v>
      </c>
      <c r="E53" s="156"/>
      <c r="F53" s="156"/>
      <c r="G53" s="155">
        <v>1680</v>
      </c>
      <c r="H53" s="155">
        <v>1680</v>
      </c>
      <c r="I53" s="154">
        <v>1680</v>
      </c>
      <c r="J53" s="157"/>
      <c r="K53" s="155">
        <v>1680</v>
      </c>
      <c r="L53" s="154">
        <v>1680</v>
      </c>
      <c r="M53" s="156"/>
      <c r="N53" s="155">
        <v>1680</v>
      </c>
      <c r="O53" s="155">
        <v>1760</v>
      </c>
      <c r="P53" s="154">
        <v>1760</v>
      </c>
      <c r="Q53" s="155">
        <v>1760</v>
      </c>
      <c r="R53" s="155">
        <v>1760</v>
      </c>
      <c r="S53" s="154">
        <v>1760</v>
      </c>
      <c r="T53" s="156"/>
      <c r="U53" s="155">
        <v>1440</v>
      </c>
      <c r="V53" s="155">
        <v>1440</v>
      </c>
      <c r="W53" s="154">
        <v>1440</v>
      </c>
      <c r="X53" s="155">
        <v>1440</v>
      </c>
      <c r="Y53" s="155">
        <v>1440</v>
      </c>
      <c r="Z53" s="156"/>
      <c r="AA53" s="156"/>
      <c r="AB53" s="155">
        <v>1440</v>
      </c>
      <c r="AC53" s="155">
        <v>1440</v>
      </c>
      <c r="AD53" s="154">
        <v>1440</v>
      </c>
      <c r="AE53" s="155">
        <v>1440</v>
      </c>
      <c r="AF53" s="155">
        <v>1440</v>
      </c>
      <c r="AG53" s="158"/>
      <c r="AH53" s="158"/>
    </row>
    <row r="54" spans="1:34" ht="15">
      <c r="A54" s="390"/>
      <c r="B54" s="159" t="s">
        <v>47</v>
      </c>
      <c r="C54" s="160">
        <v>10086</v>
      </c>
      <c r="D54" s="160">
        <v>1681</v>
      </c>
      <c r="E54" s="163"/>
      <c r="F54" s="163"/>
      <c r="G54" s="162">
        <v>1680</v>
      </c>
      <c r="H54" s="162">
        <v>1680</v>
      </c>
      <c r="I54" s="161">
        <v>1680</v>
      </c>
      <c r="J54" s="164"/>
      <c r="K54" s="162">
        <v>1682</v>
      </c>
      <c r="L54" s="161">
        <v>1684</v>
      </c>
      <c r="M54" s="163"/>
      <c r="N54" s="162">
        <v>1680</v>
      </c>
      <c r="O54" s="164"/>
      <c r="P54" s="163"/>
      <c r="Q54" s="164"/>
      <c r="R54" s="164"/>
      <c r="S54" s="163"/>
      <c r="T54" s="163"/>
      <c r="U54" s="164"/>
      <c r="V54" s="164"/>
      <c r="W54" s="163"/>
      <c r="X54" s="164"/>
      <c r="Y54" s="164"/>
      <c r="Z54" s="163"/>
      <c r="AA54" s="163"/>
      <c r="AB54" s="164"/>
      <c r="AC54" s="164"/>
      <c r="AD54" s="163"/>
      <c r="AE54" s="164"/>
      <c r="AF54" s="164"/>
      <c r="AG54" s="165"/>
      <c r="AH54" s="165"/>
    </row>
    <row r="55" spans="1:34" ht="15">
      <c r="A55" s="390"/>
      <c r="B55" s="159" t="s">
        <v>48</v>
      </c>
      <c r="C55" s="160">
        <v>6</v>
      </c>
      <c r="D55" s="160">
        <v>1</v>
      </c>
      <c r="E55" s="163"/>
      <c r="F55" s="163"/>
      <c r="G55" s="162">
        <v>0</v>
      </c>
      <c r="H55" s="162">
        <v>0</v>
      </c>
      <c r="I55" s="161">
        <v>0</v>
      </c>
      <c r="J55" s="164"/>
      <c r="K55" s="162">
        <v>2</v>
      </c>
      <c r="L55" s="161">
        <v>4</v>
      </c>
      <c r="M55" s="163"/>
      <c r="N55" s="162">
        <v>0</v>
      </c>
      <c r="O55" s="164"/>
      <c r="P55" s="163"/>
      <c r="Q55" s="164"/>
      <c r="R55" s="164"/>
      <c r="S55" s="163"/>
      <c r="T55" s="163"/>
      <c r="U55" s="164"/>
      <c r="V55" s="164"/>
      <c r="W55" s="163"/>
      <c r="X55" s="164"/>
      <c r="Y55" s="164"/>
      <c r="Z55" s="163"/>
      <c r="AA55" s="163"/>
      <c r="AB55" s="164"/>
      <c r="AC55" s="164"/>
      <c r="AD55" s="163"/>
      <c r="AE55" s="164"/>
      <c r="AF55" s="164"/>
      <c r="AG55" s="165"/>
      <c r="AH55" s="165"/>
    </row>
    <row r="56" spans="1:34" ht="15">
      <c r="A56" s="390"/>
      <c r="B56" s="159" t="s">
        <v>49</v>
      </c>
      <c r="C56" s="160">
        <v>48</v>
      </c>
      <c r="D56" s="160">
        <v>8</v>
      </c>
      <c r="E56" s="163"/>
      <c r="F56" s="163"/>
      <c r="G56" s="162">
        <v>8</v>
      </c>
      <c r="H56" s="162">
        <v>8</v>
      </c>
      <c r="I56" s="161">
        <v>8</v>
      </c>
      <c r="J56" s="164"/>
      <c r="K56" s="162">
        <v>8</v>
      </c>
      <c r="L56" s="161">
        <v>8</v>
      </c>
      <c r="M56" s="163"/>
      <c r="N56" s="162">
        <v>8</v>
      </c>
      <c r="O56" s="164"/>
      <c r="P56" s="163"/>
      <c r="Q56" s="164"/>
      <c r="R56" s="164"/>
      <c r="S56" s="163"/>
      <c r="T56" s="163"/>
      <c r="U56" s="164"/>
      <c r="V56" s="164"/>
      <c r="W56" s="163"/>
      <c r="X56" s="164"/>
      <c r="Y56" s="164"/>
      <c r="Z56" s="163"/>
      <c r="AA56" s="163"/>
      <c r="AB56" s="164"/>
      <c r="AC56" s="164"/>
      <c r="AD56" s="163"/>
      <c r="AE56" s="164"/>
      <c r="AF56" s="164"/>
      <c r="AG56" s="165"/>
      <c r="AH56" s="165"/>
    </row>
    <row r="57" spans="1:34" ht="15">
      <c r="A57" s="390"/>
      <c r="B57" s="159" t="s">
        <v>50</v>
      </c>
      <c r="C57" s="160">
        <v>95</v>
      </c>
      <c r="D57" s="160">
        <v>95</v>
      </c>
      <c r="E57" s="163"/>
      <c r="F57" s="163"/>
      <c r="G57" s="162">
        <v>95</v>
      </c>
      <c r="H57" s="162">
        <v>98</v>
      </c>
      <c r="I57" s="161">
        <v>96</v>
      </c>
      <c r="J57" s="164"/>
      <c r="K57" s="162">
        <v>92</v>
      </c>
      <c r="L57" s="161">
        <v>96</v>
      </c>
      <c r="M57" s="163"/>
      <c r="N57" s="162">
        <v>96</v>
      </c>
      <c r="O57" s="164"/>
      <c r="P57" s="163"/>
      <c r="Q57" s="164"/>
      <c r="R57" s="164"/>
      <c r="S57" s="163"/>
      <c r="T57" s="163"/>
      <c r="U57" s="164"/>
      <c r="V57" s="164"/>
      <c r="W57" s="163"/>
      <c r="X57" s="164"/>
      <c r="Y57" s="164"/>
      <c r="Z57" s="163"/>
      <c r="AA57" s="163"/>
      <c r="AB57" s="164"/>
      <c r="AC57" s="164"/>
      <c r="AD57" s="163"/>
      <c r="AE57" s="164"/>
      <c r="AF57" s="164"/>
      <c r="AG57" s="165"/>
      <c r="AH57" s="165"/>
    </row>
    <row r="58" spans="1:34" ht="15">
      <c r="A58" s="390"/>
      <c r="B58" s="159" t="s">
        <v>51</v>
      </c>
      <c r="C58" s="160">
        <v>210.125</v>
      </c>
      <c r="D58" s="160">
        <v>210.125</v>
      </c>
      <c r="E58" s="163"/>
      <c r="F58" s="163"/>
      <c r="G58" s="162">
        <v>210</v>
      </c>
      <c r="H58" s="162">
        <v>210</v>
      </c>
      <c r="I58" s="161">
        <v>210</v>
      </c>
      <c r="J58" s="164"/>
      <c r="K58" s="162">
        <v>210.25</v>
      </c>
      <c r="L58" s="161">
        <v>210.5</v>
      </c>
      <c r="M58" s="163"/>
      <c r="N58" s="162">
        <v>210</v>
      </c>
      <c r="O58" s="164"/>
      <c r="P58" s="163"/>
      <c r="Q58" s="164"/>
      <c r="R58" s="164"/>
      <c r="S58" s="163"/>
      <c r="T58" s="163"/>
      <c r="U58" s="164"/>
      <c r="V58" s="164"/>
      <c r="W58" s="163"/>
      <c r="X58" s="164"/>
      <c r="Y58" s="164"/>
      <c r="Z58" s="163"/>
      <c r="AA58" s="163"/>
      <c r="AB58" s="164"/>
      <c r="AC58" s="164"/>
      <c r="AD58" s="163"/>
      <c r="AE58" s="164"/>
      <c r="AF58" s="164"/>
      <c r="AG58" s="165"/>
      <c r="AH58" s="165"/>
    </row>
    <row r="59" spans="1:34" ht="15">
      <c r="A59" s="391"/>
      <c r="B59" s="167" t="s">
        <v>52</v>
      </c>
      <c r="C59" s="168">
        <v>2.2118000000000002</v>
      </c>
      <c r="D59" s="168">
        <v>2.2118000000000002</v>
      </c>
      <c r="E59" s="170"/>
      <c r="F59" s="170"/>
      <c r="G59" s="168">
        <v>2.2105000000000001</v>
      </c>
      <c r="H59" s="168">
        <v>2.1429</v>
      </c>
      <c r="I59" s="169">
        <v>2.1875</v>
      </c>
      <c r="J59" s="171"/>
      <c r="K59" s="168">
        <v>2.2852999999999999</v>
      </c>
      <c r="L59" s="169">
        <v>2.1926999999999999</v>
      </c>
      <c r="M59" s="170"/>
      <c r="N59" s="168">
        <v>2.1875</v>
      </c>
      <c r="O59" s="171"/>
      <c r="P59" s="170"/>
      <c r="Q59" s="171"/>
      <c r="R59" s="171"/>
      <c r="S59" s="170"/>
      <c r="T59" s="170"/>
      <c r="U59" s="171"/>
      <c r="V59" s="171"/>
      <c r="W59" s="170"/>
      <c r="X59" s="171"/>
      <c r="Y59" s="171"/>
      <c r="Z59" s="170"/>
      <c r="AA59" s="170"/>
      <c r="AB59" s="171"/>
      <c r="AC59" s="171"/>
      <c r="AD59" s="170"/>
      <c r="AE59" s="171"/>
      <c r="AF59" s="171"/>
      <c r="AG59" s="172"/>
      <c r="AH59" s="172"/>
    </row>
    <row r="60" spans="1:34" ht="15">
      <c r="A60" s="389" t="s">
        <v>162</v>
      </c>
      <c r="B60" s="152" t="s">
        <v>45</v>
      </c>
      <c r="C60" s="153">
        <v>7680</v>
      </c>
      <c r="D60" s="153">
        <v>1280</v>
      </c>
      <c r="E60" s="156"/>
      <c r="F60" s="156"/>
      <c r="G60" s="155">
        <v>1280</v>
      </c>
      <c r="H60" s="155">
        <v>1280</v>
      </c>
      <c r="I60" s="154">
        <v>1280</v>
      </c>
      <c r="J60" s="157"/>
      <c r="K60" s="155">
        <v>1280</v>
      </c>
      <c r="L60" s="154">
        <v>1280</v>
      </c>
      <c r="M60" s="156"/>
      <c r="N60" s="155">
        <v>1280</v>
      </c>
      <c r="O60" s="157"/>
      <c r="P60" s="156"/>
      <c r="Q60" s="157"/>
      <c r="R60" s="157"/>
      <c r="S60" s="156"/>
      <c r="T60" s="156"/>
      <c r="U60" s="157"/>
      <c r="V60" s="157"/>
      <c r="W60" s="156"/>
      <c r="X60" s="157"/>
      <c r="Y60" s="157"/>
      <c r="Z60" s="156"/>
      <c r="AA60" s="156"/>
      <c r="AB60" s="157"/>
      <c r="AC60" s="157"/>
      <c r="AD60" s="156"/>
      <c r="AE60" s="157"/>
      <c r="AF60" s="157"/>
      <c r="AG60" s="158"/>
      <c r="AH60" s="158"/>
    </row>
    <row r="61" spans="1:34" ht="15">
      <c r="A61" s="390"/>
      <c r="B61" s="152" t="s">
        <v>46</v>
      </c>
      <c r="C61" s="153">
        <v>8160</v>
      </c>
      <c r="D61" s="153">
        <v>1360</v>
      </c>
      <c r="E61" s="156"/>
      <c r="F61" s="156"/>
      <c r="G61" s="155">
        <v>1440</v>
      </c>
      <c r="H61" s="155">
        <v>1440</v>
      </c>
      <c r="I61" s="154">
        <v>1320</v>
      </c>
      <c r="J61" s="157"/>
      <c r="K61" s="155">
        <v>1320</v>
      </c>
      <c r="L61" s="154">
        <v>1320</v>
      </c>
      <c r="M61" s="156"/>
      <c r="N61" s="155">
        <v>1320</v>
      </c>
      <c r="O61" s="155">
        <v>1320</v>
      </c>
      <c r="P61" s="154">
        <v>1320</v>
      </c>
      <c r="Q61" s="155">
        <v>1440</v>
      </c>
      <c r="R61" s="155">
        <v>1440</v>
      </c>
      <c r="S61" s="154">
        <v>1440</v>
      </c>
      <c r="T61" s="156"/>
      <c r="U61" s="155">
        <v>1440</v>
      </c>
      <c r="V61" s="155">
        <v>1440</v>
      </c>
      <c r="W61" s="154">
        <v>1440</v>
      </c>
      <c r="X61" s="155">
        <v>1440</v>
      </c>
      <c r="Y61" s="155">
        <v>1440</v>
      </c>
      <c r="Z61" s="156"/>
      <c r="AA61" s="156"/>
      <c r="AB61" s="155">
        <v>1440</v>
      </c>
      <c r="AC61" s="155">
        <v>1440</v>
      </c>
      <c r="AD61" s="154">
        <v>1440</v>
      </c>
      <c r="AE61" s="155">
        <v>1440</v>
      </c>
      <c r="AF61" s="155">
        <v>1440</v>
      </c>
      <c r="AG61" s="158"/>
      <c r="AH61" s="158"/>
    </row>
    <row r="62" spans="1:34" ht="15">
      <c r="A62" s="390"/>
      <c r="B62" s="159" t="s">
        <v>47</v>
      </c>
      <c r="C62" s="160">
        <v>8166</v>
      </c>
      <c r="D62" s="160">
        <v>1361</v>
      </c>
      <c r="E62" s="163"/>
      <c r="F62" s="163"/>
      <c r="G62" s="162">
        <v>1440</v>
      </c>
      <c r="H62" s="162">
        <v>1440</v>
      </c>
      <c r="I62" s="161">
        <v>1325</v>
      </c>
      <c r="J62" s="164"/>
      <c r="K62" s="162">
        <v>1321</v>
      </c>
      <c r="L62" s="161">
        <v>1320</v>
      </c>
      <c r="M62" s="163"/>
      <c r="N62" s="162">
        <v>1320</v>
      </c>
      <c r="O62" s="164"/>
      <c r="P62" s="163"/>
      <c r="Q62" s="164"/>
      <c r="R62" s="164"/>
      <c r="S62" s="163"/>
      <c r="T62" s="163"/>
      <c r="U62" s="164"/>
      <c r="V62" s="164"/>
      <c r="W62" s="163"/>
      <c r="X62" s="164"/>
      <c r="Y62" s="164"/>
      <c r="Z62" s="163"/>
      <c r="AA62" s="163"/>
      <c r="AB62" s="164"/>
      <c r="AC62" s="164"/>
      <c r="AD62" s="163"/>
      <c r="AE62" s="164"/>
      <c r="AF62" s="164"/>
      <c r="AG62" s="165"/>
      <c r="AH62" s="165"/>
    </row>
    <row r="63" spans="1:34" ht="15">
      <c r="A63" s="390"/>
      <c r="B63" s="159" t="s">
        <v>48</v>
      </c>
      <c r="C63" s="160">
        <v>6</v>
      </c>
      <c r="D63" s="160">
        <v>1</v>
      </c>
      <c r="E63" s="163"/>
      <c r="F63" s="163"/>
      <c r="G63" s="162">
        <v>0</v>
      </c>
      <c r="H63" s="162">
        <v>0</v>
      </c>
      <c r="I63" s="161">
        <v>5</v>
      </c>
      <c r="J63" s="164"/>
      <c r="K63" s="162">
        <v>1</v>
      </c>
      <c r="L63" s="161">
        <v>0</v>
      </c>
      <c r="M63" s="163"/>
      <c r="N63" s="162">
        <v>0</v>
      </c>
      <c r="O63" s="164"/>
      <c r="P63" s="163"/>
      <c r="Q63" s="164"/>
      <c r="R63" s="164"/>
      <c r="S63" s="163"/>
      <c r="T63" s="163"/>
      <c r="U63" s="164"/>
      <c r="V63" s="164"/>
      <c r="W63" s="163"/>
      <c r="X63" s="164"/>
      <c r="Y63" s="164"/>
      <c r="Z63" s="163"/>
      <c r="AA63" s="163"/>
      <c r="AB63" s="164"/>
      <c r="AC63" s="164"/>
      <c r="AD63" s="163"/>
      <c r="AE63" s="164"/>
      <c r="AF63" s="164"/>
      <c r="AG63" s="165"/>
      <c r="AH63" s="165"/>
    </row>
    <row r="64" spans="1:34" ht="15">
      <c r="A64" s="390"/>
      <c r="B64" s="159" t="s">
        <v>49</v>
      </c>
      <c r="C64" s="160">
        <v>48</v>
      </c>
      <c r="D64" s="160">
        <v>8</v>
      </c>
      <c r="E64" s="163"/>
      <c r="F64" s="163"/>
      <c r="G64" s="162">
        <v>8</v>
      </c>
      <c r="H64" s="162">
        <v>8</v>
      </c>
      <c r="I64" s="161">
        <v>8</v>
      </c>
      <c r="J64" s="164"/>
      <c r="K64" s="162">
        <v>8</v>
      </c>
      <c r="L64" s="161">
        <v>8</v>
      </c>
      <c r="M64" s="163"/>
      <c r="N64" s="162">
        <v>8</v>
      </c>
      <c r="O64" s="164"/>
      <c r="P64" s="163"/>
      <c r="Q64" s="164"/>
      <c r="R64" s="164"/>
      <c r="S64" s="163"/>
      <c r="T64" s="163"/>
      <c r="U64" s="164"/>
      <c r="V64" s="164"/>
      <c r="W64" s="163"/>
      <c r="X64" s="164"/>
      <c r="Y64" s="164"/>
      <c r="Z64" s="163"/>
      <c r="AA64" s="163"/>
      <c r="AB64" s="164"/>
      <c r="AC64" s="164"/>
      <c r="AD64" s="163"/>
      <c r="AE64" s="164"/>
      <c r="AF64" s="164"/>
      <c r="AG64" s="165"/>
      <c r="AH64" s="165"/>
    </row>
    <row r="65" spans="1:34" ht="15">
      <c r="A65" s="390"/>
      <c r="B65" s="159" t="s">
        <v>50</v>
      </c>
      <c r="C65" s="160">
        <v>124</v>
      </c>
      <c r="D65" s="160">
        <v>124</v>
      </c>
      <c r="E65" s="163"/>
      <c r="F65" s="163"/>
      <c r="G65" s="162">
        <v>126</v>
      </c>
      <c r="H65" s="162">
        <v>126</v>
      </c>
      <c r="I65" s="161">
        <v>123</v>
      </c>
      <c r="J65" s="164"/>
      <c r="K65" s="162">
        <v>125</v>
      </c>
      <c r="L65" s="161">
        <v>124</v>
      </c>
      <c r="M65" s="163"/>
      <c r="N65" s="162">
        <v>125</v>
      </c>
      <c r="O65" s="164"/>
      <c r="P65" s="163"/>
      <c r="Q65" s="164"/>
      <c r="R65" s="164"/>
      <c r="S65" s="163"/>
      <c r="T65" s="163"/>
      <c r="U65" s="164"/>
      <c r="V65" s="164"/>
      <c r="W65" s="163"/>
      <c r="X65" s="164"/>
      <c r="Y65" s="164"/>
      <c r="Z65" s="163"/>
      <c r="AA65" s="163"/>
      <c r="AB65" s="164"/>
      <c r="AC65" s="164"/>
      <c r="AD65" s="163"/>
      <c r="AE65" s="164"/>
      <c r="AF65" s="164"/>
      <c r="AG65" s="165"/>
      <c r="AH65" s="165"/>
    </row>
    <row r="66" spans="1:34" ht="15">
      <c r="A66" s="390"/>
      <c r="B66" s="159" t="s">
        <v>51</v>
      </c>
      <c r="C66" s="160">
        <v>170.125</v>
      </c>
      <c r="D66" s="160">
        <v>170.125</v>
      </c>
      <c r="E66" s="163"/>
      <c r="F66" s="163"/>
      <c r="G66" s="162">
        <v>180</v>
      </c>
      <c r="H66" s="162">
        <v>180</v>
      </c>
      <c r="I66" s="161">
        <v>165.625</v>
      </c>
      <c r="J66" s="164"/>
      <c r="K66" s="162">
        <v>165.125</v>
      </c>
      <c r="L66" s="161">
        <v>165</v>
      </c>
      <c r="M66" s="163"/>
      <c r="N66" s="162">
        <v>165</v>
      </c>
      <c r="O66" s="164"/>
      <c r="P66" s="163"/>
      <c r="Q66" s="164"/>
      <c r="R66" s="164"/>
      <c r="S66" s="163"/>
      <c r="T66" s="163"/>
      <c r="U66" s="164"/>
      <c r="V66" s="164"/>
      <c r="W66" s="163"/>
      <c r="X66" s="164"/>
      <c r="Y66" s="164"/>
      <c r="Z66" s="163"/>
      <c r="AA66" s="163"/>
      <c r="AB66" s="164"/>
      <c r="AC66" s="164"/>
      <c r="AD66" s="163"/>
      <c r="AE66" s="164"/>
      <c r="AF66" s="164"/>
      <c r="AG66" s="165"/>
      <c r="AH66" s="165"/>
    </row>
    <row r="67" spans="1:34" ht="15">
      <c r="A67" s="391"/>
      <c r="B67" s="167" t="s">
        <v>52</v>
      </c>
      <c r="C67" s="168">
        <v>1.3719999999999999</v>
      </c>
      <c r="D67" s="168">
        <v>1.3719999999999999</v>
      </c>
      <c r="E67" s="170"/>
      <c r="F67" s="170"/>
      <c r="G67" s="168">
        <v>1.4285999999999999</v>
      </c>
      <c r="H67" s="168">
        <v>1.4285999999999999</v>
      </c>
      <c r="I67" s="169">
        <v>1.3465</v>
      </c>
      <c r="J67" s="171"/>
      <c r="K67" s="168">
        <v>1.321</v>
      </c>
      <c r="L67" s="169">
        <v>1.3306</v>
      </c>
      <c r="M67" s="170"/>
      <c r="N67" s="168">
        <v>1.32</v>
      </c>
      <c r="O67" s="171"/>
      <c r="P67" s="170"/>
      <c r="Q67" s="171"/>
      <c r="R67" s="171"/>
      <c r="S67" s="170"/>
      <c r="T67" s="170"/>
      <c r="U67" s="171"/>
      <c r="V67" s="171"/>
      <c r="W67" s="170"/>
      <c r="X67" s="171"/>
      <c r="Y67" s="171"/>
      <c r="Z67" s="170"/>
      <c r="AA67" s="170"/>
      <c r="AB67" s="171"/>
      <c r="AC67" s="171"/>
      <c r="AD67" s="170"/>
      <c r="AE67" s="171"/>
      <c r="AF67" s="171"/>
      <c r="AG67" s="172"/>
      <c r="AH67" s="172"/>
    </row>
    <row r="68" spans="1:34" ht="15">
      <c r="A68" s="389" t="s">
        <v>163</v>
      </c>
      <c r="B68" s="152" t="s">
        <v>45</v>
      </c>
      <c r="C68" s="153">
        <v>8640</v>
      </c>
      <c r="D68" s="153">
        <v>1440</v>
      </c>
      <c r="E68" s="156"/>
      <c r="F68" s="156"/>
      <c r="G68" s="155">
        <v>1440</v>
      </c>
      <c r="H68" s="155">
        <v>1440</v>
      </c>
      <c r="I68" s="154">
        <v>1440</v>
      </c>
      <c r="J68" s="157"/>
      <c r="K68" s="155">
        <v>1440</v>
      </c>
      <c r="L68" s="154">
        <v>1440</v>
      </c>
      <c r="M68" s="156"/>
      <c r="N68" s="155">
        <v>1440</v>
      </c>
      <c r="O68" s="157"/>
      <c r="P68" s="156"/>
      <c r="Q68" s="157"/>
      <c r="R68" s="157"/>
      <c r="S68" s="156"/>
      <c r="T68" s="156"/>
      <c r="U68" s="157"/>
      <c r="V68" s="157"/>
      <c r="W68" s="156"/>
      <c r="X68" s="157"/>
      <c r="Y68" s="157"/>
      <c r="Z68" s="156"/>
      <c r="AA68" s="156"/>
      <c r="AB68" s="157"/>
      <c r="AC68" s="157"/>
      <c r="AD68" s="156"/>
      <c r="AE68" s="157"/>
      <c r="AF68" s="157"/>
      <c r="AG68" s="158"/>
      <c r="AH68" s="158"/>
    </row>
    <row r="69" spans="1:34" ht="15">
      <c r="A69" s="390"/>
      <c r="B69" s="152" t="s">
        <v>46</v>
      </c>
      <c r="C69" s="153">
        <v>8640</v>
      </c>
      <c r="D69" s="153">
        <v>1440</v>
      </c>
      <c r="E69" s="156"/>
      <c r="F69" s="156"/>
      <c r="G69" s="155">
        <v>1440</v>
      </c>
      <c r="H69" s="155">
        <v>1440</v>
      </c>
      <c r="I69" s="154">
        <v>1440</v>
      </c>
      <c r="J69" s="157"/>
      <c r="K69" s="155">
        <v>1440</v>
      </c>
      <c r="L69" s="154">
        <v>1440</v>
      </c>
      <c r="M69" s="156"/>
      <c r="N69" s="155">
        <v>1440</v>
      </c>
      <c r="O69" s="155">
        <v>1440</v>
      </c>
      <c r="P69" s="154">
        <v>1440</v>
      </c>
      <c r="Q69" s="155">
        <v>1440</v>
      </c>
      <c r="R69" s="155">
        <v>1440</v>
      </c>
      <c r="S69" s="154">
        <v>1440</v>
      </c>
      <c r="T69" s="156"/>
      <c r="U69" s="155">
        <v>1440</v>
      </c>
      <c r="V69" s="155">
        <v>1440</v>
      </c>
      <c r="W69" s="154">
        <v>1080</v>
      </c>
      <c r="X69" s="155">
        <v>1440</v>
      </c>
      <c r="Y69" s="155">
        <v>1440</v>
      </c>
      <c r="Z69" s="156"/>
      <c r="AA69" s="156"/>
      <c r="AB69" s="155">
        <v>1440</v>
      </c>
      <c r="AC69" s="155">
        <v>1080</v>
      </c>
      <c r="AD69" s="154">
        <v>1440</v>
      </c>
      <c r="AE69" s="155">
        <v>1440</v>
      </c>
      <c r="AF69" s="155">
        <v>1440</v>
      </c>
      <c r="AG69" s="158"/>
      <c r="AH69" s="158"/>
    </row>
    <row r="70" spans="1:34" ht="15">
      <c r="A70" s="390"/>
      <c r="B70" s="159" t="s">
        <v>47</v>
      </c>
      <c r="C70" s="160">
        <v>8642</v>
      </c>
      <c r="D70" s="160">
        <v>1440.3333333333333</v>
      </c>
      <c r="E70" s="163"/>
      <c r="F70" s="163"/>
      <c r="G70" s="162">
        <v>1442</v>
      </c>
      <c r="H70" s="162">
        <v>1440</v>
      </c>
      <c r="I70" s="161">
        <v>1440</v>
      </c>
      <c r="J70" s="164"/>
      <c r="K70" s="162">
        <v>1440</v>
      </c>
      <c r="L70" s="161">
        <v>1440</v>
      </c>
      <c r="M70" s="163"/>
      <c r="N70" s="162">
        <v>1440</v>
      </c>
      <c r="O70" s="164"/>
      <c r="P70" s="163"/>
      <c r="Q70" s="164"/>
      <c r="R70" s="164"/>
      <c r="S70" s="163"/>
      <c r="T70" s="163"/>
      <c r="U70" s="164"/>
      <c r="V70" s="164"/>
      <c r="W70" s="163"/>
      <c r="X70" s="164"/>
      <c r="Y70" s="164"/>
      <c r="Z70" s="163"/>
      <c r="AA70" s="163"/>
      <c r="AB70" s="164"/>
      <c r="AC70" s="164"/>
      <c r="AD70" s="163"/>
      <c r="AE70" s="164"/>
      <c r="AF70" s="164"/>
      <c r="AG70" s="165"/>
      <c r="AH70" s="165"/>
    </row>
    <row r="71" spans="1:34" ht="15">
      <c r="A71" s="390"/>
      <c r="B71" s="159" t="s">
        <v>48</v>
      </c>
      <c r="C71" s="160">
        <v>2</v>
      </c>
      <c r="D71" s="160">
        <v>0.33333333333333331</v>
      </c>
      <c r="E71" s="163"/>
      <c r="F71" s="163"/>
      <c r="G71" s="162">
        <v>2</v>
      </c>
      <c r="H71" s="162">
        <v>0</v>
      </c>
      <c r="I71" s="161">
        <v>0</v>
      </c>
      <c r="J71" s="164"/>
      <c r="K71" s="162">
        <v>0</v>
      </c>
      <c r="L71" s="161">
        <v>0</v>
      </c>
      <c r="M71" s="163"/>
      <c r="N71" s="162">
        <v>0</v>
      </c>
      <c r="O71" s="164"/>
      <c r="P71" s="163"/>
      <c r="Q71" s="164"/>
      <c r="R71" s="164"/>
      <c r="S71" s="163"/>
      <c r="T71" s="163"/>
      <c r="U71" s="164"/>
      <c r="V71" s="164"/>
      <c r="W71" s="163"/>
      <c r="X71" s="164"/>
      <c r="Y71" s="164"/>
      <c r="Z71" s="163"/>
      <c r="AA71" s="163"/>
      <c r="AB71" s="164"/>
      <c r="AC71" s="164"/>
      <c r="AD71" s="163"/>
      <c r="AE71" s="164"/>
      <c r="AF71" s="164"/>
      <c r="AG71" s="165"/>
      <c r="AH71" s="165"/>
    </row>
    <row r="72" spans="1:34" ht="15">
      <c r="A72" s="390"/>
      <c r="B72" s="159" t="s">
        <v>49</v>
      </c>
      <c r="C72" s="160">
        <v>48</v>
      </c>
      <c r="D72" s="160">
        <v>8</v>
      </c>
      <c r="E72" s="163"/>
      <c r="F72" s="163"/>
      <c r="G72" s="162">
        <v>8</v>
      </c>
      <c r="H72" s="162">
        <v>8</v>
      </c>
      <c r="I72" s="161">
        <v>8</v>
      </c>
      <c r="J72" s="164"/>
      <c r="K72" s="162">
        <v>8</v>
      </c>
      <c r="L72" s="161">
        <v>8</v>
      </c>
      <c r="M72" s="163"/>
      <c r="N72" s="162">
        <v>8</v>
      </c>
      <c r="O72" s="164"/>
      <c r="P72" s="163"/>
      <c r="Q72" s="164"/>
      <c r="R72" s="164"/>
      <c r="S72" s="163"/>
      <c r="T72" s="163"/>
      <c r="U72" s="164"/>
      <c r="V72" s="164"/>
      <c r="W72" s="163"/>
      <c r="X72" s="164"/>
      <c r="Y72" s="164"/>
      <c r="Z72" s="163"/>
      <c r="AA72" s="163"/>
      <c r="AB72" s="164"/>
      <c r="AC72" s="164"/>
      <c r="AD72" s="163"/>
      <c r="AE72" s="164"/>
      <c r="AF72" s="164"/>
      <c r="AG72" s="165"/>
      <c r="AH72" s="165"/>
    </row>
    <row r="73" spans="1:34" ht="15">
      <c r="A73" s="390"/>
      <c r="B73" s="159" t="s">
        <v>50</v>
      </c>
      <c r="C73" s="160">
        <v>118</v>
      </c>
      <c r="D73" s="160">
        <v>118</v>
      </c>
      <c r="E73" s="163"/>
      <c r="F73" s="163"/>
      <c r="G73" s="162">
        <v>120</v>
      </c>
      <c r="H73" s="162">
        <v>121</v>
      </c>
      <c r="I73" s="161">
        <v>115</v>
      </c>
      <c r="J73" s="164"/>
      <c r="K73" s="162">
        <v>117</v>
      </c>
      <c r="L73" s="161">
        <v>118</v>
      </c>
      <c r="M73" s="163"/>
      <c r="N73" s="162">
        <v>118</v>
      </c>
      <c r="O73" s="164"/>
      <c r="P73" s="163"/>
      <c r="Q73" s="164"/>
      <c r="R73" s="164"/>
      <c r="S73" s="163"/>
      <c r="T73" s="163"/>
      <c r="U73" s="164"/>
      <c r="V73" s="164"/>
      <c r="W73" s="163"/>
      <c r="X73" s="164"/>
      <c r="Y73" s="164"/>
      <c r="Z73" s="163"/>
      <c r="AA73" s="163"/>
      <c r="AB73" s="164"/>
      <c r="AC73" s="164"/>
      <c r="AD73" s="163"/>
      <c r="AE73" s="164"/>
      <c r="AF73" s="164"/>
      <c r="AG73" s="165"/>
      <c r="AH73" s="165"/>
    </row>
    <row r="74" spans="1:34" ht="15">
      <c r="A74" s="390"/>
      <c r="B74" s="159" t="s">
        <v>51</v>
      </c>
      <c r="C74" s="160">
        <v>180.04166666666666</v>
      </c>
      <c r="D74" s="160">
        <v>180.04166666666666</v>
      </c>
      <c r="E74" s="163"/>
      <c r="F74" s="163"/>
      <c r="G74" s="162">
        <v>180.25</v>
      </c>
      <c r="H74" s="162">
        <v>180</v>
      </c>
      <c r="I74" s="161">
        <v>180</v>
      </c>
      <c r="J74" s="164"/>
      <c r="K74" s="162">
        <v>180</v>
      </c>
      <c r="L74" s="161">
        <v>180</v>
      </c>
      <c r="M74" s="163"/>
      <c r="N74" s="162">
        <v>180</v>
      </c>
      <c r="O74" s="164"/>
      <c r="P74" s="163"/>
      <c r="Q74" s="164"/>
      <c r="R74" s="164"/>
      <c r="S74" s="163"/>
      <c r="T74" s="163"/>
      <c r="U74" s="164"/>
      <c r="V74" s="164"/>
      <c r="W74" s="163"/>
      <c r="X74" s="164"/>
      <c r="Y74" s="164"/>
      <c r="Z74" s="163"/>
      <c r="AA74" s="163"/>
      <c r="AB74" s="164"/>
      <c r="AC74" s="164"/>
      <c r="AD74" s="163"/>
      <c r="AE74" s="164"/>
      <c r="AF74" s="164"/>
      <c r="AG74" s="165"/>
      <c r="AH74" s="165"/>
    </row>
    <row r="75" spans="1:34" ht="15">
      <c r="A75" s="391"/>
      <c r="B75" s="167" t="s">
        <v>52</v>
      </c>
      <c r="C75" s="168">
        <v>1.5258</v>
      </c>
      <c r="D75" s="168">
        <v>1.5258</v>
      </c>
      <c r="E75" s="170"/>
      <c r="F75" s="170"/>
      <c r="G75" s="168">
        <v>1.5021</v>
      </c>
      <c r="H75" s="168">
        <v>1.4876</v>
      </c>
      <c r="I75" s="169">
        <v>1.5651999999999999</v>
      </c>
      <c r="J75" s="171"/>
      <c r="K75" s="168">
        <v>1.5385</v>
      </c>
      <c r="L75" s="169">
        <v>1.5253999999999999</v>
      </c>
      <c r="M75" s="170"/>
      <c r="N75" s="168">
        <v>1.5253999999999999</v>
      </c>
      <c r="O75" s="171"/>
      <c r="P75" s="170"/>
      <c r="Q75" s="171"/>
      <c r="R75" s="171"/>
      <c r="S75" s="170"/>
      <c r="T75" s="170"/>
      <c r="U75" s="171"/>
      <c r="V75" s="171"/>
      <c r="W75" s="170"/>
      <c r="X75" s="171"/>
      <c r="Y75" s="171"/>
      <c r="Z75" s="170"/>
      <c r="AA75" s="170"/>
      <c r="AB75" s="171"/>
      <c r="AC75" s="171"/>
      <c r="AD75" s="170"/>
      <c r="AE75" s="171"/>
      <c r="AF75" s="171"/>
      <c r="AG75" s="172"/>
      <c r="AH75" s="172"/>
    </row>
    <row r="76" spans="1:34" ht="15">
      <c r="A76" s="389" t="s">
        <v>164</v>
      </c>
      <c r="B76" s="152" t="s">
        <v>45</v>
      </c>
      <c r="C76" s="153">
        <v>7560</v>
      </c>
      <c r="D76" s="153">
        <v>1260</v>
      </c>
      <c r="E76" s="156"/>
      <c r="F76" s="156"/>
      <c r="G76" s="155">
        <v>960</v>
      </c>
      <c r="H76" s="155">
        <v>1160</v>
      </c>
      <c r="I76" s="154">
        <v>1360</v>
      </c>
      <c r="J76" s="157"/>
      <c r="K76" s="155">
        <v>1360</v>
      </c>
      <c r="L76" s="154">
        <v>1360</v>
      </c>
      <c r="M76" s="156"/>
      <c r="N76" s="155">
        <v>1360</v>
      </c>
      <c r="O76" s="157"/>
      <c r="P76" s="156"/>
      <c r="Q76" s="157"/>
      <c r="R76" s="157"/>
      <c r="S76" s="156"/>
      <c r="T76" s="156"/>
      <c r="U76" s="157"/>
      <c r="V76" s="157"/>
      <c r="W76" s="156"/>
      <c r="X76" s="157"/>
      <c r="Y76" s="157"/>
      <c r="Z76" s="156"/>
      <c r="AA76" s="156"/>
      <c r="AB76" s="157"/>
      <c r="AC76" s="157"/>
      <c r="AD76" s="156"/>
      <c r="AE76" s="157"/>
      <c r="AF76" s="157"/>
      <c r="AG76" s="158"/>
      <c r="AH76" s="158"/>
    </row>
    <row r="77" spans="1:34" ht="15">
      <c r="A77" s="390"/>
      <c r="B77" s="152" t="s">
        <v>46</v>
      </c>
      <c r="C77" s="153">
        <v>6440</v>
      </c>
      <c r="D77" s="153">
        <v>1073.3333333333333</v>
      </c>
      <c r="E77" s="156"/>
      <c r="F77" s="156"/>
      <c r="G77" s="155">
        <v>840</v>
      </c>
      <c r="H77" s="155">
        <v>1120</v>
      </c>
      <c r="I77" s="154">
        <v>1120</v>
      </c>
      <c r="J77" s="157"/>
      <c r="K77" s="155">
        <v>1120</v>
      </c>
      <c r="L77" s="154">
        <v>1120</v>
      </c>
      <c r="M77" s="156"/>
      <c r="N77" s="155">
        <v>1120</v>
      </c>
      <c r="O77" s="155">
        <v>1120</v>
      </c>
      <c r="P77" s="154">
        <v>1120</v>
      </c>
      <c r="Q77" s="155">
        <v>1120</v>
      </c>
      <c r="R77" s="155">
        <v>1120</v>
      </c>
      <c r="S77" s="154">
        <v>1120</v>
      </c>
      <c r="T77" s="156"/>
      <c r="U77" s="155">
        <v>1120</v>
      </c>
      <c r="V77" s="155">
        <v>1120</v>
      </c>
      <c r="W77" s="154">
        <v>1120</v>
      </c>
      <c r="X77" s="155">
        <v>1120</v>
      </c>
      <c r="Y77" s="155">
        <v>1380</v>
      </c>
      <c r="Z77" s="156"/>
      <c r="AA77" s="156"/>
      <c r="AB77" s="155">
        <v>1840</v>
      </c>
      <c r="AC77" s="155">
        <v>1680</v>
      </c>
      <c r="AD77" s="154">
        <v>1680</v>
      </c>
      <c r="AE77" s="155">
        <v>1080</v>
      </c>
      <c r="AF77" s="155">
        <v>1080</v>
      </c>
      <c r="AG77" s="158"/>
      <c r="AH77" s="158"/>
    </row>
    <row r="78" spans="1:34" ht="15">
      <c r="A78" s="390"/>
      <c r="B78" s="159" t="s">
        <v>47</v>
      </c>
      <c r="C78" s="160">
        <v>4368</v>
      </c>
      <c r="D78" s="160">
        <v>728</v>
      </c>
      <c r="E78" s="163"/>
      <c r="F78" s="163"/>
      <c r="G78" s="162">
        <v>480</v>
      </c>
      <c r="H78" s="162">
        <v>336</v>
      </c>
      <c r="I78" s="161">
        <v>504</v>
      </c>
      <c r="J78" s="164"/>
      <c r="K78" s="162">
        <v>804</v>
      </c>
      <c r="L78" s="161">
        <v>1122</v>
      </c>
      <c r="M78" s="163"/>
      <c r="N78" s="162">
        <v>1122</v>
      </c>
      <c r="O78" s="164"/>
      <c r="P78" s="163"/>
      <c r="Q78" s="164"/>
      <c r="R78" s="164"/>
      <c r="S78" s="163"/>
      <c r="T78" s="163"/>
      <c r="U78" s="164"/>
      <c r="V78" s="164"/>
      <c r="W78" s="163"/>
      <c r="X78" s="164"/>
      <c r="Y78" s="164"/>
      <c r="Z78" s="163"/>
      <c r="AA78" s="163"/>
      <c r="AB78" s="164"/>
      <c r="AC78" s="164"/>
      <c r="AD78" s="163"/>
      <c r="AE78" s="164"/>
      <c r="AF78" s="164"/>
      <c r="AG78" s="165"/>
      <c r="AH78" s="165"/>
    </row>
    <row r="79" spans="1:34" ht="15">
      <c r="A79" s="390"/>
      <c r="B79" s="159" t="s">
        <v>48</v>
      </c>
      <c r="C79" s="166">
        <v>-2072</v>
      </c>
      <c r="D79" s="166">
        <v>-345.33333333333331</v>
      </c>
      <c r="E79" s="163"/>
      <c r="F79" s="163"/>
      <c r="G79" s="164">
        <v>-360</v>
      </c>
      <c r="H79" s="164">
        <v>-784</v>
      </c>
      <c r="I79" s="163">
        <v>-616</v>
      </c>
      <c r="J79" s="164"/>
      <c r="K79" s="164">
        <v>-316</v>
      </c>
      <c r="L79" s="161">
        <v>2</v>
      </c>
      <c r="M79" s="163"/>
      <c r="N79" s="162">
        <v>2</v>
      </c>
      <c r="O79" s="164"/>
      <c r="P79" s="163"/>
      <c r="Q79" s="164"/>
      <c r="R79" s="164"/>
      <c r="S79" s="163"/>
      <c r="T79" s="163"/>
      <c r="U79" s="164"/>
      <c r="V79" s="164"/>
      <c r="W79" s="163"/>
      <c r="X79" s="164"/>
      <c r="Y79" s="164"/>
      <c r="Z79" s="163"/>
      <c r="AA79" s="163"/>
      <c r="AB79" s="164"/>
      <c r="AC79" s="164"/>
      <c r="AD79" s="163"/>
      <c r="AE79" s="164"/>
      <c r="AF79" s="164"/>
      <c r="AG79" s="165"/>
      <c r="AH79" s="165"/>
    </row>
    <row r="80" spans="1:34" ht="15">
      <c r="A80" s="390"/>
      <c r="B80" s="159" t="s">
        <v>49</v>
      </c>
      <c r="C80" s="160">
        <v>48</v>
      </c>
      <c r="D80" s="160">
        <v>8</v>
      </c>
      <c r="E80" s="163"/>
      <c r="F80" s="163"/>
      <c r="G80" s="162">
        <v>8</v>
      </c>
      <c r="H80" s="162">
        <v>8</v>
      </c>
      <c r="I80" s="161">
        <v>8</v>
      </c>
      <c r="J80" s="164"/>
      <c r="K80" s="162">
        <v>8</v>
      </c>
      <c r="L80" s="161">
        <v>8</v>
      </c>
      <c r="M80" s="163"/>
      <c r="N80" s="162">
        <v>8</v>
      </c>
      <c r="O80" s="164"/>
      <c r="P80" s="163"/>
      <c r="Q80" s="164"/>
      <c r="R80" s="164"/>
      <c r="S80" s="163"/>
      <c r="T80" s="163"/>
      <c r="U80" s="164"/>
      <c r="V80" s="164"/>
      <c r="W80" s="163"/>
      <c r="X80" s="164"/>
      <c r="Y80" s="164"/>
      <c r="Z80" s="163"/>
      <c r="AA80" s="163"/>
      <c r="AB80" s="164"/>
      <c r="AC80" s="164"/>
      <c r="AD80" s="163"/>
      <c r="AE80" s="164"/>
      <c r="AF80" s="164"/>
      <c r="AG80" s="165"/>
      <c r="AH80" s="165"/>
    </row>
    <row r="81" spans="1:34" ht="15">
      <c r="A81" s="390"/>
      <c r="B81" s="159" t="s">
        <v>50</v>
      </c>
      <c r="C81" s="160">
        <v>110</v>
      </c>
      <c r="D81" s="160">
        <v>110</v>
      </c>
      <c r="E81" s="163"/>
      <c r="F81" s="163"/>
      <c r="G81" s="162">
        <v>112</v>
      </c>
      <c r="H81" s="162">
        <v>111</v>
      </c>
      <c r="I81" s="161">
        <v>106</v>
      </c>
      <c r="J81" s="164"/>
      <c r="K81" s="162">
        <v>110</v>
      </c>
      <c r="L81" s="161">
        <v>111</v>
      </c>
      <c r="M81" s="163"/>
      <c r="N81" s="162">
        <v>110</v>
      </c>
      <c r="O81" s="164"/>
      <c r="P81" s="163"/>
      <c r="Q81" s="164"/>
      <c r="R81" s="164"/>
      <c r="S81" s="163"/>
      <c r="T81" s="163"/>
      <c r="U81" s="164"/>
      <c r="V81" s="164"/>
      <c r="W81" s="163"/>
      <c r="X81" s="164"/>
      <c r="Y81" s="164"/>
      <c r="Z81" s="163"/>
      <c r="AA81" s="163"/>
      <c r="AB81" s="164"/>
      <c r="AC81" s="164"/>
      <c r="AD81" s="163"/>
      <c r="AE81" s="164"/>
      <c r="AF81" s="164"/>
      <c r="AG81" s="165"/>
      <c r="AH81" s="165"/>
    </row>
    <row r="82" spans="1:34" ht="15">
      <c r="A82" s="390"/>
      <c r="B82" s="159" t="s">
        <v>51</v>
      </c>
      <c r="C82" s="160">
        <v>91</v>
      </c>
      <c r="D82" s="160">
        <v>91</v>
      </c>
      <c r="E82" s="163"/>
      <c r="F82" s="163"/>
      <c r="G82" s="162">
        <v>60</v>
      </c>
      <c r="H82" s="162">
        <v>42</v>
      </c>
      <c r="I82" s="161">
        <v>63</v>
      </c>
      <c r="J82" s="164"/>
      <c r="K82" s="162">
        <v>100.5</v>
      </c>
      <c r="L82" s="161">
        <v>140.25</v>
      </c>
      <c r="M82" s="163"/>
      <c r="N82" s="162">
        <v>140.25</v>
      </c>
      <c r="O82" s="164"/>
      <c r="P82" s="163"/>
      <c r="Q82" s="164"/>
      <c r="R82" s="164"/>
      <c r="S82" s="163"/>
      <c r="T82" s="163"/>
      <c r="U82" s="164"/>
      <c r="V82" s="164"/>
      <c r="W82" s="163"/>
      <c r="X82" s="164"/>
      <c r="Y82" s="164"/>
      <c r="Z82" s="163"/>
      <c r="AA82" s="163"/>
      <c r="AB82" s="164"/>
      <c r="AC82" s="164"/>
      <c r="AD82" s="163"/>
      <c r="AE82" s="164"/>
      <c r="AF82" s="164"/>
      <c r="AG82" s="165"/>
      <c r="AH82" s="165"/>
    </row>
    <row r="83" spans="1:34" ht="15">
      <c r="A83" s="391"/>
      <c r="B83" s="167" t="s">
        <v>52</v>
      </c>
      <c r="C83" s="168">
        <v>0.82730000000000004</v>
      </c>
      <c r="D83" s="168">
        <v>0.82730000000000004</v>
      </c>
      <c r="E83" s="170"/>
      <c r="F83" s="170"/>
      <c r="G83" s="168">
        <v>0.53569999999999995</v>
      </c>
      <c r="H83" s="168">
        <v>0.37840000000000001</v>
      </c>
      <c r="I83" s="169">
        <v>0.59430000000000005</v>
      </c>
      <c r="J83" s="171"/>
      <c r="K83" s="168">
        <v>0.91359999999999997</v>
      </c>
      <c r="L83" s="169">
        <v>1.2635000000000001</v>
      </c>
      <c r="M83" s="170"/>
      <c r="N83" s="168">
        <v>1.2749999999999999</v>
      </c>
      <c r="O83" s="171"/>
      <c r="P83" s="170"/>
      <c r="Q83" s="171"/>
      <c r="R83" s="171"/>
      <c r="S83" s="170"/>
      <c r="T83" s="170"/>
      <c r="U83" s="171"/>
      <c r="V83" s="171"/>
      <c r="W83" s="170"/>
      <c r="X83" s="171"/>
      <c r="Y83" s="171"/>
      <c r="Z83" s="170"/>
      <c r="AA83" s="170"/>
      <c r="AB83" s="171"/>
      <c r="AC83" s="171"/>
      <c r="AD83" s="170"/>
      <c r="AE83" s="171"/>
      <c r="AF83" s="171"/>
      <c r="AG83" s="172"/>
      <c r="AH83" s="172"/>
    </row>
    <row r="84" spans="1:34" ht="15">
      <c r="A84" s="389" t="s">
        <v>165</v>
      </c>
      <c r="B84" s="152" t="s">
        <v>45</v>
      </c>
      <c r="C84" s="153">
        <v>9464</v>
      </c>
      <c r="D84" s="153">
        <v>1577.3333333333333</v>
      </c>
      <c r="E84" s="156"/>
      <c r="F84" s="156"/>
      <c r="G84" s="155">
        <v>1680</v>
      </c>
      <c r="H84" s="155">
        <v>1600</v>
      </c>
      <c r="I84" s="154">
        <v>1624</v>
      </c>
      <c r="J84" s="157"/>
      <c r="K84" s="155">
        <v>1520</v>
      </c>
      <c r="L84" s="154">
        <v>1520</v>
      </c>
      <c r="M84" s="156"/>
      <c r="N84" s="155">
        <v>1520</v>
      </c>
      <c r="O84" s="157"/>
      <c r="P84" s="156"/>
      <c r="Q84" s="157"/>
      <c r="R84" s="157"/>
      <c r="S84" s="156"/>
      <c r="T84" s="156"/>
      <c r="U84" s="157"/>
      <c r="V84" s="157"/>
      <c r="W84" s="156"/>
      <c r="X84" s="157"/>
      <c r="Y84" s="157"/>
      <c r="Z84" s="156"/>
      <c r="AA84" s="156"/>
      <c r="AB84" s="157"/>
      <c r="AC84" s="157"/>
      <c r="AD84" s="156"/>
      <c r="AE84" s="157"/>
      <c r="AF84" s="157"/>
      <c r="AG84" s="158"/>
      <c r="AH84" s="158"/>
    </row>
    <row r="85" spans="1:34" ht="15">
      <c r="A85" s="390"/>
      <c r="B85" s="152" t="s">
        <v>46</v>
      </c>
      <c r="C85" s="153">
        <v>8640</v>
      </c>
      <c r="D85" s="153">
        <v>1440</v>
      </c>
      <c r="E85" s="156"/>
      <c r="F85" s="156"/>
      <c r="G85" s="155">
        <v>1440</v>
      </c>
      <c r="H85" s="155">
        <v>1440</v>
      </c>
      <c r="I85" s="154">
        <v>1440</v>
      </c>
      <c r="J85" s="157"/>
      <c r="K85" s="155">
        <v>1440</v>
      </c>
      <c r="L85" s="154">
        <v>1440</v>
      </c>
      <c r="M85" s="156"/>
      <c r="N85" s="155">
        <v>1440</v>
      </c>
      <c r="O85" s="155">
        <v>1440</v>
      </c>
      <c r="P85" s="154">
        <v>1440</v>
      </c>
      <c r="Q85" s="155">
        <v>1440</v>
      </c>
      <c r="R85" s="155">
        <v>1440</v>
      </c>
      <c r="S85" s="154">
        <v>1440</v>
      </c>
      <c r="T85" s="156"/>
      <c r="U85" s="155">
        <v>1440</v>
      </c>
      <c r="V85" s="155">
        <v>1440</v>
      </c>
      <c r="W85" s="154">
        <v>1440</v>
      </c>
      <c r="X85" s="155">
        <v>1440</v>
      </c>
      <c r="Y85" s="155">
        <v>1440</v>
      </c>
      <c r="Z85" s="156"/>
      <c r="AA85" s="156"/>
      <c r="AB85" s="155">
        <v>1260</v>
      </c>
      <c r="AC85" s="155">
        <v>1680</v>
      </c>
      <c r="AD85" s="154">
        <v>1680</v>
      </c>
      <c r="AE85" s="155">
        <v>1680</v>
      </c>
      <c r="AF85" s="155">
        <v>1680</v>
      </c>
      <c r="AG85" s="158"/>
      <c r="AH85" s="158"/>
    </row>
    <row r="86" spans="1:34" ht="15">
      <c r="A86" s="390"/>
      <c r="B86" s="159" t="s">
        <v>47</v>
      </c>
      <c r="C86" s="160">
        <v>6566</v>
      </c>
      <c r="D86" s="160">
        <v>1094.3333333333333</v>
      </c>
      <c r="E86" s="163"/>
      <c r="F86" s="163"/>
      <c r="G86" s="162">
        <v>1104</v>
      </c>
      <c r="H86" s="162">
        <v>864</v>
      </c>
      <c r="I86" s="161">
        <v>1040</v>
      </c>
      <c r="J86" s="164"/>
      <c r="K86" s="162">
        <v>876</v>
      </c>
      <c r="L86" s="161">
        <v>1320</v>
      </c>
      <c r="M86" s="163"/>
      <c r="N86" s="162">
        <v>1362</v>
      </c>
      <c r="O86" s="164"/>
      <c r="P86" s="163"/>
      <c r="Q86" s="164"/>
      <c r="R86" s="164"/>
      <c r="S86" s="163"/>
      <c r="T86" s="163"/>
      <c r="U86" s="164"/>
      <c r="V86" s="164"/>
      <c r="W86" s="163"/>
      <c r="X86" s="164"/>
      <c r="Y86" s="164"/>
      <c r="Z86" s="163"/>
      <c r="AA86" s="163"/>
      <c r="AB86" s="164"/>
      <c r="AC86" s="164"/>
      <c r="AD86" s="163"/>
      <c r="AE86" s="164"/>
      <c r="AF86" s="164"/>
      <c r="AG86" s="165"/>
      <c r="AH86" s="165"/>
    </row>
    <row r="87" spans="1:34" ht="15">
      <c r="A87" s="390"/>
      <c r="B87" s="159" t="s">
        <v>48</v>
      </c>
      <c r="C87" s="166">
        <v>-2074</v>
      </c>
      <c r="D87" s="166">
        <v>-345.66666666666669</v>
      </c>
      <c r="E87" s="163"/>
      <c r="F87" s="163"/>
      <c r="G87" s="164">
        <v>-336</v>
      </c>
      <c r="H87" s="164">
        <v>-576</v>
      </c>
      <c r="I87" s="163">
        <v>-400</v>
      </c>
      <c r="J87" s="164"/>
      <c r="K87" s="164">
        <v>-564</v>
      </c>
      <c r="L87" s="163">
        <v>-120</v>
      </c>
      <c r="M87" s="163"/>
      <c r="N87" s="164">
        <v>-78</v>
      </c>
      <c r="O87" s="164"/>
      <c r="P87" s="163"/>
      <c r="Q87" s="164"/>
      <c r="R87" s="164"/>
      <c r="S87" s="163"/>
      <c r="T87" s="163"/>
      <c r="U87" s="164"/>
      <c r="V87" s="164"/>
      <c r="W87" s="163"/>
      <c r="X87" s="164"/>
      <c r="Y87" s="164"/>
      <c r="Z87" s="163"/>
      <c r="AA87" s="163"/>
      <c r="AB87" s="164"/>
      <c r="AC87" s="164"/>
      <c r="AD87" s="163"/>
      <c r="AE87" s="164"/>
      <c r="AF87" s="164"/>
      <c r="AG87" s="165"/>
      <c r="AH87" s="165"/>
    </row>
    <row r="88" spans="1:34" ht="15">
      <c r="A88" s="390"/>
      <c r="B88" s="159" t="s">
        <v>49</v>
      </c>
      <c r="C88" s="160">
        <v>48</v>
      </c>
      <c r="D88" s="160">
        <v>8</v>
      </c>
      <c r="E88" s="163"/>
      <c r="F88" s="163"/>
      <c r="G88" s="162">
        <v>8</v>
      </c>
      <c r="H88" s="162">
        <v>8</v>
      </c>
      <c r="I88" s="161">
        <v>8</v>
      </c>
      <c r="J88" s="164"/>
      <c r="K88" s="162">
        <v>8</v>
      </c>
      <c r="L88" s="161">
        <v>8</v>
      </c>
      <c r="M88" s="163"/>
      <c r="N88" s="162">
        <v>8</v>
      </c>
      <c r="O88" s="164"/>
      <c r="P88" s="163"/>
      <c r="Q88" s="164"/>
      <c r="R88" s="164"/>
      <c r="S88" s="163"/>
      <c r="T88" s="163"/>
      <c r="U88" s="164"/>
      <c r="V88" s="164"/>
      <c r="W88" s="163"/>
      <c r="X88" s="164"/>
      <c r="Y88" s="164"/>
      <c r="Z88" s="163"/>
      <c r="AA88" s="163"/>
      <c r="AB88" s="164"/>
      <c r="AC88" s="164"/>
      <c r="AD88" s="163"/>
      <c r="AE88" s="164"/>
      <c r="AF88" s="164"/>
      <c r="AG88" s="165"/>
      <c r="AH88" s="165"/>
    </row>
    <row r="89" spans="1:34" ht="15">
      <c r="A89" s="390"/>
      <c r="B89" s="159" t="s">
        <v>50</v>
      </c>
      <c r="C89" s="160">
        <v>81</v>
      </c>
      <c r="D89" s="160">
        <v>81</v>
      </c>
      <c r="E89" s="163"/>
      <c r="F89" s="163"/>
      <c r="G89" s="162">
        <v>83</v>
      </c>
      <c r="H89" s="162">
        <v>83</v>
      </c>
      <c r="I89" s="161">
        <v>82</v>
      </c>
      <c r="J89" s="164"/>
      <c r="K89" s="162">
        <v>82</v>
      </c>
      <c r="L89" s="161">
        <v>81</v>
      </c>
      <c r="M89" s="163"/>
      <c r="N89" s="162">
        <v>79</v>
      </c>
      <c r="O89" s="164"/>
      <c r="P89" s="163"/>
      <c r="Q89" s="164"/>
      <c r="R89" s="164"/>
      <c r="S89" s="163"/>
      <c r="T89" s="163"/>
      <c r="U89" s="164"/>
      <c r="V89" s="164"/>
      <c r="W89" s="163"/>
      <c r="X89" s="164"/>
      <c r="Y89" s="164"/>
      <c r="Z89" s="163"/>
      <c r="AA89" s="163"/>
      <c r="AB89" s="164"/>
      <c r="AC89" s="164"/>
      <c r="AD89" s="163"/>
      <c r="AE89" s="164"/>
      <c r="AF89" s="164"/>
      <c r="AG89" s="165"/>
      <c r="AH89" s="165"/>
    </row>
    <row r="90" spans="1:34" ht="15">
      <c r="A90" s="390"/>
      <c r="B90" s="159" t="s">
        <v>51</v>
      </c>
      <c r="C90" s="160">
        <v>136.79166666666666</v>
      </c>
      <c r="D90" s="160">
        <v>136.79166666666666</v>
      </c>
      <c r="E90" s="163"/>
      <c r="F90" s="163"/>
      <c r="G90" s="162">
        <v>138</v>
      </c>
      <c r="H90" s="162">
        <v>108</v>
      </c>
      <c r="I90" s="161">
        <v>130</v>
      </c>
      <c r="J90" s="164"/>
      <c r="K90" s="162">
        <v>109.5</v>
      </c>
      <c r="L90" s="161">
        <v>165</v>
      </c>
      <c r="M90" s="163"/>
      <c r="N90" s="162">
        <v>170.25</v>
      </c>
      <c r="O90" s="164"/>
      <c r="P90" s="163"/>
      <c r="Q90" s="164"/>
      <c r="R90" s="164"/>
      <c r="S90" s="163"/>
      <c r="T90" s="163"/>
      <c r="U90" s="164"/>
      <c r="V90" s="164"/>
      <c r="W90" s="163"/>
      <c r="X90" s="164"/>
      <c r="Y90" s="164"/>
      <c r="Z90" s="163"/>
      <c r="AA90" s="163"/>
      <c r="AB90" s="164"/>
      <c r="AC90" s="164"/>
      <c r="AD90" s="163"/>
      <c r="AE90" s="164"/>
      <c r="AF90" s="164"/>
      <c r="AG90" s="165"/>
      <c r="AH90" s="165"/>
    </row>
    <row r="91" spans="1:34" ht="15">
      <c r="A91" s="391"/>
      <c r="B91" s="167" t="s">
        <v>52</v>
      </c>
      <c r="C91" s="168">
        <v>1.6888000000000001</v>
      </c>
      <c r="D91" s="168">
        <v>1.6888000000000001</v>
      </c>
      <c r="E91" s="170"/>
      <c r="F91" s="170"/>
      <c r="G91" s="168">
        <v>1.6627000000000001</v>
      </c>
      <c r="H91" s="168">
        <v>1.3012000000000001</v>
      </c>
      <c r="I91" s="169">
        <v>1.5853999999999999</v>
      </c>
      <c r="J91" s="171"/>
      <c r="K91" s="168">
        <v>1.3353999999999999</v>
      </c>
      <c r="L91" s="169">
        <v>2.0369999999999999</v>
      </c>
      <c r="M91" s="170"/>
      <c r="N91" s="168">
        <v>2.1551</v>
      </c>
      <c r="O91" s="171"/>
      <c r="P91" s="170"/>
      <c r="Q91" s="171"/>
      <c r="R91" s="171"/>
      <c r="S91" s="170"/>
      <c r="T91" s="170"/>
      <c r="U91" s="171"/>
      <c r="V91" s="171"/>
      <c r="W91" s="170"/>
      <c r="X91" s="171"/>
      <c r="Y91" s="171"/>
      <c r="Z91" s="170"/>
      <c r="AA91" s="170"/>
      <c r="AB91" s="171"/>
      <c r="AC91" s="171"/>
      <c r="AD91" s="170"/>
      <c r="AE91" s="171"/>
      <c r="AF91" s="171"/>
      <c r="AG91" s="172"/>
      <c r="AH91" s="172"/>
    </row>
    <row r="92" spans="1:34" ht="15">
      <c r="A92" s="389" t="s">
        <v>166</v>
      </c>
      <c r="B92" s="152" t="s">
        <v>45</v>
      </c>
      <c r="C92" s="153">
        <v>8880</v>
      </c>
      <c r="D92" s="153">
        <v>1480</v>
      </c>
      <c r="E92" s="156"/>
      <c r="F92" s="156"/>
      <c r="G92" s="155">
        <v>1240</v>
      </c>
      <c r="H92" s="155">
        <v>1520</v>
      </c>
      <c r="I92" s="154">
        <v>1560</v>
      </c>
      <c r="J92" s="157"/>
      <c r="K92" s="155">
        <v>1520</v>
      </c>
      <c r="L92" s="154">
        <v>1520</v>
      </c>
      <c r="M92" s="156"/>
      <c r="N92" s="155">
        <v>1520</v>
      </c>
      <c r="O92" s="157"/>
      <c r="P92" s="156"/>
      <c r="Q92" s="157"/>
      <c r="R92" s="157"/>
      <c r="S92" s="156"/>
      <c r="T92" s="156"/>
      <c r="U92" s="157"/>
      <c r="V92" s="157"/>
      <c r="W92" s="156"/>
      <c r="X92" s="157"/>
      <c r="Y92" s="157"/>
      <c r="Z92" s="156"/>
      <c r="AA92" s="156"/>
      <c r="AB92" s="157"/>
      <c r="AC92" s="157"/>
      <c r="AD92" s="156"/>
      <c r="AE92" s="157"/>
      <c r="AF92" s="157"/>
      <c r="AG92" s="158"/>
      <c r="AH92" s="158"/>
    </row>
    <row r="93" spans="1:34" ht="15">
      <c r="A93" s="390"/>
      <c r="B93" s="152" t="s">
        <v>46</v>
      </c>
      <c r="C93" s="153">
        <v>8140</v>
      </c>
      <c r="D93" s="153">
        <v>1356.6666666666667</v>
      </c>
      <c r="E93" s="156"/>
      <c r="F93" s="156"/>
      <c r="G93" s="155">
        <v>1440</v>
      </c>
      <c r="H93" s="155">
        <v>1440</v>
      </c>
      <c r="I93" s="154">
        <v>1020</v>
      </c>
      <c r="J93" s="157"/>
      <c r="K93" s="155">
        <v>1360</v>
      </c>
      <c r="L93" s="154">
        <v>1520</v>
      </c>
      <c r="M93" s="156"/>
      <c r="N93" s="155">
        <v>1360</v>
      </c>
      <c r="O93" s="155">
        <v>1360</v>
      </c>
      <c r="P93" s="154">
        <v>1360</v>
      </c>
      <c r="Q93" s="155">
        <v>1360</v>
      </c>
      <c r="R93" s="155">
        <v>1360</v>
      </c>
      <c r="S93" s="154">
        <v>1360</v>
      </c>
      <c r="T93" s="156"/>
      <c r="U93" s="155">
        <v>1360</v>
      </c>
      <c r="V93" s="155">
        <v>1360</v>
      </c>
      <c r="W93" s="154">
        <v>1360</v>
      </c>
      <c r="X93" s="155">
        <v>1360</v>
      </c>
      <c r="Y93" s="155">
        <v>1520</v>
      </c>
      <c r="Z93" s="156"/>
      <c r="AA93" s="156"/>
      <c r="AB93" s="155">
        <v>1520</v>
      </c>
      <c r="AC93" s="155">
        <v>1260</v>
      </c>
      <c r="AD93" s="154">
        <v>1680</v>
      </c>
      <c r="AE93" s="155">
        <v>1680</v>
      </c>
      <c r="AF93" s="155">
        <v>1680</v>
      </c>
      <c r="AG93" s="158"/>
      <c r="AH93" s="158"/>
    </row>
    <row r="94" spans="1:34" ht="15">
      <c r="A94" s="390"/>
      <c r="B94" s="159" t="s">
        <v>47</v>
      </c>
      <c r="C94" s="160">
        <v>8148</v>
      </c>
      <c r="D94" s="160">
        <v>1358</v>
      </c>
      <c r="E94" s="163"/>
      <c r="F94" s="163"/>
      <c r="G94" s="162">
        <v>1440</v>
      </c>
      <c r="H94" s="162">
        <v>1440</v>
      </c>
      <c r="I94" s="161">
        <v>1020</v>
      </c>
      <c r="J94" s="164"/>
      <c r="K94" s="162">
        <v>1362</v>
      </c>
      <c r="L94" s="161">
        <v>1524</v>
      </c>
      <c r="M94" s="163"/>
      <c r="N94" s="162">
        <v>1362</v>
      </c>
      <c r="O94" s="164"/>
      <c r="P94" s="163"/>
      <c r="Q94" s="164"/>
      <c r="R94" s="164"/>
      <c r="S94" s="163"/>
      <c r="T94" s="163"/>
      <c r="U94" s="164"/>
      <c r="V94" s="164"/>
      <c r="W94" s="163"/>
      <c r="X94" s="164"/>
      <c r="Y94" s="164"/>
      <c r="Z94" s="163"/>
      <c r="AA94" s="163"/>
      <c r="AB94" s="164"/>
      <c r="AC94" s="164"/>
      <c r="AD94" s="163"/>
      <c r="AE94" s="164"/>
      <c r="AF94" s="164"/>
      <c r="AG94" s="165"/>
      <c r="AH94" s="165"/>
    </row>
    <row r="95" spans="1:34" ht="15">
      <c r="A95" s="390"/>
      <c r="B95" s="159" t="s">
        <v>48</v>
      </c>
      <c r="C95" s="160">
        <v>8</v>
      </c>
      <c r="D95" s="160">
        <v>1.3333333333333333</v>
      </c>
      <c r="E95" s="163"/>
      <c r="F95" s="163"/>
      <c r="G95" s="162">
        <v>0</v>
      </c>
      <c r="H95" s="162">
        <v>0</v>
      </c>
      <c r="I95" s="161">
        <v>0</v>
      </c>
      <c r="J95" s="164"/>
      <c r="K95" s="162">
        <v>2</v>
      </c>
      <c r="L95" s="161">
        <v>4</v>
      </c>
      <c r="M95" s="163"/>
      <c r="N95" s="162">
        <v>2</v>
      </c>
      <c r="O95" s="164"/>
      <c r="P95" s="163"/>
      <c r="Q95" s="164"/>
      <c r="R95" s="164"/>
      <c r="S95" s="163"/>
      <c r="T95" s="163"/>
      <c r="U95" s="164"/>
      <c r="V95" s="164"/>
      <c r="W95" s="163"/>
      <c r="X95" s="164"/>
      <c r="Y95" s="164"/>
      <c r="Z95" s="163"/>
      <c r="AA95" s="163"/>
      <c r="AB95" s="164"/>
      <c r="AC95" s="164"/>
      <c r="AD95" s="163"/>
      <c r="AE95" s="164"/>
      <c r="AF95" s="164"/>
      <c r="AG95" s="165"/>
      <c r="AH95" s="165"/>
    </row>
    <row r="96" spans="1:34" ht="15">
      <c r="A96" s="390"/>
      <c r="B96" s="159" t="s">
        <v>49</v>
      </c>
      <c r="C96" s="160">
        <v>48</v>
      </c>
      <c r="D96" s="160">
        <v>8</v>
      </c>
      <c r="E96" s="163"/>
      <c r="F96" s="163"/>
      <c r="G96" s="162">
        <v>8</v>
      </c>
      <c r="H96" s="162">
        <v>8</v>
      </c>
      <c r="I96" s="161">
        <v>8</v>
      </c>
      <c r="J96" s="164"/>
      <c r="K96" s="162">
        <v>8</v>
      </c>
      <c r="L96" s="161">
        <v>8</v>
      </c>
      <c r="M96" s="163"/>
      <c r="N96" s="162">
        <v>8</v>
      </c>
      <c r="O96" s="164"/>
      <c r="P96" s="163"/>
      <c r="Q96" s="164"/>
      <c r="R96" s="164"/>
      <c r="S96" s="163"/>
      <c r="T96" s="163"/>
      <c r="U96" s="164"/>
      <c r="V96" s="164"/>
      <c r="W96" s="163"/>
      <c r="X96" s="164"/>
      <c r="Y96" s="164"/>
      <c r="Z96" s="163"/>
      <c r="AA96" s="163"/>
      <c r="AB96" s="164"/>
      <c r="AC96" s="164"/>
      <c r="AD96" s="163"/>
      <c r="AE96" s="164"/>
      <c r="AF96" s="164"/>
      <c r="AG96" s="165"/>
      <c r="AH96" s="165"/>
    </row>
    <row r="97" spans="1:34" ht="15">
      <c r="A97" s="390"/>
      <c r="B97" s="159" t="s">
        <v>50</v>
      </c>
      <c r="C97" s="160">
        <v>105</v>
      </c>
      <c r="D97" s="160">
        <v>105</v>
      </c>
      <c r="E97" s="163"/>
      <c r="F97" s="163"/>
      <c r="G97" s="162">
        <v>104</v>
      </c>
      <c r="H97" s="162">
        <v>107</v>
      </c>
      <c r="I97" s="161">
        <v>103</v>
      </c>
      <c r="J97" s="164"/>
      <c r="K97" s="162">
        <v>105</v>
      </c>
      <c r="L97" s="161">
        <v>106</v>
      </c>
      <c r="M97" s="163"/>
      <c r="N97" s="162">
        <v>105</v>
      </c>
      <c r="O97" s="164"/>
      <c r="P97" s="163"/>
      <c r="Q97" s="164"/>
      <c r="R97" s="164"/>
      <c r="S97" s="163"/>
      <c r="T97" s="163"/>
      <c r="U97" s="164"/>
      <c r="V97" s="164"/>
      <c r="W97" s="163"/>
      <c r="X97" s="164"/>
      <c r="Y97" s="164"/>
      <c r="Z97" s="163"/>
      <c r="AA97" s="163"/>
      <c r="AB97" s="164"/>
      <c r="AC97" s="164"/>
      <c r="AD97" s="163"/>
      <c r="AE97" s="164"/>
      <c r="AF97" s="164"/>
      <c r="AG97" s="165"/>
      <c r="AH97" s="165"/>
    </row>
    <row r="98" spans="1:34" ht="15">
      <c r="A98" s="390"/>
      <c r="B98" s="159" t="s">
        <v>51</v>
      </c>
      <c r="C98" s="160">
        <v>169.75</v>
      </c>
      <c r="D98" s="160">
        <v>169.75</v>
      </c>
      <c r="E98" s="163"/>
      <c r="F98" s="163"/>
      <c r="G98" s="162">
        <v>180</v>
      </c>
      <c r="H98" s="162">
        <v>180</v>
      </c>
      <c r="I98" s="161">
        <v>127.5</v>
      </c>
      <c r="J98" s="164"/>
      <c r="K98" s="162">
        <v>170.25</v>
      </c>
      <c r="L98" s="161">
        <v>190.5</v>
      </c>
      <c r="M98" s="163"/>
      <c r="N98" s="162">
        <v>170.25</v>
      </c>
      <c r="O98" s="164"/>
      <c r="P98" s="163"/>
      <c r="Q98" s="164"/>
      <c r="R98" s="164"/>
      <c r="S98" s="163"/>
      <c r="T98" s="163"/>
      <c r="U98" s="164"/>
      <c r="V98" s="164"/>
      <c r="W98" s="163"/>
      <c r="X98" s="164"/>
      <c r="Y98" s="164"/>
      <c r="Z98" s="163"/>
      <c r="AA98" s="163"/>
      <c r="AB98" s="164"/>
      <c r="AC98" s="164"/>
      <c r="AD98" s="163"/>
      <c r="AE98" s="164"/>
      <c r="AF98" s="164"/>
      <c r="AG98" s="165"/>
      <c r="AH98" s="165"/>
    </row>
    <row r="99" spans="1:34" ht="15">
      <c r="A99" s="391"/>
      <c r="B99" s="167" t="s">
        <v>52</v>
      </c>
      <c r="C99" s="168">
        <v>1.6167</v>
      </c>
      <c r="D99" s="168">
        <v>1.6167</v>
      </c>
      <c r="E99" s="170"/>
      <c r="F99" s="170"/>
      <c r="G99" s="168">
        <v>1.7307999999999999</v>
      </c>
      <c r="H99" s="168">
        <v>1.6821999999999999</v>
      </c>
      <c r="I99" s="169">
        <v>1.2379</v>
      </c>
      <c r="J99" s="171"/>
      <c r="K99" s="168">
        <v>1.6214</v>
      </c>
      <c r="L99" s="169">
        <v>1.7972000000000001</v>
      </c>
      <c r="M99" s="170"/>
      <c r="N99" s="168">
        <v>1.6214</v>
      </c>
      <c r="O99" s="171"/>
      <c r="P99" s="170"/>
      <c r="Q99" s="171"/>
      <c r="R99" s="171"/>
      <c r="S99" s="170"/>
      <c r="T99" s="170"/>
      <c r="U99" s="171"/>
      <c r="V99" s="171"/>
      <c r="W99" s="170"/>
      <c r="X99" s="171"/>
      <c r="Y99" s="171"/>
      <c r="Z99" s="170"/>
      <c r="AA99" s="170"/>
      <c r="AB99" s="171"/>
      <c r="AC99" s="171"/>
      <c r="AD99" s="170"/>
      <c r="AE99" s="171"/>
      <c r="AF99" s="171"/>
      <c r="AG99" s="172"/>
      <c r="AH99" s="172"/>
    </row>
    <row r="100" spans="1:34" ht="15">
      <c r="A100" s="389" t="s">
        <v>167</v>
      </c>
      <c r="B100" s="152" t="s">
        <v>45</v>
      </c>
      <c r="C100" s="153">
        <v>8672</v>
      </c>
      <c r="D100" s="153">
        <v>1445.3333333333333</v>
      </c>
      <c r="E100" s="156"/>
      <c r="F100" s="156"/>
      <c r="G100" s="155">
        <v>1760</v>
      </c>
      <c r="H100" s="155">
        <v>1560</v>
      </c>
      <c r="I100" s="154">
        <v>1320</v>
      </c>
      <c r="J100" s="157"/>
      <c r="K100" s="155">
        <v>1392</v>
      </c>
      <c r="L100" s="154">
        <v>1320</v>
      </c>
      <c r="M100" s="156"/>
      <c r="N100" s="155">
        <v>1320</v>
      </c>
      <c r="O100" s="157"/>
      <c r="P100" s="156"/>
      <c r="Q100" s="157"/>
      <c r="R100" s="157"/>
      <c r="S100" s="156"/>
      <c r="T100" s="156"/>
      <c r="U100" s="157"/>
      <c r="V100" s="157"/>
      <c r="W100" s="156"/>
      <c r="X100" s="157"/>
      <c r="Y100" s="157"/>
      <c r="Z100" s="156"/>
      <c r="AA100" s="156"/>
      <c r="AB100" s="157"/>
      <c r="AC100" s="157"/>
      <c r="AD100" s="156"/>
      <c r="AE100" s="157"/>
      <c r="AF100" s="157"/>
      <c r="AG100" s="158"/>
      <c r="AH100" s="158"/>
    </row>
    <row r="101" spans="1:34" ht="15">
      <c r="A101" s="390"/>
      <c r="B101" s="152" t="s">
        <v>46</v>
      </c>
      <c r="C101" s="153">
        <v>7920</v>
      </c>
      <c r="D101" s="153">
        <v>1320</v>
      </c>
      <c r="E101" s="156"/>
      <c r="F101" s="156"/>
      <c r="G101" s="155">
        <v>1320</v>
      </c>
      <c r="H101" s="155">
        <v>1320</v>
      </c>
      <c r="I101" s="154">
        <v>1320</v>
      </c>
      <c r="J101" s="157"/>
      <c r="K101" s="155">
        <v>1320</v>
      </c>
      <c r="L101" s="154">
        <v>1320</v>
      </c>
      <c r="M101" s="156"/>
      <c r="N101" s="155">
        <v>1320</v>
      </c>
      <c r="O101" s="155">
        <v>1320</v>
      </c>
      <c r="P101" s="154">
        <v>1320</v>
      </c>
      <c r="Q101" s="155">
        <v>1320</v>
      </c>
      <c r="R101" s="155">
        <v>1320</v>
      </c>
      <c r="S101" s="154">
        <v>1320</v>
      </c>
      <c r="T101" s="156"/>
      <c r="U101" s="155">
        <v>1320</v>
      </c>
      <c r="V101" s="155">
        <v>1320</v>
      </c>
      <c r="W101" s="154">
        <v>1320</v>
      </c>
      <c r="X101" s="155">
        <v>1320</v>
      </c>
      <c r="Y101" s="155">
        <v>1320</v>
      </c>
      <c r="Z101" s="156"/>
      <c r="AA101" s="156"/>
      <c r="AB101" s="155">
        <v>1320</v>
      </c>
      <c r="AC101" s="155">
        <v>1320</v>
      </c>
      <c r="AD101" s="154">
        <v>1320</v>
      </c>
      <c r="AE101" s="155">
        <v>1320</v>
      </c>
      <c r="AF101" s="155">
        <v>1320</v>
      </c>
      <c r="AG101" s="158"/>
      <c r="AH101" s="158"/>
    </row>
    <row r="102" spans="1:34" ht="15">
      <c r="A102" s="390"/>
      <c r="B102" s="159" t="s">
        <v>47</v>
      </c>
      <c r="C102" s="160">
        <v>8100</v>
      </c>
      <c r="D102" s="160">
        <v>1350</v>
      </c>
      <c r="E102" s="163"/>
      <c r="F102" s="163"/>
      <c r="G102" s="162">
        <v>1308</v>
      </c>
      <c r="H102" s="162">
        <v>1350</v>
      </c>
      <c r="I102" s="161">
        <v>1332</v>
      </c>
      <c r="J102" s="164"/>
      <c r="K102" s="162">
        <v>1551</v>
      </c>
      <c r="L102" s="161">
        <v>1323</v>
      </c>
      <c r="M102" s="163"/>
      <c r="N102" s="162">
        <v>1236</v>
      </c>
      <c r="O102" s="164"/>
      <c r="P102" s="163"/>
      <c r="Q102" s="164"/>
      <c r="R102" s="164"/>
      <c r="S102" s="163"/>
      <c r="T102" s="163"/>
      <c r="U102" s="164"/>
      <c r="V102" s="164"/>
      <c r="W102" s="163"/>
      <c r="X102" s="164"/>
      <c r="Y102" s="164"/>
      <c r="Z102" s="163"/>
      <c r="AA102" s="163"/>
      <c r="AB102" s="164"/>
      <c r="AC102" s="164"/>
      <c r="AD102" s="163"/>
      <c r="AE102" s="164"/>
      <c r="AF102" s="164"/>
      <c r="AG102" s="165"/>
      <c r="AH102" s="165"/>
    </row>
    <row r="103" spans="1:34" ht="15">
      <c r="A103" s="390"/>
      <c r="B103" s="159" t="s">
        <v>48</v>
      </c>
      <c r="C103" s="160">
        <v>180</v>
      </c>
      <c r="D103" s="160">
        <v>30</v>
      </c>
      <c r="E103" s="163"/>
      <c r="F103" s="163"/>
      <c r="G103" s="164">
        <v>-12</v>
      </c>
      <c r="H103" s="162">
        <v>30</v>
      </c>
      <c r="I103" s="161">
        <v>12</v>
      </c>
      <c r="J103" s="164"/>
      <c r="K103" s="162">
        <v>231</v>
      </c>
      <c r="L103" s="161">
        <v>3</v>
      </c>
      <c r="M103" s="163"/>
      <c r="N103" s="164">
        <v>-84</v>
      </c>
      <c r="O103" s="164"/>
      <c r="P103" s="163"/>
      <c r="Q103" s="164"/>
      <c r="R103" s="164"/>
      <c r="S103" s="163"/>
      <c r="T103" s="163"/>
      <c r="U103" s="164"/>
      <c r="V103" s="164"/>
      <c r="W103" s="163"/>
      <c r="X103" s="164"/>
      <c r="Y103" s="164"/>
      <c r="Z103" s="163"/>
      <c r="AA103" s="163"/>
      <c r="AB103" s="164"/>
      <c r="AC103" s="164"/>
      <c r="AD103" s="163"/>
      <c r="AE103" s="164"/>
      <c r="AF103" s="164"/>
      <c r="AG103" s="165"/>
      <c r="AH103" s="165"/>
    </row>
    <row r="104" spans="1:34" ht="15">
      <c r="A104" s="390"/>
      <c r="B104" s="159" t="s">
        <v>49</v>
      </c>
      <c r="C104" s="160">
        <v>48</v>
      </c>
      <c r="D104" s="160">
        <v>8</v>
      </c>
      <c r="E104" s="163"/>
      <c r="F104" s="163"/>
      <c r="G104" s="162">
        <v>8</v>
      </c>
      <c r="H104" s="162">
        <v>8</v>
      </c>
      <c r="I104" s="161">
        <v>8</v>
      </c>
      <c r="J104" s="164"/>
      <c r="K104" s="162">
        <v>8</v>
      </c>
      <c r="L104" s="161">
        <v>8</v>
      </c>
      <c r="M104" s="163"/>
      <c r="N104" s="162">
        <v>8</v>
      </c>
      <c r="O104" s="164"/>
      <c r="P104" s="163"/>
      <c r="Q104" s="164"/>
      <c r="R104" s="164"/>
      <c r="S104" s="163"/>
      <c r="T104" s="163"/>
      <c r="U104" s="164"/>
      <c r="V104" s="164"/>
      <c r="W104" s="163"/>
      <c r="X104" s="164"/>
      <c r="Y104" s="164"/>
      <c r="Z104" s="163"/>
      <c r="AA104" s="163"/>
      <c r="AB104" s="164"/>
      <c r="AC104" s="164"/>
      <c r="AD104" s="163"/>
      <c r="AE104" s="164"/>
      <c r="AF104" s="164"/>
      <c r="AG104" s="165"/>
      <c r="AH104" s="165"/>
    </row>
    <row r="105" spans="1:34" ht="15">
      <c r="A105" s="390"/>
      <c r="B105" s="159" t="s">
        <v>50</v>
      </c>
      <c r="C105" s="160">
        <v>106</v>
      </c>
      <c r="D105" s="160">
        <v>106</v>
      </c>
      <c r="E105" s="163"/>
      <c r="F105" s="163"/>
      <c r="G105" s="162">
        <v>108</v>
      </c>
      <c r="H105" s="162">
        <v>108</v>
      </c>
      <c r="I105" s="161">
        <v>105</v>
      </c>
      <c r="J105" s="164"/>
      <c r="K105" s="162">
        <v>107</v>
      </c>
      <c r="L105" s="161">
        <v>107</v>
      </c>
      <c r="M105" s="163"/>
      <c r="N105" s="162">
        <v>105</v>
      </c>
      <c r="O105" s="164"/>
      <c r="P105" s="163"/>
      <c r="Q105" s="164"/>
      <c r="R105" s="164"/>
      <c r="S105" s="163"/>
      <c r="T105" s="163"/>
      <c r="U105" s="164"/>
      <c r="V105" s="164"/>
      <c r="W105" s="163"/>
      <c r="X105" s="164"/>
      <c r="Y105" s="164"/>
      <c r="Z105" s="163"/>
      <c r="AA105" s="163"/>
      <c r="AB105" s="164"/>
      <c r="AC105" s="164"/>
      <c r="AD105" s="163"/>
      <c r="AE105" s="164"/>
      <c r="AF105" s="164"/>
      <c r="AG105" s="165"/>
      <c r="AH105" s="165"/>
    </row>
    <row r="106" spans="1:34" ht="15">
      <c r="A106" s="390"/>
      <c r="B106" s="159" t="s">
        <v>51</v>
      </c>
      <c r="C106" s="160">
        <v>168.75</v>
      </c>
      <c r="D106" s="160">
        <v>168.75</v>
      </c>
      <c r="E106" s="163"/>
      <c r="F106" s="163"/>
      <c r="G106" s="162">
        <v>163.5</v>
      </c>
      <c r="H106" s="162">
        <v>168.75</v>
      </c>
      <c r="I106" s="161">
        <v>166.5</v>
      </c>
      <c r="J106" s="164"/>
      <c r="K106" s="162">
        <v>193.875</v>
      </c>
      <c r="L106" s="161">
        <v>165.375</v>
      </c>
      <c r="M106" s="163"/>
      <c r="N106" s="162">
        <v>154.5</v>
      </c>
      <c r="O106" s="164"/>
      <c r="P106" s="163"/>
      <c r="Q106" s="164"/>
      <c r="R106" s="164"/>
      <c r="S106" s="163"/>
      <c r="T106" s="163"/>
      <c r="U106" s="164"/>
      <c r="V106" s="164"/>
      <c r="W106" s="163"/>
      <c r="X106" s="164"/>
      <c r="Y106" s="164"/>
      <c r="Z106" s="163"/>
      <c r="AA106" s="163"/>
      <c r="AB106" s="164"/>
      <c r="AC106" s="164"/>
      <c r="AD106" s="163"/>
      <c r="AE106" s="164"/>
      <c r="AF106" s="164"/>
      <c r="AG106" s="165"/>
      <c r="AH106" s="165"/>
    </row>
    <row r="107" spans="1:34" ht="15">
      <c r="A107" s="391"/>
      <c r="B107" s="167" t="s">
        <v>52</v>
      </c>
      <c r="C107" s="168">
        <v>1.5920000000000001</v>
      </c>
      <c r="D107" s="168">
        <v>1.5920000000000001</v>
      </c>
      <c r="E107" s="170"/>
      <c r="F107" s="170"/>
      <c r="G107" s="168">
        <v>1.5139</v>
      </c>
      <c r="H107" s="168">
        <v>1.5625</v>
      </c>
      <c r="I107" s="169">
        <v>1.5857000000000001</v>
      </c>
      <c r="J107" s="171"/>
      <c r="K107" s="168">
        <v>1.8119000000000001</v>
      </c>
      <c r="L107" s="169">
        <v>1.5455999999999999</v>
      </c>
      <c r="M107" s="170"/>
      <c r="N107" s="168">
        <v>1.4714</v>
      </c>
      <c r="O107" s="171"/>
      <c r="P107" s="170"/>
      <c r="Q107" s="171"/>
      <c r="R107" s="171"/>
      <c r="S107" s="170"/>
      <c r="T107" s="170"/>
      <c r="U107" s="171"/>
      <c r="V107" s="171"/>
      <c r="W107" s="170"/>
      <c r="X107" s="171"/>
      <c r="Y107" s="171"/>
      <c r="Z107" s="170"/>
      <c r="AA107" s="170"/>
      <c r="AB107" s="171"/>
      <c r="AC107" s="171"/>
      <c r="AD107" s="170"/>
      <c r="AE107" s="171"/>
      <c r="AF107" s="171"/>
      <c r="AG107" s="172"/>
      <c r="AH107" s="172"/>
    </row>
    <row r="108" spans="1:34" ht="15">
      <c r="A108" s="389" t="s">
        <v>168</v>
      </c>
      <c r="B108" s="152" t="s">
        <v>45</v>
      </c>
      <c r="C108" s="153">
        <v>10296</v>
      </c>
      <c r="D108" s="153">
        <v>1716</v>
      </c>
      <c r="E108" s="156"/>
      <c r="F108" s="156"/>
      <c r="G108" s="155">
        <v>1496</v>
      </c>
      <c r="H108" s="155">
        <v>1760</v>
      </c>
      <c r="I108" s="154">
        <v>1760</v>
      </c>
      <c r="J108" s="157"/>
      <c r="K108" s="155">
        <v>1760</v>
      </c>
      <c r="L108" s="154">
        <v>1760</v>
      </c>
      <c r="M108" s="156"/>
      <c r="N108" s="155">
        <v>1760</v>
      </c>
      <c r="O108" s="157"/>
      <c r="P108" s="156"/>
      <c r="Q108" s="157"/>
      <c r="R108" s="157"/>
      <c r="S108" s="156"/>
      <c r="T108" s="156"/>
      <c r="U108" s="157"/>
      <c r="V108" s="157"/>
      <c r="W108" s="156"/>
      <c r="X108" s="157"/>
      <c r="Y108" s="157"/>
      <c r="Z108" s="156"/>
      <c r="AA108" s="156"/>
      <c r="AB108" s="157"/>
      <c r="AC108" s="157"/>
      <c r="AD108" s="156"/>
      <c r="AE108" s="157"/>
      <c r="AF108" s="157"/>
      <c r="AG108" s="158"/>
      <c r="AH108" s="158"/>
    </row>
    <row r="109" spans="1:34" ht="15">
      <c r="A109" s="390"/>
      <c r="B109" s="152" t="s">
        <v>46</v>
      </c>
      <c r="C109" s="153">
        <v>8820</v>
      </c>
      <c r="D109" s="153">
        <v>1470</v>
      </c>
      <c r="E109" s="156"/>
      <c r="F109" s="156"/>
      <c r="G109" s="155">
        <v>1600</v>
      </c>
      <c r="H109" s="155">
        <v>1600</v>
      </c>
      <c r="I109" s="154">
        <v>1600</v>
      </c>
      <c r="J109" s="157"/>
      <c r="K109" s="155">
        <v>1260</v>
      </c>
      <c r="L109" s="154">
        <v>1680</v>
      </c>
      <c r="M109" s="156"/>
      <c r="N109" s="155">
        <v>1080</v>
      </c>
      <c r="O109" s="155">
        <v>1080</v>
      </c>
      <c r="P109" s="154">
        <v>1440</v>
      </c>
      <c r="Q109" s="155">
        <v>1440</v>
      </c>
      <c r="R109" s="155">
        <v>1440</v>
      </c>
      <c r="S109" s="154">
        <v>1440</v>
      </c>
      <c r="T109" s="156"/>
      <c r="U109" s="155">
        <v>1440</v>
      </c>
      <c r="V109" s="155">
        <v>1260</v>
      </c>
      <c r="W109" s="154">
        <v>1680</v>
      </c>
      <c r="X109" s="155">
        <v>1680</v>
      </c>
      <c r="Y109" s="155">
        <v>1680</v>
      </c>
      <c r="Z109" s="156"/>
      <c r="AA109" s="156"/>
      <c r="AB109" s="155">
        <v>1680</v>
      </c>
      <c r="AC109" s="155">
        <v>1680</v>
      </c>
      <c r="AD109" s="154">
        <v>1680</v>
      </c>
      <c r="AE109" s="155">
        <v>1680</v>
      </c>
      <c r="AF109" s="155">
        <v>1680</v>
      </c>
      <c r="AG109" s="158"/>
      <c r="AH109" s="158"/>
    </row>
    <row r="110" spans="1:34" ht="15">
      <c r="A110" s="390"/>
      <c r="B110" s="159" t="s">
        <v>47</v>
      </c>
      <c r="C110" s="160">
        <v>8826</v>
      </c>
      <c r="D110" s="160">
        <v>1471</v>
      </c>
      <c r="E110" s="163"/>
      <c r="F110" s="163"/>
      <c r="G110" s="162">
        <v>1110</v>
      </c>
      <c r="H110" s="162">
        <v>1584</v>
      </c>
      <c r="I110" s="161">
        <v>2100</v>
      </c>
      <c r="J110" s="164"/>
      <c r="K110" s="162">
        <v>1080</v>
      </c>
      <c r="L110" s="161">
        <v>1854</v>
      </c>
      <c r="M110" s="163"/>
      <c r="N110" s="162">
        <v>1098</v>
      </c>
      <c r="O110" s="164"/>
      <c r="P110" s="163"/>
      <c r="Q110" s="164"/>
      <c r="R110" s="164"/>
      <c r="S110" s="163"/>
      <c r="T110" s="163"/>
      <c r="U110" s="164"/>
      <c r="V110" s="164"/>
      <c r="W110" s="163"/>
      <c r="X110" s="164"/>
      <c r="Y110" s="164"/>
      <c r="Z110" s="163"/>
      <c r="AA110" s="163"/>
      <c r="AB110" s="164"/>
      <c r="AC110" s="164"/>
      <c r="AD110" s="163"/>
      <c r="AE110" s="164"/>
      <c r="AF110" s="164"/>
      <c r="AG110" s="165"/>
      <c r="AH110" s="165"/>
    </row>
    <row r="111" spans="1:34" ht="15">
      <c r="A111" s="390"/>
      <c r="B111" s="159" t="s">
        <v>48</v>
      </c>
      <c r="C111" s="160">
        <v>6</v>
      </c>
      <c r="D111" s="160">
        <v>1</v>
      </c>
      <c r="E111" s="163"/>
      <c r="F111" s="163"/>
      <c r="G111" s="164">
        <v>-490</v>
      </c>
      <c r="H111" s="164">
        <v>-16</v>
      </c>
      <c r="I111" s="161">
        <v>500</v>
      </c>
      <c r="J111" s="164"/>
      <c r="K111" s="164">
        <v>-180</v>
      </c>
      <c r="L111" s="161">
        <v>174</v>
      </c>
      <c r="M111" s="163"/>
      <c r="N111" s="162">
        <v>18</v>
      </c>
      <c r="O111" s="164"/>
      <c r="P111" s="163"/>
      <c r="Q111" s="164"/>
      <c r="R111" s="164"/>
      <c r="S111" s="163"/>
      <c r="T111" s="163"/>
      <c r="U111" s="164"/>
      <c r="V111" s="164"/>
      <c r="W111" s="163"/>
      <c r="X111" s="164"/>
      <c r="Y111" s="164"/>
      <c r="Z111" s="163"/>
      <c r="AA111" s="163"/>
      <c r="AB111" s="164"/>
      <c r="AC111" s="164"/>
      <c r="AD111" s="163"/>
      <c r="AE111" s="164"/>
      <c r="AF111" s="164"/>
      <c r="AG111" s="165"/>
      <c r="AH111" s="165"/>
    </row>
    <row r="112" spans="1:34" ht="15">
      <c r="A112" s="390"/>
      <c r="B112" s="159" t="s">
        <v>49</v>
      </c>
      <c r="C112" s="160">
        <v>48</v>
      </c>
      <c r="D112" s="160">
        <v>8</v>
      </c>
      <c r="E112" s="163"/>
      <c r="F112" s="163"/>
      <c r="G112" s="162">
        <v>8</v>
      </c>
      <c r="H112" s="162">
        <v>8</v>
      </c>
      <c r="I112" s="161">
        <v>8</v>
      </c>
      <c r="J112" s="164"/>
      <c r="K112" s="162">
        <v>8</v>
      </c>
      <c r="L112" s="161">
        <v>8</v>
      </c>
      <c r="M112" s="163"/>
      <c r="N112" s="162">
        <v>8</v>
      </c>
      <c r="O112" s="164"/>
      <c r="P112" s="163"/>
      <c r="Q112" s="164"/>
      <c r="R112" s="164"/>
      <c r="S112" s="163"/>
      <c r="T112" s="163"/>
      <c r="U112" s="164"/>
      <c r="V112" s="164"/>
      <c r="W112" s="163"/>
      <c r="X112" s="164"/>
      <c r="Y112" s="164"/>
      <c r="Z112" s="163"/>
      <c r="AA112" s="163"/>
      <c r="AB112" s="164"/>
      <c r="AC112" s="164"/>
      <c r="AD112" s="163"/>
      <c r="AE112" s="164"/>
      <c r="AF112" s="164"/>
      <c r="AG112" s="165"/>
      <c r="AH112" s="165"/>
    </row>
    <row r="113" spans="1:34" ht="15">
      <c r="A113" s="390"/>
      <c r="B113" s="159" t="s">
        <v>50</v>
      </c>
      <c r="C113" s="160">
        <v>115</v>
      </c>
      <c r="D113" s="160">
        <v>115</v>
      </c>
      <c r="E113" s="163"/>
      <c r="F113" s="163"/>
      <c r="G113" s="162">
        <v>117</v>
      </c>
      <c r="H113" s="162">
        <v>117</v>
      </c>
      <c r="I113" s="161">
        <v>114</v>
      </c>
      <c r="J113" s="164"/>
      <c r="K113" s="162">
        <v>114</v>
      </c>
      <c r="L113" s="161">
        <v>118</v>
      </c>
      <c r="M113" s="163"/>
      <c r="N113" s="162">
        <v>115</v>
      </c>
      <c r="O113" s="164"/>
      <c r="P113" s="163"/>
      <c r="Q113" s="164"/>
      <c r="R113" s="164"/>
      <c r="S113" s="163"/>
      <c r="T113" s="163"/>
      <c r="U113" s="164"/>
      <c r="V113" s="164"/>
      <c r="W113" s="163"/>
      <c r="X113" s="164"/>
      <c r="Y113" s="164"/>
      <c r="Z113" s="163"/>
      <c r="AA113" s="163"/>
      <c r="AB113" s="164"/>
      <c r="AC113" s="164"/>
      <c r="AD113" s="163"/>
      <c r="AE113" s="164"/>
      <c r="AF113" s="164"/>
      <c r="AG113" s="165"/>
      <c r="AH113" s="165"/>
    </row>
    <row r="114" spans="1:34" ht="15">
      <c r="A114" s="390"/>
      <c r="B114" s="159" t="s">
        <v>51</v>
      </c>
      <c r="C114" s="160">
        <v>183.875</v>
      </c>
      <c r="D114" s="160">
        <v>183.875</v>
      </c>
      <c r="E114" s="163"/>
      <c r="F114" s="163"/>
      <c r="G114" s="162">
        <v>138.75</v>
      </c>
      <c r="H114" s="162">
        <v>198</v>
      </c>
      <c r="I114" s="161">
        <v>262.5</v>
      </c>
      <c r="J114" s="164"/>
      <c r="K114" s="162">
        <v>135</v>
      </c>
      <c r="L114" s="161">
        <v>231.75</v>
      </c>
      <c r="M114" s="163"/>
      <c r="N114" s="162">
        <v>137.25</v>
      </c>
      <c r="O114" s="164"/>
      <c r="P114" s="163"/>
      <c r="Q114" s="164"/>
      <c r="R114" s="164"/>
      <c r="S114" s="163"/>
      <c r="T114" s="163"/>
      <c r="U114" s="164"/>
      <c r="V114" s="164"/>
      <c r="W114" s="163"/>
      <c r="X114" s="164"/>
      <c r="Y114" s="164"/>
      <c r="Z114" s="163"/>
      <c r="AA114" s="163"/>
      <c r="AB114" s="164"/>
      <c r="AC114" s="164"/>
      <c r="AD114" s="163"/>
      <c r="AE114" s="164"/>
      <c r="AF114" s="164"/>
      <c r="AG114" s="165"/>
      <c r="AH114" s="165"/>
    </row>
    <row r="115" spans="1:34" ht="15">
      <c r="A115" s="391"/>
      <c r="B115" s="167" t="s">
        <v>52</v>
      </c>
      <c r="C115" s="168">
        <v>1.5989</v>
      </c>
      <c r="D115" s="168">
        <v>1.5989</v>
      </c>
      <c r="E115" s="170"/>
      <c r="F115" s="170"/>
      <c r="G115" s="168">
        <v>1.1859</v>
      </c>
      <c r="H115" s="168">
        <v>1.6922999999999999</v>
      </c>
      <c r="I115" s="169">
        <v>2.3026</v>
      </c>
      <c r="J115" s="171"/>
      <c r="K115" s="168">
        <v>1.1841999999999999</v>
      </c>
      <c r="L115" s="169">
        <v>1.964</v>
      </c>
      <c r="M115" s="170"/>
      <c r="N115" s="168">
        <v>1.1935</v>
      </c>
      <c r="O115" s="171"/>
      <c r="P115" s="170"/>
      <c r="Q115" s="171"/>
      <c r="R115" s="171"/>
      <c r="S115" s="170"/>
      <c r="T115" s="170"/>
      <c r="U115" s="171"/>
      <c r="V115" s="171"/>
      <c r="W115" s="170"/>
      <c r="X115" s="171"/>
      <c r="Y115" s="171"/>
      <c r="Z115" s="170"/>
      <c r="AA115" s="170"/>
      <c r="AB115" s="171"/>
      <c r="AC115" s="171"/>
      <c r="AD115" s="170"/>
      <c r="AE115" s="171"/>
      <c r="AF115" s="171"/>
      <c r="AG115" s="172"/>
      <c r="AH115" s="172"/>
    </row>
    <row r="116" spans="1:34" ht="15">
      <c r="A116" s="389" t="s">
        <v>169</v>
      </c>
      <c r="B116" s="152" t="s">
        <v>45</v>
      </c>
      <c r="C116" s="153">
        <v>9120</v>
      </c>
      <c r="D116" s="153">
        <v>1520</v>
      </c>
      <c r="E116" s="156"/>
      <c r="F116" s="156"/>
      <c r="G116" s="155">
        <v>1600</v>
      </c>
      <c r="H116" s="155">
        <v>1600</v>
      </c>
      <c r="I116" s="154">
        <v>1600</v>
      </c>
      <c r="J116" s="157"/>
      <c r="K116" s="155">
        <v>1440</v>
      </c>
      <c r="L116" s="154">
        <v>1440</v>
      </c>
      <c r="M116" s="156"/>
      <c r="N116" s="155">
        <v>1440</v>
      </c>
      <c r="O116" s="157"/>
      <c r="P116" s="156"/>
      <c r="Q116" s="157"/>
      <c r="R116" s="157"/>
      <c r="S116" s="156"/>
      <c r="T116" s="156"/>
      <c r="U116" s="157"/>
      <c r="V116" s="157"/>
      <c r="W116" s="156"/>
      <c r="X116" s="157"/>
      <c r="Y116" s="157"/>
      <c r="Z116" s="156"/>
      <c r="AA116" s="156"/>
      <c r="AB116" s="157"/>
      <c r="AC116" s="157"/>
      <c r="AD116" s="156"/>
      <c r="AE116" s="157"/>
      <c r="AF116" s="157"/>
      <c r="AG116" s="158"/>
      <c r="AH116" s="158"/>
    </row>
    <row r="117" spans="1:34" ht="15">
      <c r="A117" s="390"/>
      <c r="B117" s="152" t="s">
        <v>46</v>
      </c>
      <c r="C117" s="153">
        <v>7620</v>
      </c>
      <c r="D117" s="153">
        <v>1270</v>
      </c>
      <c r="E117" s="156"/>
      <c r="F117" s="156"/>
      <c r="G117" s="155">
        <v>1440</v>
      </c>
      <c r="H117" s="155">
        <v>1440</v>
      </c>
      <c r="I117" s="154">
        <v>1440</v>
      </c>
      <c r="J117" s="157"/>
      <c r="K117" s="155">
        <v>990</v>
      </c>
      <c r="L117" s="154">
        <v>990</v>
      </c>
      <c r="M117" s="156"/>
      <c r="N117" s="155">
        <v>1320</v>
      </c>
      <c r="O117" s="155">
        <v>1320</v>
      </c>
      <c r="P117" s="154">
        <v>1320</v>
      </c>
      <c r="Q117" s="155">
        <v>1320</v>
      </c>
      <c r="R117" s="155">
        <v>1320</v>
      </c>
      <c r="S117" s="154">
        <v>1320</v>
      </c>
      <c r="T117" s="156"/>
      <c r="U117" s="155">
        <v>1320</v>
      </c>
      <c r="V117" s="155">
        <v>1320</v>
      </c>
      <c r="W117" s="154">
        <v>1320</v>
      </c>
      <c r="X117" s="155">
        <v>1320</v>
      </c>
      <c r="Y117" s="155">
        <v>1320</v>
      </c>
      <c r="Z117" s="156"/>
      <c r="AA117" s="156"/>
      <c r="AB117" s="155">
        <v>1260</v>
      </c>
      <c r="AC117" s="155">
        <v>1680</v>
      </c>
      <c r="AD117" s="154">
        <v>1680</v>
      </c>
      <c r="AE117" s="155">
        <v>1680</v>
      </c>
      <c r="AF117" s="155">
        <v>1680</v>
      </c>
      <c r="AG117" s="158"/>
      <c r="AH117" s="158"/>
    </row>
    <row r="118" spans="1:34" ht="15">
      <c r="A118" s="390"/>
      <c r="B118" s="159" t="s">
        <v>47</v>
      </c>
      <c r="C118" s="160">
        <v>7680</v>
      </c>
      <c r="D118" s="160">
        <v>1280</v>
      </c>
      <c r="E118" s="163"/>
      <c r="F118" s="163"/>
      <c r="G118" s="162">
        <v>1410</v>
      </c>
      <c r="H118" s="162">
        <v>1398</v>
      </c>
      <c r="I118" s="161">
        <v>1428</v>
      </c>
      <c r="J118" s="164"/>
      <c r="K118" s="162">
        <v>948</v>
      </c>
      <c r="L118" s="161">
        <v>1152</v>
      </c>
      <c r="M118" s="163"/>
      <c r="N118" s="162">
        <v>1344</v>
      </c>
      <c r="O118" s="164"/>
      <c r="P118" s="163"/>
      <c r="Q118" s="164"/>
      <c r="R118" s="164"/>
      <c r="S118" s="163"/>
      <c r="T118" s="163"/>
      <c r="U118" s="164"/>
      <c r="V118" s="164"/>
      <c r="W118" s="163"/>
      <c r="X118" s="164"/>
      <c r="Y118" s="164"/>
      <c r="Z118" s="163"/>
      <c r="AA118" s="163"/>
      <c r="AB118" s="164"/>
      <c r="AC118" s="164"/>
      <c r="AD118" s="163"/>
      <c r="AE118" s="164"/>
      <c r="AF118" s="164"/>
      <c r="AG118" s="165"/>
      <c r="AH118" s="165"/>
    </row>
    <row r="119" spans="1:34" ht="15">
      <c r="A119" s="390"/>
      <c r="B119" s="159" t="s">
        <v>48</v>
      </c>
      <c r="C119" s="160">
        <v>60</v>
      </c>
      <c r="D119" s="160">
        <v>10</v>
      </c>
      <c r="E119" s="163"/>
      <c r="F119" s="163"/>
      <c r="G119" s="164">
        <v>-30</v>
      </c>
      <c r="H119" s="164">
        <v>-42</v>
      </c>
      <c r="I119" s="163">
        <v>-12</v>
      </c>
      <c r="J119" s="164"/>
      <c r="K119" s="164">
        <v>-42</v>
      </c>
      <c r="L119" s="161">
        <v>162</v>
      </c>
      <c r="M119" s="163"/>
      <c r="N119" s="162">
        <v>24</v>
      </c>
      <c r="O119" s="164"/>
      <c r="P119" s="163"/>
      <c r="Q119" s="164"/>
      <c r="R119" s="164"/>
      <c r="S119" s="163"/>
      <c r="T119" s="163"/>
      <c r="U119" s="164"/>
      <c r="V119" s="164"/>
      <c r="W119" s="163"/>
      <c r="X119" s="164"/>
      <c r="Y119" s="164"/>
      <c r="Z119" s="163"/>
      <c r="AA119" s="163"/>
      <c r="AB119" s="164"/>
      <c r="AC119" s="164"/>
      <c r="AD119" s="163"/>
      <c r="AE119" s="164"/>
      <c r="AF119" s="164"/>
      <c r="AG119" s="165"/>
      <c r="AH119" s="165"/>
    </row>
    <row r="120" spans="1:34" ht="15">
      <c r="A120" s="390"/>
      <c r="B120" s="159" t="s">
        <v>49</v>
      </c>
      <c r="C120" s="160">
        <v>48</v>
      </c>
      <c r="D120" s="160">
        <v>8</v>
      </c>
      <c r="E120" s="163"/>
      <c r="F120" s="163"/>
      <c r="G120" s="162">
        <v>8</v>
      </c>
      <c r="H120" s="162">
        <v>8</v>
      </c>
      <c r="I120" s="161">
        <v>8</v>
      </c>
      <c r="J120" s="164"/>
      <c r="K120" s="162">
        <v>8</v>
      </c>
      <c r="L120" s="161">
        <v>8</v>
      </c>
      <c r="M120" s="163"/>
      <c r="N120" s="162">
        <v>8</v>
      </c>
      <c r="O120" s="164"/>
      <c r="P120" s="163"/>
      <c r="Q120" s="164"/>
      <c r="R120" s="164"/>
      <c r="S120" s="163"/>
      <c r="T120" s="163"/>
      <c r="U120" s="164"/>
      <c r="V120" s="164"/>
      <c r="W120" s="163"/>
      <c r="X120" s="164"/>
      <c r="Y120" s="164"/>
      <c r="Z120" s="163"/>
      <c r="AA120" s="163"/>
      <c r="AB120" s="164"/>
      <c r="AC120" s="164"/>
      <c r="AD120" s="163"/>
      <c r="AE120" s="164"/>
      <c r="AF120" s="164"/>
      <c r="AG120" s="165"/>
      <c r="AH120" s="165"/>
    </row>
    <row r="121" spans="1:34" ht="15">
      <c r="A121" s="390"/>
      <c r="B121" s="159" t="s">
        <v>50</v>
      </c>
      <c r="C121" s="160">
        <v>112</v>
      </c>
      <c r="D121" s="160">
        <v>112</v>
      </c>
      <c r="E121" s="163"/>
      <c r="F121" s="163"/>
      <c r="G121" s="162">
        <v>113</v>
      </c>
      <c r="H121" s="162">
        <v>113</v>
      </c>
      <c r="I121" s="161">
        <v>109</v>
      </c>
      <c r="J121" s="164"/>
      <c r="K121" s="162">
        <v>111</v>
      </c>
      <c r="L121" s="161">
        <v>114</v>
      </c>
      <c r="M121" s="163"/>
      <c r="N121" s="162">
        <v>113</v>
      </c>
      <c r="O121" s="164"/>
      <c r="P121" s="163"/>
      <c r="Q121" s="164"/>
      <c r="R121" s="164"/>
      <c r="S121" s="163"/>
      <c r="T121" s="163"/>
      <c r="U121" s="164"/>
      <c r="V121" s="164"/>
      <c r="W121" s="163"/>
      <c r="X121" s="164"/>
      <c r="Y121" s="164"/>
      <c r="Z121" s="163"/>
      <c r="AA121" s="163"/>
      <c r="AB121" s="164"/>
      <c r="AC121" s="164"/>
      <c r="AD121" s="163"/>
      <c r="AE121" s="164"/>
      <c r="AF121" s="164"/>
      <c r="AG121" s="165"/>
      <c r="AH121" s="165"/>
    </row>
    <row r="122" spans="1:34" ht="15">
      <c r="A122" s="390"/>
      <c r="B122" s="159" t="s">
        <v>51</v>
      </c>
      <c r="C122" s="160">
        <v>160</v>
      </c>
      <c r="D122" s="160">
        <v>160</v>
      </c>
      <c r="E122" s="163"/>
      <c r="F122" s="163"/>
      <c r="G122" s="162">
        <v>176.25</v>
      </c>
      <c r="H122" s="162">
        <v>174.75</v>
      </c>
      <c r="I122" s="161">
        <v>178.5</v>
      </c>
      <c r="J122" s="164"/>
      <c r="K122" s="162">
        <v>118.5</v>
      </c>
      <c r="L122" s="161">
        <v>144</v>
      </c>
      <c r="M122" s="163"/>
      <c r="N122" s="162">
        <v>168</v>
      </c>
      <c r="O122" s="164"/>
      <c r="P122" s="163"/>
      <c r="Q122" s="164"/>
      <c r="R122" s="164"/>
      <c r="S122" s="163"/>
      <c r="T122" s="163"/>
      <c r="U122" s="164"/>
      <c r="V122" s="164"/>
      <c r="W122" s="163"/>
      <c r="X122" s="164"/>
      <c r="Y122" s="164"/>
      <c r="Z122" s="163"/>
      <c r="AA122" s="163"/>
      <c r="AB122" s="164"/>
      <c r="AC122" s="164"/>
      <c r="AD122" s="163"/>
      <c r="AE122" s="164"/>
      <c r="AF122" s="164"/>
      <c r="AG122" s="165"/>
      <c r="AH122" s="165"/>
    </row>
    <row r="123" spans="1:34" ht="15">
      <c r="A123" s="391"/>
      <c r="B123" s="167" t="s">
        <v>52</v>
      </c>
      <c r="C123" s="168">
        <v>1.4285999999999999</v>
      </c>
      <c r="D123" s="168">
        <v>1.4285999999999999</v>
      </c>
      <c r="E123" s="170"/>
      <c r="F123" s="170"/>
      <c r="G123" s="168">
        <v>1.5596999999999999</v>
      </c>
      <c r="H123" s="168">
        <v>1.5465</v>
      </c>
      <c r="I123" s="169">
        <v>1.6375999999999999</v>
      </c>
      <c r="J123" s="171"/>
      <c r="K123" s="168">
        <v>1.0676000000000001</v>
      </c>
      <c r="L123" s="169">
        <v>1.2631999999999999</v>
      </c>
      <c r="M123" s="170"/>
      <c r="N123" s="168">
        <v>1.4866999999999999</v>
      </c>
      <c r="O123" s="171"/>
      <c r="P123" s="170"/>
      <c r="Q123" s="171"/>
      <c r="R123" s="171"/>
      <c r="S123" s="170"/>
      <c r="T123" s="170"/>
      <c r="U123" s="171"/>
      <c r="V123" s="171"/>
      <c r="W123" s="170"/>
      <c r="X123" s="171"/>
      <c r="Y123" s="171"/>
      <c r="Z123" s="170"/>
      <c r="AA123" s="170"/>
      <c r="AB123" s="171"/>
      <c r="AC123" s="171"/>
      <c r="AD123" s="170"/>
      <c r="AE123" s="171"/>
      <c r="AF123" s="171"/>
      <c r="AG123" s="172"/>
      <c r="AH123" s="172"/>
    </row>
    <row r="124" spans="1:34" ht="15">
      <c r="A124" s="389" t="s">
        <v>170</v>
      </c>
      <c r="B124" s="152" t="s">
        <v>45</v>
      </c>
      <c r="C124" s="153">
        <v>7680</v>
      </c>
      <c r="D124" s="153">
        <v>1280</v>
      </c>
      <c r="E124" s="156"/>
      <c r="F124" s="156"/>
      <c r="G124" s="155">
        <v>1280</v>
      </c>
      <c r="H124" s="155">
        <v>1280</v>
      </c>
      <c r="I124" s="154">
        <v>1280</v>
      </c>
      <c r="J124" s="157"/>
      <c r="K124" s="155">
        <v>1280</v>
      </c>
      <c r="L124" s="154">
        <v>1280</v>
      </c>
      <c r="M124" s="156"/>
      <c r="N124" s="155">
        <v>1280</v>
      </c>
      <c r="O124" s="157"/>
      <c r="P124" s="156"/>
      <c r="Q124" s="157"/>
      <c r="R124" s="157"/>
      <c r="S124" s="156"/>
      <c r="T124" s="156"/>
      <c r="U124" s="157"/>
      <c r="V124" s="157"/>
      <c r="W124" s="156"/>
      <c r="X124" s="157"/>
      <c r="Y124" s="157"/>
      <c r="Z124" s="156"/>
      <c r="AA124" s="156"/>
      <c r="AB124" s="157"/>
      <c r="AC124" s="157"/>
      <c r="AD124" s="156"/>
      <c r="AE124" s="157"/>
      <c r="AF124" s="157"/>
      <c r="AG124" s="158"/>
      <c r="AH124" s="158"/>
    </row>
    <row r="125" spans="1:34" ht="15">
      <c r="A125" s="390"/>
      <c r="B125" s="152" t="s">
        <v>46</v>
      </c>
      <c r="C125" s="153">
        <v>7920</v>
      </c>
      <c r="D125" s="153">
        <v>1320</v>
      </c>
      <c r="E125" s="156"/>
      <c r="F125" s="156"/>
      <c r="G125" s="155">
        <v>1320</v>
      </c>
      <c r="H125" s="155">
        <v>1320</v>
      </c>
      <c r="I125" s="154">
        <v>1320</v>
      </c>
      <c r="J125" s="157"/>
      <c r="K125" s="155">
        <v>1320</v>
      </c>
      <c r="L125" s="154">
        <v>1320</v>
      </c>
      <c r="M125" s="156"/>
      <c r="N125" s="155">
        <v>1320</v>
      </c>
      <c r="O125" s="155">
        <v>1320</v>
      </c>
      <c r="P125" s="154">
        <v>1320</v>
      </c>
      <c r="Q125" s="155">
        <v>1320</v>
      </c>
      <c r="R125" s="155">
        <v>1320</v>
      </c>
      <c r="S125" s="154">
        <v>1320</v>
      </c>
      <c r="T125" s="156"/>
      <c r="U125" s="155">
        <v>1320</v>
      </c>
      <c r="V125" s="155">
        <v>1320</v>
      </c>
      <c r="W125" s="154">
        <v>1320</v>
      </c>
      <c r="X125" s="155">
        <v>1320</v>
      </c>
      <c r="Y125" s="155">
        <v>1320</v>
      </c>
      <c r="Z125" s="156"/>
      <c r="AA125" s="156"/>
      <c r="AB125" s="155">
        <v>1320</v>
      </c>
      <c r="AC125" s="155">
        <v>1320</v>
      </c>
      <c r="AD125" s="154">
        <v>1320</v>
      </c>
      <c r="AE125" s="155">
        <v>1320</v>
      </c>
      <c r="AF125" s="155">
        <v>1320</v>
      </c>
      <c r="AG125" s="158"/>
      <c r="AH125" s="158"/>
    </row>
    <row r="126" spans="1:34" ht="15">
      <c r="A126" s="390"/>
      <c r="B126" s="159" t="s">
        <v>47</v>
      </c>
      <c r="C126" s="160">
        <v>6942</v>
      </c>
      <c r="D126" s="160">
        <v>1157</v>
      </c>
      <c r="E126" s="163"/>
      <c r="F126" s="163"/>
      <c r="G126" s="162">
        <v>954</v>
      </c>
      <c r="H126" s="162">
        <v>1248</v>
      </c>
      <c r="I126" s="161">
        <v>1284</v>
      </c>
      <c r="J126" s="164"/>
      <c r="K126" s="162">
        <v>864</v>
      </c>
      <c r="L126" s="161">
        <v>1302</v>
      </c>
      <c r="M126" s="163"/>
      <c r="N126" s="162">
        <v>1290</v>
      </c>
      <c r="O126" s="164"/>
      <c r="P126" s="163"/>
      <c r="Q126" s="164"/>
      <c r="R126" s="164"/>
      <c r="S126" s="163"/>
      <c r="T126" s="163"/>
      <c r="U126" s="164"/>
      <c r="V126" s="164"/>
      <c r="W126" s="163"/>
      <c r="X126" s="164"/>
      <c r="Y126" s="164"/>
      <c r="Z126" s="163"/>
      <c r="AA126" s="163"/>
      <c r="AB126" s="164"/>
      <c r="AC126" s="164"/>
      <c r="AD126" s="163"/>
      <c r="AE126" s="164"/>
      <c r="AF126" s="164"/>
      <c r="AG126" s="165"/>
      <c r="AH126" s="165"/>
    </row>
    <row r="127" spans="1:34" ht="15">
      <c r="A127" s="390"/>
      <c r="B127" s="159" t="s">
        <v>48</v>
      </c>
      <c r="C127" s="166">
        <v>-978</v>
      </c>
      <c r="D127" s="166">
        <v>-163</v>
      </c>
      <c r="E127" s="163"/>
      <c r="F127" s="163"/>
      <c r="G127" s="164">
        <v>-366</v>
      </c>
      <c r="H127" s="164">
        <v>-72</v>
      </c>
      <c r="I127" s="163">
        <v>-36</v>
      </c>
      <c r="J127" s="164"/>
      <c r="K127" s="164">
        <v>-456</v>
      </c>
      <c r="L127" s="163">
        <v>-18</v>
      </c>
      <c r="M127" s="163"/>
      <c r="N127" s="164">
        <v>-30</v>
      </c>
      <c r="O127" s="164"/>
      <c r="P127" s="163"/>
      <c r="Q127" s="164"/>
      <c r="R127" s="164"/>
      <c r="S127" s="163"/>
      <c r="T127" s="163"/>
      <c r="U127" s="164"/>
      <c r="V127" s="164"/>
      <c r="W127" s="163"/>
      <c r="X127" s="164"/>
      <c r="Y127" s="164"/>
      <c r="Z127" s="163"/>
      <c r="AA127" s="163"/>
      <c r="AB127" s="164"/>
      <c r="AC127" s="164"/>
      <c r="AD127" s="163"/>
      <c r="AE127" s="164"/>
      <c r="AF127" s="164"/>
      <c r="AG127" s="165"/>
      <c r="AH127" s="165"/>
    </row>
    <row r="128" spans="1:34" ht="15">
      <c r="A128" s="390"/>
      <c r="B128" s="159" t="s">
        <v>49</v>
      </c>
      <c r="C128" s="160">
        <v>48</v>
      </c>
      <c r="D128" s="160">
        <v>8</v>
      </c>
      <c r="E128" s="163"/>
      <c r="F128" s="163"/>
      <c r="G128" s="162">
        <v>8</v>
      </c>
      <c r="H128" s="162">
        <v>8</v>
      </c>
      <c r="I128" s="161">
        <v>8</v>
      </c>
      <c r="J128" s="164"/>
      <c r="K128" s="162">
        <v>8</v>
      </c>
      <c r="L128" s="161">
        <v>8</v>
      </c>
      <c r="M128" s="163"/>
      <c r="N128" s="162">
        <v>8</v>
      </c>
      <c r="O128" s="164"/>
      <c r="P128" s="163"/>
      <c r="Q128" s="164"/>
      <c r="R128" s="164"/>
      <c r="S128" s="163"/>
      <c r="T128" s="163"/>
      <c r="U128" s="164"/>
      <c r="V128" s="164"/>
      <c r="W128" s="163"/>
      <c r="X128" s="164"/>
      <c r="Y128" s="164"/>
      <c r="Z128" s="163"/>
      <c r="AA128" s="163"/>
      <c r="AB128" s="164"/>
      <c r="AC128" s="164"/>
      <c r="AD128" s="163"/>
      <c r="AE128" s="164"/>
      <c r="AF128" s="164"/>
      <c r="AG128" s="165"/>
      <c r="AH128" s="165"/>
    </row>
    <row r="129" spans="1:34" ht="15">
      <c r="A129" s="390"/>
      <c r="B129" s="159" t="s">
        <v>50</v>
      </c>
      <c r="C129" s="160">
        <v>105</v>
      </c>
      <c r="D129" s="160">
        <v>105</v>
      </c>
      <c r="E129" s="163"/>
      <c r="F129" s="163"/>
      <c r="G129" s="162">
        <v>106</v>
      </c>
      <c r="H129" s="162">
        <v>105</v>
      </c>
      <c r="I129" s="161">
        <v>106</v>
      </c>
      <c r="J129" s="164"/>
      <c r="K129" s="162">
        <v>105</v>
      </c>
      <c r="L129" s="161">
        <v>107</v>
      </c>
      <c r="M129" s="163"/>
      <c r="N129" s="162">
        <v>106</v>
      </c>
      <c r="O129" s="164"/>
      <c r="P129" s="163"/>
      <c r="Q129" s="164"/>
      <c r="R129" s="164"/>
      <c r="S129" s="163"/>
      <c r="T129" s="163"/>
      <c r="U129" s="164"/>
      <c r="V129" s="164"/>
      <c r="W129" s="163"/>
      <c r="X129" s="164"/>
      <c r="Y129" s="164"/>
      <c r="Z129" s="163"/>
      <c r="AA129" s="163"/>
      <c r="AB129" s="164"/>
      <c r="AC129" s="164"/>
      <c r="AD129" s="163"/>
      <c r="AE129" s="164"/>
      <c r="AF129" s="164"/>
      <c r="AG129" s="165"/>
      <c r="AH129" s="165"/>
    </row>
    <row r="130" spans="1:34" ht="15">
      <c r="A130" s="390"/>
      <c r="B130" s="159" t="s">
        <v>51</v>
      </c>
      <c r="C130" s="160">
        <v>144.625</v>
      </c>
      <c r="D130" s="160">
        <v>144.625</v>
      </c>
      <c r="E130" s="163"/>
      <c r="F130" s="163"/>
      <c r="G130" s="162">
        <v>119.25</v>
      </c>
      <c r="H130" s="162">
        <v>156</v>
      </c>
      <c r="I130" s="161">
        <v>160.5</v>
      </c>
      <c r="J130" s="164"/>
      <c r="K130" s="162">
        <v>108</v>
      </c>
      <c r="L130" s="161">
        <v>162.75</v>
      </c>
      <c r="M130" s="163"/>
      <c r="N130" s="162">
        <v>161.25</v>
      </c>
      <c r="O130" s="164"/>
      <c r="P130" s="163"/>
      <c r="Q130" s="164"/>
      <c r="R130" s="164"/>
      <c r="S130" s="163"/>
      <c r="T130" s="163"/>
      <c r="U130" s="164"/>
      <c r="V130" s="164"/>
      <c r="W130" s="163"/>
      <c r="X130" s="164"/>
      <c r="Y130" s="164"/>
      <c r="Z130" s="163"/>
      <c r="AA130" s="163"/>
      <c r="AB130" s="164"/>
      <c r="AC130" s="164"/>
      <c r="AD130" s="163"/>
      <c r="AE130" s="164"/>
      <c r="AF130" s="164"/>
      <c r="AG130" s="165"/>
      <c r="AH130" s="165"/>
    </row>
    <row r="131" spans="1:34" ht="15">
      <c r="A131" s="391"/>
      <c r="B131" s="167" t="s">
        <v>52</v>
      </c>
      <c r="C131" s="168">
        <v>1.3774</v>
      </c>
      <c r="D131" s="168">
        <v>1.3774</v>
      </c>
      <c r="E131" s="170"/>
      <c r="F131" s="170"/>
      <c r="G131" s="168">
        <v>1.125</v>
      </c>
      <c r="H131" s="168">
        <v>1.4857</v>
      </c>
      <c r="I131" s="169">
        <v>1.5142</v>
      </c>
      <c r="J131" s="171"/>
      <c r="K131" s="168">
        <v>1.0286</v>
      </c>
      <c r="L131" s="169">
        <v>1.5209999999999999</v>
      </c>
      <c r="M131" s="170"/>
      <c r="N131" s="168">
        <v>1.5211999999999999</v>
      </c>
      <c r="O131" s="171"/>
      <c r="P131" s="170"/>
      <c r="Q131" s="171"/>
      <c r="R131" s="171"/>
      <c r="S131" s="170"/>
      <c r="T131" s="170"/>
      <c r="U131" s="171"/>
      <c r="V131" s="171"/>
      <c r="W131" s="170"/>
      <c r="X131" s="171"/>
      <c r="Y131" s="171"/>
      <c r="Z131" s="170"/>
      <c r="AA131" s="170"/>
      <c r="AB131" s="171"/>
      <c r="AC131" s="171"/>
      <c r="AD131" s="170"/>
      <c r="AE131" s="171"/>
      <c r="AF131" s="171"/>
      <c r="AG131" s="172"/>
      <c r="AH131" s="172"/>
    </row>
    <row r="132" spans="1:34" ht="15">
      <c r="A132" s="389" t="s">
        <v>171</v>
      </c>
      <c r="B132" s="152" t="s">
        <v>45</v>
      </c>
      <c r="C132" s="153">
        <v>10160</v>
      </c>
      <c r="D132" s="153">
        <v>1693.3333333333333</v>
      </c>
      <c r="E132" s="156"/>
      <c r="F132" s="156"/>
      <c r="G132" s="155">
        <v>1760</v>
      </c>
      <c r="H132" s="155">
        <v>1760</v>
      </c>
      <c r="I132" s="154">
        <v>1760</v>
      </c>
      <c r="J132" s="157"/>
      <c r="K132" s="155">
        <v>1760</v>
      </c>
      <c r="L132" s="154">
        <v>1600</v>
      </c>
      <c r="M132" s="156"/>
      <c r="N132" s="155">
        <v>1520</v>
      </c>
      <c r="O132" s="157"/>
      <c r="P132" s="156"/>
      <c r="Q132" s="157"/>
      <c r="R132" s="157"/>
      <c r="S132" s="156"/>
      <c r="T132" s="156"/>
      <c r="U132" s="157"/>
      <c r="V132" s="157"/>
      <c r="W132" s="156"/>
      <c r="X132" s="157"/>
      <c r="Y132" s="157"/>
      <c r="Z132" s="156"/>
      <c r="AA132" s="156"/>
      <c r="AB132" s="157"/>
      <c r="AC132" s="157"/>
      <c r="AD132" s="156"/>
      <c r="AE132" s="157"/>
      <c r="AF132" s="157"/>
      <c r="AG132" s="158"/>
      <c r="AH132" s="158"/>
    </row>
    <row r="133" spans="1:34" ht="15">
      <c r="A133" s="390"/>
      <c r="B133" s="152" t="s">
        <v>46</v>
      </c>
      <c r="C133" s="153">
        <v>9180</v>
      </c>
      <c r="D133" s="153">
        <v>1530</v>
      </c>
      <c r="E133" s="156"/>
      <c r="F133" s="156"/>
      <c r="G133" s="155">
        <v>1260</v>
      </c>
      <c r="H133" s="155">
        <v>1680</v>
      </c>
      <c r="I133" s="154">
        <v>1680</v>
      </c>
      <c r="J133" s="157"/>
      <c r="K133" s="155">
        <v>1680</v>
      </c>
      <c r="L133" s="154">
        <v>1440</v>
      </c>
      <c r="M133" s="156"/>
      <c r="N133" s="155">
        <v>1440</v>
      </c>
      <c r="O133" s="155">
        <v>1440</v>
      </c>
      <c r="P133" s="154">
        <v>1440</v>
      </c>
      <c r="Q133" s="155">
        <v>1440</v>
      </c>
      <c r="R133" s="155">
        <v>1440</v>
      </c>
      <c r="S133" s="154">
        <v>1440</v>
      </c>
      <c r="T133" s="156"/>
      <c r="U133" s="155">
        <v>1200</v>
      </c>
      <c r="V133" s="155">
        <v>1600</v>
      </c>
      <c r="W133" s="154">
        <v>1600</v>
      </c>
      <c r="X133" s="155">
        <v>1600</v>
      </c>
      <c r="Y133" s="155">
        <v>1600</v>
      </c>
      <c r="Z133" s="156"/>
      <c r="AA133" s="156"/>
      <c r="AB133" s="155">
        <v>1260</v>
      </c>
      <c r="AC133" s="155">
        <v>1680</v>
      </c>
      <c r="AD133" s="154">
        <v>1680</v>
      </c>
      <c r="AE133" s="155">
        <v>1680</v>
      </c>
      <c r="AF133" s="155">
        <v>1680</v>
      </c>
      <c r="AG133" s="158"/>
      <c r="AH133" s="158"/>
    </row>
    <row r="134" spans="1:34" ht="15">
      <c r="A134" s="390"/>
      <c r="B134" s="159" t="s">
        <v>47</v>
      </c>
      <c r="C134" s="160">
        <v>10038</v>
      </c>
      <c r="D134" s="160">
        <v>1673</v>
      </c>
      <c r="E134" s="163"/>
      <c r="F134" s="163"/>
      <c r="G134" s="162">
        <v>1704</v>
      </c>
      <c r="H134" s="162">
        <v>1668</v>
      </c>
      <c r="I134" s="161">
        <v>1680</v>
      </c>
      <c r="J134" s="164"/>
      <c r="K134" s="162">
        <v>1692</v>
      </c>
      <c r="L134" s="161">
        <v>1848</v>
      </c>
      <c r="M134" s="163"/>
      <c r="N134" s="162">
        <v>1446</v>
      </c>
      <c r="O134" s="164"/>
      <c r="P134" s="163"/>
      <c r="Q134" s="164"/>
      <c r="R134" s="164"/>
      <c r="S134" s="163"/>
      <c r="T134" s="163"/>
      <c r="U134" s="164"/>
      <c r="V134" s="164"/>
      <c r="W134" s="163"/>
      <c r="X134" s="164"/>
      <c r="Y134" s="164"/>
      <c r="Z134" s="163"/>
      <c r="AA134" s="163"/>
      <c r="AB134" s="164"/>
      <c r="AC134" s="164"/>
      <c r="AD134" s="163"/>
      <c r="AE134" s="164"/>
      <c r="AF134" s="164"/>
      <c r="AG134" s="165"/>
      <c r="AH134" s="165"/>
    </row>
    <row r="135" spans="1:34" ht="15">
      <c r="A135" s="390"/>
      <c r="B135" s="159" t="s">
        <v>48</v>
      </c>
      <c r="C135" s="160">
        <v>858</v>
      </c>
      <c r="D135" s="160">
        <v>143</v>
      </c>
      <c r="E135" s="163"/>
      <c r="F135" s="163"/>
      <c r="G135" s="162">
        <v>444</v>
      </c>
      <c r="H135" s="164">
        <v>-12</v>
      </c>
      <c r="I135" s="161">
        <v>0</v>
      </c>
      <c r="J135" s="164"/>
      <c r="K135" s="162">
        <v>12</v>
      </c>
      <c r="L135" s="161">
        <v>408</v>
      </c>
      <c r="M135" s="163"/>
      <c r="N135" s="162">
        <v>6</v>
      </c>
      <c r="O135" s="164"/>
      <c r="P135" s="163"/>
      <c r="Q135" s="164"/>
      <c r="R135" s="164"/>
      <c r="S135" s="163"/>
      <c r="T135" s="163"/>
      <c r="U135" s="164"/>
      <c r="V135" s="164"/>
      <c r="W135" s="163"/>
      <c r="X135" s="164"/>
      <c r="Y135" s="164"/>
      <c r="Z135" s="163"/>
      <c r="AA135" s="163"/>
      <c r="AB135" s="164"/>
      <c r="AC135" s="164"/>
      <c r="AD135" s="163"/>
      <c r="AE135" s="164"/>
      <c r="AF135" s="164"/>
      <c r="AG135" s="165"/>
      <c r="AH135" s="165"/>
    </row>
    <row r="136" spans="1:34" ht="15">
      <c r="A136" s="390"/>
      <c r="B136" s="159" t="s">
        <v>49</v>
      </c>
      <c r="C136" s="160">
        <v>48</v>
      </c>
      <c r="D136" s="160">
        <v>8</v>
      </c>
      <c r="E136" s="163"/>
      <c r="F136" s="163"/>
      <c r="G136" s="162">
        <v>8</v>
      </c>
      <c r="H136" s="162">
        <v>8</v>
      </c>
      <c r="I136" s="161">
        <v>8</v>
      </c>
      <c r="J136" s="164"/>
      <c r="K136" s="162">
        <v>8</v>
      </c>
      <c r="L136" s="161">
        <v>8</v>
      </c>
      <c r="M136" s="163"/>
      <c r="N136" s="162">
        <v>8</v>
      </c>
      <c r="O136" s="164"/>
      <c r="P136" s="163"/>
      <c r="Q136" s="164"/>
      <c r="R136" s="164"/>
      <c r="S136" s="163"/>
      <c r="T136" s="163"/>
      <c r="U136" s="164"/>
      <c r="V136" s="164"/>
      <c r="W136" s="163"/>
      <c r="X136" s="164"/>
      <c r="Y136" s="164"/>
      <c r="Z136" s="163"/>
      <c r="AA136" s="163"/>
      <c r="AB136" s="164"/>
      <c r="AC136" s="164"/>
      <c r="AD136" s="163"/>
      <c r="AE136" s="164"/>
      <c r="AF136" s="164"/>
      <c r="AG136" s="165"/>
      <c r="AH136" s="165"/>
    </row>
    <row r="137" spans="1:34" ht="15">
      <c r="A137" s="390"/>
      <c r="B137" s="159" t="s">
        <v>50</v>
      </c>
      <c r="C137" s="160">
        <v>106</v>
      </c>
      <c r="D137" s="160">
        <v>106</v>
      </c>
      <c r="E137" s="163"/>
      <c r="F137" s="163"/>
      <c r="G137" s="162">
        <v>107</v>
      </c>
      <c r="H137" s="162">
        <v>108</v>
      </c>
      <c r="I137" s="161">
        <v>107</v>
      </c>
      <c r="J137" s="164"/>
      <c r="K137" s="162">
        <v>102</v>
      </c>
      <c r="L137" s="161">
        <v>107</v>
      </c>
      <c r="M137" s="163"/>
      <c r="N137" s="162">
        <v>108</v>
      </c>
      <c r="O137" s="164"/>
      <c r="P137" s="163"/>
      <c r="Q137" s="164"/>
      <c r="R137" s="164"/>
      <c r="S137" s="163"/>
      <c r="T137" s="163"/>
      <c r="U137" s="164"/>
      <c r="V137" s="164"/>
      <c r="W137" s="163"/>
      <c r="X137" s="164"/>
      <c r="Y137" s="164"/>
      <c r="Z137" s="163"/>
      <c r="AA137" s="163"/>
      <c r="AB137" s="164"/>
      <c r="AC137" s="164"/>
      <c r="AD137" s="163"/>
      <c r="AE137" s="164"/>
      <c r="AF137" s="164"/>
      <c r="AG137" s="165"/>
      <c r="AH137" s="165"/>
    </row>
    <row r="138" spans="1:34" ht="15">
      <c r="A138" s="390"/>
      <c r="B138" s="159" t="s">
        <v>51</v>
      </c>
      <c r="C138" s="160">
        <v>209.125</v>
      </c>
      <c r="D138" s="160">
        <v>209.125</v>
      </c>
      <c r="E138" s="163"/>
      <c r="F138" s="163"/>
      <c r="G138" s="162">
        <v>213</v>
      </c>
      <c r="H138" s="162">
        <v>208.5</v>
      </c>
      <c r="I138" s="161">
        <v>210</v>
      </c>
      <c r="J138" s="164"/>
      <c r="K138" s="162">
        <v>211.5</v>
      </c>
      <c r="L138" s="161">
        <v>231</v>
      </c>
      <c r="M138" s="163"/>
      <c r="N138" s="162">
        <v>180.75</v>
      </c>
      <c r="O138" s="164"/>
      <c r="P138" s="163"/>
      <c r="Q138" s="164"/>
      <c r="R138" s="164"/>
      <c r="S138" s="163"/>
      <c r="T138" s="163"/>
      <c r="U138" s="164"/>
      <c r="V138" s="164"/>
      <c r="W138" s="163"/>
      <c r="X138" s="164"/>
      <c r="Y138" s="164"/>
      <c r="Z138" s="163"/>
      <c r="AA138" s="163"/>
      <c r="AB138" s="164"/>
      <c r="AC138" s="164"/>
      <c r="AD138" s="163"/>
      <c r="AE138" s="164"/>
      <c r="AF138" s="164"/>
      <c r="AG138" s="165"/>
      <c r="AH138" s="165"/>
    </row>
    <row r="139" spans="1:34" ht="15">
      <c r="A139" s="391"/>
      <c r="B139" s="167" t="s">
        <v>52</v>
      </c>
      <c r="C139" s="168">
        <v>1.9729000000000001</v>
      </c>
      <c r="D139" s="168">
        <v>1.9729000000000001</v>
      </c>
      <c r="E139" s="170"/>
      <c r="F139" s="170"/>
      <c r="G139" s="168">
        <v>1.9906999999999999</v>
      </c>
      <c r="H139" s="168">
        <v>1.9306000000000001</v>
      </c>
      <c r="I139" s="169">
        <v>1.9626000000000001</v>
      </c>
      <c r="J139" s="171"/>
      <c r="K139" s="168">
        <v>2.0735000000000001</v>
      </c>
      <c r="L139" s="169">
        <v>2.1589</v>
      </c>
      <c r="M139" s="170"/>
      <c r="N139" s="168">
        <v>1.6736</v>
      </c>
      <c r="O139" s="171"/>
      <c r="P139" s="170"/>
      <c r="Q139" s="171"/>
      <c r="R139" s="171"/>
      <c r="S139" s="170"/>
      <c r="T139" s="170"/>
      <c r="U139" s="171"/>
      <c r="V139" s="171"/>
      <c r="W139" s="170"/>
      <c r="X139" s="171"/>
      <c r="Y139" s="171"/>
      <c r="Z139" s="170"/>
      <c r="AA139" s="170"/>
      <c r="AB139" s="171"/>
      <c r="AC139" s="171"/>
      <c r="AD139" s="170"/>
      <c r="AE139" s="171"/>
      <c r="AF139" s="171"/>
      <c r="AG139" s="172"/>
      <c r="AH139" s="172"/>
    </row>
    <row r="140" spans="1:34" ht="15">
      <c r="A140" s="389" t="s">
        <v>172</v>
      </c>
      <c r="B140" s="152" t="s">
        <v>45</v>
      </c>
      <c r="C140" s="153">
        <v>10512</v>
      </c>
      <c r="D140" s="153">
        <v>1752</v>
      </c>
      <c r="E140" s="156"/>
      <c r="F140" s="156"/>
      <c r="G140" s="155">
        <v>1760</v>
      </c>
      <c r="H140" s="155">
        <v>1712</v>
      </c>
      <c r="I140" s="154">
        <v>1760</v>
      </c>
      <c r="J140" s="157"/>
      <c r="K140" s="155">
        <v>1760</v>
      </c>
      <c r="L140" s="154">
        <v>1760</v>
      </c>
      <c r="M140" s="156"/>
      <c r="N140" s="155">
        <v>1760</v>
      </c>
      <c r="O140" s="157"/>
      <c r="P140" s="156"/>
      <c r="Q140" s="157"/>
      <c r="R140" s="157"/>
      <c r="S140" s="156"/>
      <c r="T140" s="156"/>
      <c r="U140" s="157"/>
      <c r="V140" s="157"/>
      <c r="W140" s="156"/>
      <c r="X140" s="157"/>
      <c r="Y140" s="157"/>
      <c r="Z140" s="156"/>
      <c r="AA140" s="156"/>
      <c r="AB140" s="157"/>
      <c r="AC140" s="157"/>
      <c r="AD140" s="156"/>
      <c r="AE140" s="157"/>
      <c r="AF140" s="157"/>
      <c r="AG140" s="158"/>
      <c r="AH140" s="158"/>
    </row>
    <row r="141" spans="1:34" ht="15">
      <c r="A141" s="390"/>
      <c r="B141" s="152" t="s">
        <v>46</v>
      </c>
      <c r="C141" s="153">
        <v>9660</v>
      </c>
      <c r="D141" s="153">
        <v>1610</v>
      </c>
      <c r="E141" s="156"/>
      <c r="F141" s="156"/>
      <c r="G141" s="155">
        <v>1260</v>
      </c>
      <c r="H141" s="155">
        <v>1680</v>
      </c>
      <c r="I141" s="154">
        <v>1680</v>
      </c>
      <c r="J141" s="157"/>
      <c r="K141" s="155">
        <v>1680</v>
      </c>
      <c r="L141" s="154">
        <v>1680</v>
      </c>
      <c r="M141" s="156"/>
      <c r="N141" s="155">
        <v>1680</v>
      </c>
      <c r="O141" s="155">
        <v>1680</v>
      </c>
      <c r="P141" s="154">
        <v>1680</v>
      </c>
      <c r="Q141" s="155">
        <v>1680</v>
      </c>
      <c r="R141" s="155">
        <v>1680</v>
      </c>
      <c r="S141" s="154">
        <v>1680</v>
      </c>
      <c r="T141" s="156"/>
      <c r="U141" s="155">
        <v>1680</v>
      </c>
      <c r="V141" s="155">
        <v>960</v>
      </c>
      <c r="W141" s="154">
        <v>960</v>
      </c>
      <c r="X141" s="155">
        <v>1440</v>
      </c>
      <c r="Y141" s="155">
        <v>1440</v>
      </c>
      <c r="Z141" s="156"/>
      <c r="AA141" s="156"/>
      <c r="AB141" s="155">
        <v>1440</v>
      </c>
      <c r="AC141" s="155">
        <v>1440</v>
      </c>
      <c r="AD141" s="154">
        <v>1440</v>
      </c>
      <c r="AE141" s="155">
        <v>1440</v>
      </c>
      <c r="AF141" s="155">
        <v>1440</v>
      </c>
      <c r="AG141" s="158"/>
      <c r="AH141" s="158"/>
    </row>
    <row r="142" spans="1:34" ht="15">
      <c r="A142" s="390"/>
      <c r="B142" s="159" t="s">
        <v>47</v>
      </c>
      <c r="C142" s="160">
        <v>9558</v>
      </c>
      <c r="D142" s="160">
        <v>1593</v>
      </c>
      <c r="E142" s="163"/>
      <c r="F142" s="163"/>
      <c r="G142" s="162">
        <v>1188</v>
      </c>
      <c r="H142" s="162">
        <v>1368</v>
      </c>
      <c r="I142" s="161">
        <v>1806</v>
      </c>
      <c r="J142" s="164"/>
      <c r="K142" s="162">
        <v>1740</v>
      </c>
      <c r="L142" s="161">
        <v>1728</v>
      </c>
      <c r="M142" s="163"/>
      <c r="N142" s="162">
        <v>1728</v>
      </c>
      <c r="O142" s="164"/>
      <c r="P142" s="163"/>
      <c r="Q142" s="164"/>
      <c r="R142" s="164"/>
      <c r="S142" s="163"/>
      <c r="T142" s="163"/>
      <c r="U142" s="164"/>
      <c r="V142" s="164"/>
      <c r="W142" s="163"/>
      <c r="X142" s="164"/>
      <c r="Y142" s="164"/>
      <c r="Z142" s="163"/>
      <c r="AA142" s="163"/>
      <c r="AB142" s="164"/>
      <c r="AC142" s="164"/>
      <c r="AD142" s="163"/>
      <c r="AE142" s="164"/>
      <c r="AF142" s="164"/>
      <c r="AG142" s="165"/>
      <c r="AH142" s="165"/>
    </row>
    <row r="143" spans="1:34" ht="15">
      <c r="A143" s="390"/>
      <c r="B143" s="159" t="s">
        <v>48</v>
      </c>
      <c r="C143" s="166">
        <v>-102</v>
      </c>
      <c r="D143" s="166">
        <v>-17</v>
      </c>
      <c r="E143" s="163"/>
      <c r="F143" s="163"/>
      <c r="G143" s="164">
        <v>-72</v>
      </c>
      <c r="H143" s="164">
        <v>-312</v>
      </c>
      <c r="I143" s="161">
        <v>126</v>
      </c>
      <c r="J143" s="164"/>
      <c r="K143" s="162">
        <v>60</v>
      </c>
      <c r="L143" s="161">
        <v>48</v>
      </c>
      <c r="M143" s="163"/>
      <c r="N143" s="162">
        <v>48</v>
      </c>
      <c r="O143" s="164"/>
      <c r="P143" s="163"/>
      <c r="Q143" s="164"/>
      <c r="R143" s="164"/>
      <c r="S143" s="163"/>
      <c r="T143" s="163"/>
      <c r="U143" s="164"/>
      <c r="V143" s="164"/>
      <c r="W143" s="163"/>
      <c r="X143" s="164"/>
      <c r="Y143" s="164"/>
      <c r="Z143" s="163"/>
      <c r="AA143" s="163"/>
      <c r="AB143" s="164"/>
      <c r="AC143" s="164"/>
      <c r="AD143" s="163"/>
      <c r="AE143" s="164"/>
      <c r="AF143" s="164"/>
      <c r="AG143" s="165"/>
      <c r="AH143" s="165"/>
    </row>
    <row r="144" spans="1:34" ht="15">
      <c r="A144" s="390"/>
      <c r="B144" s="159" t="s">
        <v>49</v>
      </c>
      <c r="C144" s="160">
        <v>48</v>
      </c>
      <c r="D144" s="160">
        <v>8</v>
      </c>
      <c r="E144" s="163"/>
      <c r="F144" s="163"/>
      <c r="G144" s="162">
        <v>8</v>
      </c>
      <c r="H144" s="162">
        <v>8</v>
      </c>
      <c r="I144" s="161">
        <v>8</v>
      </c>
      <c r="J144" s="164"/>
      <c r="K144" s="162">
        <v>8</v>
      </c>
      <c r="L144" s="161">
        <v>8</v>
      </c>
      <c r="M144" s="163"/>
      <c r="N144" s="162">
        <v>8</v>
      </c>
      <c r="O144" s="164"/>
      <c r="P144" s="163"/>
      <c r="Q144" s="164"/>
      <c r="R144" s="164"/>
      <c r="S144" s="163"/>
      <c r="T144" s="163"/>
      <c r="U144" s="164"/>
      <c r="V144" s="164"/>
      <c r="W144" s="163"/>
      <c r="X144" s="164"/>
      <c r="Y144" s="164"/>
      <c r="Z144" s="163"/>
      <c r="AA144" s="163"/>
      <c r="AB144" s="164"/>
      <c r="AC144" s="164"/>
      <c r="AD144" s="163"/>
      <c r="AE144" s="164"/>
      <c r="AF144" s="164"/>
      <c r="AG144" s="165"/>
      <c r="AH144" s="165"/>
    </row>
    <row r="145" spans="1:34" ht="15">
      <c r="A145" s="390"/>
      <c r="B145" s="159" t="s">
        <v>50</v>
      </c>
      <c r="C145" s="160">
        <v>97</v>
      </c>
      <c r="D145" s="160">
        <v>97</v>
      </c>
      <c r="E145" s="163"/>
      <c r="F145" s="163"/>
      <c r="G145" s="162">
        <v>98</v>
      </c>
      <c r="H145" s="162">
        <v>98</v>
      </c>
      <c r="I145" s="161">
        <v>95</v>
      </c>
      <c r="J145" s="164"/>
      <c r="K145" s="162">
        <v>98</v>
      </c>
      <c r="L145" s="161">
        <v>96</v>
      </c>
      <c r="M145" s="163"/>
      <c r="N145" s="162">
        <v>97</v>
      </c>
      <c r="O145" s="164"/>
      <c r="P145" s="163"/>
      <c r="Q145" s="164"/>
      <c r="R145" s="164"/>
      <c r="S145" s="163"/>
      <c r="T145" s="163"/>
      <c r="U145" s="164"/>
      <c r="V145" s="164"/>
      <c r="W145" s="163"/>
      <c r="X145" s="164"/>
      <c r="Y145" s="164"/>
      <c r="Z145" s="163"/>
      <c r="AA145" s="163"/>
      <c r="AB145" s="164"/>
      <c r="AC145" s="164"/>
      <c r="AD145" s="163"/>
      <c r="AE145" s="164"/>
      <c r="AF145" s="164"/>
      <c r="AG145" s="165"/>
      <c r="AH145" s="165"/>
    </row>
    <row r="146" spans="1:34" ht="15">
      <c r="A146" s="390"/>
      <c r="B146" s="159" t="s">
        <v>51</v>
      </c>
      <c r="C146" s="160">
        <v>199.125</v>
      </c>
      <c r="D146" s="160">
        <v>199.125</v>
      </c>
      <c r="E146" s="163"/>
      <c r="F146" s="163"/>
      <c r="G146" s="162">
        <v>148.5</v>
      </c>
      <c r="H146" s="162">
        <v>171</v>
      </c>
      <c r="I146" s="161">
        <v>225.75</v>
      </c>
      <c r="J146" s="164"/>
      <c r="K146" s="162">
        <v>217.5</v>
      </c>
      <c r="L146" s="161">
        <v>216</v>
      </c>
      <c r="M146" s="163"/>
      <c r="N146" s="162">
        <v>216</v>
      </c>
      <c r="O146" s="164"/>
      <c r="P146" s="163"/>
      <c r="Q146" s="164"/>
      <c r="R146" s="164"/>
      <c r="S146" s="163"/>
      <c r="T146" s="163"/>
      <c r="U146" s="164"/>
      <c r="V146" s="164"/>
      <c r="W146" s="163"/>
      <c r="X146" s="164"/>
      <c r="Y146" s="164"/>
      <c r="Z146" s="163"/>
      <c r="AA146" s="163"/>
      <c r="AB146" s="164"/>
      <c r="AC146" s="164"/>
      <c r="AD146" s="163"/>
      <c r="AE146" s="164"/>
      <c r="AF146" s="164"/>
      <c r="AG146" s="165"/>
      <c r="AH146" s="165"/>
    </row>
    <row r="147" spans="1:34" ht="15">
      <c r="A147" s="391"/>
      <c r="B147" s="167" t="s">
        <v>52</v>
      </c>
      <c r="C147" s="168">
        <v>2.0528</v>
      </c>
      <c r="D147" s="168">
        <v>2.0528</v>
      </c>
      <c r="E147" s="170"/>
      <c r="F147" s="170"/>
      <c r="G147" s="168">
        <v>1.5152999999999999</v>
      </c>
      <c r="H147" s="168">
        <v>1.7448999999999999</v>
      </c>
      <c r="I147" s="169">
        <v>2.3763000000000001</v>
      </c>
      <c r="J147" s="171"/>
      <c r="K147" s="168">
        <v>2.2193999999999998</v>
      </c>
      <c r="L147" s="169">
        <v>2.25</v>
      </c>
      <c r="M147" s="170"/>
      <c r="N147" s="168">
        <v>2.2267999999999999</v>
      </c>
      <c r="O147" s="171"/>
      <c r="P147" s="170"/>
      <c r="Q147" s="171"/>
      <c r="R147" s="171"/>
      <c r="S147" s="170"/>
      <c r="T147" s="170"/>
      <c r="U147" s="171"/>
      <c r="V147" s="171"/>
      <c r="W147" s="170"/>
      <c r="X147" s="171"/>
      <c r="Y147" s="171"/>
      <c r="Z147" s="170"/>
      <c r="AA147" s="170"/>
      <c r="AB147" s="171"/>
      <c r="AC147" s="171"/>
      <c r="AD147" s="170"/>
      <c r="AE147" s="171"/>
      <c r="AF147" s="171"/>
      <c r="AG147" s="172"/>
      <c r="AH147" s="172"/>
    </row>
  </sheetData>
  <mergeCells count="20">
    <mergeCell ref="A108:A115"/>
    <mergeCell ref="A116:A123"/>
    <mergeCell ref="A124:A131"/>
    <mergeCell ref="A132:A139"/>
    <mergeCell ref="A140:A147"/>
    <mergeCell ref="A68:A75"/>
    <mergeCell ref="A76:A83"/>
    <mergeCell ref="A84:A91"/>
    <mergeCell ref="A92:A99"/>
    <mergeCell ref="A100:A107"/>
    <mergeCell ref="A28:A35"/>
    <mergeCell ref="A36:A43"/>
    <mergeCell ref="A44:A51"/>
    <mergeCell ref="A52:A59"/>
    <mergeCell ref="A60:A67"/>
    <mergeCell ref="A4:A11"/>
    <mergeCell ref="A1:B1"/>
    <mergeCell ref="A2:AE2"/>
    <mergeCell ref="A12:A19"/>
    <mergeCell ref="A20:A27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FF00"/>
  </sheetPr>
  <dimension ref="A1:AH179"/>
  <sheetViews>
    <sheetView workbookViewId="0">
      <selection sqref="A1:B1"/>
    </sheetView>
  </sheetViews>
  <sheetFormatPr defaultRowHeight="15.75"/>
  <cols>
    <col min="1" max="1" width="10.42578125" style="73" customWidth="1"/>
    <col min="4" max="4" width="8.42578125" style="71" customWidth="1"/>
    <col min="5" max="6" width="4.7109375" style="70" customWidth="1"/>
    <col min="7" max="8" width="4.7109375" style="137" customWidth="1"/>
    <col min="9" max="9" width="4.7109375" style="70" customWidth="1"/>
    <col min="10" max="11" width="4.7109375" style="137" customWidth="1"/>
    <col min="12" max="13" width="4.7109375" style="70" customWidth="1"/>
    <col min="14" max="15" width="4.7109375" style="137" customWidth="1"/>
    <col min="16" max="16" width="4.7109375" style="70" customWidth="1"/>
    <col min="17" max="18" width="4.7109375" style="137" customWidth="1"/>
    <col min="19" max="20" width="4.7109375" style="70" customWidth="1"/>
    <col min="21" max="22" width="4.7109375" style="137" customWidth="1"/>
    <col min="23" max="23" width="4.7109375" style="70" customWidth="1"/>
    <col min="24" max="25" width="4.7109375" style="137" customWidth="1"/>
    <col min="26" max="27" width="4.7109375" style="70" customWidth="1"/>
    <col min="28" max="29" width="4.7109375" style="137" customWidth="1"/>
    <col min="30" max="30" width="4.7109375" style="70" customWidth="1"/>
    <col min="31" max="32" width="4.7109375" style="137" customWidth="1"/>
    <col min="33" max="34" width="4.7109375" style="70" customWidth="1"/>
  </cols>
  <sheetData>
    <row r="1" spans="1:34" ht="27.75">
      <c r="A1" s="369" t="s">
        <v>4</v>
      </c>
      <c r="B1" s="370"/>
    </row>
    <row r="2" spans="1:34" s="8" customFormat="1" ht="30">
      <c r="A2" s="388" t="s">
        <v>173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138"/>
      <c r="AG2" s="74"/>
      <c r="AH2" s="74"/>
    </row>
    <row r="3" spans="1:34" s="8" customFormat="1" ht="16.5">
      <c r="A3" s="72" t="s">
        <v>83</v>
      </c>
      <c r="B3" s="283" t="s">
        <v>174</v>
      </c>
      <c r="C3" s="284" t="s">
        <v>44</v>
      </c>
      <c r="D3" s="285" t="s">
        <v>84</v>
      </c>
      <c r="E3" s="286">
        <v>1</v>
      </c>
      <c r="F3" s="287">
        <v>2</v>
      </c>
      <c r="G3" s="311">
        <v>3</v>
      </c>
      <c r="H3" s="311">
        <v>4</v>
      </c>
      <c r="I3" s="286">
        <v>5</v>
      </c>
      <c r="J3" s="311">
        <v>6</v>
      </c>
      <c r="K3" s="311">
        <v>7</v>
      </c>
      <c r="L3" s="286">
        <v>8</v>
      </c>
      <c r="M3" s="287">
        <v>9</v>
      </c>
      <c r="N3" s="311">
        <v>10</v>
      </c>
      <c r="O3" s="311">
        <v>11</v>
      </c>
      <c r="P3" s="286">
        <v>12</v>
      </c>
      <c r="Q3" s="311">
        <v>13</v>
      </c>
      <c r="R3" s="311">
        <v>14</v>
      </c>
      <c r="S3" s="286">
        <v>15</v>
      </c>
      <c r="T3" s="287">
        <v>16</v>
      </c>
      <c r="U3" s="311">
        <v>17</v>
      </c>
      <c r="V3" s="311">
        <v>18</v>
      </c>
      <c r="W3" s="286">
        <v>19</v>
      </c>
      <c r="X3" s="311">
        <v>20</v>
      </c>
      <c r="Y3" s="311">
        <v>21</v>
      </c>
      <c r="Z3" s="286">
        <v>22</v>
      </c>
      <c r="AA3" s="287">
        <v>23</v>
      </c>
      <c r="AB3" s="311">
        <v>24</v>
      </c>
      <c r="AC3" s="311">
        <v>25</v>
      </c>
      <c r="AD3" s="286">
        <v>26</v>
      </c>
      <c r="AE3" s="311">
        <v>27</v>
      </c>
      <c r="AF3" s="311">
        <v>28</v>
      </c>
      <c r="AG3" s="288">
        <v>29</v>
      </c>
      <c r="AH3" s="289">
        <v>30</v>
      </c>
    </row>
    <row r="4" spans="1:34" s="8" customFormat="1" ht="15">
      <c r="A4" s="392" t="s">
        <v>44</v>
      </c>
      <c r="B4" s="290" t="s">
        <v>45</v>
      </c>
      <c r="C4" s="291">
        <v>170576</v>
      </c>
      <c r="D4" s="291">
        <v>28722.666666666668</v>
      </c>
      <c r="E4" s="294"/>
      <c r="F4" s="294"/>
      <c r="G4" s="293">
        <v>28872</v>
      </c>
      <c r="H4" s="293">
        <v>28928</v>
      </c>
      <c r="I4" s="292">
        <v>28776</v>
      </c>
      <c r="J4" s="295"/>
      <c r="K4" s="293">
        <v>28624</v>
      </c>
      <c r="L4" s="292">
        <v>28656</v>
      </c>
      <c r="M4" s="294"/>
      <c r="N4" s="293">
        <v>26720</v>
      </c>
      <c r="O4" s="295"/>
      <c r="P4" s="294"/>
      <c r="Q4" s="295"/>
      <c r="R4" s="295"/>
      <c r="S4" s="294"/>
      <c r="T4" s="294"/>
      <c r="U4" s="295"/>
      <c r="V4" s="295"/>
      <c r="W4" s="294"/>
      <c r="X4" s="295"/>
      <c r="Y4" s="295"/>
      <c r="Z4" s="294"/>
      <c r="AA4" s="294"/>
      <c r="AB4" s="295"/>
      <c r="AC4" s="295"/>
      <c r="AD4" s="294"/>
      <c r="AE4" s="295"/>
      <c r="AF4" s="295"/>
      <c r="AG4" s="296"/>
      <c r="AH4" s="296"/>
    </row>
    <row r="5" spans="1:34" s="8" customFormat="1" ht="15">
      <c r="A5" s="393"/>
      <c r="B5" s="290" t="s">
        <v>46</v>
      </c>
      <c r="C5" s="291">
        <v>158952</v>
      </c>
      <c r="D5" s="291">
        <v>26772</v>
      </c>
      <c r="E5" s="294"/>
      <c r="F5" s="294"/>
      <c r="G5" s="293">
        <v>26992</v>
      </c>
      <c r="H5" s="293">
        <v>26992</v>
      </c>
      <c r="I5" s="292">
        <v>26992</v>
      </c>
      <c r="J5" s="295"/>
      <c r="K5" s="293">
        <v>26992</v>
      </c>
      <c r="L5" s="292">
        <v>26332</v>
      </c>
      <c r="M5" s="294"/>
      <c r="N5" s="293">
        <v>24652</v>
      </c>
      <c r="O5" s="293">
        <v>24932</v>
      </c>
      <c r="P5" s="292">
        <v>25232</v>
      </c>
      <c r="Q5" s="293">
        <v>24952</v>
      </c>
      <c r="R5" s="293">
        <v>24572</v>
      </c>
      <c r="S5" s="292">
        <v>24632</v>
      </c>
      <c r="T5" s="294"/>
      <c r="U5" s="293">
        <v>25232</v>
      </c>
      <c r="V5" s="293">
        <v>25232</v>
      </c>
      <c r="W5" s="292">
        <v>25232</v>
      </c>
      <c r="X5" s="293">
        <v>25112</v>
      </c>
      <c r="Y5" s="293">
        <v>25112</v>
      </c>
      <c r="Z5" s="294"/>
      <c r="AA5" s="294"/>
      <c r="AB5" s="293">
        <v>25132</v>
      </c>
      <c r="AC5" s="293">
        <v>24952</v>
      </c>
      <c r="AD5" s="292">
        <v>25632</v>
      </c>
      <c r="AE5" s="293">
        <v>25972</v>
      </c>
      <c r="AF5" s="293">
        <v>26352</v>
      </c>
      <c r="AG5" s="296"/>
      <c r="AH5" s="296"/>
    </row>
    <row r="6" spans="1:34" s="8" customFormat="1" ht="15">
      <c r="A6" s="393"/>
      <c r="B6" s="297" t="s">
        <v>175</v>
      </c>
      <c r="C6" s="298">
        <v>153270</v>
      </c>
      <c r="D6" s="298">
        <v>25797.533333333333</v>
      </c>
      <c r="E6" s="301"/>
      <c r="F6" s="301"/>
      <c r="G6" s="300">
        <v>26908</v>
      </c>
      <c r="H6" s="300">
        <v>25457</v>
      </c>
      <c r="I6" s="299">
        <v>25758</v>
      </c>
      <c r="J6" s="302"/>
      <c r="K6" s="300">
        <v>26588</v>
      </c>
      <c r="L6" s="299">
        <v>25624</v>
      </c>
      <c r="M6" s="301"/>
      <c r="N6" s="300">
        <v>22935</v>
      </c>
      <c r="O6" s="302"/>
      <c r="P6" s="301"/>
      <c r="Q6" s="302"/>
      <c r="R6" s="302"/>
      <c r="S6" s="301"/>
      <c r="T6" s="301"/>
      <c r="U6" s="302"/>
      <c r="V6" s="302"/>
      <c r="W6" s="301"/>
      <c r="X6" s="302"/>
      <c r="Y6" s="302"/>
      <c r="Z6" s="301"/>
      <c r="AA6" s="301"/>
      <c r="AB6" s="302"/>
      <c r="AC6" s="302"/>
      <c r="AD6" s="301"/>
      <c r="AE6" s="302"/>
      <c r="AF6" s="302"/>
      <c r="AG6" s="303"/>
      <c r="AH6" s="303"/>
    </row>
    <row r="7" spans="1:34" s="8" customFormat="1" ht="15">
      <c r="A7" s="393"/>
      <c r="B7" s="297" t="s">
        <v>48</v>
      </c>
      <c r="C7" s="304">
        <v>-5682</v>
      </c>
      <c r="D7" s="304">
        <v>-974.46666666666692</v>
      </c>
      <c r="E7" s="301"/>
      <c r="F7" s="301"/>
      <c r="G7" s="302">
        <v>-84</v>
      </c>
      <c r="H7" s="302">
        <v>-1535</v>
      </c>
      <c r="I7" s="301">
        <v>-1234</v>
      </c>
      <c r="J7" s="302"/>
      <c r="K7" s="302">
        <v>-404</v>
      </c>
      <c r="L7" s="301">
        <v>-708</v>
      </c>
      <c r="M7" s="301"/>
      <c r="N7" s="302">
        <v>-1717</v>
      </c>
      <c r="O7" s="302"/>
      <c r="P7" s="301"/>
      <c r="Q7" s="302"/>
      <c r="R7" s="302"/>
      <c r="S7" s="301"/>
      <c r="T7" s="301"/>
      <c r="U7" s="302"/>
      <c r="V7" s="302"/>
      <c r="W7" s="301"/>
      <c r="X7" s="302"/>
      <c r="Y7" s="302"/>
      <c r="Z7" s="301"/>
      <c r="AA7" s="301"/>
      <c r="AB7" s="302"/>
      <c r="AC7" s="302"/>
      <c r="AD7" s="301"/>
      <c r="AE7" s="302"/>
      <c r="AF7" s="302"/>
      <c r="AG7" s="303"/>
      <c r="AH7" s="303"/>
    </row>
    <row r="8" spans="1:34" s="8" customFormat="1" ht="15">
      <c r="A8" s="393"/>
      <c r="B8" s="297" t="s">
        <v>176</v>
      </c>
      <c r="C8" s="298">
        <v>47.6</v>
      </c>
      <c r="D8" s="298">
        <v>8</v>
      </c>
      <c r="E8" s="301"/>
      <c r="F8" s="301"/>
      <c r="G8" s="300">
        <v>8</v>
      </c>
      <c r="H8" s="300">
        <v>8</v>
      </c>
      <c r="I8" s="299">
        <v>8</v>
      </c>
      <c r="J8" s="302"/>
      <c r="K8" s="300">
        <v>8</v>
      </c>
      <c r="L8" s="299">
        <v>8</v>
      </c>
      <c r="M8" s="301"/>
      <c r="N8" s="300">
        <v>8</v>
      </c>
      <c r="O8" s="302"/>
      <c r="P8" s="301"/>
      <c r="Q8" s="302"/>
      <c r="R8" s="302"/>
      <c r="S8" s="301"/>
      <c r="T8" s="301"/>
      <c r="U8" s="302"/>
      <c r="V8" s="302"/>
      <c r="W8" s="301"/>
      <c r="X8" s="302"/>
      <c r="Y8" s="302"/>
      <c r="Z8" s="301"/>
      <c r="AA8" s="301"/>
      <c r="AB8" s="302"/>
      <c r="AC8" s="302"/>
      <c r="AD8" s="301"/>
      <c r="AE8" s="302"/>
      <c r="AF8" s="302"/>
      <c r="AG8" s="303"/>
      <c r="AH8" s="303"/>
    </row>
    <row r="9" spans="1:34" s="8" customFormat="1" ht="15">
      <c r="A9" s="393"/>
      <c r="B9" s="297" t="s">
        <v>177</v>
      </c>
      <c r="C9" s="298">
        <v>1352</v>
      </c>
      <c r="D9" s="298">
        <v>1352</v>
      </c>
      <c r="E9" s="301"/>
      <c r="F9" s="301"/>
      <c r="G9" s="300">
        <v>1373</v>
      </c>
      <c r="H9" s="300">
        <v>1372</v>
      </c>
      <c r="I9" s="299">
        <v>1357</v>
      </c>
      <c r="J9" s="302"/>
      <c r="K9" s="300">
        <v>1351</v>
      </c>
      <c r="L9" s="299">
        <v>1356</v>
      </c>
      <c r="M9" s="301"/>
      <c r="N9" s="300">
        <v>1281</v>
      </c>
      <c r="O9" s="302"/>
      <c r="P9" s="301"/>
      <c r="Q9" s="302"/>
      <c r="R9" s="302"/>
      <c r="S9" s="301"/>
      <c r="T9" s="301"/>
      <c r="U9" s="302"/>
      <c r="V9" s="302"/>
      <c r="W9" s="301"/>
      <c r="X9" s="302"/>
      <c r="Y9" s="302"/>
      <c r="Z9" s="301"/>
      <c r="AA9" s="301"/>
      <c r="AB9" s="302"/>
      <c r="AC9" s="302"/>
      <c r="AD9" s="301"/>
      <c r="AE9" s="302"/>
      <c r="AF9" s="302"/>
      <c r="AG9" s="303"/>
      <c r="AH9" s="303"/>
    </row>
    <row r="10" spans="1:34" s="8" customFormat="1" ht="15">
      <c r="A10" s="393"/>
      <c r="B10" s="297" t="s">
        <v>178</v>
      </c>
      <c r="C10" s="298">
        <v>3224.6916666666666</v>
      </c>
      <c r="D10" s="298">
        <v>3224.6916666666666</v>
      </c>
      <c r="E10" s="301"/>
      <c r="F10" s="301"/>
      <c r="G10" s="300">
        <v>3363.5</v>
      </c>
      <c r="H10" s="300">
        <v>3182.125</v>
      </c>
      <c r="I10" s="299">
        <v>3219.75</v>
      </c>
      <c r="J10" s="302"/>
      <c r="K10" s="300">
        <v>3323.5</v>
      </c>
      <c r="L10" s="299">
        <v>3203</v>
      </c>
      <c r="M10" s="301"/>
      <c r="N10" s="300">
        <v>2866.875</v>
      </c>
      <c r="O10" s="302"/>
      <c r="P10" s="301"/>
      <c r="Q10" s="302"/>
      <c r="R10" s="302"/>
      <c r="S10" s="301"/>
      <c r="T10" s="301"/>
      <c r="U10" s="302"/>
      <c r="V10" s="302"/>
      <c r="W10" s="301"/>
      <c r="X10" s="302"/>
      <c r="Y10" s="302"/>
      <c r="Z10" s="301"/>
      <c r="AA10" s="301"/>
      <c r="AB10" s="302"/>
      <c r="AC10" s="302"/>
      <c r="AD10" s="301"/>
      <c r="AE10" s="302"/>
      <c r="AF10" s="302"/>
      <c r="AG10" s="303"/>
      <c r="AH10" s="303"/>
    </row>
    <row r="11" spans="1:34" s="8" customFormat="1" ht="15">
      <c r="A11" s="394"/>
      <c r="B11" s="305" t="s">
        <v>52</v>
      </c>
      <c r="C11" s="306">
        <v>2.3851269723865873</v>
      </c>
      <c r="D11" s="306">
        <v>2.3851269723865878</v>
      </c>
      <c r="E11" s="308"/>
      <c r="F11" s="308"/>
      <c r="G11" s="306">
        <v>2.4497450837581938</v>
      </c>
      <c r="H11" s="306">
        <v>2.3193330903790086</v>
      </c>
      <c r="I11" s="307">
        <v>2.3726971260132648</v>
      </c>
      <c r="J11" s="309"/>
      <c r="K11" s="306">
        <v>2.4600296076980013</v>
      </c>
      <c r="L11" s="307">
        <v>2.362094395280236</v>
      </c>
      <c r="M11" s="308"/>
      <c r="N11" s="306">
        <v>2.2379976580796255</v>
      </c>
      <c r="O11" s="309"/>
      <c r="P11" s="308"/>
      <c r="Q11" s="309"/>
      <c r="R11" s="309"/>
      <c r="S11" s="308"/>
      <c r="T11" s="308"/>
      <c r="U11" s="309"/>
      <c r="V11" s="309"/>
      <c r="W11" s="308"/>
      <c r="X11" s="309"/>
      <c r="Y11" s="309"/>
      <c r="Z11" s="308"/>
      <c r="AA11" s="308"/>
      <c r="AB11" s="309"/>
      <c r="AC11" s="309"/>
      <c r="AD11" s="308"/>
      <c r="AE11" s="309"/>
      <c r="AF11" s="309"/>
      <c r="AG11" s="310"/>
      <c r="AH11" s="310"/>
    </row>
    <row r="12" spans="1:34" ht="15">
      <c r="A12" s="392" t="s">
        <v>179</v>
      </c>
      <c r="B12" s="229" t="s">
        <v>45</v>
      </c>
      <c r="C12" s="230">
        <v>8160</v>
      </c>
      <c r="D12" s="230">
        <v>1360</v>
      </c>
      <c r="E12" s="233"/>
      <c r="F12" s="233"/>
      <c r="G12" s="232">
        <v>1360</v>
      </c>
      <c r="H12" s="232">
        <v>1360</v>
      </c>
      <c r="I12" s="231">
        <v>1360</v>
      </c>
      <c r="J12" s="234"/>
      <c r="K12" s="232">
        <v>1360</v>
      </c>
      <c r="L12" s="231">
        <v>1360</v>
      </c>
      <c r="M12" s="233"/>
      <c r="N12" s="232">
        <v>1360</v>
      </c>
      <c r="O12" s="234"/>
      <c r="P12" s="233"/>
      <c r="Q12" s="234"/>
      <c r="R12" s="234"/>
      <c r="S12" s="233"/>
      <c r="T12" s="233"/>
      <c r="U12" s="234"/>
      <c r="V12" s="234"/>
      <c r="W12" s="233"/>
      <c r="X12" s="234"/>
      <c r="Y12" s="234"/>
      <c r="Z12" s="233"/>
      <c r="AA12" s="233"/>
      <c r="AB12" s="234"/>
      <c r="AC12" s="234"/>
      <c r="AD12" s="233"/>
      <c r="AE12" s="234"/>
      <c r="AF12" s="234"/>
      <c r="AG12" s="235"/>
      <c r="AH12" s="235"/>
    </row>
    <row r="13" spans="1:34" ht="15">
      <c r="A13" s="393"/>
      <c r="B13" s="229" t="s">
        <v>46</v>
      </c>
      <c r="C13" s="230">
        <v>8160</v>
      </c>
      <c r="D13" s="230">
        <v>1360</v>
      </c>
      <c r="E13" s="233"/>
      <c r="F13" s="233"/>
      <c r="G13" s="232">
        <v>1360</v>
      </c>
      <c r="H13" s="232">
        <v>1360</v>
      </c>
      <c r="I13" s="231">
        <v>1360</v>
      </c>
      <c r="J13" s="234"/>
      <c r="K13" s="232">
        <v>1360</v>
      </c>
      <c r="L13" s="231">
        <v>1360</v>
      </c>
      <c r="M13" s="233"/>
      <c r="N13" s="232">
        <v>1360</v>
      </c>
      <c r="O13" s="232">
        <v>1360</v>
      </c>
      <c r="P13" s="231">
        <v>1360</v>
      </c>
      <c r="Q13" s="232">
        <v>1360</v>
      </c>
      <c r="R13" s="232">
        <v>1360</v>
      </c>
      <c r="S13" s="231">
        <v>1360</v>
      </c>
      <c r="T13" s="233"/>
      <c r="U13" s="232">
        <v>1360</v>
      </c>
      <c r="V13" s="232">
        <v>1360</v>
      </c>
      <c r="W13" s="231">
        <v>1360</v>
      </c>
      <c r="X13" s="232">
        <v>1360</v>
      </c>
      <c r="Y13" s="232">
        <v>1360</v>
      </c>
      <c r="Z13" s="233"/>
      <c r="AA13" s="233"/>
      <c r="AB13" s="232">
        <v>1360</v>
      </c>
      <c r="AC13" s="232">
        <v>1360</v>
      </c>
      <c r="AD13" s="231">
        <v>1360</v>
      </c>
      <c r="AE13" s="232">
        <v>1360</v>
      </c>
      <c r="AF13" s="232">
        <v>1360</v>
      </c>
      <c r="AG13" s="235"/>
      <c r="AH13" s="235"/>
    </row>
    <row r="14" spans="1:34" ht="15">
      <c r="A14" s="393"/>
      <c r="B14" s="237" t="s">
        <v>47</v>
      </c>
      <c r="C14" s="238">
        <v>8788</v>
      </c>
      <c r="D14" s="238">
        <v>1464.6666666666667</v>
      </c>
      <c r="E14" s="241"/>
      <c r="F14" s="241"/>
      <c r="G14" s="240">
        <v>1608</v>
      </c>
      <c r="H14" s="240">
        <v>1360</v>
      </c>
      <c r="I14" s="239">
        <v>1500</v>
      </c>
      <c r="J14" s="242"/>
      <c r="K14" s="240">
        <v>1450</v>
      </c>
      <c r="L14" s="239">
        <v>1410</v>
      </c>
      <c r="M14" s="241"/>
      <c r="N14" s="240">
        <v>1460</v>
      </c>
      <c r="O14" s="242"/>
      <c r="P14" s="241"/>
      <c r="Q14" s="242"/>
      <c r="R14" s="242"/>
      <c r="S14" s="241"/>
      <c r="T14" s="241"/>
      <c r="U14" s="242"/>
      <c r="V14" s="242"/>
      <c r="W14" s="241"/>
      <c r="X14" s="242"/>
      <c r="Y14" s="242"/>
      <c r="Z14" s="241"/>
      <c r="AA14" s="241"/>
      <c r="AB14" s="242"/>
      <c r="AC14" s="242"/>
      <c r="AD14" s="241"/>
      <c r="AE14" s="242"/>
      <c r="AF14" s="242"/>
      <c r="AG14" s="243"/>
      <c r="AH14" s="243"/>
    </row>
    <row r="15" spans="1:34" ht="15">
      <c r="A15" s="393"/>
      <c r="B15" s="237" t="s">
        <v>48</v>
      </c>
      <c r="C15" s="238">
        <v>628</v>
      </c>
      <c r="D15" s="238">
        <v>104.66666666666667</v>
      </c>
      <c r="E15" s="241"/>
      <c r="F15" s="241"/>
      <c r="G15" s="240">
        <v>248</v>
      </c>
      <c r="H15" s="240">
        <v>0</v>
      </c>
      <c r="I15" s="239">
        <v>140</v>
      </c>
      <c r="J15" s="242"/>
      <c r="K15" s="240">
        <v>90</v>
      </c>
      <c r="L15" s="239">
        <v>50</v>
      </c>
      <c r="M15" s="241"/>
      <c r="N15" s="240">
        <v>100</v>
      </c>
      <c r="O15" s="242"/>
      <c r="P15" s="241"/>
      <c r="Q15" s="242"/>
      <c r="R15" s="242"/>
      <c r="S15" s="241"/>
      <c r="T15" s="241"/>
      <c r="U15" s="242"/>
      <c r="V15" s="242"/>
      <c r="W15" s="241"/>
      <c r="X15" s="242"/>
      <c r="Y15" s="242"/>
      <c r="Z15" s="241"/>
      <c r="AA15" s="241"/>
      <c r="AB15" s="242"/>
      <c r="AC15" s="242"/>
      <c r="AD15" s="241"/>
      <c r="AE15" s="242"/>
      <c r="AF15" s="242"/>
      <c r="AG15" s="243"/>
      <c r="AH15" s="243"/>
    </row>
    <row r="16" spans="1:34" ht="15">
      <c r="A16" s="393"/>
      <c r="B16" s="237" t="s">
        <v>49</v>
      </c>
      <c r="C16" s="238">
        <v>48</v>
      </c>
      <c r="D16" s="238">
        <v>8</v>
      </c>
      <c r="E16" s="241"/>
      <c r="F16" s="241"/>
      <c r="G16" s="240">
        <v>8</v>
      </c>
      <c r="H16" s="240">
        <v>8</v>
      </c>
      <c r="I16" s="239">
        <v>8</v>
      </c>
      <c r="J16" s="242"/>
      <c r="K16" s="240">
        <v>8</v>
      </c>
      <c r="L16" s="239">
        <v>8</v>
      </c>
      <c r="M16" s="241"/>
      <c r="N16" s="240">
        <v>8</v>
      </c>
      <c r="O16" s="242"/>
      <c r="P16" s="241"/>
      <c r="Q16" s="242"/>
      <c r="R16" s="242"/>
      <c r="S16" s="241"/>
      <c r="T16" s="241"/>
      <c r="U16" s="242"/>
      <c r="V16" s="242"/>
      <c r="W16" s="241"/>
      <c r="X16" s="242"/>
      <c r="Y16" s="242"/>
      <c r="Z16" s="241"/>
      <c r="AA16" s="241"/>
      <c r="AB16" s="242"/>
      <c r="AC16" s="242"/>
      <c r="AD16" s="241"/>
      <c r="AE16" s="242"/>
      <c r="AF16" s="242"/>
      <c r="AG16" s="243"/>
      <c r="AH16" s="243"/>
    </row>
    <row r="17" spans="1:34" ht="15">
      <c r="A17" s="393"/>
      <c r="B17" s="237" t="s">
        <v>50</v>
      </c>
      <c r="C17" s="238">
        <v>70</v>
      </c>
      <c r="D17" s="238">
        <v>70</v>
      </c>
      <c r="E17" s="241"/>
      <c r="F17" s="241"/>
      <c r="G17" s="240">
        <v>72</v>
      </c>
      <c r="H17" s="240">
        <v>71</v>
      </c>
      <c r="I17" s="239">
        <v>69</v>
      </c>
      <c r="J17" s="242"/>
      <c r="K17" s="240">
        <v>70</v>
      </c>
      <c r="L17" s="239">
        <v>71</v>
      </c>
      <c r="M17" s="241"/>
      <c r="N17" s="240">
        <v>71</v>
      </c>
      <c r="O17" s="242"/>
      <c r="P17" s="241"/>
      <c r="Q17" s="242"/>
      <c r="R17" s="242"/>
      <c r="S17" s="241"/>
      <c r="T17" s="241"/>
      <c r="U17" s="242"/>
      <c r="V17" s="242"/>
      <c r="W17" s="241"/>
      <c r="X17" s="242"/>
      <c r="Y17" s="242"/>
      <c r="Z17" s="241"/>
      <c r="AA17" s="241"/>
      <c r="AB17" s="242"/>
      <c r="AC17" s="242"/>
      <c r="AD17" s="241"/>
      <c r="AE17" s="242"/>
      <c r="AF17" s="242"/>
      <c r="AG17" s="243"/>
      <c r="AH17" s="243"/>
    </row>
    <row r="18" spans="1:34" ht="15">
      <c r="A18" s="393"/>
      <c r="B18" s="237" t="s">
        <v>51</v>
      </c>
      <c r="C18" s="238">
        <v>183.08333333333334</v>
      </c>
      <c r="D18" s="238">
        <v>183.08333333333334</v>
      </c>
      <c r="E18" s="241"/>
      <c r="F18" s="241"/>
      <c r="G18" s="240">
        <v>201</v>
      </c>
      <c r="H18" s="240">
        <v>170</v>
      </c>
      <c r="I18" s="239">
        <v>187.5</v>
      </c>
      <c r="J18" s="242"/>
      <c r="K18" s="240">
        <v>181.25</v>
      </c>
      <c r="L18" s="239">
        <v>176.25</v>
      </c>
      <c r="M18" s="241"/>
      <c r="N18" s="240">
        <v>182.5</v>
      </c>
      <c r="O18" s="242"/>
      <c r="P18" s="241"/>
      <c r="Q18" s="242"/>
      <c r="R18" s="242"/>
      <c r="S18" s="241"/>
      <c r="T18" s="241"/>
      <c r="U18" s="242"/>
      <c r="V18" s="242"/>
      <c r="W18" s="241"/>
      <c r="X18" s="242"/>
      <c r="Y18" s="242"/>
      <c r="Z18" s="241"/>
      <c r="AA18" s="241"/>
      <c r="AB18" s="242"/>
      <c r="AC18" s="242"/>
      <c r="AD18" s="241"/>
      <c r="AE18" s="242"/>
      <c r="AF18" s="242"/>
      <c r="AG18" s="243"/>
      <c r="AH18" s="243"/>
    </row>
    <row r="19" spans="1:34" ht="15">
      <c r="A19" s="394"/>
      <c r="B19" s="245" t="s">
        <v>52</v>
      </c>
      <c r="C19" s="246">
        <v>2.6154999999999999</v>
      </c>
      <c r="D19" s="246">
        <v>2.6154999999999999</v>
      </c>
      <c r="E19" s="248"/>
      <c r="F19" s="248"/>
      <c r="G19" s="246">
        <v>2.7917000000000001</v>
      </c>
      <c r="H19" s="246">
        <v>2.3944000000000001</v>
      </c>
      <c r="I19" s="247">
        <v>2.7174</v>
      </c>
      <c r="J19" s="249"/>
      <c r="K19" s="246">
        <v>2.5893000000000002</v>
      </c>
      <c r="L19" s="247">
        <v>2.4824000000000002</v>
      </c>
      <c r="M19" s="248"/>
      <c r="N19" s="246">
        <v>2.5704000000000002</v>
      </c>
      <c r="O19" s="249"/>
      <c r="P19" s="248"/>
      <c r="Q19" s="249"/>
      <c r="R19" s="249"/>
      <c r="S19" s="248"/>
      <c r="T19" s="248"/>
      <c r="U19" s="249"/>
      <c r="V19" s="249"/>
      <c r="W19" s="248"/>
      <c r="X19" s="249"/>
      <c r="Y19" s="249"/>
      <c r="Z19" s="248"/>
      <c r="AA19" s="248"/>
      <c r="AB19" s="249"/>
      <c r="AC19" s="249"/>
      <c r="AD19" s="248"/>
      <c r="AE19" s="249"/>
      <c r="AF19" s="249"/>
      <c r="AG19" s="250"/>
      <c r="AH19" s="250"/>
    </row>
    <row r="20" spans="1:34" ht="15">
      <c r="A20" s="392" t="s">
        <v>180</v>
      </c>
      <c r="B20" s="229" t="s">
        <v>45</v>
      </c>
      <c r="C20" s="230">
        <v>8640</v>
      </c>
      <c r="D20" s="230">
        <v>1440</v>
      </c>
      <c r="E20" s="233"/>
      <c r="F20" s="233"/>
      <c r="G20" s="232">
        <v>1440</v>
      </c>
      <c r="H20" s="232">
        <v>1440</v>
      </c>
      <c r="I20" s="231">
        <v>1440</v>
      </c>
      <c r="J20" s="234"/>
      <c r="K20" s="232">
        <v>1440</v>
      </c>
      <c r="L20" s="231">
        <v>1440</v>
      </c>
      <c r="M20" s="233"/>
      <c r="N20" s="232">
        <v>1440</v>
      </c>
      <c r="O20" s="234"/>
      <c r="P20" s="233"/>
      <c r="Q20" s="234"/>
      <c r="R20" s="234"/>
      <c r="S20" s="233"/>
      <c r="T20" s="233"/>
      <c r="U20" s="234"/>
      <c r="V20" s="234"/>
      <c r="W20" s="233"/>
      <c r="X20" s="234"/>
      <c r="Y20" s="234"/>
      <c r="Z20" s="233"/>
      <c r="AA20" s="233"/>
      <c r="AB20" s="234"/>
      <c r="AC20" s="234"/>
      <c r="AD20" s="233"/>
      <c r="AE20" s="234"/>
      <c r="AF20" s="234"/>
      <c r="AG20" s="235"/>
      <c r="AH20" s="235"/>
    </row>
    <row r="21" spans="1:34" ht="15">
      <c r="A21" s="393"/>
      <c r="B21" s="229" t="s">
        <v>46</v>
      </c>
      <c r="C21" s="230">
        <v>8160</v>
      </c>
      <c r="D21" s="230">
        <v>1360</v>
      </c>
      <c r="E21" s="233"/>
      <c r="F21" s="233"/>
      <c r="G21" s="232">
        <v>1360</v>
      </c>
      <c r="H21" s="232">
        <v>1360</v>
      </c>
      <c r="I21" s="231">
        <v>1360</v>
      </c>
      <c r="J21" s="234"/>
      <c r="K21" s="232">
        <v>1360</v>
      </c>
      <c r="L21" s="231">
        <v>1360</v>
      </c>
      <c r="M21" s="233"/>
      <c r="N21" s="232">
        <v>1360</v>
      </c>
      <c r="O21" s="232">
        <v>1360</v>
      </c>
      <c r="P21" s="231">
        <v>1360</v>
      </c>
      <c r="Q21" s="232">
        <v>1080</v>
      </c>
      <c r="R21" s="232">
        <v>1080</v>
      </c>
      <c r="S21" s="231">
        <v>1440</v>
      </c>
      <c r="T21" s="233"/>
      <c r="U21" s="232">
        <v>1440</v>
      </c>
      <c r="V21" s="232">
        <v>1440</v>
      </c>
      <c r="W21" s="231">
        <v>1440</v>
      </c>
      <c r="X21" s="232">
        <v>1440</v>
      </c>
      <c r="Y21" s="232">
        <v>1440</v>
      </c>
      <c r="Z21" s="233"/>
      <c r="AA21" s="233"/>
      <c r="AB21" s="232">
        <v>1440</v>
      </c>
      <c r="AC21" s="232">
        <v>1440</v>
      </c>
      <c r="AD21" s="231">
        <v>1440</v>
      </c>
      <c r="AE21" s="232">
        <v>1440</v>
      </c>
      <c r="AF21" s="232">
        <v>1440</v>
      </c>
      <c r="AG21" s="235"/>
      <c r="AH21" s="235"/>
    </row>
    <row r="22" spans="1:34" ht="15">
      <c r="A22" s="393"/>
      <c r="B22" s="237" t="s">
        <v>47</v>
      </c>
      <c r="C22" s="238">
        <v>7381</v>
      </c>
      <c r="D22" s="238">
        <v>1230.1666666666667</v>
      </c>
      <c r="E22" s="241"/>
      <c r="F22" s="241"/>
      <c r="G22" s="240">
        <v>1100</v>
      </c>
      <c r="H22" s="240">
        <v>1001</v>
      </c>
      <c r="I22" s="239">
        <v>1360</v>
      </c>
      <c r="J22" s="242"/>
      <c r="K22" s="240">
        <v>1360</v>
      </c>
      <c r="L22" s="239">
        <v>1360</v>
      </c>
      <c r="M22" s="241"/>
      <c r="N22" s="240">
        <v>1200</v>
      </c>
      <c r="O22" s="242"/>
      <c r="P22" s="241"/>
      <c r="Q22" s="242"/>
      <c r="R22" s="242"/>
      <c r="S22" s="241"/>
      <c r="T22" s="241"/>
      <c r="U22" s="242"/>
      <c r="V22" s="242"/>
      <c r="W22" s="241"/>
      <c r="X22" s="242"/>
      <c r="Y22" s="242"/>
      <c r="Z22" s="241"/>
      <c r="AA22" s="241"/>
      <c r="AB22" s="242"/>
      <c r="AC22" s="242"/>
      <c r="AD22" s="241"/>
      <c r="AE22" s="242"/>
      <c r="AF22" s="242"/>
      <c r="AG22" s="243"/>
      <c r="AH22" s="243"/>
    </row>
    <row r="23" spans="1:34" ht="15">
      <c r="A23" s="393"/>
      <c r="B23" s="237" t="s">
        <v>48</v>
      </c>
      <c r="C23" s="244">
        <v>-779</v>
      </c>
      <c r="D23" s="244">
        <v>-129.83333333333334</v>
      </c>
      <c r="E23" s="241"/>
      <c r="F23" s="241"/>
      <c r="G23" s="242">
        <v>-260</v>
      </c>
      <c r="H23" s="242">
        <v>-359</v>
      </c>
      <c r="I23" s="239">
        <v>0</v>
      </c>
      <c r="J23" s="242"/>
      <c r="K23" s="240">
        <v>0</v>
      </c>
      <c r="L23" s="239">
        <v>0</v>
      </c>
      <c r="M23" s="241"/>
      <c r="N23" s="242">
        <v>-160</v>
      </c>
      <c r="O23" s="242"/>
      <c r="P23" s="241"/>
      <c r="Q23" s="242"/>
      <c r="R23" s="242"/>
      <c r="S23" s="241"/>
      <c r="T23" s="241"/>
      <c r="U23" s="242"/>
      <c r="V23" s="242"/>
      <c r="W23" s="241"/>
      <c r="X23" s="242"/>
      <c r="Y23" s="242"/>
      <c r="Z23" s="241"/>
      <c r="AA23" s="241"/>
      <c r="AB23" s="242"/>
      <c r="AC23" s="242"/>
      <c r="AD23" s="241"/>
      <c r="AE23" s="242"/>
      <c r="AF23" s="242"/>
      <c r="AG23" s="243"/>
      <c r="AH23" s="243"/>
    </row>
    <row r="24" spans="1:34" ht="15">
      <c r="A24" s="393"/>
      <c r="B24" s="237" t="s">
        <v>49</v>
      </c>
      <c r="C24" s="238">
        <v>48</v>
      </c>
      <c r="D24" s="238">
        <v>8</v>
      </c>
      <c r="E24" s="241"/>
      <c r="F24" s="241"/>
      <c r="G24" s="240">
        <v>8</v>
      </c>
      <c r="H24" s="240">
        <v>8</v>
      </c>
      <c r="I24" s="239">
        <v>8</v>
      </c>
      <c r="J24" s="242"/>
      <c r="K24" s="240">
        <v>8</v>
      </c>
      <c r="L24" s="239">
        <v>8</v>
      </c>
      <c r="M24" s="241"/>
      <c r="N24" s="240">
        <v>8</v>
      </c>
      <c r="O24" s="242"/>
      <c r="P24" s="241"/>
      <c r="Q24" s="242"/>
      <c r="R24" s="242"/>
      <c r="S24" s="241"/>
      <c r="T24" s="241"/>
      <c r="U24" s="242"/>
      <c r="V24" s="242"/>
      <c r="W24" s="241"/>
      <c r="X24" s="242"/>
      <c r="Y24" s="242"/>
      <c r="Z24" s="241"/>
      <c r="AA24" s="241"/>
      <c r="AB24" s="242"/>
      <c r="AC24" s="242"/>
      <c r="AD24" s="241"/>
      <c r="AE24" s="242"/>
      <c r="AF24" s="242"/>
      <c r="AG24" s="243"/>
      <c r="AH24" s="243"/>
    </row>
    <row r="25" spans="1:34" ht="15">
      <c r="A25" s="393"/>
      <c r="B25" s="237" t="s">
        <v>50</v>
      </c>
      <c r="C25" s="238">
        <v>67</v>
      </c>
      <c r="D25" s="238">
        <v>67</v>
      </c>
      <c r="E25" s="241"/>
      <c r="F25" s="241"/>
      <c r="G25" s="240">
        <v>66</v>
      </c>
      <c r="H25" s="240">
        <v>71</v>
      </c>
      <c r="I25" s="239">
        <v>71</v>
      </c>
      <c r="J25" s="242"/>
      <c r="K25" s="240">
        <v>66</v>
      </c>
      <c r="L25" s="239">
        <v>66</v>
      </c>
      <c r="M25" s="241"/>
      <c r="N25" s="240">
        <v>67</v>
      </c>
      <c r="O25" s="242"/>
      <c r="P25" s="241"/>
      <c r="Q25" s="242"/>
      <c r="R25" s="242"/>
      <c r="S25" s="241"/>
      <c r="T25" s="241"/>
      <c r="U25" s="242"/>
      <c r="V25" s="242"/>
      <c r="W25" s="241"/>
      <c r="X25" s="242"/>
      <c r="Y25" s="242"/>
      <c r="Z25" s="241"/>
      <c r="AA25" s="241"/>
      <c r="AB25" s="242"/>
      <c r="AC25" s="242"/>
      <c r="AD25" s="241"/>
      <c r="AE25" s="242"/>
      <c r="AF25" s="242"/>
      <c r="AG25" s="243"/>
      <c r="AH25" s="243"/>
    </row>
    <row r="26" spans="1:34" ht="15">
      <c r="A26" s="393"/>
      <c r="B26" s="237" t="s">
        <v>51</v>
      </c>
      <c r="C26" s="238">
        <v>153.77083333333334</v>
      </c>
      <c r="D26" s="238">
        <v>153.77083333333334</v>
      </c>
      <c r="E26" s="241"/>
      <c r="F26" s="241"/>
      <c r="G26" s="240">
        <v>137.5</v>
      </c>
      <c r="H26" s="240">
        <v>125.125</v>
      </c>
      <c r="I26" s="239">
        <v>170</v>
      </c>
      <c r="J26" s="242"/>
      <c r="K26" s="240">
        <v>170</v>
      </c>
      <c r="L26" s="239">
        <v>170</v>
      </c>
      <c r="M26" s="241"/>
      <c r="N26" s="240">
        <v>150</v>
      </c>
      <c r="O26" s="242"/>
      <c r="P26" s="241"/>
      <c r="Q26" s="242"/>
      <c r="R26" s="242"/>
      <c r="S26" s="241"/>
      <c r="T26" s="241"/>
      <c r="U26" s="242"/>
      <c r="V26" s="242"/>
      <c r="W26" s="241"/>
      <c r="X26" s="242"/>
      <c r="Y26" s="242"/>
      <c r="Z26" s="241"/>
      <c r="AA26" s="241"/>
      <c r="AB26" s="242"/>
      <c r="AC26" s="242"/>
      <c r="AD26" s="241"/>
      <c r="AE26" s="242"/>
      <c r="AF26" s="242"/>
      <c r="AG26" s="243"/>
      <c r="AH26" s="243"/>
    </row>
    <row r="27" spans="1:34" ht="15">
      <c r="A27" s="394"/>
      <c r="B27" s="245" t="s">
        <v>52</v>
      </c>
      <c r="C27" s="246">
        <v>2.2951000000000001</v>
      </c>
      <c r="D27" s="246">
        <v>2.2951000000000001</v>
      </c>
      <c r="E27" s="248"/>
      <c r="F27" s="248"/>
      <c r="G27" s="246">
        <v>2.0832999999999999</v>
      </c>
      <c r="H27" s="246">
        <v>1.7623</v>
      </c>
      <c r="I27" s="247">
        <v>2.3944000000000001</v>
      </c>
      <c r="J27" s="249"/>
      <c r="K27" s="246">
        <v>2.5758000000000001</v>
      </c>
      <c r="L27" s="247">
        <v>2.5758000000000001</v>
      </c>
      <c r="M27" s="248"/>
      <c r="N27" s="246">
        <v>2.2387999999999999</v>
      </c>
      <c r="O27" s="249"/>
      <c r="P27" s="248"/>
      <c r="Q27" s="249"/>
      <c r="R27" s="249"/>
      <c r="S27" s="248"/>
      <c r="T27" s="248"/>
      <c r="U27" s="249"/>
      <c r="V27" s="249"/>
      <c r="W27" s="248"/>
      <c r="X27" s="249"/>
      <c r="Y27" s="249"/>
      <c r="Z27" s="248"/>
      <c r="AA27" s="248"/>
      <c r="AB27" s="249"/>
      <c r="AC27" s="249"/>
      <c r="AD27" s="248"/>
      <c r="AE27" s="249"/>
      <c r="AF27" s="249"/>
      <c r="AG27" s="250"/>
      <c r="AH27" s="250"/>
    </row>
    <row r="28" spans="1:34" ht="15">
      <c r="A28" s="392" t="s">
        <v>181</v>
      </c>
      <c r="B28" s="229" t="s">
        <v>45</v>
      </c>
      <c r="C28" s="230">
        <v>8176</v>
      </c>
      <c r="D28" s="230">
        <v>1362.6666666666667</v>
      </c>
      <c r="E28" s="233"/>
      <c r="F28" s="233"/>
      <c r="G28" s="232">
        <v>1360</v>
      </c>
      <c r="H28" s="232">
        <v>1360</v>
      </c>
      <c r="I28" s="231">
        <v>1360</v>
      </c>
      <c r="J28" s="234"/>
      <c r="K28" s="232">
        <v>1360</v>
      </c>
      <c r="L28" s="231">
        <v>1360</v>
      </c>
      <c r="M28" s="233"/>
      <c r="N28" s="232">
        <v>1376</v>
      </c>
      <c r="O28" s="234"/>
      <c r="P28" s="233"/>
      <c r="Q28" s="234"/>
      <c r="R28" s="234"/>
      <c r="S28" s="233"/>
      <c r="T28" s="233"/>
      <c r="U28" s="234"/>
      <c r="V28" s="234"/>
      <c r="W28" s="233"/>
      <c r="X28" s="234"/>
      <c r="Y28" s="234"/>
      <c r="Z28" s="233"/>
      <c r="AA28" s="233"/>
      <c r="AB28" s="234"/>
      <c r="AC28" s="234"/>
      <c r="AD28" s="233"/>
      <c r="AE28" s="234"/>
      <c r="AF28" s="234"/>
      <c r="AG28" s="235"/>
      <c r="AH28" s="235"/>
    </row>
    <row r="29" spans="1:34" ht="15">
      <c r="A29" s="393"/>
      <c r="B29" s="229" t="s">
        <v>46</v>
      </c>
      <c r="C29" s="230">
        <v>8160</v>
      </c>
      <c r="D29" s="230">
        <v>1360</v>
      </c>
      <c r="E29" s="233"/>
      <c r="F29" s="233"/>
      <c r="G29" s="232">
        <v>1360</v>
      </c>
      <c r="H29" s="232">
        <v>1360</v>
      </c>
      <c r="I29" s="231">
        <v>1360</v>
      </c>
      <c r="J29" s="234"/>
      <c r="K29" s="232">
        <v>1360</v>
      </c>
      <c r="L29" s="231">
        <v>1360</v>
      </c>
      <c r="M29" s="233"/>
      <c r="N29" s="232">
        <v>1360</v>
      </c>
      <c r="O29" s="232">
        <v>1360</v>
      </c>
      <c r="P29" s="231">
        <v>1360</v>
      </c>
      <c r="Q29" s="232">
        <v>1360</v>
      </c>
      <c r="R29" s="232">
        <v>1360</v>
      </c>
      <c r="S29" s="231">
        <v>1360</v>
      </c>
      <c r="T29" s="233"/>
      <c r="U29" s="232">
        <v>1360</v>
      </c>
      <c r="V29" s="232">
        <v>1360</v>
      </c>
      <c r="W29" s="231">
        <v>1360</v>
      </c>
      <c r="X29" s="232">
        <v>1360</v>
      </c>
      <c r="Y29" s="232">
        <v>1360</v>
      </c>
      <c r="Z29" s="233"/>
      <c r="AA29" s="233"/>
      <c r="AB29" s="232">
        <v>1360</v>
      </c>
      <c r="AC29" s="232">
        <v>1360</v>
      </c>
      <c r="AD29" s="231">
        <v>1360</v>
      </c>
      <c r="AE29" s="232">
        <v>1360</v>
      </c>
      <c r="AF29" s="232">
        <v>1360</v>
      </c>
      <c r="AG29" s="235"/>
      <c r="AH29" s="235"/>
    </row>
    <row r="30" spans="1:34" ht="15">
      <c r="A30" s="393"/>
      <c r="B30" s="237" t="s">
        <v>47</v>
      </c>
      <c r="C30" s="238">
        <v>8163</v>
      </c>
      <c r="D30" s="238">
        <v>1360.5</v>
      </c>
      <c r="E30" s="241"/>
      <c r="F30" s="241"/>
      <c r="G30" s="240">
        <v>1468</v>
      </c>
      <c r="H30" s="240">
        <v>1367</v>
      </c>
      <c r="I30" s="239">
        <v>1220</v>
      </c>
      <c r="J30" s="242"/>
      <c r="K30" s="240">
        <v>1360</v>
      </c>
      <c r="L30" s="239">
        <v>1385</v>
      </c>
      <c r="M30" s="241"/>
      <c r="N30" s="240">
        <v>1363</v>
      </c>
      <c r="O30" s="242"/>
      <c r="P30" s="241"/>
      <c r="Q30" s="242"/>
      <c r="R30" s="242"/>
      <c r="S30" s="241"/>
      <c r="T30" s="241"/>
      <c r="U30" s="242"/>
      <c r="V30" s="242"/>
      <c r="W30" s="241"/>
      <c r="X30" s="242"/>
      <c r="Y30" s="242"/>
      <c r="Z30" s="241"/>
      <c r="AA30" s="241"/>
      <c r="AB30" s="242"/>
      <c r="AC30" s="242"/>
      <c r="AD30" s="241"/>
      <c r="AE30" s="242"/>
      <c r="AF30" s="242"/>
      <c r="AG30" s="243"/>
      <c r="AH30" s="243"/>
    </row>
    <row r="31" spans="1:34" ht="15">
      <c r="A31" s="393"/>
      <c r="B31" s="237" t="s">
        <v>48</v>
      </c>
      <c r="C31" s="238">
        <v>3</v>
      </c>
      <c r="D31" s="238">
        <v>0.5</v>
      </c>
      <c r="E31" s="241"/>
      <c r="F31" s="241"/>
      <c r="G31" s="240">
        <v>108</v>
      </c>
      <c r="H31" s="240">
        <v>7</v>
      </c>
      <c r="I31" s="241">
        <v>-140</v>
      </c>
      <c r="J31" s="242"/>
      <c r="K31" s="240">
        <v>0</v>
      </c>
      <c r="L31" s="239">
        <v>25</v>
      </c>
      <c r="M31" s="241"/>
      <c r="N31" s="240">
        <v>3</v>
      </c>
      <c r="O31" s="242"/>
      <c r="P31" s="241"/>
      <c r="Q31" s="242"/>
      <c r="R31" s="242"/>
      <c r="S31" s="241"/>
      <c r="T31" s="241"/>
      <c r="U31" s="242"/>
      <c r="V31" s="242"/>
      <c r="W31" s="241"/>
      <c r="X31" s="242"/>
      <c r="Y31" s="242"/>
      <c r="Z31" s="241"/>
      <c r="AA31" s="241"/>
      <c r="AB31" s="242"/>
      <c r="AC31" s="242"/>
      <c r="AD31" s="241"/>
      <c r="AE31" s="242"/>
      <c r="AF31" s="242"/>
      <c r="AG31" s="243"/>
      <c r="AH31" s="243"/>
    </row>
    <row r="32" spans="1:34" ht="15">
      <c r="A32" s="393"/>
      <c r="B32" s="237" t="s">
        <v>49</v>
      </c>
      <c r="C32" s="238">
        <v>48</v>
      </c>
      <c r="D32" s="238">
        <v>8</v>
      </c>
      <c r="E32" s="241"/>
      <c r="F32" s="241"/>
      <c r="G32" s="240">
        <v>8</v>
      </c>
      <c r="H32" s="240">
        <v>8</v>
      </c>
      <c r="I32" s="239">
        <v>8</v>
      </c>
      <c r="J32" s="242"/>
      <c r="K32" s="240">
        <v>8</v>
      </c>
      <c r="L32" s="239">
        <v>8</v>
      </c>
      <c r="M32" s="241"/>
      <c r="N32" s="240">
        <v>8</v>
      </c>
      <c r="O32" s="242"/>
      <c r="P32" s="241"/>
      <c r="Q32" s="242"/>
      <c r="R32" s="242"/>
      <c r="S32" s="241"/>
      <c r="T32" s="241"/>
      <c r="U32" s="242"/>
      <c r="V32" s="242"/>
      <c r="W32" s="241"/>
      <c r="X32" s="242"/>
      <c r="Y32" s="242"/>
      <c r="Z32" s="241"/>
      <c r="AA32" s="241"/>
      <c r="AB32" s="242"/>
      <c r="AC32" s="242"/>
      <c r="AD32" s="241"/>
      <c r="AE32" s="242"/>
      <c r="AF32" s="242"/>
      <c r="AG32" s="243"/>
      <c r="AH32" s="243"/>
    </row>
    <row r="33" spans="1:34" ht="15">
      <c r="A33" s="393"/>
      <c r="B33" s="237" t="s">
        <v>50</v>
      </c>
      <c r="C33" s="238">
        <v>62</v>
      </c>
      <c r="D33" s="238">
        <v>62</v>
      </c>
      <c r="E33" s="241"/>
      <c r="F33" s="241"/>
      <c r="G33" s="240">
        <v>64</v>
      </c>
      <c r="H33" s="240">
        <v>63</v>
      </c>
      <c r="I33" s="239">
        <v>61</v>
      </c>
      <c r="J33" s="242"/>
      <c r="K33" s="240">
        <v>63</v>
      </c>
      <c r="L33" s="239">
        <v>64</v>
      </c>
      <c r="M33" s="241"/>
      <c r="N33" s="240">
        <v>62</v>
      </c>
      <c r="O33" s="242"/>
      <c r="P33" s="241"/>
      <c r="Q33" s="242"/>
      <c r="R33" s="242"/>
      <c r="S33" s="241"/>
      <c r="T33" s="241"/>
      <c r="U33" s="242"/>
      <c r="V33" s="242"/>
      <c r="W33" s="241"/>
      <c r="X33" s="242"/>
      <c r="Y33" s="242"/>
      <c r="Z33" s="241"/>
      <c r="AA33" s="241"/>
      <c r="AB33" s="242"/>
      <c r="AC33" s="242"/>
      <c r="AD33" s="241"/>
      <c r="AE33" s="242"/>
      <c r="AF33" s="242"/>
      <c r="AG33" s="243"/>
      <c r="AH33" s="243"/>
    </row>
    <row r="34" spans="1:34" ht="15">
      <c r="A34" s="393"/>
      <c r="B34" s="237" t="s">
        <v>51</v>
      </c>
      <c r="C34" s="238">
        <v>170.0625</v>
      </c>
      <c r="D34" s="238">
        <v>170.0625</v>
      </c>
      <c r="E34" s="241"/>
      <c r="F34" s="241"/>
      <c r="G34" s="240">
        <v>183.5</v>
      </c>
      <c r="H34" s="240">
        <v>170.875</v>
      </c>
      <c r="I34" s="239">
        <v>152.5</v>
      </c>
      <c r="J34" s="242"/>
      <c r="K34" s="240">
        <v>170</v>
      </c>
      <c r="L34" s="239">
        <v>173.125</v>
      </c>
      <c r="M34" s="241"/>
      <c r="N34" s="240">
        <v>170.375</v>
      </c>
      <c r="O34" s="242"/>
      <c r="P34" s="241"/>
      <c r="Q34" s="242"/>
      <c r="R34" s="242"/>
      <c r="S34" s="241"/>
      <c r="T34" s="241"/>
      <c r="U34" s="242"/>
      <c r="V34" s="242"/>
      <c r="W34" s="241"/>
      <c r="X34" s="242"/>
      <c r="Y34" s="242"/>
      <c r="Z34" s="241"/>
      <c r="AA34" s="241"/>
      <c r="AB34" s="242"/>
      <c r="AC34" s="242"/>
      <c r="AD34" s="241"/>
      <c r="AE34" s="242"/>
      <c r="AF34" s="242"/>
      <c r="AG34" s="243"/>
      <c r="AH34" s="243"/>
    </row>
    <row r="35" spans="1:34" ht="15">
      <c r="A35" s="394"/>
      <c r="B35" s="245" t="s">
        <v>52</v>
      </c>
      <c r="C35" s="246">
        <v>2.7429000000000001</v>
      </c>
      <c r="D35" s="246">
        <v>2.7429000000000001</v>
      </c>
      <c r="E35" s="248"/>
      <c r="F35" s="248"/>
      <c r="G35" s="246">
        <v>2.8672</v>
      </c>
      <c r="H35" s="246">
        <v>2.7122999999999999</v>
      </c>
      <c r="I35" s="247">
        <v>2.5</v>
      </c>
      <c r="J35" s="249"/>
      <c r="K35" s="246">
        <v>2.6983999999999999</v>
      </c>
      <c r="L35" s="247">
        <v>2.7050999999999998</v>
      </c>
      <c r="M35" s="248"/>
      <c r="N35" s="246">
        <v>2.7480000000000002</v>
      </c>
      <c r="O35" s="249"/>
      <c r="P35" s="248"/>
      <c r="Q35" s="249"/>
      <c r="R35" s="249"/>
      <c r="S35" s="248"/>
      <c r="T35" s="248"/>
      <c r="U35" s="249"/>
      <c r="V35" s="249"/>
      <c r="W35" s="248"/>
      <c r="X35" s="249"/>
      <c r="Y35" s="249"/>
      <c r="Z35" s="248"/>
      <c r="AA35" s="248"/>
      <c r="AB35" s="249"/>
      <c r="AC35" s="249"/>
      <c r="AD35" s="248"/>
      <c r="AE35" s="249"/>
      <c r="AF35" s="249"/>
      <c r="AG35" s="250"/>
      <c r="AH35" s="250"/>
    </row>
    <row r="36" spans="1:34" ht="15">
      <c r="A36" s="392" t="s">
        <v>182</v>
      </c>
      <c r="B36" s="229" t="s">
        <v>45</v>
      </c>
      <c r="C36" s="230">
        <v>7736</v>
      </c>
      <c r="D36" s="230">
        <v>1289.3333333333333</v>
      </c>
      <c r="E36" s="233"/>
      <c r="F36" s="233"/>
      <c r="G36" s="232">
        <v>1336</v>
      </c>
      <c r="H36" s="232">
        <v>1280</v>
      </c>
      <c r="I36" s="231">
        <v>1280</v>
      </c>
      <c r="J36" s="234"/>
      <c r="K36" s="232">
        <v>1280</v>
      </c>
      <c r="L36" s="231">
        <v>1280</v>
      </c>
      <c r="M36" s="233"/>
      <c r="N36" s="232">
        <v>1280</v>
      </c>
      <c r="O36" s="234"/>
      <c r="P36" s="233"/>
      <c r="Q36" s="234"/>
      <c r="R36" s="234"/>
      <c r="S36" s="233"/>
      <c r="T36" s="233"/>
      <c r="U36" s="234"/>
      <c r="V36" s="234"/>
      <c r="W36" s="233"/>
      <c r="X36" s="234"/>
      <c r="Y36" s="234"/>
      <c r="Z36" s="233"/>
      <c r="AA36" s="233"/>
      <c r="AB36" s="234"/>
      <c r="AC36" s="234"/>
      <c r="AD36" s="233"/>
      <c r="AE36" s="234"/>
      <c r="AF36" s="234"/>
      <c r="AG36" s="235"/>
      <c r="AH36" s="235"/>
    </row>
    <row r="37" spans="1:34" ht="15">
      <c r="A37" s="393"/>
      <c r="B37" s="229" t="s">
        <v>46</v>
      </c>
      <c r="C37" s="230">
        <v>7872</v>
      </c>
      <c r="D37" s="230">
        <v>1312</v>
      </c>
      <c r="E37" s="233"/>
      <c r="F37" s="233"/>
      <c r="G37" s="232">
        <v>1312</v>
      </c>
      <c r="H37" s="232">
        <v>1312</v>
      </c>
      <c r="I37" s="231">
        <v>1312</v>
      </c>
      <c r="J37" s="234"/>
      <c r="K37" s="232">
        <v>1312</v>
      </c>
      <c r="L37" s="231">
        <v>1312</v>
      </c>
      <c r="M37" s="233"/>
      <c r="N37" s="232">
        <v>1312</v>
      </c>
      <c r="O37" s="232">
        <v>1312</v>
      </c>
      <c r="P37" s="231">
        <v>1312</v>
      </c>
      <c r="Q37" s="232">
        <v>1312</v>
      </c>
      <c r="R37" s="232">
        <v>1312</v>
      </c>
      <c r="S37" s="231">
        <v>1312</v>
      </c>
      <c r="T37" s="233"/>
      <c r="U37" s="232">
        <v>1312</v>
      </c>
      <c r="V37" s="232">
        <v>1312</v>
      </c>
      <c r="W37" s="231">
        <v>1312</v>
      </c>
      <c r="X37" s="232">
        <v>1312</v>
      </c>
      <c r="Y37" s="232">
        <v>1312</v>
      </c>
      <c r="Z37" s="233"/>
      <c r="AA37" s="233"/>
      <c r="AB37" s="232">
        <v>1312</v>
      </c>
      <c r="AC37" s="232">
        <v>1312</v>
      </c>
      <c r="AD37" s="231">
        <v>1312</v>
      </c>
      <c r="AE37" s="232">
        <v>1312</v>
      </c>
      <c r="AF37" s="232">
        <v>1312</v>
      </c>
      <c r="AG37" s="235"/>
      <c r="AH37" s="235"/>
    </row>
    <row r="38" spans="1:34" ht="15">
      <c r="A38" s="393"/>
      <c r="B38" s="237" t="s">
        <v>47</v>
      </c>
      <c r="C38" s="238">
        <v>7990</v>
      </c>
      <c r="D38" s="238">
        <v>1331.6666666666667</v>
      </c>
      <c r="E38" s="241"/>
      <c r="F38" s="241"/>
      <c r="G38" s="240">
        <v>1216</v>
      </c>
      <c r="H38" s="240">
        <v>1312</v>
      </c>
      <c r="I38" s="239">
        <v>1312</v>
      </c>
      <c r="J38" s="242"/>
      <c r="K38" s="240">
        <v>1312</v>
      </c>
      <c r="L38" s="239">
        <v>1412</v>
      </c>
      <c r="M38" s="241"/>
      <c r="N38" s="240">
        <v>1426</v>
      </c>
      <c r="O38" s="242"/>
      <c r="P38" s="241"/>
      <c r="Q38" s="242"/>
      <c r="R38" s="242"/>
      <c r="S38" s="241"/>
      <c r="T38" s="241"/>
      <c r="U38" s="242"/>
      <c r="V38" s="242"/>
      <c r="W38" s="241"/>
      <c r="X38" s="242"/>
      <c r="Y38" s="242"/>
      <c r="Z38" s="241"/>
      <c r="AA38" s="241"/>
      <c r="AB38" s="242"/>
      <c r="AC38" s="242"/>
      <c r="AD38" s="241"/>
      <c r="AE38" s="242"/>
      <c r="AF38" s="242"/>
      <c r="AG38" s="243"/>
      <c r="AH38" s="243"/>
    </row>
    <row r="39" spans="1:34" ht="15">
      <c r="A39" s="393"/>
      <c r="B39" s="237" t="s">
        <v>48</v>
      </c>
      <c r="C39" s="238">
        <v>118</v>
      </c>
      <c r="D39" s="238">
        <v>19.666666666666668</v>
      </c>
      <c r="E39" s="241"/>
      <c r="F39" s="241"/>
      <c r="G39" s="242">
        <v>-96</v>
      </c>
      <c r="H39" s="240">
        <v>0</v>
      </c>
      <c r="I39" s="239">
        <v>0</v>
      </c>
      <c r="J39" s="242"/>
      <c r="K39" s="240">
        <v>0</v>
      </c>
      <c r="L39" s="239">
        <v>100</v>
      </c>
      <c r="M39" s="241"/>
      <c r="N39" s="240">
        <v>114</v>
      </c>
      <c r="O39" s="242"/>
      <c r="P39" s="241"/>
      <c r="Q39" s="242"/>
      <c r="R39" s="242"/>
      <c r="S39" s="241"/>
      <c r="T39" s="241"/>
      <c r="U39" s="242"/>
      <c r="V39" s="242"/>
      <c r="W39" s="241"/>
      <c r="X39" s="242"/>
      <c r="Y39" s="242"/>
      <c r="Z39" s="241"/>
      <c r="AA39" s="241"/>
      <c r="AB39" s="242"/>
      <c r="AC39" s="242"/>
      <c r="AD39" s="241"/>
      <c r="AE39" s="242"/>
      <c r="AF39" s="242"/>
      <c r="AG39" s="243"/>
      <c r="AH39" s="243"/>
    </row>
    <row r="40" spans="1:34" ht="15">
      <c r="A40" s="393"/>
      <c r="B40" s="237" t="s">
        <v>49</v>
      </c>
      <c r="C40" s="238">
        <v>48</v>
      </c>
      <c r="D40" s="238">
        <v>8</v>
      </c>
      <c r="E40" s="241"/>
      <c r="F40" s="241"/>
      <c r="G40" s="240">
        <v>8</v>
      </c>
      <c r="H40" s="240">
        <v>8</v>
      </c>
      <c r="I40" s="239">
        <v>8</v>
      </c>
      <c r="J40" s="242"/>
      <c r="K40" s="240">
        <v>8</v>
      </c>
      <c r="L40" s="239">
        <v>8</v>
      </c>
      <c r="M40" s="241"/>
      <c r="N40" s="240">
        <v>8</v>
      </c>
      <c r="O40" s="242"/>
      <c r="P40" s="241"/>
      <c r="Q40" s="242"/>
      <c r="R40" s="242"/>
      <c r="S40" s="241"/>
      <c r="T40" s="241"/>
      <c r="U40" s="242"/>
      <c r="V40" s="242"/>
      <c r="W40" s="241"/>
      <c r="X40" s="242"/>
      <c r="Y40" s="242"/>
      <c r="Z40" s="241"/>
      <c r="AA40" s="241"/>
      <c r="AB40" s="242"/>
      <c r="AC40" s="242"/>
      <c r="AD40" s="241"/>
      <c r="AE40" s="242"/>
      <c r="AF40" s="242"/>
      <c r="AG40" s="243"/>
      <c r="AH40" s="243"/>
    </row>
    <row r="41" spans="1:34" ht="15">
      <c r="A41" s="393"/>
      <c r="B41" s="237" t="s">
        <v>50</v>
      </c>
      <c r="C41" s="238">
        <v>72</v>
      </c>
      <c r="D41" s="238">
        <v>72</v>
      </c>
      <c r="E41" s="241"/>
      <c r="F41" s="241"/>
      <c r="G41" s="240">
        <v>71</v>
      </c>
      <c r="H41" s="240">
        <v>73</v>
      </c>
      <c r="I41" s="239">
        <v>71</v>
      </c>
      <c r="J41" s="242"/>
      <c r="K41" s="240">
        <v>73</v>
      </c>
      <c r="L41" s="239">
        <v>73</v>
      </c>
      <c r="M41" s="241"/>
      <c r="N41" s="240">
        <v>73</v>
      </c>
      <c r="O41" s="242"/>
      <c r="P41" s="241"/>
      <c r="Q41" s="242"/>
      <c r="R41" s="242"/>
      <c r="S41" s="241"/>
      <c r="T41" s="241"/>
      <c r="U41" s="242"/>
      <c r="V41" s="242"/>
      <c r="W41" s="241"/>
      <c r="X41" s="242"/>
      <c r="Y41" s="242"/>
      <c r="Z41" s="241"/>
      <c r="AA41" s="241"/>
      <c r="AB41" s="242"/>
      <c r="AC41" s="242"/>
      <c r="AD41" s="241"/>
      <c r="AE41" s="242"/>
      <c r="AF41" s="242"/>
      <c r="AG41" s="243"/>
      <c r="AH41" s="243"/>
    </row>
    <row r="42" spans="1:34" ht="15">
      <c r="A42" s="393"/>
      <c r="B42" s="237" t="s">
        <v>51</v>
      </c>
      <c r="C42" s="238">
        <v>166.45833333333334</v>
      </c>
      <c r="D42" s="238">
        <v>166.45833333333334</v>
      </c>
      <c r="E42" s="241"/>
      <c r="F42" s="241"/>
      <c r="G42" s="240">
        <v>152</v>
      </c>
      <c r="H42" s="240">
        <v>164</v>
      </c>
      <c r="I42" s="239">
        <v>164</v>
      </c>
      <c r="J42" s="242"/>
      <c r="K42" s="240">
        <v>164</v>
      </c>
      <c r="L42" s="239">
        <v>176.5</v>
      </c>
      <c r="M42" s="241"/>
      <c r="N42" s="240">
        <v>178.25</v>
      </c>
      <c r="O42" s="242"/>
      <c r="P42" s="241"/>
      <c r="Q42" s="242"/>
      <c r="R42" s="242"/>
      <c r="S42" s="241"/>
      <c r="T42" s="241"/>
      <c r="U42" s="242"/>
      <c r="V42" s="242"/>
      <c r="W42" s="241"/>
      <c r="X42" s="242"/>
      <c r="Y42" s="242"/>
      <c r="Z42" s="241"/>
      <c r="AA42" s="241"/>
      <c r="AB42" s="242"/>
      <c r="AC42" s="242"/>
      <c r="AD42" s="241"/>
      <c r="AE42" s="242"/>
      <c r="AF42" s="242"/>
      <c r="AG42" s="243"/>
      <c r="AH42" s="243"/>
    </row>
    <row r="43" spans="1:34" ht="15">
      <c r="A43" s="394"/>
      <c r="B43" s="245" t="s">
        <v>52</v>
      </c>
      <c r="C43" s="246">
        <v>2.3119000000000001</v>
      </c>
      <c r="D43" s="246">
        <v>2.3119000000000001</v>
      </c>
      <c r="E43" s="248"/>
      <c r="F43" s="248"/>
      <c r="G43" s="246">
        <v>2.1408</v>
      </c>
      <c r="H43" s="246">
        <v>2.2465999999999999</v>
      </c>
      <c r="I43" s="247">
        <v>2.3098999999999998</v>
      </c>
      <c r="J43" s="249"/>
      <c r="K43" s="246">
        <v>2.2465999999999999</v>
      </c>
      <c r="L43" s="247">
        <v>2.4178000000000002</v>
      </c>
      <c r="M43" s="248"/>
      <c r="N43" s="246">
        <v>2.4418000000000002</v>
      </c>
      <c r="O43" s="249"/>
      <c r="P43" s="248"/>
      <c r="Q43" s="249"/>
      <c r="R43" s="249"/>
      <c r="S43" s="248"/>
      <c r="T43" s="248"/>
      <c r="U43" s="249"/>
      <c r="V43" s="249"/>
      <c r="W43" s="248"/>
      <c r="X43" s="249"/>
      <c r="Y43" s="249"/>
      <c r="Z43" s="248"/>
      <c r="AA43" s="248"/>
      <c r="AB43" s="249"/>
      <c r="AC43" s="249"/>
      <c r="AD43" s="248"/>
      <c r="AE43" s="249"/>
      <c r="AF43" s="249"/>
      <c r="AG43" s="250"/>
      <c r="AH43" s="250"/>
    </row>
    <row r="44" spans="1:34" ht="15">
      <c r="A44" s="392" t="s">
        <v>183</v>
      </c>
      <c r="B44" s="229" t="s">
        <v>45</v>
      </c>
      <c r="C44" s="230">
        <v>8400</v>
      </c>
      <c r="D44" s="230">
        <v>1400</v>
      </c>
      <c r="E44" s="233"/>
      <c r="F44" s="233"/>
      <c r="G44" s="232">
        <v>1400</v>
      </c>
      <c r="H44" s="232">
        <v>1400</v>
      </c>
      <c r="I44" s="231">
        <v>1400</v>
      </c>
      <c r="J44" s="234"/>
      <c r="K44" s="232">
        <v>1400</v>
      </c>
      <c r="L44" s="231">
        <v>1400</v>
      </c>
      <c r="M44" s="233"/>
      <c r="N44" s="232">
        <v>1400</v>
      </c>
      <c r="O44" s="234"/>
      <c r="P44" s="233"/>
      <c r="Q44" s="234"/>
      <c r="R44" s="234"/>
      <c r="S44" s="233"/>
      <c r="T44" s="233"/>
      <c r="U44" s="234"/>
      <c r="V44" s="234"/>
      <c r="W44" s="233"/>
      <c r="X44" s="234"/>
      <c r="Y44" s="234"/>
      <c r="Z44" s="233"/>
      <c r="AA44" s="233"/>
      <c r="AB44" s="234"/>
      <c r="AC44" s="234"/>
      <c r="AD44" s="233"/>
      <c r="AE44" s="234"/>
      <c r="AF44" s="234"/>
      <c r="AG44" s="235"/>
      <c r="AH44" s="235"/>
    </row>
    <row r="45" spans="1:34" ht="15">
      <c r="A45" s="393"/>
      <c r="B45" s="229" t="s">
        <v>46</v>
      </c>
      <c r="C45" s="230">
        <v>8160</v>
      </c>
      <c r="D45" s="230">
        <v>1360</v>
      </c>
      <c r="E45" s="233"/>
      <c r="F45" s="233"/>
      <c r="G45" s="232">
        <v>1360</v>
      </c>
      <c r="H45" s="232">
        <v>1360</v>
      </c>
      <c r="I45" s="231">
        <v>1360</v>
      </c>
      <c r="J45" s="234"/>
      <c r="K45" s="232">
        <v>1360</v>
      </c>
      <c r="L45" s="231">
        <v>1360</v>
      </c>
      <c r="M45" s="233"/>
      <c r="N45" s="232">
        <v>1360</v>
      </c>
      <c r="O45" s="232">
        <v>1360</v>
      </c>
      <c r="P45" s="231">
        <v>1360</v>
      </c>
      <c r="Q45" s="232">
        <v>1360</v>
      </c>
      <c r="R45" s="232">
        <v>900</v>
      </c>
      <c r="S45" s="231">
        <v>900</v>
      </c>
      <c r="T45" s="233"/>
      <c r="U45" s="232">
        <v>1200</v>
      </c>
      <c r="V45" s="232">
        <v>1200</v>
      </c>
      <c r="W45" s="231">
        <v>1200</v>
      </c>
      <c r="X45" s="232">
        <v>1200</v>
      </c>
      <c r="Y45" s="232">
        <v>1200</v>
      </c>
      <c r="Z45" s="233"/>
      <c r="AA45" s="233"/>
      <c r="AB45" s="232">
        <v>1200</v>
      </c>
      <c r="AC45" s="232">
        <v>1200</v>
      </c>
      <c r="AD45" s="231">
        <v>1200</v>
      </c>
      <c r="AE45" s="232">
        <v>1200</v>
      </c>
      <c r="AF45" s="232">
        <v>1200</v>
      </c>
      <c r="AG45" s="235"/>
      <c r="AH45" s="235"/>
    </row>
    <row r="46" spans="1:34" ht="15">
      <c r="A46" s="393"/>
      <c r="B46" s="237" t="s">
        <v>47</v>
      </c>
      <c r="C46" s="238">
        <v>8160</v>
      </c>
      <c r="D46" s="238">
        <v>1360</v>
      </c>
      <c r="E46" s="241"/>
      <c r="F46" s="241"/>
      <c r="G46" s="240">
        <v>1360</v>
      </c>
      <c r="H46" s="240">
        <v>1360</v>
      </c>
      <c r="I46" s="239">
        <v>1360</v>
      </c>
      <c r="J46" s="242"/>
      <c r="K46" s="240">
        <v>1360</v>
      </c>
      <c r="L46" s="239">
        <v>1360</v>
      </c>
      <c r="M46" s="241"/>
      <c r="N46" s="240">
        <v>1360</v>
      </c>
      <c r="O46" s="242"/>
      <c r="P46" s="241"/>
      <c r="Q46" s="242"/>
      <c r="R46" s="242"/>
      <c r="S46" s="241"/>
      <c r="T46" s="241"/>
      <c r="U46" s="242"/>
      <c r="V46" s="242"/>
      <c r="W46" s="241"/>
      <c r="X46" s="242"/>
      <c r="Y46" s="242"/>
      <c r="Z46" s="241"/>
      <c r="AA46" s="241"/>
      <c r="AB46" s="242"/>
      <c r="AC46" s="242"/>
      <c r="AD46" s="241"/>
      <c r="AE46" s="242"/>
      <c r="AF46" s="242"/>
      <c r="AG46" s="243"/>
      <c r="AH46" s="243"/>
    </row>
    <row r="47" spans="1:34" ht="15">
      <c r="A47" s="393"/>
      <c r="B47" s="237" t="s">
        <v>48</v>
      </c>
      <c r="C47" s="238">
        <v>0</v>
      </c>
      <c r="D47" s="238">
        <v>0</v>
      </c>
      <c r="E47" s="241"/>
      <c r="F47" s="241"/>
      <c r="G47" s="240">
        <v>0</v>
      </c>
      <c r="H47" s="240">
        <v>0</v>
      </c>
      <c r="I47" s="239">
        <v>0</v>
      </c>
      <c r="J47" s="242"/>
      <c r="K47" s="240">
        <v>0</v>
      </c>
      <c r="L47" s="239">
        <v>0</v>
      </c>
      <c r="M47" s="241"/>
      <c r="N47" s="240">
        <v>0</v>
      </c>
      <c r="O47" s="242"/>
      <c r="P47" s="241"/>
      <c r="Q47" s="242"/>
      <c r="R47" s="242"/>
      <c r="S47" s="241"/>
      <c r="T47" s="241"/>
      <c r="U47" s="242"/>
      <c r="V47" s="242"/>
      <c r="W47" s="241"/>
      <c r="X47" s="242"/>
      <c r="Y47" s="242"/>
      <c r="Z47" s="241"/>
      <c r="AA47" s="241"/>
      <c r="AB47" s="242"/>
      <c r="AC47" s="242"/>
      <c r="AD47" s="241"/>
      <c r="AE47" s="242"/>
      <c r="AF47" s="242"/>
      <c r="AG47" s="243"/>
      <c r="AH47" s="243"/>
    </row>
    <row r="48" spans="1:34" ht="15">
      <c r="A48" s="393"/>
      <c r="B48" s="237" t="s">
        <v>49</v>
      </c>
      <c r="C48" s="238">
        <v>48</v>
      </c>
      <c r="D48" s="238">
        <v>8</v>
      </c>
      <c r="E48" s="241"/>
      <c r="F48" s="241"/>
      <c r="G48" s="240">
        <v>8</v>
      </c>
      <c r="H48" s="240">
        <v>8</v>
      </c>
      <c r="I48" s="239">
        <v>8</v>
      </c>
      <c r="J48" s="242"/>
      <c r="K48" s="240">
        <v>8</v>
      </c>
      <c r="L48" s="239">
        <v>8</v>
      </c>
      <c r="M48" s="241"/>
      <c r="N48" s="240">
        <v>8</v>
      </c>
      <c r="O48" s="242"/>
      <c r="P48" s="241"/>
      <c r="Q48" s="242"/>
      <c r="R48" s="242"/>
      <c r="S48" s="241"/>
      <c r="T48" s="241"/>
      <c r="U48" s="242"/>
      <c r="V48" s="242"/>
      <c r="W48" s="241"/>
      <c r="X48" s="242"/>
      <c r="Y48" s="242"/>
      <c r="Z48" s="241"/>
      <c r="AA48" s="241"/>
      <c r="AB48" s="242"/>
      <c r="AC48" s="242"/>
      <c r="AD48" s="241"/>
      <c r="AE48" s="242"/>
      <c r="AF48" s="242"/>
      <c r="AG48" s="243"/>
      <c r="AH48" s="243"/>
    </row>
    <row r="49" spans="1:34" ht="15">
      <c r="A49" s="393"/>
      <c r="B49" s="237" t="s">
        <v>50</v>
      </c>
      <c r="C49" s="238">
        <v>73</v>
      </c>
      <c r="D49" s="238">
        <v>73</v>
      </c>
      <c r="E49" s="241"/>
      <c r="F49" s="241"/>
      <c r="G49" s="240">
        <v>73</v>
      </c>
      <c r="H49" s="240">
        <v>74</v>
      </c>
      <c r="I49" s="239">
        <v>72</v>
      </c>
      <c r="J49" s="242"/>
      <c r="K49" s="240">
        <v>72</v>
      </c>
      <c r="L49" s="239">
        <v>73</v>
      </c>
      <c r="M49" s="241"/>
      <c r="N49" s="240">
        <v>74</v>
      </c>
      <c r="O49" s="242"/>
      <c r="P49" s="241"/>
      <c r="Q49" s="242"/>
      <c r="R49" s="242"/>
      <c r="S49" s="241"/>
      <c r="T49" s="241"/>
      <c r="U49" s="242"/>
      <c r="V49" s="242"/>
      <c r="W49" s="241"/>
      <c r="X49" s="242"/>
      <c r="Y49" s="242"/>
      <c r="Z49" s="241"/>
      <c r="AA49" s="241"/>
      <c r="AB49" s="242"/>
      <c r="AC49" s="242"/>
      <c r="AD49" s="241"/>
      <c r="AE49" s="242"/>
      <c r="AF49" s="242"/>
      <c r="AG49" s="243"/>
      <c r="AH49" s="243"/>
    </row>
    <row r="50" spans="1:34" ht="15">
      <c r="A50" s="393"/>
      <c r="B50" s="237" t="s">
        <v>51</v>
      </c>
      <c r="C50" s="238">
        <v>170</v>
      </c>
      <c r="D50" s="238">
        <v>170</v>
      </c>
      <c r="E50" s="241"/>
      <c r="F50" s="241"/>
      <c r="G50" s="240">
        <v>170</v>
      </c>
      <c r="H50" s="240">
        <v>170</v>
      </c>
      <c r="I50" s="239">
        <v>170</v>
      </c>
      <c r="J50" s="242"/>
      <c r="K50" s="240">
        <v>170</v>
      </c>
      <c r="L50" s="239">
        <v>170</v>
      </c>
      <c r="M50" s="241"/>
      <c r="N50" s="240">
        <v>170</v>
      </c>
      <c r="O50" s="242"/>
      <c r="P50" s="241"/>
      <c r="Q50" s="242"/>
      <c r="R50" s="242"/>
      <c r="S50" s="241"/>
      <c r="T50" s="241"/>
      <c r="U50" s="242"/>
      <c r="V50" s="242"/>
      <c r="W50" s="241"/>
      <c r="X50" s="242"/>
      <c r="Y50" s="242"/>
      <c r="Z50" s="241"/>
      <c r="AA50" s="241"/>
      <c r="AB50" s="242"/>
      <c r="AC50" s="242"/>
      <c r="AD50" s="241"/>
      <c r="AE50" s="242"/>
      <c r="AF50" s="242"/>
      <c r="AG50" s="243"/>
      <c r="AH50" s="243"/>
    </row>
    <row r="51" spans="1:34" ht="15">
      <c r="A51" s="394"/>
      <c r="B51" s="245" t="s">
        <v>52</v>
      </c>
      <c r="C51" s="246">
        <v>2.3288000000000002</v>
      </c>
      <c r="D51" s="246">
        <v>2.3288000000000002</v>
      </c>
      <c r="E51" s="248"/>
      <c r="F51" s="248"/>
      <c r="G51" s="246">
        <v>2.3288000000000002</v>
      </c>
      <c r="H51" s="246">
        <v>2.2972999999999999</v>
      </c>
      <c r="I51" s="247">
        <v>2.3611</v>
      </c>
      <c r="J51" s="249"/>
      <c r="K51" s="246">
        <v>2.3611</v>
      </c>
      <c r="L51" s="247">
        <v>2.3288000000000002</v>
      </c>
      <c r="M51" s="248"/>
      <c r="N51" s="246">
        <v>2.2972999999999999</v>
      </c>
      <c r="O51" s="249"/>
      <c r="P51" s="248"/>
      <c r="Q51" s="249"/>
      <c r="R51" s="249"/>
      <c r="S51" s="248"/>
      <c r="T51" s="248"/>
      <c r="U51" s="249"/>
      <c r="V51" s="249"/>
      <c r="W51" s="248"/>
      <c r="X51" s="249"/>
      <c r="Y51" s="249"/>
      <c r="Z51" s="248"/>
      <c r="AA51" s="248"/>
      <c r="AB51" s="249"/>
      <c r="AC51" s="249"/>
      <c r="AD51" s="248"/>
      <c r="AE51" s="249"/>
      <c r="AF51" s="249"/>
      <c r="AG51" s="250"/>
      <c r="AH51" s="250"/>
    </row>
    <row r="52" spans="1:34" ht="15">
      <c r="A52" s="392" t="s">
        <v>184</v>
      </c>
      <c r="B52" s="229" t="s">
        <v>45</v>
      </c>
      <c r="C52" s="230">
        <v>7200</v>
      </c>
      <c r="D52" s="230">
        <v>1200</v>
      </c>
      <c r="E52" s="233"/>
      <c r="F52" s="233"/>
      <c r="G52" s="232">
        <v>1200</v>
      </c>
      <c r="H52" s="232">
        <v>1200</v>
      </c>
      <c r="I52" s="231">
        <v>1200</v>
      </c>
      <c r="J52" s="234"/>
      <c r="K52" s="232">
        <v>1200</v>
      </c>
      <c r="L52" s="231">
        <v>1200</v>
      </c>
      <c r="M52" s="233"/>
      <c r="N52" s="232">
        <v>1200</v>
      </c>
      <c r="O52" s="234"/>
      <c r="P52" s="233"/>
      <c r="Q52" s="234"/>
      <c r="R52" s="234"/>
      <c r="S52" s="233"/>
      <c r="T52" s="233"/>
      <c r="U52" s="234"/>
      <c r="V52" s="234"/>
      <c r="W52" s="233"/>
      <c r="X52" s="234"/>
      <c r="Y52" s="234"/>
      <c r="Z52" s="233"/>
      <c r="AA52" s="233"/>
      <c r="AB52" s="234"/>
      <c r="AC52" s="234"/>
      <c r="AD52" s="233"/>
      <c r="AE52" s="234"/>
      <c r="AF52" s="234"/>
      <c r="AG52" s="235"/>
      <c r="AH52" s="235"/>
    </row>
    <row r="53" spans="1:34" ht="15">
      <c r="A53" s="393"/>
      <c r="B53" s="229" t="s">
        <v>46</v>
      </c>
      <c r="C53" s="230">
        <v>6900</v>
      </c>
      <c r="D53" s="230">
        <v>1150</v>
      </c>
      <c r="E53" s="233"/>
      <c r="F53" s="233"/>
      <c r="G53" s="232">
        <v>1200</v>
      </c>
      <c r="H53" s="232">
        <v>1200</v>
      </c>
      <c r="I53" s="231">
        <v>1200</v>
      </c>
      <c r="J53" s="234"/>
      <c r="K53" s="232">
        <v>1200</v>
      </c>
      <c r="L53" s="231">
        <v>1200</v>
      </c>
      <c r="M53" s="233"/>
      <c r="N53" s="232">
        <v>900</v>
      </c>
      <c r="O53" s="232">
        <v>900</v>
      </c>
      <c r="P53" s="231">
        <v>1200</v>
      </c>
      <c r="Q53" s="232">
        <v>1200</v>
      </c>
      <c r="R53" s="232">
        <v>1200</v>
      </c>
      <c r="S53" s="231">
        <v>1200</v>
      </c>
      <c r="T53" s="233"/>
      <c r="U53" s="232">
        <v>1200</v>
      </c>
      <c r="V53" s="232">
        <v>1200</v>
      </c>
      <c r="W53" s="231">
        <v>1200</v>
      </c>
      <c r="X53" s="232">
        <v>1200</v>
      </c>
      <c r="Y53" s="232">
        <v>1200</v>
      </c>
      <c r="Z53" s="233"/>
      <c r="AA53" s="233"/>
      <c r="AB53" s="232">
        <v>1200</v>
      </c>
      <c r="AC53" s="232">
        <v>1200</v>
      </c>
      <c r="AD53" s="231">
        <v>1200</v>
      </c>
      <c r="AE53" s="232">
        <v>1200</v>
      </c>
      <c r="AF53" s="232">
        <v>1200</v>
      </c>
      <c r="AG53" s="235"/>
      <c r="AH53" s="235"/>
    </row>
    <row r="54" spans="1:34" ht="15">
      <c r="A54" s="393"/>
      <c r="B54" s="237" t="s">
        <v>47</v>
      </c>
      <c r="C54" s="238">
        <v>6900</v>
      </c>
      <c r="D54" s="238">
        <v>1150</v>
      </c>
      <c r="E54" s="241"/>
      <c r="F54" s="241"/>
      <c r="G54" s="240">
        <v>1200</v>
      </c>
      <c r="H54" s="240">
        <v>1200</v>
      </c>
      <c r="I54" s="239">
        <v>1200</v>
      </c>
      <c r="J54" s="242"/>
      <c r="K54" s="240">
        <v>1200</v>
      </c>
      <c r="L54" s="239">
        <v>1200</v>
      </c>
      <c r="M54" s="241"/>
      <c r="N54" s="240">
        <v>900</v>
      </c>
      <c r="O54" s="242"/>
      <c r="P54" s="241"/>
      <c r="Q54" s="242"/>
      <c r="R54" s="242"/>
      <c r="S54" s="241"/>
      <c r="T54" s="241"/>
      <c r="U54" s="242"/>
      <c r="V54" s="242"/>
      <c r="W54" s="241"/>
      <c r="X54" s="242"/>
      <c r="Y54" s="242"/>
      <c r="Z54" s="241"/>
      <c r="AA54" s="241"/>
      <c r="AB54" s="242"/>
      <c r="AC54" s="242"/>
      <c r="AD54" s="241"/>
      <c r="AE54" s="242"/>
      <c r="AF54" s="242"/>
      <c r="AG54" s="243"/>
      <c r="AH54" s="243"/>
    </row>
    <row r="55" spans="1:34" ht="15">
      <c r="A55" s="393"/>
      <c r="B55" s="237" t="s">
        <v>48</v>
      </c>
      <c r="C55" s="238">
        <v>0</v>
      </c>
      <c r="D55" s="238">
        <v>0</v>
      </c>
      <c r="E55" s="241"/>
      <c r="F55" s="241"/>
      <c r="G55" s="240">
        <v>0</v>
      </c>
      <c r="H55" s="240">
        <v>0</v>
      </c>
      <c r="I55" s="239">
        <v>0</v>
      </c>
      <c r="J55" s="242"/>
      <c r="K55" s="240">
        <v>0</v>
      </c>
      <c r="L55" s="239">
        <v>0</v>
      </c>
      <c r="M55" s="241"/>
      <c r="N55" s="240">
        <v>0</v>
      </c>
      <c r="O55" s="242"/>
      <c r="P55" s="241"/>
      <c r="Q55" s="242"/>
      <c r="R55" s="242"/>
      <c r="S55" s="241"/>
      <c r="T55" s="241"/>
      <c r="U55" s="242"/>
      <c r="V55" s="242"/>
      <c r="W55" s="241"/>
      <c r="X55" s="242"/>
      <c r="Y55" s="242"/>
      <c r="Z55" s="241"/>
      <c r="AA55" s="241"/>
      <c r="AB55" s="242"/>
      <c r="AC55" s="242"/>
      <c r="AD55" s="241"/>
      <c r="AE55" s="242"/>
      <c r="AF55" s="242"/>
      <c r="AG55" s="243"/>
      <c r="AH55" s="243"/>
    </row>
    <row r="56" spans="1:34" ht="15">
      <c r="A56" s="393"/>
      <c r="B56" s="237" t="s">
        <v>49</v>
      </c>
      <c r="C56" s="238">
        <v>48</v>
      </c>
      <c r="D56" s="238">
        <v>8</v>
      </c>
      <c r="E56" s="241"/>
      <c r="F56" s="241"/>
      <c r="G56" s="240">
        <v>8</v>
      </c>
      <c r="H56" s="240">
        <v>8</v>
      </c>
      <c r="I56" s="239">
        <v>8</v>
      </c>
      <c r="J56" s="242"/>
      <c r="K56" s="240">
        <v>8</v>
      </c>
      <c r="L56" s="239">
        <v>8</v>
      </c>
      <c r="M56" s="241"/>
      <c r="N56" s="240">
        <v>8</v>
      </c>
      <c r="O56" s="242"/>
      <c r="P56" s="241"/>
      <c r="Q56" s="242"/>
      <c r="R56" s="242"/>
      <c r="S56" s="241"/>
      <c r="T56" s="241"/>
      <c r="U56" s="242"/>
      <c r="V56" s="242"/>
      <c r="W56" s="241"/>
      <c r="X56" s="242"/>
      <c r="Y56" s="242"/>
      <c r="Z56" s="241"/>
      <c r="AA56" s="241"/>
      <c r="AB56" s="242"/>
      <c r="AC56" s="242"/>
      <c r="AD56" s="241"/>
      <c r="AE56" s="242"/>
      <c r="AF56" s="242"/>
      <c r="AG56" s="243"/>
      <c r="AH56" s="243"/>
    </row>
    <row r="57" spans="1:34" ht="15">
      <c r="A57" s="393"/>
      <c r="B57" s="237" t="s">
        <v>50</v>
      </c>
      <c r="C57" s="238">
        <v>73</v>
      </c>
      <c r="D57" s="238">
        <v>73</v>
      </c>
      <c r="E57" s="241"/>
      <c r="F57" s="241"/>
      <c r="G57" s="240">
        <v>73</v>
      </c>
      <c r="H57" s="240">
        <v>73</v>
      </c>
      <c r="I57" s="239">
        <v>75</v>
      </c>
      <c r="J57" s="242"/>
      <c r="K57" s="240">
        <v>74</v>
      </c>
      <c r="L57" s="239">
        <v>72</v>
      </c>
      <c r="M57" s="241"/>
      <c r="N57" s="240">
        <v>72</v>
      </c>
      <c r="O57" s="242"/>
      <c r="P57" s="241"/>
      <c r="Q57" s="242"/>
      <c r="R57" s="242"/>
      <c r="S57" s="241"/>
      <c r="T57" s="241"/>
      <c r="U57" s="242"/>
      <c r="V57" s="242"/>
      <c r="W57" s="241"/>
      <c r="X57" s="242"/>
      <c r="Y57" s="242"/>
      <c r="Z57" s="241"/>
      <c r="AA57" s="241"/>
      <c r="AB57" s="242"/>
      <c r="AC57" s="242"/>
      <c r="AD57" s="241"/>
      <c r="AE57" s="242"/>
      <c r="AF57" s="242"/>
      <c r="AG57" s="243"/>
      <c r="AH57" s="243"/>
    </row>
    <row r="58" spans="1:34" ht="15">
      <c r="A58" s="393"/>
      <c r="B58" s="237" t="s">
        <v>51</v>
      </c>
      <c r="C58" s="238">
        <v>143.75</v>
      </c>
      <c r="D58" s="238">
        <v>143.75</v>
      </c>
      <c r="E58" s="241"/>
      <c r="F58" s="241"/>
      <c r="G58" s="240">
        <v>150</v>
      </c>
      <c r="H58" s="240">
        <v>150</v>
      </c>
      <c r="I58" s="239">
        <v>150</v>
      </c>
      <c r="J58" s="242"/>
      <c r="K58" s="240">
        <v>150</v>
      </c>
      <c r="L58" s="239">
        <v>150</v>
      </c>
      <c r="M58" s="241"/>
      <c r="N58" s="240">
        <v>112.5</v>
      </c>
      <c r="O58" s="242"/>
      <c r="P58" s="241"/>
      <c r="Q58" s="242"/>
      <c r="R58" s="242"/>
      <c r="S58" s="241"/>
      <c r="T58" s="241"/>
      <c r="U58" s="242"/>
      <c r="V58" s="242"/>
      <c r="W58" s="241"/>
      <c r="X58" s="242"/>
      <c r="Y58" s="242"/>
      <c r="Z58" s="241"/>
      <c r="AA58" s="241"/>
      <c r="AB58" s="242"/>
      <c r="AC58" s="242"/>
      <c r="AD58" s="241"/>
      <c r="AE58" s="242"/>
      <c r="AF58" s="242"/>
      <c r="AG58" s="243"/>
      <c r="AH58" s="243"/>
    </row>
    <row r="59" spans="1:34" ht="15">
      <c r="A59" s="394"/>
      <c r="B59" s="245" t="s">
        <v>52</v>
      </c>
      <c r="C59" s="246">
        <v>1.9691999999999998</v>
      </c>
      <c r="D59" s="246">
        <v>1.9691999999999998</v>
      </c>
      <c r="E59" s="248"/>
      <c r="F59" s="248"/>
      <c r="G59" s="246">
        <v>2.0548000000000002</v>
      </c>
      <c r="H59" s="246">
        <v>2.0548000000000002</v>
      </c>
      <c r="I59" s="247">
        <v>2</v>
      </c>
      <c r="J59" s="249"/>
      <c r="K59" s="246">
        <v>2.0270000000000001</v>
      </c>
      <c r="L59" s="247">
        <v>2.0832999999999999</v>
      </c>
      <c r="M59" s="248"/>
      <c r="N59" s="246">
        <v>1.5625</v>
      </c>
      <c r="O59" s="249"/>
      <c r="P59" s="248"/>
      <c r="Q59" s="249"/>
      <c r="R59" s="249"/>
      <c r="S59" s="248"/>
      <c r="T59" s="248"/>
      <c r="U59" s="249"/>
      <c r="V59" s="249"/>
      <c r="W59" s="248"/>
      <c r="X59" s="249"/>
      <c r="Y59" s="249"/>
      <c r="Z59" s="248"/>
      <c r="AA59" s="248"/>
      <c r="AB59" s="249"/>
      <c r="AC59" s="249"/>
      <c r="AD59" s="248"/>
      <c r="AE59" s="249"/>
      <c r="AF59" s="249"/>
      <c r="AG59" s="250"/>
      <c r="AH59" s="250"/>
    </row>
    <row r="60" spans="1:34" ht="15">
      <c r="A60" s="392" t="s">
        <v>185</v>
      </c>
      <c r="B60" s="229" t="s">
        <v>45</v>
      </c>
      <c r="C60" s="230">
        <v>7888</v>
      </c>
      <c r="D60" s="230">
        <v>1314.6666666666667</v>
      </c>
      <c r="E60" s="233"/>
      <c r="F60" s="233"/>
      <c r="G60" s="232">
        <v>1440</v>
      </c>
      <c r="H60" s="232">
        <v>1368</v>
      </c>
      <c r="I60" s="231">
        <v>1416</v>
      </c>
      <c r="J60" s="234"/>
      <c r="K60" s="232">
        <v>1264</v>
      </c>
      <c r="L60" s="231">
        <v>1200</v>
      </c>
      <c r="M60" s="233"/>
      <c r="N60" s="232">
        <v>1200</v>
      </c>
      <c r="O60" s="234"/>
      <c r="P60" s="233"/>
      <c r="Q60" s="234"/>
      <c r="R60" s="234"/>
      <c r="S60" s="233"/>
      <c r="T60" s="233"/>
      <c r="U60" s="234"/>
      <c r="V60" s="234"/>
      <c r="W60" s="233"/>
      <c r="X60" s="234"/>
      <c r="Y60" s="234"/>
      <c r="Z60" s="233"/>
      <c r="AA60" s="233"/>
      <c r="AB60" s="234"/>
      <c r="AC60" s="234"/>
      <c r="AD60" s="233"/>
      <c r="AE60" s="234"/>
      <c r="AF60" s="234"/>
      <c r="AG60" s="235"/>
      <c r="AH60" s="235"/>
    </row>
    <row r="61" spans="1:34" ht="15">
      <c r="A61" s="393"/>
      <c r="B61" s="229" t="s">
        <v>46</v>
      </c>
      <c r="C61" s="230">
        <v>7200</v>
      </c>
      <c r="D61" s="230">
        <v>1200</v>
      </c>
      <c r="E61" s="233"/>
      <c r="F61" s="233"/>
      <c r="G61" s="232">
        <v>1200</v>
      </c>
      <c r="H61" s="232">
        <v>1200</v>
      </c>
      <c r="I61" s="231">
        <v>1200</v>
      </c>
      <c r="J61" s="234"/>
      <c r="K61" s="232">
        <v>1200</v>
      </c>
      <c r="L61" s="231">
        <v>1200</v>
      </c>
      <c r="M61" s="233"/>
      <c r="N61" s="232">
        <v>1200</v>
      </c>
      <c r="O61" s="232">
        <v>1200</v>
      </c>
      <c r="P61" s="231">
        <v>1200</v>
      </c>
      <c r="Q61" s="232">
        <v>1200</v>
      </c>
      <c r="R61" s="232">
        <v>1200</v>
      </c>
      <c r="S61" s="231">
        <v>1200</v>
      </c>
      <c r="T61" s="233"/>
      <c r="U61" s="232">
        <v>1200</v>
      </c>
      <c r="V61" s="232">
        <v>1200</v>
      </c>
      <c r="W61" s="231">
        <v>1200</v>
      </c>
      <c r="X61" s="232">
        <v>1200</v>
      </c>
      <c r="Y61" s="232">
        <v>1200</v>
      </c>
      <c r="Z61" s="233"/>
      <c r="AA61" s="233"/>
      <c r="AB61" s="232">
        <v>1200</v>
      </c>
      <c r="AC61" s="232">
        <v>1020</v>
      </c>
      <c r="AD61" s="231">
        <v>1020</v>
      </c>
      <c r="AE61" s="232">
        <v>1360</v>
      </c>
      <c r="AF61" s="232">
        <v>1360</v>
      </c>
      <c r="AG61" s="235"/>
      <c r="AH61" s="235"/>
    </row>
    <row r="62" spans="1:34" ht="15">
      <c r="A62" s="393"/>
      <c r="B62" s="237" t="s">
        <v>47</v>
      </c>
      <c r="C62" s="238">
        <v>7200</v>
      </c>
      <c r="D62" s="238">
        <v>1200</v>
      </c>
      <c r="E62" s="241"/>
      <c r="F62" s="241"/>
      <c r="G62" s="240">
        <v>1200</v>
      </c>
      <c r="H62" s="240">
        <v>1000</v>
      </c>
      <c r="I62" s="239">
        <v>1200</v>
      </c>
      <c r="J62" s="242"/>
      <c r="K62" s="240">
        <v>1400</v>
      </c>
      <c r="L62" s="239">
        <v>1200</v>
      </c>
      <c r="M62" s="241"/>
      <c r="N62" s="240">
        <v>1200</v>
      </c>
      <c r="O62" s="242"/>
      <c r="P62" s="241"/>
      <c r="Q62" s="242"/>
      <c r="R62" s="242"/>
      <c r="S62" s="241"/>
      <c r="T62" s="241"/>
      <c r="U62" s="242"/>
      <c r="V62" s="242"/>
      <c r="W62" s="241"/>
      <c r="X62" s="242"/>
      <c r="Y62" s="242"/>
      <c r="Z62" s="241"/>
      <c r="AA62" s="241"/>
      <c r="AB62" s="242"/>
      <c r="AC62" s="242"/>
      <c r="AD62" s="241"/>
      <c r="AE62" s="242"/>
      <c r="AF62" s="242"/>
      <c r="AG62" s="243"/>
      <c r="AH62" s="243"/>
    </row>
    <row r="63" spans="1:34" ht="15">
      <c r="A63" s="393"/>
      <c r="B63" s="237" t="s">
        <v>48</v>
      </c>
      <c r="C63" s="238">
        <v>0</v>
      </c>
      <c r="D63" s="238">
        <v>0</v>
      </c>
      <c r="E63" s="241"/>
      <c r="F63" s="241"/>
      <c r="G63" s="240">
        <v>0</v>
      </c>
      <c r="H63" s="242">
        <v>-200</v>
      </c>
      <c r="I63" s="239">
        <v>0</v>
      </c>
      <c r="J63" s="242"/>
      <c r="K63" s="240">
        <v>200</v>
      </c>
      <c r="L63" s="239">
        <v>0</v>
      </c>
      <c r="M63" s="241"/>
      <c r="N63" s="240">
        <v>0</v>
      </c>
      <c r="O63" s="242"/>
      <c r="P63" s="241"/>
      <c r="Q63" s="242"/>
      <c r="R63" s="242"/>
      <c r="S63" s="241"/>
      <c r="T63" s="241"/>
      <c r="U63" s="242"/>
      <c r="V63" s="242"/>
      <c r="W63" s="241"/>
      <c r="X63" s="242"/>
      <c r="Y63" s="242"/>
      <c r="Z63" s="241"/>
      <c r="AA63" s="241"/>
      <c r="AB63" s="242"/>
      <c r="AC63" s="242"/>
      <c r="AD63" s="241"/>
      <c r="AE63" s="242"/>
      <c r="AF63" s="242"/>
      <c r="AG63" s="243"/>
      <c r="AH63" s="243"/>
    </row>
    <row r="64" spans="1:34" ht="15">
      <c r="A64" s="393"/>
      <c r="B64" s="237" t="s">
        <v>49</v>
      </c>
      <c r="C64" s="238">
        <v>48</v>
      </c>
      <c r="D64" s="238">
        <v>8</v>
      </c>
      <c r="E64" s="241"/>
      <c r="F64" s="241"/>
      <c r="G64" s="240">
        <v>8</v>
      </c>
      <c r="H64" s="240">
        <v>8</v>
      </c>
      <c r="I64" s="239">
        <v>8</v>
      </c>
      <c r="J64" s="242"/>
      <c r="K64" s="240">
        <v>8</v>
      </c>
      <c r="L64" s="239">
        <v>8</v>
      </c>
      <c r="M64" s="241"/>
      <c r="N64" s="240">
        <v>8</v>
      </c>
      <c r="O64" s="242"/>
      <c r="P64" s="241"/>
      <c r="Q64" s="242"/>
      <c r="R64" s="242"/>
      <c r="S64" s="241"/>
      <c r="T64" s="241"/>
      <c r="U64" s="242"/>
      <c r="V64" s="242"/>
      <c r="W64" s="241"/>
      <c r="X64" s="242"/>
      <c r="Y64" s="242"/>
      <c r="Z64" s="241"/>
      <c r="AA64" s="241"/>
      <c r="AB64" s="242"/>
      <c r="AC64" s="242"/>
      <c r="AD64" s="241"/>
      <c r="AE64" s="242"/>
      <c r="AF64" s="242"/>
      <c r="AG64" s="243"/>
      <c r="AH64" s="243"/>
    </row>
    <row r="65" spans="1:34" ht="15">
      <c r="A65" s="393"/>
      <c r="B65" s="237" t="s">
        <v>50</v>
      </c>
      <c r="C65" s="238">
        <v>70</v>
      </c>
      <c r="D65" s="238">
        <v>70</v>
      </c>
      <c r="E65" s="241"/>
      <c r="F65" s="241"/>
      <c r="G65" s="240">
        <v>71</v>
      </c>
      <c r="H65" s="240">
        <v>72</v>
      </c>
      <c r="I65" s="239">
        <v>69</v>
      </c>
      <c r="J65" s="242"/>
      <c r="K65" s="240">
        <v>69</v>
      </c>
      <c r="L65" s="239">
        <v>71</v>
      </c>
      <c r="M65" s="241"/>
      <c r="N65" s="240">
        <v>71</v>
      </c>
      <c r="O65" s="242"/>
      <c r="P65" s="241"/>
      <c r="Q65" s="242"/>
      <c r="R65" s="242"/>
      <c r="S65" s="241"/>
      <c r="T65" s="241"/>
      <c r="U65" s="242"/>
      <c r="V65" s="242"/>
      <c r="W65" s="241"/>
      <c r="X65" s="242"/>
      <c r="Y65" s="242"/>
      <c r="Z65" s="241"/>
      <c r="AA65" s="241"/>
      <c r="AB65" s="242"/>
      <c r="AC65" s="242"/>
      <c r="AD65" s="241"/>
      <c r="AE65" s="242"/>
      <c r="AF65" s="242"/>
      <c r="AG65" s="243"/>
      <c r="AH65" s="243"/>
    </row>
    <row r="66" spans="1:34" ht="15">
      <c r="A66" s="393"/>
      <c r="B66" s="237" t="s">
        <v>51</v>
      </c>
      <c r="C66" s="238">
        <v>150</v>
      </c>
      <c r="D66" s="238">
        <v>150</v>
      </c>
      <c r="E66" s="241"/>
      <c r="F66" s="241"/>
      <c r="G66" s="240">
        <v>150</v>
      </c>
      <c r="H66" s="240">
        <v>125</v>
      </c>
      <c r="I66" s="239">
        <v>150</v>
      </c>
      <c r="J66" s="242"/>
      <c r="K66" s="240">
        <v>175</v>
      </c>
      <c r="L66" s="239">
        <v>150</v>
      </c>
      <c r="M66" s="241"/>
      <c r="N66" s="240">
        <v>150</v>
      </c>
      <c r="O66" s="242"/>
      <c r="P66" s="241"/>
      <c r="Q66" s="242"/>
      <c r="R66" s="242"/>
      <c r="S66" s="241"/>
      <c r="T66" s="241"/>
      <c r="U66" s="242"/>
      <c r="V66" s="242"/>
      <c r="W66" s="241"/>
      <c r="X66" s="242"/>
      <c r="Y66" s="242"/>
      <c r="Z66" s="241"/>
      <c r="AA66" s="241"/>
      <c r="AB66" s="242"/>
      <c r="AC66" s="242"/>
      <c r="AD66" s="241"/>
      <c r="AE66" s="242"/>
      <c r="AF66" s="242"/>
      <c r="AG66" s="243"/>
      <c r="AH66" s="243"/>
    </row>
    <row r="67" spans="1:34" ht="15">
      <c r="A67" s="394"/>
      <c r="B67" s="245" t="s">
        <v>52</v>
      </c>
      <c r="C67" s="246">
        <v>2.1429</v>
      </c>
      <c r="D67" s="246">
        <v>2.1429</v>
      </c>
      <c r="E67" s="248"/>
      <c r="F67" s="248"/>
      <c r="G67" s="246">
        <v>2.1126999999999998</v>
      </c>
      <c r="H67" s="246">
        <v>1.7361</v>
      </c>
      <c r="I67" s="247">
        <v>2.1739000000000002</v>
      </c>
      <c r="J67" s="249"/>
      <c r="K67" s="246">
        <v>2.5362</v>
      </c>
      <c r="L67" s="247">
        <v>2.1126999999999998</v>
      </c>
      <c r="M67" s="248"/>
      <c r="N67" s="246">
        <v>2.1126999999999998</v>
      </c>
      <c r="O67" s="249"/>
      <c r="P67" s="248"/>
      <c r="Q67" s="249"/>
      <c r="R67" s="249"/>
      <c r="S67" s="248"/>
      <c r="T67" s="248"/>
      <c r="U67" s="249"/>
      <c r="V67" s="249"/>
      <c r="W67" s="248"/>
      <c r="X67" s="249"/>
      <c r="Y67" s="249"/>
      <c r="Z67" s="248"/>
      <c r="AA67" s="248"/>
      <c r="AB67" s="249"/>
      <c r="AC67" s="249"/>
      <c r="AD67" s="248"/>
      <c r="AE67" s="249"/>
      <c r="AF67" s="249"/>
      <c r="AG67" s="250"/>
      <c r="AH67" s="250"/>
    </row>
    <row r="68" spans="1:34" ht="15">
      <c r="A68" s="392" t="s">
        <v>186</v>
      </c>
      <c r="B68" s="229" t="s">
        <v>45</v>
      </c>
      <c r="C68" s="230">
        <v>7680</v>
      </c>
      <c r="D68" s="230">
        <v>1280</v>
      </c>
      <c r="E68" s="233"/>
      <c r="F68" s="233"/>
      <c r="G68" s="232">
        <v>1280</v>
      </c>
      <c r="H68" s="232">
        <v>1280</v>
      </c>
      <c r="I68" s="231">
        <v>1280</v>
      </c>
      <c r="J68" s="234"/>
      <c r="K68" s="232">
        <v>1280</v>
      </c>
      <c r="L68" s="231">
        <v>1280</v>
      </c>
      <c r="M68" s="233"/>
      <c r="N68" s="232">
        <v>1280</v>
      </c>
      <c r="O68" s="234"/>
      <c r="P68" s="233"/>
      <c r="Q68" s="234"/>
      <c r="R68" s="234"/>
      <c r="S68" s="233"/>
      <c r="T68" s="233"/>
      <c r="U68" s="234"/>
      <c r="V68" s="234"/>
      <c r="W68" s="233"/>
      <c r="X68" s="234"/>
      <c r="Y68" s="234"/>
      <c r="Z68" s="233"/>
      <c r="AA68" s="233"/>
      <c r="AB68" s="234"/>
      <c r="AC68" s="234"/>
      <c r="AD68" s="233"/>
      <c r="AE68" s="234"/>
      <c r="AF68" s="234"/>
      <c r="AG68" s="235"/>
      <c r="AH68" s="235"/>
    </row>
    <row r="69" spans="1:34" ht="15">
      <c r="A69" s="393"/>
      <c r="B69" s="229" t="s">
        <v>46</v>
      </c>
      <c r="C69" s="230">
        <v>7200</v>
      </c>
      <c r="D69" s="230">
        <v>1200</v>
      </c>
      <c r="E69" s="233"/>
      <c r="F69" s="233"/>
      <c r="G69" s="232">
        <v>1200</v>
      </c>
      <c r="H69" s="232">
        <v>1200</v>
      </c>
      <c r="I69" s="231">
        <v>1200</v>
      </c>
      <c r="J69" s="234"/>
      <c r="K69" s="232">
        <v>1200</v>
      </c>
      <c r="L69" s="231">
        <v>1200</v>
      </c>
      <c r="M69" s="233"/>
      <c r="N69" s="232">
        <v>1200</v>
      </c>
      <c r="O69" s="232">
        <v>1200</v>
      </c>
      <c r="P69" s="231">
        <v>1200</v>
      </c>
      <c r="Q69" s="232">
        <v>1200</v>
      </c>
      <c r="R69" s="232">
        <v>1200</v>
      </c>
      <c r="S69" s="231">
        <v>1200</v>
      </c>
      <c r="T69" s="233"/>
      <c r="U69" s="232">
        <v>1200</v>
      </c>
      <c r="V69" s="232">
        <v>1200</v>
      </c>
      <c r="W69" s="231">
        <v>1200</v>
      </c>
      <c r="X69" s="232">
        <v>1080</v>
      </c>
      <c r="Y69" s="232">
        <v>1080</v>
      </c>
      <c r="Z69" s="233"/>
      <c r="AA69" s="233"/>
      <c r="AB69" s="232">
        <v>1440</v>
      </c>
      <c r="AC69" s="232">
        <v>1440</v>
      </c>
      <c r="AD69" s="231">
        <v>1440</v>
      </c>
      <c r="AE69" s="232">
        <v>1440</v>
      </c>
      <c r="AF69" s="232">
        <v>1440</v>
      </c>
      <c r="AG69" s="235"/>
      <c r="AH69" s="235"/>
    </row>
    <row r="70" spans="1:34" ht="15">
      <c r="A70" s="393"/>
      <c r="B70" s="237" t="s">
        <v>47</v>
      </c>
      <c r="C70" s="238">
        <v>7200</v>
      </c>
      <c r="D70" s="238">
        <v>1200</v>
      </c>
      <c r="E70" s="241"/>
      <c r="F70" s="241"/>
      <c r="G70" s="240">
        <v>1200</v>
      </c>
      <c r="H70" s="240">
        <v>1200</v>
      </c>
      <c r="I70" s="239">
        <v>1200</v>
      </c>
      <c r="J70" s="242"/>
      <c r="K70" s="240">
        <v>1200</v>
      </c>
      <c r="L70" s="239">
        <v>1200</v>
      </c>
      <c r="M70" s="241"/>
      <c r="N70" s="240">
        <v>1200</v>
      </c>
      <c r="O70" s="242"/>
      <c r="P70" s="241"/>
      <c r="Q70" s="242"/>
      <c r="R70" s="242"/>
      <c r="S70" s="241"/>
      <c r="T70" s="241"/>
      <c r="U70" s="242"/>
      <c r="V70" s="242"/>
      <c r="W70" s="241"/>
      <c r="X70" s="242"/>
      <c r="Y70" s="242"/>
      <c r="Z70" s="241"/>
      <c r="AA70" s="241"/>
      <c r="AB70" s="242"/>
      <c r="AC70" s="242"/>
      <c r="AD70" s="241"/>
      <c r="AE70" s="242"/>
      <c r="AF70" s="242"/>
      <c r="AG70" s="243"/>
      <c r="AH70" s="243"/>
    </row>
    <row r="71" spans="1:34" ht="15">
      <c r="A71" s="393"/>
      <c r="B71" s="237" t="s">
        <v>48</v>
      </c>
      <c r="C71" s="238">
        <v>0</v>
      </c>
      <c r="D71" s="238">
        <v>0</v>
      </c>
      <c r="E71" s="241"/>
      <c r="F71" s="241"/>
      <c r="G71" s="240">
        <v>0</v>
      </c>
      <c r="H71" s="240">
        <v>0</v>
      </c>
      <c r="I71" s="239">
        <v>0</v>
      </c>
      <c r="J71" s="242"/>
      <c r="K71" s="240">
        <v>0</v>
      </c>
      <c r="L71" s="239">
        <v>0</v>
      </c>
      <c r="M71" s="241"/>
      <c r="N71" s="240">
        <v>0</v>
      </c>
      <c r="O71" s="242"/>
      <c r="P71" s="241"/>
      <c r="Q71" s="242"/>
      <c r="R71" s="242"/>
      <c r="S71" s="241"/>
      <c r="T71" s="241"/>
      <c r="U71" s="242"/>
      <c r="V71" s="242"/>
      <c r="W71" s="241"/>
      <c r="X71" s="242"/>
      <c r="Y71" s="242"/>
      <c r="Z71" s="241"/>
      <c r="AA71" s="241"/>
      <c r="AB71" s="242"/>
      <c r="AC71" s="242"/>
      <c r="AD71" s="241"/>
      <c r="AE71" s="242"/>
      <c r="AF71" s="242"/>
      <c r="AG71" s="243"/>
      <c r="AH71" s="243"/>
    </row>
    <row r="72" spans="1:34" ht="15">
      <c r="A72" s="393"/>
      <c r="B72" s="237" t="s">
        <v>49</v>
      </c>
      <c r="C72" s="238">
        <v>48</v>
      </c>
      <c r="D72" s="238">
        <v>8</v>
      </c>
      <c r="E72" s="241"/>
      <c r="F72" s="241"/>
      <c r="G72" s="240">
        <v>8</v>
      </c>
      <c r="H72" s="240">
        <v>8</v>
      </c>
      <c r="I72" s="239">
        <v>8</v>
      </c>
      <c r="J72" s="242"/>
      <c r="K72" s="240">
        <v>8</v>
      </c>
      <c r="L72" s="239">
        <v>8</v>
      </c>
      <c r="M72" s="241"/>
      <c r="N72" s="240">
        <v>8</v>
      </c>
      <c r="O72" s="242"/>
      <c r="P72" s="241"/>
      <c r="Q72" s="242"/>
      <c r="R72" s="242"/>
      <c r="S72" s="241"/>
      <c r="T72" s="241"/>
      <c r="U72" s="242"/>
      <c r="V72" s="242"/>
      <c r="W72" s="241"/>
      <c r="X72" s="242"/>
      <c r="Y72" s="242"/>
      <c r="Z72" s="241"/>
      <c r="AA72" s="241"/>
      <c r="AB72" s="242"/>
      <c r="AC72" s="242"/>
      <c r="AD72" s="241"/>
      <c r="AE72" s="242"/>
      <c r="AF72" s="242"/>
      <c r="AG72" s="243"/>
      <c r="AH72" s="243"/>
    </row>
    <row r="73" spans="1:34" ht="15">
      <c r="A73" s="393"/>
      <c r="B73" s="237" t="s">
        <v>50</v>
      </c>
      <c r="C73" s="238">
        <v>72</v>
      </c>
      <c r="D73" s="238">
        <v>72</v>
      </c>
      <c r="E73" s="241"/>
      <c r="F73" s="241"/>
      <c r="G73" s="240">
        <v>73</v>
      </c>
      <c r="H73" s="240">
        <v>73</v>
      </c>
      <c r="I73" s="239">
        <v>70</v>
      </c>
      <c r="J73" s="242"/>
      <c r="K73" s="240">
        <v>71</v>
      </c>
      <c r="L73" s="239">
        <v>74</v>
      </c>
      <c r="M73" s="241"/>
      <c r="N73" s="240">
        <v>72</v>
      </c>
      <c r="O73" s="242"/>
      <c r="P73" s="241"/>
      <c r="Q73" s="242"/>
      <c r="R73" s="242"/>
      <c r="S73" s="241"/>
      <c r="T73" s="241"/>
      <c r="U73" s="242"/>
      <c r="V73" s="242"/>
      <c r="W73" s="241"/>
      <c r="X73" s="242"/>
      <c r="Y73" s="242"/>
      <c r="Z73" s="241"/>
      <c r="AA73" s="241"/>
      <c r="AB73" s="242"/>
      <c r="AC73" s="242"/>
      <c r="AD73" s="241"/>
      <c r="AE73" s="242"/>
      <c r="AF73" s="242"/>
      <c r="AG73" s="243"/>
      <c r="AH73" s="243"/>
    </row>
    <row r="74" spans="1:34" ht="15">
      <c r="A74" s="393"/>
      <c r="B74" s="237" t="s">
        <v>51</v>
      </c>
      <c r="C74" s="238">
        <v>150</v>
      </c>
      <c r="D74" s="238">
        <v>150</v>
      </c>
      <c r="E74" s="241"/>
      <c r="F74" s="241"/>
      <c r="G74" s="240">
        <v>150</v>
      </c>
      <c r="H74" s="240">
        <v>150</v>
      </c>
      <c r="I74" s="239">
        <v>150</v>
      </c>
      <c r="J74" s="242"/>
      <c r="K74" s="240">
        <v>150</v>
      </c>
      <c r="L74" s="239">
        <v>150</v>
      </c>
      <c r="M74" s="241"/>
      <c r="N74" s="240">
        <v>150</v>
      </c>
      <c r="O74" s="242"/>
      <c r="P74" s="241"/>
      <c r="Q74" s="242"/>
      <c r="R74" s="242"/>
      <c r="S74" s="241"/>
      <c r="T74" s="241"/>
      <c r="U74" s="242"/>
      <c r="V74" s="242"/>
      <c r="W74" s="241"/>
      <c r="X74" s="242"/>
      <c r="Y74" s="242"/>
      <c r="Z74" s="241"/>
      <c r="AA74" s="241"/>
      <c r="AB74" s="242"/>
      <c r="AC74" s="242"/>
      <c r="AD74" s="241"/>
      <c r="AE74" s="242"/>
      <c r="AF74" s="242"/>
      <c r="AG74" s="243"/>
      <c r="AH74" s="243"/>
    </row>
    <row r="75" spans="1:34" ht="15">
      <c r="A75" s="394"/>
      <c r="B75" s="245" t="s">
        <v>52</v>
      </c>
      <c r="C75" s="246">
        <v>2.0832999999999999</v>
      </c>
      <c r="D75" s="246">
        <v>2.0832999999999999</v>
      </c>
      <c r="E75" s="248"/>
      <c r="F75" s="248"/>
      <c r="G75" s="246">
        <v>2.0548000000000002</v>
      </c>
      <c r="H75" s="246">
        <v>2.0548000000000002</v>
      </c>
      <c r="I75" s="247">
        <v>2.1429</v>
      </c>
      <c r="J75" s="249"/>
      <c r="K75" s="246">
        <v>2.1126999999999998</v>
      </c>
      <c r="L75" s="247">
        <v>2.0270000000000001</v>
      </c>
      <c r="M75" s="248"/>
      <c r="N75" s="246">
        <v>2.0832999999999999</v>
      </c>
      <c r="O75" s="249"/>
      <c r="P75" s="248"/>
      <c r="Q75" s="249"/>
      <c r="R75" s="249"/>
      <c r="S75" s="248"/>
      <c r="T75" s="248"/>
      <c r="U75" s="249"/>
      <c r="V75" s="249"/>
      <c r="W75" s="248"/>
      <c r="X75" s="249"/>
      <c r="Y75" s="249"/>
      <c r="Z75" s="248"/>
      <c r="AA75" s="248"/>
      <c r="AB75" s="249"/>
      <c r="AC75" s="249"/>
      <c r="AD75" s="248"/>
      <c r="AE75" s="249"/>
      <c r="AF75" s="249"/>
      <c r="AG75" s="250"/>
      <c r="AH75" s="250"/>
    </row>
    <row r="76" spans="1:34" ht="15">
      <c r="A76" s="392" t="s">
        <v>187</v>
      </c>
      <c r="B76" s="229" t="s">
        <v>45</v>
      </c>
      <c r="C76" s="230">
        <v>9864</v>
      </c>
      <c r="D76" s="230">
        <v>1644</v>
      </c>
      <c r="E76" s="233"/>
      <c r="F76" s="233"/>
      <c r="G76" s="232">
        <v>1600</v>
      </c>
      <c r="H76" s="232">
        <v>1680</v>
      </c>
      <c r="I76" s="231">
        <v>1640</v>
      </c>
      <c r="J76" s="234"/>
      <c r="K76" s="232">
        <v>1640</v>
      </c>
      <c r="L76" s="231">
        <v>1640</v>
      </c>
      <c r="M76" s="233"/>
      <c r="N76" s="232">
        <v>1664</v>
      </c>
      <c r="O76" s="234"/>
      <c r="P76" s="233"/>
      <c r="Q76" s="234"/>
      <c r="R76" s="234"/>
      <c r="S76" s="233"/>
      <c r="T76" s="233"/>
      <c r="U76" s="234"/>
      <c r="V76" s="234"/>
      <c r="W76" s="233"/>
      <c r="X76" s="234"/>
      <c r="Y76" s="234"/>
      <c r="Z76" s="233"/>
      <c r="AA76" s="233"/>
      <c r="AB76" s="234"/>
      <c r="AC76" s="234"/>
      <c r="AD76" s="233"/>
      <c r="AE76" s="234"/>
      <c r="AF76" s="234"/>
      <c r="AG76" s="235"/>
      <c r="AH76" s="235"/>
    </row>
    <row r="77" spans="1:34" ht="15">
      <c r="A77" s="393"/>
      <c r="B77" s="229" t="s">
        <v>46</v>
      </c>
      <c r="C77" s="230">
        <v>9600</v>
      </c>
      <c r="D77" s="230">
        <v>1600</v>
      </c>
      <c r="E77" s="233"/>
      <c r="F77" s="233"/>
      <c r="G77" s="232">
        <v>1600</v>
      </c>
      <c r="H77" s="232">
        <v>1600</v>
      </c>
      <c r="I77" s="231">
        <v>1600</v>
      </c>
      <c r="J77" s="234"/>
      <c r="K77" s="232">
        <v>1600</v>
      </c>
      <c r="L77" s="231">
        <v>1600</v>
      </c>
      <c r="M77" s="233"/>
      <c r="N77" s="232">
        <v>1600</v>
      </c>
      <c r="O77" s="232">
        <v>1600</v>
      </c>
      <c r="P77" s="231">
        <v>1600</v>
      </c>
      <c r="Q77" s="232">
        <v>1600</v>
      </c>
      <c r="R77" s="232">
        <v>1600</v>
      </c>
      <c r="S77" s="231">
        <v>1600</v>
      </c>
      <c r="T77" s="233"/>
      <c r="U77" s="232">
        <v>1600</v>
      </c>
      <c r="V77" s="232">
        <v>1600</v>
      </c>
      <c r="W77" s="231">
        <v>1600</v>
      </c>
      <c r="X77" s="232">
        <v>1600</v>
      </c>
      <c r="Y77" s="232">
        <v>1600</v>
      </c>
      <c r="Z77" s="233"/>
      <c r="AA77" s="233"/>
      <c r="AB77" s="232">
        <v>1600</v>
      </c>
      <c r="AC77" s="232">
        <v>1600</v>
      </c>
      <c r="AD77" s="231">
        <v>1600</v>
      </c>
      <c r="AE77" s="232">
        <v>1600</v>
      </c>
      <c r="AF77" s="232">
        <v>1600</v>
      </c>
      <c r="AG77" s="235"/>
      <c r="AH77" s="235"/>
    </row>
    <row r="78" spans="1:34" ht="15">
      <c r="A78" s="393"/>
      <c r="B78" s="237" t="s">
        <v>47</v>
      </c>
      <c r="C78" s="238">
        <v>9370</v>
      </c>
      <c r="D78" s="238">
        <v>1561.6666666666667</v>
      </c>
      <c r="E78" s="241"/>
      <c r="F78" s="241"/>
      <c r="G78" s="240">
        <v>1600</v>
      </c>
      <c r="H78" s="240">
        <v>1600</v>
      </c>
      <c r="I78" s="239">
        <v>1600</v>
      </c>
      <c r="J78" s="242"/>
      <c r="K78" s="240">
        <v>1600</v>
      </c>
      <c r="L78" s="239">
        <v>1370</v>
      </c>
      <c r="M78" s="241"/>
      <c r="N78" s="240">
        <v>1600</v>
      </c>
      <c r="O78" s="242"/>
      <c r="P78" s="241"/>
      <c r="Q78" s="242"/>
      <c r="R78" s="242"/>
      <c r="S78" s="241"/>
      <c r="T78" s="241"/>
      <c r="U78" s="242"/>
      <c r="V78" s="242"/>
      <c r="W78" s="241"/>
      <c r="X78" s="242"/>
      <c r="Y78" s="242"/>
      <c r="Z78" s="241"/>
      <c r="AA78" s="241"/>
      <c r="AB78" s="242"/>
      <c r="AC78" s="242"/>
      <c r="AD78" s="241"/>
      <c r="AE78" s="242"/>
      <c r="AF78" s="242"/>
      <c r="AG78" s="243"/>
      <c r="AH78" s="243"/>
    </row>
    <row r="79" spans="1:34" ht="15">
      <c r="A79" s="393"/>
      <c r="B79" s="237" t="s">
        <v>48</v>
      </c>
      <c r="C79" s="244">
        <v>-230</v>
      </c>
      <c r="D79" s="244">
        <v>-38.333333333333336</v>
      </c>
      <c r="E79" s="241"/>
      <c r="F79" s="241"/>
      <c r="G79" s="240">
        <v>0</v>
      </c>
      <c r="H79" s="240">
        <v>0</v>
      </c>
      <c r="I79" s="239">
        <v>0</v>
      </c>
      <c r="J79" s="242"/>
      <c r="K79" s="240">
        <v>0</v>
      </c>
      <c r="L79" s="241">
        <v>-230</v>
      </c>
      <c r="M79" s="241"/>
      <c r="N79" s="240">
        <v>0</v>
      </c>
      <c r="O79" s="242"/>
      <c r="P79" s="241"/>
      <c r="Q79" s="242"/>
      <c r="R79" s="242"/>
      <c r="S79" s="241"/>
      <c r="T79" s="241"/>
      <c r="U79" s="242"/>
      <c r="V79" s="242"/>
      <c r="W79" s="241"/>
      <c r="X79" s="242"/>
      <c r="Y79" s="242"/>
      <c r="Z79" s="241"/>
      <c r="AA79" s="241"/>
      <c r="AB79" s="242"/>
      <c r="AC79" s="242"/>
      <c r="AD79" s="241"/>
      <c r="AE79" s="242"/>
      <c r="AF79" s="242"/>
      <c r="AG79" s="243"/>
      <c r="AH79" s="243"/>
    </row>
    <row r="80" spans="1:34" ht="15">
      <c r="A80" s="393"/>
      <c r="B80" s="237" t="s">
        <v>49</v>
      </c>
      <c r="C80" s="238">
        <v>48</v>
      </c>
      <c r="D80" s="238">
        <v>8</v>
      </c>
      <c r="E80" s="241"/>
      <c r="F80" s="241"/>
      <c r="G80" s="240">
        <v>8</v>
      </c>
      <c r="H80" s="240">
        <v>8</v>
      </c>
      <c r="I80" s="239">
        <v>8</v>
      </c>
      <c r="J80" s="242"/>
      <c r="K80" s="240">
        <v>8</v>
      </c>
      <c r="L80" s="239">
        <v>8</v>
      </c>
      <c r="M80" s="241"/>
      <c r="N80" s="240">
        <v>8</v>
      </c>
      <c r="O80" s="242"/>
      <c r="P80" s="241"/>
      <c r="Q80" s="242"/>
      <c r="R80" s="242"/>
      <c r="S80" s="241"/>
      <c r="T80" s="241"/>
      <c r="U80" s="242"/>
      <c r="V80" s="242"/>
      <c r="W80" s="241"/>
      <c r="X80" s="242"/>
      <c r="Y80" s="242"/>
      <c r="Z80" s="241"/>
      <c r="AA80" s="241"/>
      <c r="AB80" s="242"/>
      <c r="AC80" s="242"/>
      <c r="AD80" s="241"/>
      <c r="AE80" s="242"/>
      <c r="AF80" s="242"/>
      <c r="AG80" s="243"/>
      <c r="AH80" s="243"/>
    </row>
    <row r="81" spans="1:34" ht="15">
      <c r="A81" s="393"/>
      <c r="B81" s="237" t="s">
        <v>50</v>
      </c>
      <c r="C81" s="238">
        <v>68</v>
      </c>
      <c r="D81" s="238">
        <v>68</v>
      </c>
      <c r="E81" s="241"/>
      <c r="F81" s="241"/>
      <c r="G81" s="240">
        <v>68</v>
      </c>
      <c r="H81" s="240">
        <v>69</v>
      </c>
      <c r="I81" s="239">
        <v>69</v>
      </c>
      <c r="J81" s="242"/>
      <c r="K81" s="240">
        <v>69</v>
      </c>
      <c r="L81" s="239">
        <v>69</v>
      </c>
      <c r="M81" s="241"/>
      <c r="N81" s="240">
        <v>69</v>
      </c>
      <c r="O81" s="242"/>
      <c r="P81" s="241"/>
      <c r="Q81" s="242"/>
      <c r="R81" s="242"/>
      <c r="S81" s="241"/>
      <c r="T81" s="241"/>
      <c r="U81" s="242"/>
      <c r="V81" s="242"/>
      <c r="W81" s="241"/>
      <c r="X81" s="242"/>
      <c r="Y81" s="242"/>
      <c r="Z81" s="241"/>
      <c r="AA81" s="241"/>
      <c r="AB81" s="242"/>
      <c r="AC81" s="242"/>
      <c r="AD81" s="241"/>
      <c r="AE81" s="242"/>
      <c r="AF81" s="242"/>
      <c r="AG81" s="243"/>
      <c r="AH81" s="243"/>
    </row>
    <row r="82" spans="1:34" ht="15">
      <c r="A82" s="393"/>
      <c r="B82" s="237" t="s">
        <v>51</v>
      </c>
      <c r="C82" s="238">
        <v>195.20833333333334</v>
      </c>
      <c r="D82" s="238">
        <v>195.20833333333334</v>
      </c>
      <c r="E82" s="241"/>
      <c r="F82" s="241"/>
      <c r="G82" s="240">
        <v>200</v>
      </c>
      <c r="H82" s="240">
        <v>200</v>
      </c>
      <c r="I82" s="239">
        <v>200</v>
      </c>
      <c r="J82" s="242"/>
      <c r="K82" s="240">
        <v>200</v>
      </c>
      <c r="L82" s="239">
        <v>171.25</v>
      </c>
      <c r="M82" s="241"/>
      <c r="N82" s="240">
        <v>200</v>
      </c>
      <c r="O82" s="242"/>
      <c r="P82" s="241"/>
      <c r="Q82" s="242"/>
      <c r="R82" s="242"/>
      <c r="S82" s="241"/>
      <c r="T82" s="241"/>
      <c r="U82" s="242"/>
      <c r="V82" s="242"/>
      <c r="W82" s="241"/>
      <c r="X82" s="242"/>
      <c r="Y82" s="242"/>
      <c r="Z82" s="241"/>
      <c r="AA82" s="241"/>
      <c r="AB82" s="242"/>
      <c r="AC82" s="242"/>
      <c r="AD82" s="241"/>
      <c r="AE82" s="242"/>
      <c r="AF82" s="242"/>
      <c r="AG82" s="243"/>
      <c r="AH82" s="243"/>
    </row>
    <row r="83" spans="1:34" ht="15">
      <c r="A83" s="394"/>
      <c r="B83" s="245" t="s">
        <v>52</v>
      </c>
      <c r="C83" s="246">
        <v>2.8707000000000003</v>
      </c>
      <c r="D83" s="246">
        <v>2.8707000000000003</v>
      </c>
      <c r="E83" s="248"/>
      <c r="F83" s="248"/>
      <c r="G83" s="246">
        <v>2.9412000000000003</v>
      </c>
      <c r="H83" s="246">
        <v>2.8986000000000001</v>
      </c>
      <c r="I83" s="247">
        <v>2.8986000000000001</v>
      </c>
      <c r="J83" s="249"/>
      <c r="K83" s="246">
        <v>2.8986000000000001</v>
      </c>
      <c r="L83" s="247">
        <v>2.4819</v>
      </c>
      <c r="M83" s="248"/>
      <c r="N83" s="246">
        <v>2.8986000000000001</v>
      </c>
      <c r="O83" s="249"/>
      <c r="P83" s="248"/>
      <c r="Q83" s="249"/>
      <c r="R83" s="249"/>
      <c r="S83" s="248"/>
      <c r="T83" s="248"/>
      <c r="U83" s="249"/>
      <c r="V83" s="249"/>
      <c r="W83" s="248"/>
      <c r="X83" s="249"/>
      <c r="Y83" s="249"/>
      <c r="Z83" s="248"/>
      <c r="AA83" s="248"/>
      <c r="AB83" s="249"/>
      <c r="AC83" s="249"/>
      <c r="AD83" s="248"/>
      <c r="AE83" s="249"/>
      <c r="AF83" s="249"/>
      <c r="AG83" s="250"/>
      <c r="AH83" s="250"/>
    </row>
    <row r="84" spans="1:34" ht="15">
      <c r="A84" s="392" t="s">
        <v>188</v>
      </c>
      <c r="B84" s="229" t="s">
        <v>45</v>
      </c>
      <c r="C84" s="230">
        <v>10560</v>
      </c>
      <c r="D84" s="230">
        <v>1760</v>
      </c>
      <c r="E84" s="233"/>
      <c r="F84" s="233"/>
      <c r="G84" s="232">
        <v>1760</v>
      </c>
      <c r="H84" s="232">
        <v>1760</v>
      </c>
      <c r="I84" s="231">
        <v>1760</v>
      </c>
      <c r="J84" s="234"/>
      <c r="K84" s="232">
        <v>1760</v>
      </c>
      <c r="L84" s="231">
        <v>1760</v>
      </c>
      <c r="M84" s="233"/>
      <c r="N84" s="232">
        <v>1760</v>
      </c>
      <c r="O84" s="234"/>
      <c r="P84" s="233"/>
      <c r="Q84" s="234"/>
      <c r="R84" s="234"/>
      <c r="S84" s="233"/>
      <c r="T84" s="233"/>
      <c r="U84" s="234"/>
      <c r="V84" s="234"/>
      <c r="W84" s="233"/>
      <c r="X84" s="234"/>
      <c r="Y84" s="234"/>
      <c r="Z84" s="233"/>
      <c r="AA84" s="233"/>
      <c r="AB84" s="234"/>
      <c r="AC84" s="234"/>
      <c r="AD84" s="233"/>
      <c r="AE84" s="234"/>
      <c r="AF84" s="234"/>
      <c r="AG84" s="235"/>
      <c r="AH84" s="235"/>
    </row>
    <row r="85" spans="1:34" ht="15">
      <c r="A85" s="393"/>
      <c r="B85" s="229" t="s">
        <v>46</v>
      </c>
      <c r="C85" s="230">
        <v>10080</v>
      </c>
      <c r="D85" s="230">
        <v>1680</v>
      </c>
      <c r="E85" s="233"/>
      <c r="F85" s="233"/>
      <c r="G85" s="232">
        <v>1680</v>
      </c>
      <c r="H85" s="232">
        <v>1680</v>
      </c>
      <c r="I85" s="231">
        <v>1680</v>
      </c>
      <c r="J85" s="234"/>
      <c r="K85" s="232">
        <v>1680</v>
      </c>
      <c r="L85" s="231">
        <v>1680</v>
      </c>
      <c r="M85" s="233"/>
      <c r="N85" s="232">
        <v>1680</v>
      </c>
      <c r="O85" s="232">
        <v>1680</v>
      </c>
      <c r="P85" s="231">
        <v>1680</v>
      </c>
      <c r="Q85" s="232">
        <v>1680</v>
      </c>
      <c r="R85" s="232">
        <v>1680</v>
      </c>
      <c r="S85" s="231">
        <v>1680</v>
      </c>
      <c r="T85" s="233"/>
      <c r="U85" s="232">
        <v>1680</v>
      </c>
      <c r="V85" s="232">
        <v>1680</v>
      </c>
      <c r="W85" s="231">
        <v>1680</v>
      </c>
      <c r="X85" s="232">
        <v>1680</v>
      </c>
      <c r="Y85" s="232">
        <v>1680</v>
      </c>
      <c r="Z85" s="233"/>
      <c r="AA85" s="233"/>
      <c r="AB85" s="232">
        <v>1680</v>
      </c>
      <c r="AC85" s="232">
        <v>1680</v>
      </c>
      <c r="AD85" s="231">
        <v>1680</v>
      </c>
      <c r="AE85" s="232">
        <v>1680</v>
      </c>
      <c r="AF85" s="232">
        <v>1680</v>
      </c>
      <c r="AG85" s="235"/>
      <c r="AH85" s="235"/>
    </row>
    <row r="86" spans="1:34" ht="15">
      <c r="A86" s="393"/>
      <c r="B86" s="237" t="s">
        <v>47</v>
      </c>
      <c r="C86" s="238">
        <v>9440</v>
      </c>
      <c r="D86" s="238">
        <v>1573.3333333333333</v>
      </c>
      <c r="E86" s="241"/>
      <c r="F86" s="241"/>
      <c r="G86" s="240">
        <v>1680</v>
      </c>
      <c r="H86" s="240">
        <v>1680</v>
      </c>
      <c r="I86" s="239">
        <v>1680</v>
      </c>
      <c r="J86" s="242"/>
      <c r="K86" s="240">
        <v>1600</v>
      </c>
      <c r="L86" s="239">
        <v>1500</v>
      </c>
      <c r="M86" s="241"/>
      <c r="N86" s="240">
        <v>1300</v>
      </c>
      <c r="O86" s="242"/>
      <c r="P86" s="241"/>
      <c r="Q86" s="242"/>
      <c r="R86" s="242"/>
      <c r="S86" s="241"/>
      <c r="T86" s="241"/>
      <c r="U86" s="242"/>
      <c r="V86" s="242"/>
      <c r="W86" s="241"/>
      <c r="X86" s="242"/>
      <c r="Y86" s="242"/>
      <c r="Z86" s="241"/>
      <c r="AA86" s="241"/>
      <c r="AB86" s="242"/>
      <c r="AC86" s="242"/>
      <c r="AD86" s="241"/>
      <c r="AE86" s="242"/>
      <c r="AF86" s="242"/>
      <c r="AG86" s="243"/>
      <c r="AH86" s="243"/>
    </row>
    <row r="87" spans="1:34" ht="15">
      <c r="A87" s="393"/>
      <c r="B87" s="237" t="s">
        <v>48</v>
      </c>
      <c r="C87" s="244">
        <v>-640</v>
      </c>
      <c r="D87" s="244">
        <v>-106.66666666666667</v>
      </c>
      <c r="E87" s="241"/>
      <c r="F87" s="241"/>
      <c r="G87" s="240">
        <v>0</v>
      </c>
      <c r="H87" s="240">
        <v>0</v>
      </c>
      <c r="I87" s="239">
        <v>0</v>
      </c>
      <c r="J87" s="242"/>
      <c r="K87" s="242">
        <v>-80</v>
      </c>
      <c r="L87" s="241">
        <v>-180</v>
      </c>
      <c r="M87" s="241"/>
      <c r="N87" s="242">
        <v>-380</v>
      </c>
      <c r="O87" s="242"/>
      <c r="P87" s="241"/>
      <c r="Q87" s="242"/>
      <c r="R87" s="242"/>
      <c r="S87" s="241"/>
      <c r="T87" s="241"/>
      <c r="U87" s="242"/>
      <c r="V87" s="242"/>
      <c r="W87" s="241"/>
      <c r="X87" s="242"/>
      <c r="Y87" s="242"/>
      <c r="Z87" s="241"/>
      <c r="AA87" s="241"/>
      <c r="AB87" s="242"/>
      <c r="AC87" s="242"/>
      <c r="AD87" s="241"/>
      <c r="AE87" s="242"/>
      <c r="AF87" s="242"/>
      <c r="AG87" s="243"/>
      <c r="AH87" s="243"/>
    </row>
    <row r="88" spans="1:34" ht="15">
      <c r="A88" s="393"/>
      <c r="B88" s="237" t="s">
        <v>49</v>
      </c>
      <c r="C88" s="238">
        <v>48</v>
      </c>
      <c r="D88" s="238">
        <v>8</v>
      </c>
      <c r="E88" s="241"/>
      <c r="F88" s="241"/>
      <c r="G88" s="240">
        <v>8</v>
      </c>
      <c r="H88" s="240">
        <v>8</v>
      </c>
      <c r="I88" s="239">
        <v>8</v>
      </c>
      <c r="J88" s="242"/>
      <c r="K88" s="240">
        <v>8</v>
      </c>
      <c r="L88" s="239">
        <v>8</v>
      </c>
      <c r="M88" s="241"/>
      <c r="N88" s="240">
        <v>8</v>
      </c>
      <c r="O88" s="242"/>
      <c r="P88" s="241"/>
      <c r="Q88" s="242"/>
      <c r="R88" s="242"/>
      <c r="S88" s="241"/>
      <c r="T88" s="241"/>
      <c r="U88" s="242"/>
      <c r="V88" s="242"/>
      <c r="W88" s="241"/>
      <c r="X88" s="242"/>
      <c r="Y88" s="242"/>
      <c r="Z88" s="241"/>
      <c r="AA88" s="241"/>
      <c r="AB88" s="242"/>
      <c r="AC88" s="242"/>
      <c r="AD88" s="241"/>
      <c r="AE88" s="242"/>
      <c r="AF88" s="242"/>
      <c r="AG88" s="243"/>
      <c r="AH88" s="243"/>
    </row>
    <row r="89" spans="1:34" ht="15">
      <c r="A89" s="393"/>
      <c r="B89" s="237" t="s">
        <v>50</v>
      </c>
      <c r="C89" s="238">
        <v>66</v>
      </c>
      <c r="D89" s="238">
        <v>66</v>
      </c>
      <c r="E89" s="241"/>
      <c r="F89" s="241"/>
      <c r="G89" s="240">
        <v>68</v>
      </c>
      <c r="H89" s="240">
        <v>67</v>
      </c>
      <c r="I89" s="239">
        <v>68</v>
      </c>
      <c r="J89" s="242"/>
      <c r="K89" s="240">
        <v>65</v>
      </c>
      <c r="L89" s="239">
        <v>69</v>
      </c>
      <c r="M89" s="241"/>
      <c r="N89" s="240">
        <v>63</v>
      </c>
      <c r="O89" s="242"/>
      <c r="P89" s="241"/>
      <c r="Q89" s="242"/>
      <c r="R89" s="242"/>
      <c r="S89" s="241"/>
      <c r="T89" s="241"/>
      <c r="U89" s="242"/>
      <c r="V89" s="242"/>
      <c r="W89" s="241"/>
      <c r="X89" s="242"/>
      <c r="Y89" s="242"/>
      <c r="Z89" s="241"/>
      <c r="AA89" s="241"/>
      <c r="AB89" s="242"/>
      <c r="AC89" s="242"/>
      <c r="AD89" s="241"/>
      <c r="AE89" s="242"/>
      <c r="AF89" s="242"/>
      <c r="AG89" s="243"/>
      <c r="AH89" s="243"/>
    </row>
    <row r="90" spans="1:34" ht="15">
      <c r="A90" s="393"/>
      <c r="B90" s="237" t="s">
        <v>51</v>
      </c>
      <c r="C90" s="238">
        <v>196.66666666666666</v>
      </c>
      <c r="D90" s="238">
        <v>196.66666666666666</v>
      </c>
      <c r="E90" s="241"/>
      <c r="F90" s="241"/>
      <c r="G90" s="240">
        <v>210</v>
      </c>
      <c r="H90" s="240">
        <v>210</v>
      </c>
      <c r="I90" s="239">
        <v>210</v>
      </c>
      <c r="J90" s="242"/>
      <c r="K90" s="240">
        <v>200</v>
      </c>
      <c r="L90" s="239">
        <v>187.5</v>
      </c>
      <c r="M90" s="241"/>
      <c r="N90" s="240">
        <v>162.5</v>
      </c>
      <c r="O90" s="242"/>
      <c r="P90" s="241"/>
      <c r="Q90" s="242"/>
      <c r="R90" s="242"/>
      <c r="S90" s="241"/>
      <c r="T90" s="241"/>
      <c r="U90" s="242"/>
      <c r="V90" s="242"/>
      <c r="W90" s="241"/>
      <c r="X90" s="242"/>
      <c r="Y90" s="242"/>
      <c r="Z90" s="241"/>
      <c r="AA90" s="241"/>
      <c r="AB90" s="242"/>
      <c r="AC90" s="242"/>
      <c r="AD90" s="241"/>
      <c r="AE90" s="242"/>
      <c r="AF90" s="242"/>
      <c r="AG90" s="243"/>
      <c r="AH90" s="243"/>
    </row>
    <row r="91" spans="1:34" ht="15">
      <c r="A91" s="394"/>
      <c r="B91" s="245" t="s">
        <v>52</v>
      </c>
      <c r="C91" s="246">
        <v>2.9798</v>
      </c>
      <c r="D91" s="246">
        <v>2.9798</v>
      </c>
      <c r="E91" s="248"/>
      <c r="F91" s="248"/>
      <c r="G91" s="246">
        <v>3.0882000000000001</v>
      </c>
      <c r="H91" s="246">
        <v>3.1343000000000001</v>
      </c>
      <c r="I91" s="247">
        <v>3.0882000000000001</v>
      </c>
      <c r="J91" s="249"/>
      <c r="K91" s="246">
        <v>3.0769000000000002</v>
      </c>
      <c r="L91" s="247">
        <v>2.7174</v>
      </c>
      <c r="M91" s="248"/>
      <c r="N91" s="246">
        <v>2.5794000000000001</v>
      </c>
      <c r="O91" s="249"/>
      <c r="P91" s="248"/>
      <c r="Q91" s="249"/>
      <c r="R91" s="249"/>
      <c r="S91" s="248"/>
      <c r="T91" s="248"/>
      <c r="U91" s="249"/>
      <c r="V91" s="249"/>
      <c r="W91" s="248"/>
      <c r="X91" s="249"/>
      <c r="Y91" s="249"/>
      <c r="Z91" s="248"/>
      <c r="AA91" s="248"/>
      <c r="AB91" s="249"/>
      <c r="AC91" s="249"/>
      <c r="AD91" s="248"/>
      <c r="AE91" s="249"/>
      <c r="AF91" s="249"/>
      <c r="AG91" s="250"/>
      <c r="AH91" s="250"/>
    </row>
    <row r="92" spans="1:34" ht="15">
      <c r="A92" s="392" t="s">
        <v>189</v>
      </c>
      <c r="B92" s="229" t="s">
        <v>45</v>
      </c>
      <c r="C92" s="230">
        <v>10560</v>
      </c>
      <c r="D92" s="230">
        <v>1760</v>
      </c>
      <c r="E92" s="233"/>
      <c r="F92" s="233"/>
      <c r="G92" s="232">
        <v>1760</v>
      </c>
      <c r="H92" s="232">
        <v>1760</v>
      </c>
      <c r="I92" s="231">
        <v>1760</v>
      </c>
      <c r="J92" s="234"/>
      <c r="K92" s="232">
        <v>1760</v>
      </c>
      <c r="L92" s="231">
        <v>1760</v>
      </c>
      <c r="M92" s="233"/>
      <c r="N92" s="232">
        <v>1760</v>
      </c>
      <c r="O92" s="234"/>
      <c r="P92" s="233"/>
      <c r="Q92" s="234"/>
      <c r="R92" s="234"/>
      <c r="S92" s="233"/>
      <c r="T92" s="233"/>
      <c r="U92" s="234"/>
      <c r="V92" s="234"/>
      <c r="W92" s="233"/>
      <c r="X92" s="234"/>
      <c r="Y92" s="234"/>
      <c r="Z92" s="233"/>
      <c r="AA92" s="233"/>
      <c r="AB92" s="234"/>
      <c r="AC92" s="234"/>
      <c r="AD92" s="233"/>
      <c r="AE92" s="234"/>
      <c r="AF92" s="234"/>
      <c r="AG92" s="235"/>
      <c r="AH92" s="235"/>
    </row>
    <row r="93" spans="1:34" ht="15">
      <c r="A93" s="393"/>
      <c r="B93" s="229" t="s">
        <v>46</v>
      </c>
      <c r="C93" s="230">
        <v>10080</v>
      </c>
      <c r="D93" s="230">
        <v>1680</v>
      </c>
      <c r="E93" s="233"/>
      <c r="F93" s="233"/>
      <c r="G93" s="232">
        <v>1680</v>
      </c>
      <c r="H93" s="232">
        <v>1680</v>
      </c>
      <c r="I93" s="231">
        <v>1680</v>
      </c>
      <c r="J93" s="234"/>
      <c r="K93" s="232">
        <v>1680</v>
      </c>
      <c r="L93" s="231">
        <v>1680</v>
      </c>
      <c r="M93" s="233"/>
      <c r="N93" s="232">
        <v>1680</v>
      </c>
      <c r="O93" s="232">
        <v>1680</v>
      </c>
      <c r="P93" s="231">
        <v>1680</v>
      </c>
      <c r="Q93" s="232">
        <v>1680</v>
      </c>
      <c r="R93" s="232">
        <v>1680</v>
      </c>
      <c r="S93" s="231">
        <v>1680</v>
      </c>
      <c r="T93" s="233"/>
      <c r="U93" s="232">
        <v>1680</v>
      </c>
      <c r="V93" s="232">
        <v>1680</v>
      </c>
      <c r="W93" s="231">
        <v>1680</v>
      </c>
      <c r="X93" s="232">
        <v>1680</v>
      </c>
      <c r="Y93" s="232">
        <v>1680</v>
      </c>
      <c r="Z93" s="233"/>
      <c r="AA93" s="233"/>
      <c r="AB93" s="232">
        <v>1680</v>
      </c>
      <c r="AC93" s="232">
        <v>1680</v>
      </c>
      <c r="AD93" s="231">
        <v>1680</v>
      </c>
      <c r="AE93" s="232">
        <v>1680</v>
      </c>
      <c r="AF93" s="232">
        <v>1680</v>
      </c>
      <c r="AG93" s="235"/>
      <c r="AH93" s="235"/>
    </row>
    <row r="94" spans="1:34" ht="15">
      <c r="A94" s="393"/>
      <c r="B94" s="237" t="s">
        <v>47</v>
      </c>
      <c r="C94" s="238">
        <v>9880</v>
      </c>
      <c r="D94" s="238">
        <v>1646.6666666666667</v>
      </c>
      <c r="E94" s="241"/>
      <c r="F94" s="241"/>
      <c r="G94" s="240">
        <v>1680</v>
      </c>
      <c r="H94" s="240">
        <v>1680</v>
      </c>
      <c r="I94" s="239">
        <v>1680</v>
      </c>
      <c r="J94" s="242"/>
      <c r="K94" s="240">
        <v>1280</v>
      </c>
      <c r="L94" s="239">
        <v>1680</v>
      </c>
      <c r="M94" s="241"/>
      <c r="N94" s="240">
        <v>1880</v>
      </c>
      <c r="O94" s="242"/>
      <c r="P94" s="241"/>
      <c r="Q94" s="242"/>
      <c r="R94" s="242"/>
      <c r="S94" s="241"/>
      <c r="T94" s="241"/>
      <c r="U94" s="242"/>
      <c r="V94" s="242"/>
      <c r="W94" s="241"/>
      <c r="X94" s="242"/>
      <c r="Y94" s="242"/>
      <c r="Z94" s="241"/>
      <c r="AA94" s="241"/>
      <c r="AB94" s="242"/>
      <c r="AC94" s="242"/>
      <c r="AD94" s="241"/>
      <c r="AE94" s="242"/>
      <c r="AF94" s="242"/>
      <c r="AG94" s="243"/>
      <c r="AH94" s="243"/>
    </row>
    <row r="95" spans="1:34" ht="15">
      <c r="A95" s="393"/>
      <c r="B95" s="237" t="s">
        <v>48</v>
      </c>
      <c r="C95" s="244">
        <v>-200</v>
      </c>
      <c r="D95" s="244">
        <v>-33.333333333333336</v>
      </c>
      <c r="E95" s="241"/>
      <c r="F95" s="241"/>
      <c r="G95" s="240">
        <v>0</v>
      </c>
      <c r="H95" s="240">
        <v>0</v>
      </c>
      <c r="I95" s="239">
        <v>0</v>
      </c>
      <c r="J95" s="242"/>
      <c r="K95" s="242">
        <v>-400</v>
      </c>
      <c r="L95" s="239">
        <v>0</v>
      </c>
      <c r="M95" s="241"/>
      <c r="N95" s="240">
        <v>200</v>
      </c>
      <c r="O95" s="242"/>
      <c r="P95" s="241"/>
      <c r="Q95" s="242"/>
      <c r="R95" s="242"/>
      <c r="S95" s="241"/>
      <c r="T95" s="241"/>
      <c r="U95" s="242"/>
      <c r="V95" s="242"/>
      <c r="W95" s="241"/>
      <c r="X95" s="242"/>
      <c r="Y95" s="242"/>
      <c r="Z95" s="241"/>
      <c r="AA95" s="241"/>
      <c r="AB95" s="242"/>
      <c r="AC95" s="242"/>
      <c r="AD95" s="241"/>
      <c r="AE95" s="242"/>
      <c r="AF95" s="242"/>
      <c r="AG95" s="243"/>
      <c r="AH95" s="243"/>
    </row>
    <row r="96" spans="1:34" ht="15">
      <c r="A96" s="393"/>
      <c r="B96" s="237" t="s">
        <v>49</v>
      </c>
      <c r="C96" s="238">
        <v>48</v>
      </c>
      <c r="D96" s="238">
        <v>8</v>
      </c>
      <c r="E96" s="241"/>
      <c r="F96" s="241"/>
      <c r="G96" s="240">
        <v>8</v>
      </c>
      <c r="H96" s="240">
        <v>8</v>
      </c>
      <c r="I96" s="239">
        <v>8</v>
      </c>
      <c r="J96" s="242"/>
      <c r="K96" s="240">
        <v>8</v>
      </c>
      <c r="L96" s="239">
        <v>8</v>
      </c>
      <c r="M96" s="241"/>
      <c r="N96" s="240">
        <v>8</v>
      </c>
      <c r="O96" s="242"/>
      <c r="P96" s="241"/>
      <c r="Q96" s="242"/>
      <c r="R96" s="242"/>
      <c r="S96" s="241"/>
      <c r="T96" s="241"/>
      <c r="U96" s="242"/>
      <c r="V96" s="242"/>
      <c r="W96" s="241"/>
      <c r="X96" s="242"/>
      <c r="Y96" s="242"/>
      <c r="Z96" s="241"/>
      <c r="AA96" s="241"/>
      <c r="AB96" s="242"/>
      <c r="AC96" s="242"/>
      <c r="AD96" s="241"/>
      <c r="AE96" s="242"/>
      <c r="AF96" s="242"/>
      <c r="AG96" s="243"/>
      <c r="AH96" s="243"/>
    </row>
    <row r="97" spans="1:34" ht="15">
      <c r="A97" s="393"/>
      <c r="B97" s="237" t="s">
        <v>50</v>
      </c>
      <c r="C97" s="238">
        <v>65</v>
      </c>
      <c r="D97" s="238">
        <v>65</v>
      </c>
      <c r="E97" s="241"/>
      <c r="F97" s="241"/>
      <c r="G97" s="240">
        <v>67</v>
      </c>
      <c r="H97" s="240">
        <v>66</v>
      </c>
      <c r="I97" s="239">
        <v>67</v>
      </c>
      <c r="J97" s="242"/>
      <c r="K97" s="240">
        <v>64</v>
      </c>
      <c r="L97" s="239">
        <v>66</v>
      </c>
      <c r="M97" s="241"/>
      <c r="N97" s="240">
        <v>60</v>
      </c>
      <c r="O97" s="242"/>
      <c r="P97" s="241"/>
      <c r="Q97" s="242"/>
      <c r="R97" s="242"/>
      <c r="S97" s="241"/>
      <c r="T97" s="241"/>
      <c r="U97" s="242"/>
      <c r="V97" s="242"/>
      <c r="W97" s="241"/>
      <c r="X97" s="242"/>
      <c r="Y97" s="242"/>
      <c r="Z97" s="241"/>
      <c r="AA97" s="241"/>
      <c r="AB97" s="242"/>
      <c r="AC97" s="242"/>
      <c r="AD97" s="241"/>
      <c r="AE97" s="242"/>
      <c r="AF97" s="242"/>
      <c r="AG97" s="243"/>
      <c r="AH97" s="243"/>
    </row>
    <row r="98" spans="1:34" ht="15">
      <c r="A98" s="393"/>
      <c r="B98" s="237" t="s">
        <v>51</v>
      </c>
      <c r="C98" s="238">
        <v>205.83333333333334</v>
      </c>
      <c r="D98" s="238">
        <v>205.83333333333334</v>
      </c>
      <c r="E98" s="241"/>
      <c r="F98" s="241"/>
      <c r="G98" s="240">
        <v>210</v>
      </c>
      <c r="H98" s="240">
        <v>210</v>
      </c>
      <c r="I98" s="239">
        <v>210</v>
      </c>
      <c r="J98" s="242"/>
      <c r="K98" s="240">
        <v>160</v>
      </c>
      <c r="L98" s="239">
        <v>210</v>
      </c>
      <c r="M98" s="241"/>
      <c r="N98" s="240">
        <v>235</v>
      </c>
      <c r="O98" s="242"/>
      <c r="P98" s="241"/>
      <c r="Q98" s="242"/>
      <c r="R98" s="242"/>
      <c r="S98" s="241"/>
      <c r="T98" s="241"/>
      <c r="U98" s="242"/>
      <c r="V98" s="242"/>
      <c r="W98" s="241"/>
      <c r="X98" s="242"/>
      <c r="Y98" s="242"/>
      <c r="Z98" s="241"/>
      <c r="AA98" s="241"/>
      <c r="AB98" s="242"/>
      <c r="AC98" s="242"/>
      <c r="AD98" s="241"/>
      <c r="AE98" s="242"/>
      <c r="AF98" s="242"/>
      <c r="AG98" s="243"/>
      <c r="AH98" s="243"/>
    </row>
    <row r="99" spans="1:34" ht="15">
      <c r="A99" s="394"/>
      <c r="B99" s="245" t="s">
        <v>52</v>
      </c>
      <c r="C99" s="246">
        <v>3.1667000000000001</v>
      </c>
      <c r="D99" s="246">
        <v>3.1667000000000001</v>
      </c>
      <c r="E99" s="248"/>
      <c r="F99" s="248"/>
      <c r="G99" s="246">
        <v>3.1343000000000001</v>
      </c>
      <c r="H99" s="246">
        <v>3.1818</v>
      </c>
      <c r="I99" s="247">
        <v>3.1343000000000001</v>
      </c>
      <c r="J99" s="249"/>
      <c r="K99" s="246">
        <v>2.5</v>
      </c>
      <c r="L99" s="247">
        <v>3.1818</v>
      </c>
      <c r="M99" s="248"/>
      <c r="N99" s="246">
        <v>3.9167000000000001</v>
      </c>
      <c r="O99" s="249"/>
      <c r="P99" s="248"/>
      <c r="Q99" s="249"/>
      <c r="R99" s="249"/>
      <c r="S99" s="248"/>
      <c r="T99" s="248"/>
      <c r="U99" s="249"/>
      <c r="V99" s="249"/>
      <c r="W99" s="248"/>
      <c r="X99" s="249"/>
      <c r="Y99" s="249"/>
      <c r="Z99" s="248"/>
      <c r="AA99" s="248"/>
      <c r="AB99" s="249"/>
      <c r="AC99" s="249"/>
      <c r="AD99" s="248"/>
      <c r="AE99" s="249"/>
      <c r="AF99" s="249"/>
      <c r="AG99" s="250"/>
      <c r="AH99" s="250"/>
    </row>
    <row r="100" spans="1:34" ht="15">
      <c r="A100" s="392" t="s">
        <v>190</v>
      </c>
      <c r="B100" s="229" t="s">
        <v>45</v>
      </c>
      <c r="C100" s="230">
        <v>8800</v>
      </c>
      <c r="D100" s="230">
        <v>1760</v>
      </c>
      <c r="E100" s="233"/>
      <c r="F100" s="233"/>
      <c r="G100" s="232">
        <v>1760</v>
      </c>
      <c r="H100" s="232">
        <v>1760</v>
      </c>
      <c r="I100" s="231">
        <v>1760</v>
      </c>
      <c r="J100" s="234"/>
      <c r="K100" s="232">
        <v>1760</v>
      </c>
      <c r="L100" s="231">
        <v>1760</v>
      </c>
      <c r="M100" s="233"/>
      <c r="N100" s="234"/>
      <c r="O100" s="234"/>
      <c r="P100" s="233"/>
      <c r="Q100" s="234"/>
      <c r="R100" s="234"/>
      <c r="S100" s="233"/>
      <c r="T100" s="233"/>
      <c r="U100" s="234"/>
      <c r="V100" s="234"/>
      <c r="W100" s="233"/>
      <c r="X100" s="234"/>
      <c r="Y100" s="234"/>
      <c r="Z100" s="233"/>
      <c r="AA100" s="233"/>
      <c r="AB100" s="234"/>
      <c r="AC100" s="234"/>
      <c r="AD100" s="233"/>
      <c r="AE100" s="234"/>
      <c r="AF100" s="234"/>
      <c r="AG100" s="235"/>
      <c r="AH100" s="235"/>
    </row>
    <row r="101" spans="1:34" ht="15">
      <c r="A101" s="393"/>
      <c r="B101" s="229" t="s">
        <v>46</v>
      </c>
      <c r="C101" s="230">
        <v>8400</v>
      </c>
      <c r="D101" s="230">
        <v>1680</v>
      </c>
      <c r="E101" s="233"/>
      <c r="F101" s="233"/>
      <c r="G101" s="232">
        <v>1680</v>
      </c>
      <c r="H101" s="232">
        <v>1680</v>
      </c>
      <c r="I101" s="231">
        <v>1680</v>
      </c>
      <c r="J101" s="234"/>
      <c r="K101" s="232">
        <v>1680</v>
      </c>
      <c r="L101" s="231">
        <v>1680</v>
      </c>
      <c r="M101" s="233"/>
      <c r="N101" s="234"/>
      <c r="O101" s="234"/>
      <c r="P101" s="233"/>
      <c r="Q101" s="234"/>
      <c r="R101" s="234"/>
      <c r="S101" s="233"/>
      <c r="T101" s="233"/>
      <c r="U101" s="234"/>
      <c r="V101" s="234"/>
      <c r="W101" s="233"/>
      <c r="X101" s="234"/>
      <c r="Y101" s="234"/>
      <c r="Z101" s="233"/>
      <c r="AA101" s="233"/>
      <c r="AB101" s="234"/>
      <c r="AC101" s="234"/>
      <c r="AD101" s="233"/>
      <c r="AE101" s="234"/>
      <c r="AF101" s="234"/>
      <c r="AG101" s="235"/>
      <c r="AH101" s="235"/>
    </row>
    <row r="102" spans="1:34" ht="15">
      <c r="A102" s="393"/>
      <c r="B102" s="237" t="s">
        <v>47</v>
      </c>
      <c r="C102" s="238">
        <v>7576</v>
      </c>
      <c r="D102" s="238">
        <v>1515.2</v>
      </c>
      <c r="E102" s="241"/>
      <c r="F102" s="241"/>
      <c r="G102" s="240">
        <v>1680</v>
      </c>
      <c r="H102" s="240">
        <v>1680</v>
      </c>
      <c r="I102" s="239">
        <v>1480</v>
      </c>
      <c r="J102" s="242"/>
      <c r="K102" s="240">
        <v>1256</v>
      </c>
      <c r="L102" s="239">
        <v>1480</v>
      </c>
      <c r="M102" s="241"/>
      <c r="N102" s="242"/>
      <c r="O102" s="242"/>
      <c r="P102" s="241"/>
      <c r="Q102" s="242"/>
      <c r="R102" s="242"/>
      <c r="S102" s="241"/>
      <c r="T102" s="241"/>
      <c r="U102" s="242"/>
      <c r="V102" s="242"/>
      <c r="W102" s="241"/>
      <c r="X102" s="242"/>
      <c r="Y102" s="242"/>
      <c r="Z102" s="241"/>
      <c r="AA102" s="241"/>
      <c r="AB102" s="242"/>
      <c r="AC102" s="242"/>
      <c r="AD102" s="241"/>
      <c r="AE102" s="242"/>
      <c r="AF102" s="242"/>
      <c r="AG102" s="243"/>
      <c r="AH102" s="243"/>
    </row>
    <row r="103" spans="1:34" ht="15">
      <c r="A103" s="393"/>
      <c r="B103" s="237" t="s">
        <v>48</v>
      </c>
      <c r="C103" s="244">
        <v>-824</v>
      </c>
      <c r="D103" s="244">
        <v>-164.8</v>
      </c>
      <c r="E103" s="241"/>
      <c r="F103" s="241"/>
      <c r="G103" s="240">
        <v>0</v>
      </c>
      <c r="H103" s="240">
        <v>0</v>
      </c>
      <c r="I103" s="241">
        <v>-200</v>
      </c>
      <c r="J103" s="242"/>
      <c r="K103" s="242">
        <v>-424</v>
      </c>
      <c r="L103" s="241">
        <v>-200</v>
      </c>
      <c r="M103" s="241"/>
      <c r="N103" s="242"/>
      <c r="O103" s="242"/>
      <c r="P103" s="241"/>
      <c r="Q103" s="242"/>
      <c r="R103" s="242"/>
      <c r="S103" s="241"/>
      <c r="T103" s="241"/>
      <c r="U103" s="242"/>
      <c r="V103" s="242"/>
      <c r="W103" s="241"/>
      <c r="X103" s="242"/>
      <c r="Y103" s="242"/>
      <c r="Z103" s="241"/>
      <c r="AA103" s="241"/>
      <c r="AB103" s="242"/>
      <c r="AC103" s="242"/>
      <c r="AD103" s="241"/>
      <c r="AE103" s="242"/>
      <c r="AF103" s="242"/>
      <c r="AG103" s="243"/>
      <c r="AH103" s="243"/>
    </row>
    <row r="104" spans="1:34" ht="15">
      <c r="A104" s="393"/>
      <c r="B104" s="237" t="s">
        <v>49</v>
      </c>
      <c r="C104" s="238">
        <v>40</v>
      </c>
      <c r="D104" s="238">
        <v>8</v>
      </c>
      <c r="E104" s="241"/>
      <c r="F104" s="241"/>
      <c r="G104" s="240">
        <v>8</v>
      </c>
      <c r="H104" s="240">
        <v>8</v>
      </c>
      <c r="I104" s="239">
        <v>8</v>
      </c>
      <c r="J104" s="242"/>
      <c r="K104" s="240">
        <v>8</v>
      </c>
      <c r="L104" s="239">
        <v>8</v>
      </c>
      <c r="M104" s="241"/>
      <c r="N104" s="242"/>
      <c r="O104" s="242"/>
      <c r="P104" s="241"/>
      <c r="Q104" s="242"/>
      <c r="R104" s="242"/>
      <c r="S104" s="241"/>
      <c r="T104" s="241"/>
      <c r="U104" s="242"/>
      <c r="V104" s="242"/>
      <c r="W104" s="241"/>
      <c r="X104" s="242"/>
      <c r="Y104" s="242"/>
      <c r="Z104" s="241"/>
      <c r="AA104" s="241"/>
      <c r="AB104" s="242"/>
      <c r="AC104" s="242"/>
      <c r="AD104" s="241"/>
      <c r="AE104" s="242"/>
      <c r="AF104" s="242"/>
      <c r="AG104" s="243"/>
      <c r="AH104" s="243"/>
    </row>
    <row r="105" spans="1:34" ht="15">
      <c r="A105" s="393"/>
      <c r="B105" s="237" t="s">
        <v>50</v>
      </c>
      <c r="C105" s="238">
        <v>63</v>
      </c>
      <c r="D105" s="238">
        <v>63</v>
      </c>
      <c r="E105" s="241"/>
      <c r="F105" s="241"/>
      <c r="G105" s="240">
        <v>65</v>
      </c>
      <c r="H105" s="240">
        <v>64</v>
      </c>
      <c r="I105" s="239">
        <v>63</v>
      </c>
      <c r="J105" s="242"/>
      <c r="K105" s="240">
        <v>63</v>
      </c>
      <c r="L105" s="239">
        <v>61</v>
      </c>
      <c r="M105" s="241"/>
      <c r="N105" s="242"/>
      <c r="O105" s="242"/>
      <c r="P105" s="241"/>
      <c r="Q105" s="242"/>
      <c r="R105" s="242"/>
      <c r="S105" s="241"/>
      <c r="T105" s="241"/>
      <c r="U105" s="242"/>
      <c r="V105" s="242"/>
      <c r="W105" s="241"/>
      <c r="X105" s="242"/>
      <c r="Y105" s="242"/>
      <c r="Z105" s="241"/>
      <c r="AA105" s="241"/>
      <c r="AB105" s="242"/>
      <c r="AC105" s="242"/>
      <c r="AD105" s="241"/>
      <c r="AE105" s="242"/>
      <c r="AF105" s="242"/>
      <c r="AG105" s="243"/>
      <c r="AH105" s="243"/>
    </row>
    <row r="106" spans="1:34" ht="15">
      <c r="A106" s="393"/>
      <c r="B106" s="237" t="s">
        <v>51</v>
      </c>
      <c r="C106" s="238">
        <v>189.4</v>
      </c>
      <c r="D106" s="238">
        <v>189.4</v>
      </c>
      <c r="E106" s="241"/>
      <c r="F106" s="241"/>
      <c r="G106" s="240">
        <v>210</v>
      </c>
      <c r="H106" s="240">
        <v>210</v>
      </c>
      <c r="I106" s="239">
        <v>185</v>
      </c>
      <c r="J106" s="242"/>
      <c r="K106" s="240">
        <v>157</v>
      </c>
      <c r="L106" s="239">
        <v>185</v>
      </c>
      <c r="M106" s="241"/>
      <c r="N106" s="242"/>
      <c r="O106" s="242"/>
      <c r="P106" s="241"/>
      <c r="Q106" s="242"/>
      <c r="R106" s="242"/>
      <c r="S106" s="241"/>
      <c r="T106" s="241"/>
      <c r="U106" s="242"/>
      <c r="V106" s="242"/>
      <c r="W106" s="241"/>
      <c r="X106" s="242"/>
      <c r="Y106" s="242"/>
      <c r="Z106" s="241"/>
      <c r="AA106" s="241"/>
      <c r="AB106" s="242"/>
      <c r="AC106" s="242"/>
      <c r="AD106" s="241"/>
      <c r="AE106" s="242"/>
      <c r="AF106" s="242"/>
      <c r="AG106" s="243"/>
      <c r="AH106" s="243"/>
    </row>
    <row r="107" spans="1:34" ht="15">
      <c r="A107" s="394"/>
      <c r="B107" s="245" t="s">
        <v>52</v>
      </c>
      <c r="C107" s="246">
        <v>3.0063</v>
      </c>
      <c r="D107" s="246">
        <v>3.0063</v>
      </c>
      <c r="E107" s="248"/>
      <c r="F107" s="248"/>
      <c r="G107" s="246">
        <v>3.2307999999999999</v>
      </c>
      <c r="H107" s="246">
        <v>3.2812999999999999</v>
      </c>
      <c r="I107" s="247">
        <v>2.9365000000000001</v>
      </c>
      <c r="J107" s="249"/>
      <c r="K107" s="246">
        <v>2.4920999999999998</v>
      </c>
      <c r="L107" s="247">
        <v>3.0327999999999999</v>
      </c>
      <c r="M107" s="248"/>
      <c r="N107" s="249"/>
      <c r="O107" s="249"/>
      <c r="P107" s="248"/>
      <c r="Q107" s="249"/>
      <c r="R107" s="249"/>
      <c r="S107" s="248"/>
      <c r="T107" s="248"/>
      <c r="U107" s="249"/>
      <c r="V107" s="249"/>
      <c r="W107" s="248"/>
      <c r="X107" s="249"/>
      <c r="Y107" s="249"/>
      <c r="Z107" s="248"/>
      <c r="AA107" s="248"/>
      <c r="AB107" s="249"/>
      <c r="AC107" s="249"/>
      <c r="AD107" s="248"/>
      <c r="AE107" s="249"/>
      <c r="AF107" s="249"/>
      <c r="AG107" s="250"/>
      <c r="AH107" s="250"/>
    </row>
    <row r="108" spans="1:34" ht="15">
      <c r="A108" s="392" t="s">
        <v>191</v>
      </c>
      <c r="B108" s="229" t="s">
        <v>45</v>
      </c>
      <c r="C108" s="230">
        <v>8992</v>
      </c>
      <c r="D108" s="230">
        <v>1498.6666666666667</v>
      </c>
      <c r="E108" s="233"/>
      <c r="F108" s="233"/>
      <c r="G108" s="232">
        <v>1576</v>
      </c>
      <c r="H108" s="232">
        <v>1520</v>
      </c>
      <c r="I108" s="231">
        <v>1520</v>
      </c>
      <c r="J108" s="234"/>
      <c r="K108" s="232">
        <v>1520</v>
      </c>
      <c r="L108" s="231">
        <v>1456</v>
      </c>
      <c r="M108" s="233"/>
      <c r="N108" s="232">
        <v>1400</v>
      </c>
      <c r="O108" s="234"/>
      <c r="P108" s="233"/>
      <c r="Q108" s="234"/>
      <c r="R108" s="234"/>
      <c r="S108" s="233"/>
      <c r="T108" s="233"/>
      <c r="U108" s="234"/>
      <c r="V108" s="234"/>
      <c r="W108" s="233"/>
      <c r="X108" s="234"/>
      <c r="Y108" s="234"/>
      <c r="Z108" s="233"/>
      <c r="AA108" s="233"/>
      <c r="AB108" s="234"/>
      <c r="AC108" s="234"/>
      <c r="AD108" s="233"/>
      <c r="AE108" s="234"/>
      <c r="AF108" s="234"/>
      <c r="AG108" s="235"/>
      <c r="AH108" s="235"/>
    </row>
    <row r="109" spans="1:34" ht="15">
      <c r="A109" s="393"/>
      <c r="B109" s="229" t="s">
        <v>46</v>
      </c>
      <c r="C109" s="230">
        <v>7680</v>
      </c>
      <c r="D109" s="230">
        <v>1280</v>
      </c>
      <c r="E109" s="233"/>
      <c r="F109" s="233"/>
      <c r="G109" s="232">
        <v>1280</v>
      </c>
      <c r="H109" s="232">
        <v>1280</v>
      </c>
      <c r="I109" s="231">
        <v>1280</v>
      </c>
      <c r="J109" s="234"/>
      <c r="K109" s="232">
        <v>1280</v>
      </c>
      <c r="L109" s="231">
        <v>1280</v>
      </c>
      <c r="M109" s="233"/>
      <c r="N109" s="232">
        <v>1280</v>
      </c>
      <c r="O109" s="232">
        <v>1280</v>
      </c>
      <c r="P109" s="231">
        <v>1280</v>
      </c>
      <c r="Q109" s="232">
        <v>1280</v>
      </c>
      <c r="R109" s="232">
        <v>1280</v>
      </c>
      <c r="S109" s="231">
        <v>1280</v>
      </c>
      <c r="T109" s="233"/>
      <c r="U109" s="232">
        <v>1280</v>
      </c>
      <c r="V109" s="232">
        <v>1280</v>
      </c>
      <c r="W109" s="231">
        <v>1280</v>
      </c>
      <c r="X109" s="232">
        <v>1280</v>
      </c>
      <c r="Y109" s="232">
        <v>1280</v>
      </c>
      <c r="Z109" s="233"/>
      <c r="AA109" s="233"/>
      <c r="AB109" s="232">
        <v>1260</v>
      </c>
      <c r="AC109" s="232">
        <v>1260</v>
      </c>
      <c r="AD109" s="231">
        <v>1680</v>
      </c>
      <c r="AE109" s="232">
        <v>1680</v>
      </c>
      <c r="AF109" s="232">
        <v>1680</v>
      </c>
      <c r="AG109" s="235"/>
      <c r="AH109" s="235"/>
    </row>
    <row r="110" spans="1:34" ht="15">
      <c r="A110" s="393"/>
      <c r="B110" s="237" t="s">
        <v>47</v>
      </c>
      <c r="C110" s="238">
        <v>6511</v>
      </c>
      <c r="D110" s="238">
        <v>1085.1666666666667</v>
      </c>
      <c r="E110" s="241"/>
      <c r="F110" s="241"/>
      <c r="G110" s="240">
        <v>1281</v>
      </c>
      <c r="H110" s="240">
        <v>1010</v>
      </c>
      <c r="I110" s="239">
        <v>920</v>
      </c>
      <c r="J110" s="242"/>
      <c r="K110" s="240">
        <v>1280</v>
      </c>
      <c r="L110" s="239">
        <v>1280</v>
      </c>
      <c r="M110" s="241"/>
      <c r="N110" s="240">
        <v>740</v>
      </c>
      <c r="O110" s="242"/>
      <c r="P110" s="241"/>
      <c r="Q110" s="242"/>
      <c r="R110" s="242"/>
      <c r="S110" s="241"/>
      <c r="T110" s="241"/>
      <c r="U110" s="242"/>
      <c r="V110" s="242"/>
      <c r="W110" s="241"/>
      <c r="X110" s="242"/>
      <c r="Y110" s="242"/>
      <c r="Z110" s="241"/>
      <c r="AA110" s="241"/>
      <c r="AB110" s="242"/>
      <c r="AC110" s="242"/>
      <c r="AD110" s="241"/>
      <c r="AE110" s="242"/>
      <c r="AF110" s="242"/>
      <c r="AG110" s="243"/>
      <c r="AH110" s="243"/>
    </row>
    <row r="111" spans="1:34" ht="15">
      <c r="A111" s="393"/>
      <c r="B111" s="237" t="s">
        <v>48</v>
      </c>
      <c r="C111" s="244">
        <v>-1169</v>
      </c>
      <c r="D111" s="244">
        <v>-194.83333333333334</v>
      </c>
      <c r="E111" s="241"/>
      <c r="F111" s="241"/>
      <c r="G111" s="240">
        <v>1</v>
      </c>
      <c r="H111" s="242">
        <v>-270</v>
      </c>
      <c r="I111" s="241">
        <v>-360</v>
      </c>
      <c r="J111" s="242"/>
      <c r="K111" s="240">
        <v>0</v>
      </c>
      <c r="L111" s="239">
        <v>0</v>
      </c>
      <c r="M111" s="241"/>
      <c r="N111" s="242">
        <v>-540</v>
      </c>
      <c r="O111" s="242"/>
      <c r="P111" s="241"/>
      <c r="Q111" s="242"/>
      <c r="R111" s="242"/>
      <c r="S111" s="241"/>
      <c r="T111" s="241"/>
      <c r="U111" s="242"/>
      <c r="V111" s="242"/>
      <c r="W111" s="241"/>
      <c r="X111" s="242"/>
      <c r="Y111" s="242"/>
      <c r="Z111" s="241"/>
      <c r="AA111" s="241"/>
      <c r="AB111" s="242"/>
      <c r="AC111" s="242"/>
      <c r="AD111" s="241"/>
      <c r="AE111" s="242"/>
      <c r="AF111" s="242"/>
      <c r="AG111" s="243"/>
      <c r="AH111" s="243"/>
    </row>
    <row r="112" spans="1:34" ht="15">
      <c r="A112" s="393"/>
      <c r="B112" s="237" t="s">
        <v>49</v>
      </c>
      <c r="C112" s="238">
        <v>48</v>
      </c>
      <c r="D112" s="238">
        <v>8</v>
      </c>
      <c r="E112" s="241"/>
      <c r="F112" s="241"/>
      <c r="G112" s="240">
        <v>8</v>
      </c>
      <c r="H112" s="240">
        <v>8</v>
      </c>
      <c r="I112" s="239">
        <v>8</v>
      </c>
      <c r="J112" s="242"/>
      <c r="K112" s="240">
        <v>8</v>
      </c>
      <c r="L112" s="239">
        <v>8</v>
      </c>
      <c r="M112" s="241"/>
      <c r="N112" s="240">
        <v>8</v>
      </c>
      <c r="O112" s="242"/>
      <c r="P112" s="241"/>
      <c r="Q112" s="242"/>
      <c r="R112" s="242"/>
      <c r="S112" s="241"/>
      <c r="T112" s="241"/>
      <c r="U112" s="242"/>
      <c r="V112" s="242"/>
      <c r="W112" s="241"/>
      <c r="X112" s="242"/>
      <c r="Y112" s="242"/>
      <c r="Z112" s="241"/>
      <c r="AA112" s="241"/>
      <c r="AB112" s="242"/>
      <c r="AC112" s="242"/>
      <c r="AD112" s="241"/>
      <c r="AE112" s="242"/>
      <c r="AF112" s="242"/>
      <c r="AG112" s="243"/>
      <c r="AH112" s="243"/>
    </row>
    <row r="113" spans="1:34" ht="15">
      <c r="A113" s="393"/>
      <c r="B113" s="237" t="s">
        <v>50</v>
      </c>
      <c r="C113" s="238">
        <v>66</v>
      </c>
      <c r="D113" s="238">
        <v>66</v>
      </c>
      <c r="E113" s="241"/>
      <c r="F113" s="241"/>
      <c r="G113" s="240">
        <v>67</v>
      </c>
      <c r="H113" s="240">
        <v>64</v>
      </c>
      <c r="I113" s="239">
        <v>68</v>
      </c>
      <c r="J113" s="242"/>
      <c r="K113" s="240">
        <v>67</v>
      </c>
      <c r="L113" s="239">
        <v>66</v>
      </c>
      <c r="M113" s="241"/>
      <c r="N113" s="240">
        <v>67</v>
      </c>
      <c r="O113" s="242"/>
      <c r="P113" s="241"/>
      <c r="Q113" s="242"/>
      <c r="R113" s="242"/>
      <c r="S113" s="241"/>
      <c r="T113" s="241"/>
      <c r="U113" s="242"/>
      <c r="V113" s="242"/>
      <c r="W113" s="241"/>
      <c r="X113" s="242"/>
      <c r="Y113" s="242"/>
      <c r="Z113" s="241"/>
      <c r="AA113" s="241"/>
      <c r="AB113" s="242"/>
      <c r="AC113" s="242"/>
      <c r="AD113" s="241"/>
      <c r="AE113" s="242"/>
      <c r="AF113" s="242"/>
      <c r="AG113" s="243"/>
      <c r="AH113" s="243"/>
    </row>
    <row r="114" spans="1:34" ht="15">
      <c r="A114" s="393"/>
      <c r="B114" s="237" t="s">
        <v>51</v>
      </c>
      <c r="C114" s="238">
        <v>135.64583333333334</v>
      </c>
      <c r="D114" s="238">
        <v>135.64583333333334</v>
      </c>
      <c r="E114" s="241"/>
      <c r="F114" s="241"/>
      <c r="G114" s="240">
        <v>160.125</v>
      </c>
      <c r="H114" s="240">
        <v>126.25</v>
      </c>
      <c r="I114" s="239">
        <v>115</v>
      </c>
      <c r="J114" s="242"/>
      <c r="K114" s="240">
        <v>160</v>
      </c>
      <c r="L114" s="239">
        <v>160</v>
      </c>
      <c r="M114" s="241"/>
      <c r="N114" s="240">
        <v>92.5</v>
      </c>
      <c r="O114" s="242"/>
      <c r="P114" s="241"/>
      <c r="Q114" s="242"/>
      <c r="R114" s="242"/>
      <c r="S114" s="241"/>
      <c r="T114" s="241"/>
      <c r="U114" s="242"/>
      <c r="V114" s="242"/>
      <c r="W114" s="241"/>
      <c r="X114" s="242"/>
      <c r="Y114" s="242"/>
      <c r="Z114" s="241"/>
      <c r="AA114" s="241"/>
      <c r="AB114" s="242"/>
      <c r="AC114" s="242"/>
      <c r="AD114" s="241"/>
      <c r="AE114" s="242"/>
      <c r="AF114" s="242"/>
      <c r="AG114" s="243"/>
      <c r="AH114" s="243"/>
    </row>
    <row r="115" spans="1:34" ht="15">
      <c r="A115" s="394"/>
      <c r="B115" s="245" t="s">
        <v>52</v>
      </c>
      <c r="C115" s="246">
        <v>2.0552000000000001</v>
      </c>
      <c r="D115" s="246">
        <v>2.0552000000000001</v>
      </c>
      <c r="E115" s="248"/>
      <c r="F115" s="248"/>
      <c r="G115" s="246">
        <v>2.3898999999999999</v>
      </c>
      <c r="H115" s="246">
        <v>1.9727000000000001</v>
      </c>
      <c r="I115" s="247">
        <v>1.6912</v>
      </c>
      <c r="J115" s="249"/>
      <c r="K115" s="246">
        <v>2.3881000000000001</v>
      </c>
      <c r="L115" s="247">
        <v>2.4241999999999999</v>
      </c>
      <c r="M115" s="248"/>
      <c r="N115" s="246">
        <v>1.3806</v>
      </c>
      <c r="O115" s="249"/>
      <c r="P115" s="248"/>
      <c r="Q115" s="249"/>
      <c r="R115" s="249"/>
      <c r="S115" s="248"/>
      <c r="T115" s="248"/>
      <c r="U115" s="249"/>
      <c r="V115" s="249"/>
      <c r="W115" s="248"/>
      <c r="X115" s="249"/>
      <c r="Y115" s="249"/>
      <c r="Z115" s="248"/>
      <c r="AA115" s="248"/>
      <c r="AB115" s="249"/>
      <c r="AC115" s="249"/>
      <c r="AD115" s="248"/>
      <c r="AE115" s="249"/>
      <c r="AF115" s="249"/>
      <c r="AG115" s="250"/>
      <c r="AH115" s="250"/>
    </row>
    <row r="116" spans="1:34" ht="15">
      <c r="A116" s="392" t="s">
        <v>192</v>
      </c>
      <c r="B116" s="229" t="s">
        <v>45</v>
      </c>
      <c r="C116" s="230">
        <v>7840</v>
      </c>
      <c r="D116" s="230">
        <v>1306.6666666666667</v>
      </c>
      <c r="E116" s="233"/>
      <c r="F116" s="233"/>
      <c r="G116" s="232">
        <v>1280</v>
      </c>
      <c r="H116" s="232">
        <v>1280</v>
      </c>
      <c r="I116" s="231">
        <v>1280</v>
      </c>
      <c r="J116" s="234"/>
      <c r="K116" s="232">
        <v>1280</v>
      </c>
      <c r="L116" s="231">
        <v>1440</v>
      </c>
      <c r="M116" s="233"/>
      <c r="N116" s="232">
        <v>1280</v>
      </c>
      <c r="O116" s="234"/>
      <c r="P116" s="233"/>
      <c r="Q116" s="234"/>
      <c r="R116" s="234"/>
      <c r="S116" s="233"/>
      <c r="T116" s="233"/>
      <c r="U116" s="234"/>
      <c r="V116" s="234"/>
      <c r="W116" s="233"/>
      <c r="X116" s="234"/>
      <c r="Y116" s="234"/>
      <c r="Z116" s="233"/>
      <c r="AA116" s="233"/>
      <c r="AB116" s="234"/>
      <c r="AC116" s="234"/>
      <c r="AD116" s="233"/>
      <c r="AE116" s="234"/>
      <c r="AF116" s="234"/>
      <c r="AG116" s="235"/>
      <c r="AH116" s="235"/>
    </row>
    <row r="117" spans="1:34" ht="15">
      <c r="A117" s="393"/>
      <c r="B117" s="229" t="s">
        <v>46</v>
      </c>
      <c r="C117" s="230">
        <v>7680</v>
      </c>
      <c r="D117" s="230">
        <v>1280</v>
      </c>
      <c r="E117" s="233"/>
      <c r="F117" s="233"/>
      <c r="G117" s="232">
        <v>1280</v>
      </c>
      <c r="H117" s="232">
        <v>1280</v>
      </c>
      <c r="I117" s="231">
        <v>1280</v>
      </c>
      <c r="J117" s="234"/>
      <c r="K117" s="232">
        <v>1280</v>
      </c>
      <c r="L117" s="231">
        <v>1280</v>
      </c>
      <c r="M117" s="233"/>
      <c r="N117" s="232">
        <v>1280</v>
      </c>
      <c r="O117" s="232">
        <v>1280</v>
      </c>
      <c r="P117" s="231">
        <v>1280</v>
      </c>
      <c r="Q117" s="232">
        <v>1280</v>
      </c>
      <c r="R117" s="232">
        <v>1280</v>
      </c>
      <c r="S117" s="231">
        <v>1280</v>
      </c>
      <c r="T117" s="233"/>
      <c r="U117" s="232">
        <v>1280</v>
      </c>
      <c r="V117" s="232">
        <v>1280</v>
      </c>
      <c r="W117" s="231">
        <v>1280</v>
      </c>
      <c r="X117" s="232">
        <v>1280</v>
      </c>
      <c r="Y117" s="232">
        <v>1280</v>
      </c>
      <c r="Z117" s="233"/>
      <c r="AA117" s="233"/>
      <c r="AB117" s="232">
        <v>960</v>
      </c>
      <c r="AC117" s="232">
        <v>960</v>
      </c>
      <c r="AD117" s="231">
        <v>1280</v>
      </c>
      <c r="AE117" s="232">
        <v>1280</v>
      </c>
      <c r="AF117" s="232">
        <v>1280</v>
      </c>
      <c r="AG117" s="235"/>
      <c r="AH117" s="235"/>
    </row>
    <row r="118" spans="1:34" ht="15">
      <c r="A118" s="393"/>
      <c r="B118" s="237" t="s">
        <v>47</v>
      </c>
      <c r="C118" s="238">
        <v>6147</v>
      </c>
      <c r="D118" s="238">
        <v>1024.5</v>
      </c>
      <c r="E118" s="241"/>
      <c r="F118" s="241"/>
      <c r="G118" s="240">
        <v>1280</v>
      </c>
      <c r="H118" s="240">
        <v>920</v>
      </c>
      <c r="I118" s="239">
        <v>1100</v>
      </c>
      <c r="J118" s="242"/>
      <c r="K118" s="240">
        <v>1280</v>
      </c>
      <c r="L118" s="239">
        <v>827</v>
      </c>
      <c r="M118" s="241"/>
      <c r="N118" s="240">
        <v>740</v>
      </c>
      <c r="O118" s="242"/>
      <c r="P118" s="241"/>
      <c r="Q118" s="242"/>
      <c r="R118" s="242"/>
      <c r="S118" s="241"/>
      <c r="T118" s="241"/>
      <c r="U118" s="242"/>
      <c r="V118" s="242"/>
      <c r="W118" s="241"/>
      <c r="X118" s="242"/>
      <c r="Y118" s="242"/>
      <c r="Z118" s="241"/>
      <c r="AA118" s="241"/>
      <c r="AB118" s="242"/>
      <c r="AC118" s="242"/>
      <c r="AD118" s="241"/>
      <c r="AE118" s="242"/>
      <c r="AF118" s="242"/>
      <c r="AG118" s="243"/>
      <c r="AH118" s="243"/>
    </row>
    <row r="119" spans="1:34" ht="15">
      <c r="A119" s="393"/>
      <c r="B119" s="237" t="s">
        <v>48</v>
      </c>
      <c r="C119" s="244">
        <v>-1533</v>
      </c>
      <c r="D119" s="244">
        <v>-255.5</v>
      </c>
      <c r="E119" s="241"/>
      <c r="F119" s="241"/>
      <c r="G119" s="240">
        <v>0</v>
      </c>
      <c r="H119" s="242">
        <v>-360</v>
      </c>
      <c r="I119" s="241">
        <v>-180</v>
      </c>
      <c r="J119" s="242"/>
      <c r="K119" s="240">
        <v>0</v>
      </c>
      <c r="L119" s="241">
        <v>-453</v>
      </c>
      <c r="M119" s="241"/>
      <c r="N119" s="242">
        <v>-540</v>
      </c>
      <c r="O119" s="242"/>
      <c r="P119" s="241"/>
      <c r="Q119" s="242"/>
      <c r="R119" s="242"/>
      <c r="S119" s="241"/>
      <c r="T119" s="241"/>
      <c r="U119" s="242"/>
      <c r="V119" s="242"/>
      <c r="W119" s="241"/>
      <c r="X119" s="242"/>
      <c r="Y119" s="242"/>
      <c r="Z119" s="241"/>
      <c r="AA119" s="241"/>
      <c r="AB119" s="242"/>
      <c r="AC119" s="242"/>
      <c r="AD119" s="241"/>
      <c r="AE119" s="242"/>
      <c r="AF119" s="242"/>
      <c r="AG119" s="243"/>
      <c r="AH119" s="243"/>
    </row>
    <row r="120" spans="1:34" ht="15">
      <c r="A120" s="393"/>
      <c r="B120" s="237" t="s">
        <v>49</v>
      </c>
      <c r="C120" s="238">
        <v>48</v>
      </c>
      <c r="D120" s="238">
        <v>8</v>
      </c>
      <c r="E120" s="241"/>
      <c r="F120" s="241"/>
      <c r="G120" s="240">
        <v>8</v>
      </c>
      <c r="H120" s="240">
        <v>8</v>
      </c>
      <c r="I120" s="239">
        <v>8</v>
      </c>
      <c r="J120" s="242"/>
      <c r="K120" s="240">
        <v>8</v>
      </c>
      <c r="L120" s="239">
        <v>8</v>
      </c>
      <c r="M120" s="241"/>
      <c r="N120" s="240">
        <v>8</v>
      </c>
      <c r="O120" s="242"/>
      <c r="P120" s="241"/>
      <c r="Q120" s="242"/>
      <c r="R120" s="242"/>
      <c r="S120" s="241"/>
      <c r="T120" s="241"/>
      <c r="U120" s="242"/>
      <c r="V120" s="242"/>
      <c r="W120" s="241"/>
      <c r="X120" s="242"/>
      <c r="Y120" s="242"/>
      <c r="Z120" s="241"/>
      <c r="AA120" s="241"/>
      <c r="AB120" s="242"/>
      <c r="AC120" s="242"/>
      <c r="AD120" s="241"/>
      <c r="AE120" s="242"/>
      <c r="AF120" s="242"/>
      <c r="AG120" s="243"/>
      <c r="AH120" s="243"/>
    </row>
    <row r="121" spans="1:34" ht="15">
      <c r="A121" s="393"/>
      <c r="B121" s="237" t="s">
        <v>50</v>
      </c>
      <c r="C121" s="238">
        <v>67</v>
      </c>
      <c r="D121" s="238">
        <v>67</v>
      </c>
      <c r="E121" s="241"/>
      <c r="F121" s="241"/>
      <c r="G121" s="240">
        <v>67</v>
      </c>
      <c r="H121" s="240">
        <v>67</v>
      </c>
      <c r="I121" s="239">
        <v>67</v>
      </c>
      <c r="J121" s="242"/>
      <c r="K121" s="240">
        <v>67</v>
      </c>
      <c r="L121" s="239">
        <v>66</v>
      </c>
      <c r="M121" s="241"/>
      <c r="N121" s="240">
        <v>68</v>
      </c>
      <c r="O121" s="242"/>
      <c r="P121" s="241"/>
      <c r="Q121" s="242"/>
      <c r="R121" s="242"/>
      <c r="S121" s="241"/>
      <c r="T121" s="241"/>
      <c r="U121" s="242"/>
      <c r="V121" s="242"/>
      <c r="W121" s="241"/>
      <c r="X121" s="242"/>
      <c r="Y121" s="242"/>
      <c r="Z121" s="241"/>
      <c r="AA121" s="241"/>
      <c r="AB121" s="242"/>
      <c r="AC121" s="242"/>
      <c r="AD121" s="241"/>
      <c r="AE121" s="242"/>
      <c r="AF121" s="242"/>
      <c r="AG121" s="243"/>
      <c r="AH121" s="243"/>
    </row>
    <row r="122" spans="1:34" ht="15">
      <c r="A122" s="393"/>
      <c r="B122" s="237" t="s">
        <v>51</v>
      </c>
      <c r="C122" s="238">
        <v>128.0625</v>
      </c>
      <c r="D122" s="238">
        <v>128.0625</v>
      </c>
      <c r="E122" s="241"/>
      <c r="F122" s="241"/>
      <c r="G122" s="240">
        <v>160</v>
      </c>
      <c r="H122" s="240">
        <v>115</v>
      </c>
      <c r="I122" s="239">
        <v>137.5</v>
      </c>
      <c r="J122" s="242"/>
      <c r="K122" s="240">
        <v>160</v>
      </c>
      <c r="L122" s="239">
        <v>103.375</v>
      </c>
      <c r="M122" s="241"/>
      <c r="N122" s="240">
        <v>92.5</v>
      </c>
      <c r="O122" s="242"/>
      <c r="P122" s="241"/>
      <c r="Q122" s="242"/>
      <c r="R122" s="242"/>
      <c r="S122" s="241"/>
      <c r="T122" s="241"/>
      <c r="U122" s="242"/>
      <c r="V122" s="242"/>
      <c r="W122" s="241"/>
      <c r="X122" s="242"/>
      <c r="Y122" s="242"/>
      <c r="Z122" s="241"/>
      <c r="AA122" s="241"/>
      <c r="AB122" s="242"/>
      <c r="AC122" s="242"/>
      <c r="AD122" s="241"/>
      <c r="AE122" s="242"/>
      <c r="AF122" s="242"/>
      <c r="AG122" s="243"/>
      <c r="AH122" s="243"/>
    </row>
    <row r="123" spans="1:34" ht="15">
      <c r="A123" s="394"/>
      <c r="B123" s="245" t="s">
        <v>52</v>
      </c>
      <c r="C123" s="246">
        <v>1.9114</v>
      </c>
      <c r="D123" s="246">
        <v>1.9114</v>
      </c>
      <c r="E123" s="248"/>
      <c r="F123" s="248"/>
      <c r="G123" s="246">
        <v>2.3881000000000001</v>
      </c>
      <c r="H123" s="246">
        <v>1.7164000000000001</v>
      </c>
      <c r="I123" s="247">
        <v>2.0522</v>
      </c>
      <c r="J123" s="249"/>
      <c r="K123" s="246">
        <v>2.3881000000000001</v>
      </c>
      <c r="L123" s="247">
        <v>1.5663</v>
      </c>
      <c r="M123" s="248"/>
      <c r="N123" s="246">
        <v>1.3603000000000001</v>
      </c>
      <c r="O123" s="249"/>
      <c r="P123" s="248"/>
      <c r="Q123" s="249"/>
      <c r="R123" s="249"/>
      <c r="S123" s="248"/>
      <c r="T123" s="248"/>
      <c r="U123" s="249"/>
      <c r="V123" s="249"/>
      <c r="W123" s="248"/>
      <c r="X123" s="249"/>
      <c r="Y123" s="249"/>
      <c r="Z123" s="248"/>
      <c r="AA123" s="248"/>
      <c r="AB123" s="249"/>
      <c r="AC123" s="249"/>
      <c r="AD123" s="248"/>
      <c r="AE123" s="249"/>
      <c r="AF123" s="249"/>
      <c r="AG123" s="250"/>
      <c r="AH123" s="250"/>
    </row>
    <row r="124" spans="1:34" ht="15">
      <c r="A124" s="392" t="s">
        <v>193</v>
      </c>
      <c r="B124" s="229" t="s">
        <v>45</v>
      </c>
      <c r="C124" s="230">
        <v>8800</v>
      </c>
      <c r="D124" s="230">
        <v>1466.6666666666667</v>
      </c>
      <c r="E124" s="233"/>
      <c r="F124" s="233"/>
      <c r="G124" s="232">
        <v>1440</v>
      </c>
      <c r="H124" s="232">
        <v>1600</v>
      </c>
      <c r="I124" s="231">
        <v>1440</v>
      </c>
      <c r="J124" s="234"/>
      <c r="K124" s="232">
        <v>1440</v>
      </c>
      <c r="L124" s="231">
        <v>1440</v>
      </c>
      <c r="M124" s="233"/>
      <c r="N124" s="232">
        <v>1440</v>
      </c>
      <c r="O124" s="234"/>
      <c r="P124" s="233"/>
      <c r="Q124" s="234"/>
      <c r="R124" s="234"/>
      <c r="S124" s="233"/>
      <c r="T124" s="233"/>
      <c r="U124" s="234"/>
      <c r="V124" s="234"/>
      <c r="W124" s="233"/>
      <c r="X124" s="234"/>
      <c r="Y124" s="234"/>
      <c r="Z124" s="233"/>
      <c r="AA124" s="233"/>
      <c r="AB124" s="234"/>
      <c r="AC124" s="234"/>
      <c r="AD124" s="233"/>
      <c r="AE124" s="234"/>
      <c r="AF124" s="234"/>
      <c r="AG124" s="235"/>
      <c r="AH124" s="235"/>
    </row>
    <row r="125" spans="1:34" ht="15">
      <c r="A125" s="393"/>
      <c r="B125" s="229" t="s">
        <v>46</v>
      </c>
      <c r="C125" s="230">
        <v>6900</v>
      </c>
      <c r="D125" s="230">
        <v>1150</v>
      </c>
      <c r="E125" s="233"/>
      <c r="F125" s="233"/>
      <c r="G125" s="232">
        <v>1200</v>
      </c>
      <c r="H125" s="232">
        <v>1200</v>
      </c>
      <c r="I125" s="231">
        <v>1200</v>
      </c>
      <c r="J125" s="234"/>
      <c r="K125" s="232">
        <v>1200</v>
      </c>
      <c r="L125" s="231">
        <v>900</v>
      </c>
      <c r="M125" s="233"/>
      <c r="N125" s="232">
        <v>1200</v>
      </c>
      <c r="O125" s="232">
        <v>1200</v>
      </c>
      <c r="P125" s="231">
        <v>1200</v>
      </c>
      <c r="Q125" s="232">
        <v>1200</v>
      </c>
      <c r="R125" s="232">
        <v>1200</v>
      </c>
      <c r="S125" s="231">
        <v>900</v>
      </c>
      <c r="T125" s="233"/>
      <c r="U125" s="232">
        <v>1200</v>
      </c>
      <c r="V125" s="232">
        <v>1200</v>
      </c>
      <c r="W125" s="231">
        <v>1200</v>
      </c>
      <c r="X125" s="232">
        <v>1200</v>
      </c>
      <c r="Y125" s="232">
        <v>1200</v>
      </c>
      <c r="Z125" s="233"/>
      <c r="AA125" s="233"/>
      <c r="AB125" s="232">
        <v>1200</v>
      </c>
      <c r="AC125" s="232">
        <v>1200</v>
      </c>
      <c r="AD125" s="231">
        <v>1140</v>
      </c>
      <c r="AE125" s="232">
        <v>1140</v>
      </c>
      <c r="AF125" s="232">
        <v>1520</v>
      </c>
      <c r="AG125" s="235"/>
      <c r="AH125" s="235"/>
    </row>
    <row r="126" spans="1:34" ht="15">
      <c r="A126" s="393"/>
      <c r="B126" s="237" t="s">
        <v>47</v>
      </c>
      <c r="C126" s="238">
        <v>5312</v>
      </c>
      <c r="D126" s="238">
        <v>885.33333333333337</v>
      </c>
      <c r="E126" s="241"/>
      <c r="F126" s="241"/>
      <c r="G126" s="240">
        <v>1200</v>
      </c>
      <c r="H126" s="240">
        <v>792</v>
      </c>
      <c r="I126" s="239">
        <v>1200</v>
      </c>
      <c r="J126" s="242"/>
      <c r="K126" s="240">
        <v>1200</v>
      </c>
      <c r="L126" s="239">
        <v>400</v>
      </c>
      <c r="M126" s="241"/>
      <c r="N126" s="240">
        <v>520</v>
      </c>
      <c r="O126" s="242"/>
      <c r="P126" s="241"/>
      <c r="Q126" s="242"/>
      <c r="R126" s="242"/>
      <c r="S126" s="241"/>
      <c r="T126" s="241"/>
      <c r="U126" s="242"/>
      <c r="V126" s="242"/>
      <c r="W126" s="241"/>
      <c r="X126" s="242"/>
      <c r="Y126" s="242"/>
      <c r="Z126" s="241"/>
      <c r="AA126" s="241"/>
      <c r="AB126" s="242"/>
      <c r="AC126" s="242"/>
      <c r="AD126" s="241"/>
      <c r="AE126" s="242"/>
      <c r="AF126" s="242"/>
      <c r="AG126" s="243"/>
      <c r="AH126" s="243"/>
    </row>
    <row r="127" spans="1:34" ht="15">
      <c r="A127" s="393"/>
      <c r="B127" s="237" t="s">
        <v>48</v>
      </c>
      <c r="C127" s="244">
        <v>-1588</v>
      </c>
      <c r="D127" s="244">
        <v>-264.66666666666669</v>
      </c>
      <c r="E127" s="241"/>
      <c r="F127" s="241"/>
      <c r="G127" s="240">
        <v>0</v>
      </c>
      <c r="H127" s="242">
        <v>-408</v>
      </c>
      <c r="I127" s="239">
        <v>0</v>
      </c>
      <c r="J127" s="242"/>
      <c r="K127" s="240">
        <v>0</v>
      </c>
      <c r="L127" s="241">
        <v>-500</v>
      </c>
      <c r="M127" s="241"/>
      <c r="N127" s="242">
        <v>-680</v>
      </c>
      <c r="O127" s="242"/>
      <c r="P127" s="241"/>
      <c r="Q127" s="242"/>
      <c r="R127" s="242"/>
      <c r="S127" s="241"/>
      <c r="T127" s="241"/>
      <c r="U127" s="242"/>
      <c r="V127" s="242"/>
      <c r="W127" s="241"/>
      <c r="X127" s="242"/>
      <c r="Y127" s="242"/>
      <c r="Z127" s="241"/>
      <c r="AA127" s="241"/>
      <c r="AB127" s="242"/>
      <c r="AC127" s="242"/>
      <c r="AD127" s="241"/>
      <c r="AE127" s="242"/>
      <c r="AF127" s="242"/>
      <c r="AG127" s="243"/>
      <c r="AH127" s="243"/>
    </row>
    <row r="128" spans="1:34" ht="15">
      <c r="A128" s="393"/>
      <c r="B128" s="237" t="s">
        <v>49</v>
      </c>
      <c r="C128" s="238">
        <v>48</v>
      </c>
      <c r="D128" s="238">
        <v>8</v>
      </c>
      <c r="E128" s="241"/>
      <c r="F128" s="241"/>
      <c r="G128" s="240">
        <v>8</v>
      </c>
      <c r="H128" s="240">
        <v>8</v>
      </c>
      <c r="I128" s="239">
        <v>8</v>
      </c>
      <c r="J128" s="242"/>
      <c r="K128" s="240">
        <v>8</v>
      </c>
      <c r="L128" s="239">
        <v>8</v>
      </c>
      <c r="M128" s="241"/>
      <c r="N128" s="240">
        <v>8</v>
      </c>
      <c r="O128" s="242"/>
      <c r="P128" s="241"/>
      <c r="Q128" s="242"/>
      <c r="R128" s="242"/>
      <c r="S128" s="241"/>
      <c r="T128" s="241"/>
      <c r="U128" s="242"/>
      <c r="V128" s="242"/>
      <c r="W128" s="241"/>
      <c r="X128" s="242"/>
      <c r="Y128" s="242"/>
      <c r="Z128" s="241"/>
      <c r="AA128" s="241"/>
      <c r="AB128" s="242"/>
      <c r="AC128" s="242"/>
      <c r="AD128" s="241"/>
      <c r="AE128" s="242"/>
      <c r="AF128" s="242"/>
      <c r="AG128" s="243"/>
      <c r="AH128" s="243"/>
    </row>
    <row r="129" spans="1:34" ht="15">
      <c r="A129" s="393"/>
      <c r="B129" s="237" t="s">
        <v>50</v>
      </c>
      <c r="C129" s="238">
        <v>57</v>
      </c>
      <c r="D129" s="238">
        <v>57</v>
      </c>
      <c r="E129" s="241"/>
      <c r="F129" s="241"/>
      <c r="G129" s="240">
        <v>59</v>
      </c>
      <c r="H129" s="240">
        <v>59</v>
      </c>
      <c r="I129" s="239">
        <v>57</v>
      </c>
      <c r="J129" s="242"/>
      <c r="K129" s="240">
        <v>58</v>
      </c>
      <c r="L129" s="239">
        <v>57</v>
      </c>
      <c r="M129" s="241"/>
      <c r="N129" s="240">
        <v>54</v>
      </c>
      <c r="O129" s="242"/>
      <c r="P129" s="241"/>
      <c r="Q129" s="242"/>
      <c r="R129" s="242"/>
      <c r="S129" s="241"/>
      <c r="T129" s="241"/>
      <c r="U129" s="242"/>
      <c r="V129" s="242"/>
      <c r="W129" s="241"/>
      <c r="X129" s="242"/>
      <c r="Y129" s="242"/>
      <c r="Z129" s="241"/>
      <c r="AA129" s="241"/>
      <c r="AB129" s="242"/>
      <c r="AC129" s="242"/>
      <c r="AD129" s="241"/>
      <c r="AE129" s="242"/>
      <c r="AF129" s="242"/>
      <c r="AG129" s="243"/>
      <c r="AH129" s="243"/>
    </row>
    <row r="130" spans="1:34" ht="15">
      <c r="A130" s="393"/>
      <c r="B130" s="237" t="s">
        <v>51</v>
      </c>
      <c r="C130" s="238">
        <v>110.66666666666667</v>
      </c>
      <c r="D130" s="238">
        <v>110.66666666666667</v>
      </c>
      <c r="E130" s="241"/>
      <c r="F130" s="241"/>
      <c r="G130" s="240">
        <v>150</v>
      </c>
      <c r="H130" s="240">
        <v>99</v>
      </c>
      <c r="I130" s="239">
        <v>150</v>
      </c>
      <c r="J130" s="242"/>
      <c r="K130" s="240">
        <v>150</v>
      </c>
      <c r="L130" s="239">
        <v>50</v>
      </c>
      <c r="M130" s="241"/>
      <c r="N130" s="240">
        <v>65</v>
      </c>
      <c r="O130" s="242"/>
      <c r="P130" s="241"/>
      <c r="Q130" s="242"/>
      <c r="R130" s="242"/>
      <c r="S130" s="241"/>
      <c r="T130" s="241"/>
      <c r="U130" s="242"/>
      <c r="V130" s="242"/>
      <c r="W130" s="241"/>
      <c r="X130" s="242"/>
      <c r="Y130" s="242"/>
      <c r="Z130" s="241"/>
      <c r="AA130" s="241"/>
      <c r="AB130" s="242"/>
      <c r="AC130" s="242"/>
      <c r="AD130" s="241"/>
      <c r="AE130" s="242"/>
      <c r="AF130" s="242"/>
      <c r="AG130" s="243"/>
      <c r="AH130" s="243"/>
    </row>
    <row r="131" spans="1:34" ht="15">
      <c r="A131" s="394"/>
      <c r="B131" s="245" t="s">
        <v>52</v>
      </c>
      <c r="C131" s="246">
        <v>1.9415</v>
      </c>
      <c r="D131" s="246">
        <v>1.9415</v>
      </c>
      <c r="E131" s="248"/>
      <c r="F131" s="248"/>
      <c r="G131" s="246">
        <v>2.5423999999999998</v>
      </c>
      <c r="H131" s="246">
        <v>1.6779999999999999</v>
      </c>
      <c r="I131" s="247">
        <v>2.6316000000000002</v>
      </c>
      <c r="J131" s="249"/>
      <c r="K131" s="246">
        <v>2.5861999999999998</v>
      </c>
      <c r="L131" s="247">
        <v>0.87719999999999998</v>
      </c>
      <c r="M131" s="248"/>
      <c r="N131" s="246">
        <v>1.2037</v>
      </c>
      <c r="O131" s="249"/>
      <c r="P131" s="248"/>
      <c r="Q131" s="249"/>
      <c r="R131" s="249"/>
      <c r="S131" s="248"/>
      <c r="T131" s="248"/>
      <c r="U131" s="249"/>
      <c r="V131" s="249"/>
      <c r="W131" s="248"/>
      <c r="X131" s="249"/>
      <c r="Y131" s="249"/>
      <c r="Z131" s="248"/>
      <c r="AA131" s="248"/>
      <c r="AB131" s="249"/>
      <c r="AC131" s="249"/>
      <c r="AD131" s="248"/>
      <c r="AE131" s="249"/>
      <c r="AF131" s="249"/>
      <c r="AG131" s="250"/>
      <c r="AH131" s="250"/>
    </row>
    <row r="132" spans="1:34" ht="15">
      <c r="A132" s="392" t="s">
        <v>194</v>
      </c>
      <c r="B132" s="229" t="s">
        <v>45</v>
      </c>
      <c r="C132" s="230">
        <v>10560</v>
      </c>
      <c r="D132" s="230">
        <v>1760</v>
      </c>
      <c r="E132" s="233"/>
      <c r="F132" s="233"/>
      <c r="G132" s="232">
        <v>1760</v>
      </c>
      <c r="H132" s="232">
        <v>1760</v>
      </c>
      <c r="I132" s="231">
        <v>1760</v>
      </c>
      <c r="J132" s="234"/>
      <c r="K132" s="232">
        <v>1760</v>
      </c>
      <c r="L132" s="231">
        <v>1760</v>
      </c>
      <c r="M132" s="233"/>
      <c r="N132" s="232">
        <v>1760</v>
      </c>
      <c r="O132" s="234"/>
      <c r="P132" s="233"/>
      <c r="Q132" s="234"/>
      <c r="R132" s="234"/>
      <c r="S132" s="233"/>
      <c r="T132" s="233"/>
      <c r="U132" s="234"/>
      <c r="V132" s="234"/>
      <c r="W132" s="233"/>
      <c r="X132" s="234"/>
      <c r="Y132" s="234"/>
      <c r="Z132" s="233"/>
      <c r="AA132" s="233"/>
      <c r="AB132" s="234"/>
      <c r="AC132" s="234"/>
      <c r="AD132" s="233"/>
      <c r="AE132" s="234"/>
      <c r="AF132" s="234"/>
      <c r="AG132" s="235"/>
      <c r="AH132" s="235"/>
    </row>
    <row r="133" spans="1:34" ht="15">
      <c r="A133" s="393"/>
      <c r="B133" s="229" t="s">
        <v>46</v>
      </c>
      <c r="C133" s="230">
        <v>8640</v>
      </c>
      <c r="D133" s="230">
        <v>1440</v>
      </c>
      <c r="E133" s="233"/>
      <c r="F133" s="233"/>
      <c r="G133" s="232">
        <v>1440</v>
      </c>
      <c r="H133" s="232">
        <v>1440</v>
      </c>
      <c r="I133" s="231">
        <v>1440</v>
      </c>
      <c r="J133" s="234"/>
      <c r="K133" s="232">
        <v>1440</v>
      </c>
      <c r="L133" s="231">
        <v>1440</v>
      </c>
      <c r="M133" s="233"/>
      <c r="N133" s="232">
        <v>1440</v>
      </c>
      <c r="O133" s="232">
        <v>1440</v>
      </c>
      <c r="P133" s="231">
        <v>1440</v>
      </c>
      <c r="Q133" s="232">
        <v>1440</v>
      </c>
      <c r="R133" s="232">
        <v>1440</v>
      </c>
      <c r="S133" s="231">
        <v>1440</v>
      </c>
      <c r="T133" s="233"/>
      <c r="U133" s="232">
        <v>1440</v>
      </c>
      <c r="V133" s="232">
        <v>1440</v>
      </c>
      <c r="W133" s="231">
        <v>1440</v>
      </c>
      <c r="X133" s="232">
        <v>1440</v>
      </c>
      <c r="Y133" s="232">
        <v>1440</v>
      </c>
      <c r="Z133" s="233"/>
      <c r="AA133" s="233"/>
      <c r="AB133" s="232">
        <v>1440</v>
      </c>
      <c r="AC133" s="232">
        <v>1440</v>
      </c>
      <c r="AD133" s="231">
        <v>1440</v>
      </c>
      <c r="AE133" s="232">
        <v>1440</v>
      </c>
      <c r="AF133" s="232">
        <v>1440</v>
      </c>
      <c r="AG133" s="235"/>
      <c r="AH133" s="235"/>
    </row>
    <row r="134" spans="1:34" ht="15">
      <c r="A134" s="393"/>
      <c r="B134" s="237" t="s">
        <v>47</v>
      </c>
      <c r="C134" s="238">
        <v>7592</v>
      </c>
      <c r="D134" s="238">
        <v>1265.3333333333333</v>
      </c>
      <c r="E134" s="241"/>
      <c r="F134" s="241"/>
      <c r="G134" s="240">
        <v>1440</v>
      </c>
      <c r="H134" s="240">
        <v>1440</v>
      </c>
      <c r="I134" s="239">
        <v>756</v>
      </c>
      <c r="J134" s="242"/>
      <c r="K134" s="240">
        <v>1440</v>
      </c>
      <c r="L134" s="239">
        <v>1440</v>
      </c>
      <c r="M134" s="241"/>
      <c r="N134" s="240">
        <v>1076</v>
      </c>
      <c r="O134" s="242"/>
      <c r="P134" s="241"/>
      <c r="Q134" s="242"/>
      <c r="R134" s="242"/>
      <c r="S134" s="241"/>
      <c r="T134" s="241"/>
      <c r="U134" s="242"/>
      <c r="V134" s="242"/>
      <c r="W134" s="241"/>
      <c r="X134" s="242"/>
      <c r="Y134" s="242"/>
      <c r="Z134" s="241"/>
      <c r="AA134" s="241"/>
      <c r="AB134" s="242"/>
      <c r="AC134" s="242"/>
      <c r="AD134" s="241"/>
      <c r="AE134" s="242"/>
      <c r="AF134" s="242"/>
      <c r="AG134" s="243"/>
      <c r="AH134" s="243"/>
    </row>
    <row r="135" spans="1:34" ht="15">
      <c r="A135" s="393"/>
      <c r="B135" s="237" t="s">
        <v>48</v>
      </c>
      <c r="C135" s="244">
        <v>-1048</v>
      </c>
      <c r="D135" s="244">
        <v>-174.66666666666666</v>
      </c>
      <c r="E135" s="241"/>
      <c r="F135" s="241"/>
      <c r="G135" s="240">
        <v>0</v>
      </c>
      <c r="H135" s="240">
        <v>0</v>
      </c>
      <c r="I135" s="241">
        <v>-684</v>
      </c>
      <c r="J135" s="242"/>
      <c r="K135" s="240">
        <v>0</v>
      </c>
      <c r="L135" s="239">
        <v>0</v>
      </c>
      <c r="M135" s="241"/>
      <c r="N135" s="242">
        <v>-364</v>
      </c>
      <c r="O135" s="242"/>
      <c r="P135" s="241"/>
      <c r="Q135" s="242"/>
      <c r="R135" s="242"/>
      <c r="S135" s="241"/>
      <c r="T135" s="241"/>
      <c r="U135" s="242"/>
      <c r="V135" s="242"/>
      <c r="W135" s="241"/>
      <c r="X135" s="242"/>
      <c r="Y135" s="242"/>
      <c r="Z135" s="241"/>
      <c r="AA135" s="241"/>
      <c r="AB135" s="242"/>
      <c r="AC135" s="242"/>
      <c r="AD135" s="241"/>
      <c r="AE135" s="242"/>
      <c r="AF135" s="242"/>
      <c r="AG135" s="243"/>
      <c r="AH135" s="243"/>
    </row>
    <row r="136" spans="1:34" ht="15">
      <c r="A136" s="393"/>
      <c r="B136" s="237" t="s">
        <v>49</v>
      </c>
      <c r="C136" s="238">
        <v>48</v>
      </c>
      <c r="D136" s="238">
        <v>8</v>
      </c>
      <c r="E136" s="241"/>
      <c r="F136" s="241"/>
      <c r="G136" s="240">
        <v>8</v>
      </c>
      <c r="H136" s="240">
        <v>8</v>
      </c>
      <c r="I136" s="239">
        <v>8</v>
      </c>
      <c r="J136" s="242"/>
      <c r="K136" s="240">
        <v>8</v>
      </c>
      <c r="L136" s="239">
        <v>8</v>
      </c>
      <c r="M136" s="241"/>
      <c r="N136" s="240">
        <v>8</v>
      </c>
      <c r="O136" s="242"/>
      <c r="P136" s="241"/>
      <c r="Q136" s="242"/>
      <c r="R136" s="242"/>
      <c r="S136" s="241"/>
      <c r="T136" s="241"/>
      <c r="U136" s="242"/>
      <c r="V136" s="242"/>
      <c r="W136" s="241"/>
      <c r="X136" s="242"/>
      <c r="Y136" s="242"/>
      <c r="Z136" s="241"/>
      <c r="AA136" s="241"/>
      <c r="AB136" s="242"/>
      <c r="AC136" s="242"/>
      <c r="AD136" s="241"/>
      <c r="AE136" s="242"/>
      <c r="AF136" s="242"/>
      <c r="AG136" s="243"/>
      <c r="AH136" s="243"/>
    </row>
    <row r="137" spans="1:34" ht="15">
      <c r="A137" s="393"/>
      <c r="B137" s="237" t="s">
        <v>50</v>
      </c>
      <c r="C137" s="238">
        <v>59</v>
      </c>
      <c r="D137" s="238">
        <v>59</v>
      </c>
      <c r="E137" s="241"/>
      <c r="F137" s="241"/>
      <c r="G137" s="240">
        <v>62</v>
      </c>
      <c r="H137" s="240">
        <v>60</v>
      </c>
      <c r="I137" s="239">
        <v>58</v>
      </c>
      <c r="J137" s="242"/>
      <c r="K137" s="240">
        <v>59</v>
      </c>
      <c r="L137" s="239">
        <v>58</v>
      </c>
      <c r="M137" s="241"/>
      <c r="N137" s="240">
        <v>57</v>
      </c>
      <c r="O137" s="242"/>
      <c r="P137" s="241"/>
      <c r="Q137" s="242"/>
      <c r="R137" s="242"/>
      <c r="S137" s="241"/>
      <c r="T137" s="241"/>
      <c r="U137" s="242"/>
      <c r="V137" s="242"/>
      <c r="W137" s="241"/>
      <c r="X137" s="242"/>
      <c r="Y137" s="242"/>
      <c r="Z137" s="241"/>
      <c r="AA137" s="241"/>
      <c r="AB137" s="242"/>
      <c r="AC137" s="242"/>
      <c r="AD137" s="241"/>
      <c r="AE137" s="242"/>
      <c r="AF137" s="242"/>
      <c r="AG137" s="243"/>
      <c r="AH137" s="243"/>
    </row>
    <row r="138" spans="1:34" ht="15">
      <c r="A138" s="393"/>
      <c r="B138" s="237" t="s">
        <v>51</v>
      </c>
      <c r="C138" s="238">
        <v>158.16666666666666</v>
      </c>
      <c r="D138" s="238">
        <v>158.16666666666666</v>
      </c>
      <c r="E138" s="241"/>
      <c r="F138" s="241"/>
      <c r="G138" s="240">
        <v>180</v>
      </c>
      <c r="H138" s="240">
        <v>180</v>
      </c>
      <c r="I138" s="239">
        <v>94.5</v>
      </c>
      <c r="J138" s="242"/>
      <c r="K138" s="240">
        <v>180</v>
      </c>
      <c r="L138" s="239">
        <v>180</v>
      </c>
      <c r="M138" s="241"/>
      <c r="N138" s="240">
        <v>134.5</v>
      </c>
      <c r="O138" s="242"/>
      <c r="P138" s="241"/>
      <c r="Q138" s="242"/>
      <c r="R138" s="242"/>
      <c r="S138" s="241"/>
      <c r="T138" s="241"/>
      <c r="U138" s="242"/>
      <c r="V138" s="242"/>
      <c r="W138" s="241"/>
      <c r="X138" s="242"/>
      <c r="Y138" s="242"/>
      <c r="Z138" s="241"/>
      <c r="AA138" s="241"/>
      <c r="AB138" s="242"/>
      <c r="AC138" s="242"/>
      <c r="AD138" s="241"/>
      <c r="AE138" s="242"/>
      <c r="AF138" s="242"/>
      <c r="AG138" s="243"/>
      <c r="AH138" s="243"/>
    </row>
    <row r="139" spans="1:34" ht="15">
      <c r="A139" s="394"/>
      <c r="B139" s="245" t="s">
        <v>52</v>
      </c>
      <c r="C139" s="246">
        <v>2.6808000000000001</v>
      </c>
      <c r="D139" s="246">
        <v>2.6808000000000001</v>
      </c>
      <c r="E139" s="248"/>
      <c r="F139" s="248"/>
      <c r="G139" s="246">
        <v>2.9032</v>
      </c>
      <c r="H139" s="246">
        <v>3</v>
      </c>
      <c r="I139" s="247">
        <v>1.6293</v>
      </c>
      <c r="J139" s="249"/>
      <c r="K139" s="246">
        <v>3.0508000000000002</v>
      </c>
      <c r="L139" s="247">
        <v>3.1034000000000002</v>
      </c>
      <c r="M139" s="248"/>
      <c r="N139" s="246">
        <v>2.3595999999999999</v>
      </c>
      <c r="O139" s="249"/>
      <c r="P139" s="248"/>
      <c r="Q139" s="249"/>
      <c r="R139" s="249"/>
      <c r="S139" s="248"/>
      <c r="T139" s="248"/>
      <c r="U139" s="249"/>
      <c r="V139" s="249"/>
      <c r="W139" s="248"/>
      <c r="X139" s="249"/>
      <c r="Y139" s="249"/>
      <c r="Z139" s="248"/>
      <c r="AA139" s="248"/>
      <c r="AB139" s="249"/>
      <c r="AC139" s="249"/>
      <c r="AD139" s="248"/>
      <c r="AE139" s="249"/>
      <c r="AF139" s="249"/>
      <c r="AG139" s="250"/>
      <c r="AH139" s="250"/>
    </row>
    <row r="140" spans="1:34" ht="15">
      <c r="A140" s="392" t="s">
        <v>195</v>
      </c>
      <c r="B140" s="229" t="s">
        <v>45</v>
      </c>
      <c r="C140" s="230">
        <v>7680</v>
      </c>
      <c r="D140" s="230">
        <v>1280</v>
      </c>
      <c r="E140" s="233"/>
      <c r="F140" s="233"/>
      <c r="G140" s="232">
        <v>1280</v>
      </c>
      <c r="H140" s="232">
        <v>1280</v>
      </c>
      <c r="I140" s="231">
        <v>1280</v>
      </c>
      <c r="J140" s="234"/>
      <c r="K140" s="232">
        <v>1280</v>
      </c>
      <c r="L140" s="231">
        <v>1280</v>
      </c>
      <c r="M140" s="233"/>
      <c r="N140" s="232">
        <v>1280</v>
      </c>
      <c r="O140" s="234"/>
      <c r="P140" s="233"/>
      <c r="Q140" s="234"/>
      <c r="R140" s="234"/>
      <c r="S140" s="233"/>
      <c r="T140" s="233"/>
      <c r="U140" s="234"/>
      <c r="V140" s="234"/>
      <c r="W140" s="233"/>
      <c r="X140" s="234"/>
      <c r="Y140" s="234"/>
      <c r="Z140" s="233"/>
      <c r="AA140" s="233"/>
      <c r="AB140" s="234"/>
      <c r="AC140" s="234"/>
      <c r="AD140" s="233"/>
      <c r="AE140" s="234"/>
      <c r="AF140" s="234"/>
      <c r="AG140" s="235"/>
      <c r="AH140" s="235"/>
    </row>
    <row r="141" spans="1:34" ht="15">
      <c r="A141" s="393"/>
      <c r="B141" s="229" t="s">
        <v>46</v>
      </c>
      <c r="C141" s="230">
        <v>6480</v>
      </c>
      <c r="D141" s="230">
        <v>1080</v>
      </c>
      <c r="E141" s="233"/>
      <c r="F141" s="233"/>
      <c r="G141" s="232">
        <v>1200</v>
      </c>
      <c r="H141" s="232">
        <v>1200</v>
      </c>
      <c r="I141" s="231">
        <v>1200</v>
      </c>
      <c r="J141" s="234"/>
      <c r="K141" s="232">
        <v>1200</v>
      </c>
      <c r="L141" s="231">
        <v>840</v>
      </c>
      <c r="M141" s="233"/>
      <c r="N141" s="232">
        <v>840</v>
      </c>
      <c r="O141" s="232">
        <v>1120</v>
      </c>
      <c r="P141" s="231">
        <v>1120</v>
      </c>
      <c r="Q141" s="232">
        <v>1120</v>
      </c>
      <c r="R141" s="232">
        <v>1200</v>
      </c>
      <c r="S141" s="231">
        <v>1200</v>
      </c>
      <c r="T141" s="233"/>
      <c r="U141" s="232">
        <v>1200</v>
      </c>
      <c r="V141" s="232">
        <v>1200</v>
      </c>
      <c r="W141" s="231">
        <v>1200</v>
      </c>
      <c r="X141" s="232">
        <v>1200</v>
      </c>
      <c r="Y141" s="232">
        <v>1200</v>
      </c>
      <c r="Z141" s="233"/>
      <c r="AA141" s="233"/>
      <c r="AB141" s="232">
        <v>1200</v>
      </c>
      <c r="AC141" s="232">
        <v>1200</v>
      </c>
      <c r="AD141" s="231">
        <v>1200</v>
      </c>
      <c r="AE141" s="232">
        <v>1200</v>
      </c>
      <c r="AF141" s="232">
        <v>1200</v>
      </c>
      <c r="AG141" s="235"/>
      <c r="AH141" s="235"/>
    </row>
    <row r="142" spans="1:34" ht="15">
      <c r="A142" s="393"/>
      <c r="B142" s="237" t="s">
        <v>47</v>
      </c>
      <c r="C142" s="238">
        <v>7560</v>
      </c>
      <c r="D142" s="238">
        <v>1260</v>
      </c>
      <c r="E142" s="241"/>
      <c r="F142" s="241"/>
      <c r="G142" s="240">
        <v>1240</v>
      </c>
      <c r="H142" s="240">
        <v>1240</v>
      </c>
      <c r="I142" s="239">
        <v>1270</v>
      </c>
      <c r="J142" s="242"/>
      <c r="K142" s="240">
        <v>1250</v>
      </c>
      <c r="L142" s="239">
        <v>1280</v>
      </c>
      <c r="M142" s="241"/>
      <c r="N142" s="240">
        <v>1280</v>
      </c>
      <c r="O142" s="242"/>
      <c r="P142" s="241"/>
      <c r="Q142" s="242"/>
      <c r="R142" s="242"/>
      <c r="S142" s="241"/>
      <c r="T142" s="241"/>
      <c r="U142" s="242"/>
      <c r="V142" s="242"/>
      <c r="W142" s="241"/>
      <c r="X142" s="242"/>
      <c r="Y142" s="242"/>
      <c r="Z142" s="241"/>
      <c r="AA142" s="241"/>
      <c r="AB142" s="242"/>
      <c r="AC142" s="242"/>
      <c r="AD142" s="241"/>
      <c r="AE142" s="242"/>
      <c r="AF142" s="242"/>
      <c r="AG142" s="243"/>
      <c r="AH142" s="243"/>
    </row>
    <row r="143" spans="1:34" ht="15">
      <c r="A143" s="393"/>
      <c r="B143" s="237" t="s">
        <v>48</v>
      </c>
      <c r="C143" s="238">
        <v>1080</v>
      </c>
      <c r="D143" s="238">
        <v>180</v>
      </c>
      <c r="E143" s="241"/>
      <c r="F143" s="241"/>
      <c r="G143" s="240">
        <v>40</v>
      </c>
      <c r="H143" s="240">
        <v>40</v>
      </c>
      <c r="I143" s="239">
        <v>70</v>
      </c>
      <c r="J143" s="242"/>
      <c r="K143" s="240">
        <v>50</v>
      </c>
      <c r="L143" s="239">
        <v>440</v>
      </c>
      <c r="M143" s="241"/>
      <c r="N143" s="240">
        <v>440</v>
      </c>
      <c r="O143" s="242"/>
      <c r="P143" s="241"/>
      <c r="Q143" s="242"/>
      <c r="R143" s="242"/>
      <c r="S143" s="241"/>
      <c r="T143" s="241"/>
      <c r="U143" s="242"/>
      <c r="V143" s="242"/>
      <c r="W143" s="241"/>
      <c r="X143" s="242"/>
      <c r="Y143" s="242"/>
      <c r="Z143" s="241"/>
      <c r="AA143" s="241"/>
      <c r="AB143" s="242"/>
      <c r="AC143" s="242"/>
      <c r="AD143" s="241"/>
      <c r="AE143" s="242"/>
      <c r="AF143" s="242"/>
      <c r="AG143" s="243"/>
      <c r="AH143" s="243"/>
    </row>
    <row r="144" spans="1:34" ht="15">
      <c r="A144" s="393"/>
      <c r="B144" s="237" t="s">
        <v>49</v>
      </c>
      <c r="C144" s="238">
        <v>48</v>
      </c>
      <c r="D144" s="238">
        <v>8</v>
      </c>
      <c r="E144" s="241"/>
      <c r="F144" s="241"/>
      <c r="G144" s="240">
        <v>8</v>
      </c>
      <c r="H144" s="240">
        <v>8</v>
      </c>
      <c r="I144" s="239">
        <v>8</v>
      </c>
      <c r="J144" s="242"/>
      <c r="K144" s="240">
        <v>8</v>
      </c>
      <c r="L144" s="239">
        <v>8</v>
      </c>
      <c r="M144" s="241"/>
      <c r="N144" s="240">
        <v>8</v>
      </c>
      <c r="O144" s="242"/>
      <c r="P144" s="241"/>
      <c r="Q144" s="242"/>
      <c r="R144" s="242"/>
      <c r="S144" s="241"/>
      <c r="T144" s="241"/>
      <c r="U144" s="242"/>
      <c r="V144" s="242"/>
      <c r="W144" s="241"/>
      <c r="X144" s="242"/>
      <c r="Y144" s="242"/>
      <c r="Z144" s="241"/>
      <c r="AA144" s="241"/>
      <c r="AB144" s="242"/>
      <c r="AC144" s="242"/>
      <c r="AD144" s="241"/>
      <c r="AE144" s="242"/>
      <c r="AF144" s="242"/>
      <c r="AG144" s="243"/>
      <c r="AH144" s="243"/>
    </row>
    <row r="145" spans="1:34" ht="15">
      <c r="A145" s="393"/>
      <c r="B145" s="237" t="s">
        <v>50</v>
      </c>
      <c r="C145" s="238">
        <v>75</v>
      </c>
      <c r="D145" s="238">
        <v>75</v>
      </c>
      <c r="E145" s="241"/>
      <c r="F145" s="241"/>
      <c r="G145" s="240">
        <v>77</v>
      </c>
      <c r="H145" s="240">
        <v>76</v>
      </c>
      <c r="I145" s="239">
        <v>75</v>
      </c>
      <c r="J145" s="242"/>
      <c r="K145" s="240">
        <v>73</v>
      </c>
      <c r="L145" s="239">
        <v>73</v>
      </c>
      <c r="M145" s="241"/>
      <c r="N145" s="240">
        <v>76</v>
      </c>
      <c r="O145" s="242"/>
      <c r="P145" s="241"/>
      <c r="Q145" s="242"/>
      <c r="R145" s="242"/>
      <c r="S145" s="241"/>
      <c r="T145" s="241"/>
      <c r="U145" s="242"/>
      <c r="V145" s="242"/>
      <c r="W145" s="241"/>
      <c r="X145" s="242"/>
      <c r="Y145" s="242"/>
      <c r="Z145" s="241"/>
      <c r="AA145" s="241"/>
      <c r="AB145" s="242"/>
      <c r="AC145" s="242"/>
      <c r="AD145" s="241"/>
      <c r="AE145" s="242"/>
      <c r="AF145" s="242"/>
      <c r="AG145" s="243"/>
      <c r="AH145" s="243"/>
    </row>
    <row r="146" spans="1:34" ht="15">
      <c r="A146" s="393"/>
      <c r="B146" s="237" t="s">
        <v>51</v>
      </c>
      <c r="C146" s="238">
        <v>157.5</v>
      </c>
      <c r="D146" s="238">
        <v>157.5</v>
      </c>
      <c r="E146" s="241"/>
      <c r="F146" s="241"/>
      <c r="G146" s="240">
        <v>155</v>
      </c>
      <c r="H146" s="240">
        <v>155</v>
      </c>
      <c r="I146" s="239">
        <v>158.75</v>
      </c>
      <c r="J146" s="242"/>
      <c r="K146" s="240">
        <v>156.25</v>
      </c>
      <c r="L146" s="239">
        <v>160</v>
      </c>
      <c r="M146" s="241"/>
      <c r="N146" s="240">
        <v>160</v>
      </c>
      <c r="O146" s="242"/>
      <c r="P146" s="241"/>
      <c r="Q146" s="242"/>
      <c r="R146" s="242"/>
      <c r="S146" s="241"/>
      <c r="T146" s="241"/>
      <c r="U146" s="242"/>
      <c r="V146" s="242"/>
      <c r="W146" s="241"/>
      <c r="X146" s="242"/>
      <c r="Y146" s="242"/>
      <c r="Z146" s="241"/>
      <c r="AA146" s="241"/>
      <c r="AB146" s="242"/>
      <c r="AC146" s="242"/>
      <c r="AD146" s="241"/>
      <c r="AE146" s="242"/>
      <c r="AF146" s="242"/>
      <c r="AG146" s="243"/>
      <c r="AH146" s="243"/>
    </row>
    <row r="147" spans="1:34" ht="15">
      <c r="A147" s="394"/>
      <c r="B147" s="245" t="s">
        <v>52</v>
      </c>
      <c r="C147" s="246">
        <v>2.1</v>
      </c>
      <c r="D147" s="246">
        <v>2.1</v>
      </c>
      <c r="E147" s="248"/>
      <c r="F147" s="248"/>
      <c r="G147" s="246">
        <v>2.0129999999999999</v>
      </c>
      <c r="H147" s="246">
        <v>2.0394999999999999</v>
      </c>
      <c r="I147" s="247">
        <v>2.1166999999999998</v>
      </c>
      <c r="J147" s="249"/>
      <c r="K147" s="246">
        <v>2.1404000000000001</v>
      </c>
      <c r="L147" s="247">
        <v>2.1918000000000002</v>
      </c>
      <c r="M147" s="248"/>
      <c r="N147" s="246">
        <v>2.1053000000000002</v>
      </c>
      <c r="O147" s="249"/>
      <c r="P147" s="248"/>
      <c r="Q147" s="249"/>
      <c r="R147" s="249"/>
      <c r="S147" s="248"/>
      <c r="T147" s="248"/>
      <c r="U147" s="249"/>
      <c r="V147" s="249"/>
      <c r="W147" s="248"/>
      <c r="X147" s="249"/>
      <c r="Y147" s="249"/>
      <c r="Z147" s="248"/>
      <c r="AA147" s="248"/>
      <c r="AB147" s="249"/>
      <c r="AC147" s="249"/>
      <c r="AD147" s="248"/>
      <c r="AE147" s="249"/>
      <c r="AF147" s="249"/>
      <c r="AG147" s="250"/>
      <c r="AH147" s="250"/>
    </row>
    <row r="148" spans="1:34" ht="15">
      <c r="A148" s="392" t="s">
        <v>196</v>
      </c>
      <c r="B148" s="229" t="s">
        <v>45</v>
      </c>
      <c r="C148" s="230">
        <v>7680</v>
      </c>
      <c r="D148" s="230">
        <v>1280</v>
      </c>
      <c r="E148" s="233"/>
      <c r="F148" s="233"/>
      <c r="G148" s="232">
        <v>1280</v>
      </c>
      <c r="H148" s="232">
        <v>1280</v>
      </c>
      <c r="I148" s="231">
        <v>1280</v>
      </c>
      <c r="J148" s="234"/>
      <c r="K148" s="232">
        <v>1280</v>
      </c>
      <c r="L148" s="231">
        <v>1280</v>
      </c>
      <c r="M148" s="233"/>
      <c r="N148" s="232">
        <v>1280</v>
      </c>
      <c r="O148" s="234"/>
      <c r="P148" s="233"/>
      <c r="Q148" s="234"/>
      <c r="R148" s="234"/>
      <c r="S148" s="233"/>
      <c r="T148" s="233"/>
      <c r="U148" s="234"/>
      <c r="V148" s="234"/>
      <c r="W148" s="233"/>
      <c r="X148" s="234"/>
      <c r="Y148" s="234"/>
      <c r="Z148" s="233"/>
      <c r="AA148" s="233"/>
      <c r="AB148" s="234"/>
      <c r="AC148" s="234"/>
      <c r="AD148" s="233"/>
      <c r="AE148" s="234"/>
      <c r="AF148" s="234"/>
      <c r="AG148" s="235"/>
      <c r="AH148" s="235"/>
    </row>
    <row r="149" spans="1:34" ht="15">
      <c r="A149" s="393"/>
      <c r="B149" s="229" t="s">
        <v>46</v>
      </c>
      <c r="C149" s="230">
        <v>7200</v>
      </c>
      <c r="D149" s="230">
        <v>1200</v>
      </c>
      <c r="E149" s="233"/>
      <c r="F149" s="233"/>
      <c r="G149" s="232">
        <v>1200</v>
      </c>
      <c r="H149" s="232">
        <v>1200</v>
      </c>
      <c r="I149" s="231">
        <v>1200</v>
      </c>
      <c r="J149" s="234"/>
      <c r="K149" s="232">
        <v>1200</v>
      </c>
      <c r="L149" s="231">
        <v>1200</v>
      </c>
      <c r="M149" s="233"/>
      <c r="N149" s="232">
        <v>1200</v>
      </c>
      <c r="O149" s="232">
        <v>1200</v>
      </c>
      <c r="P149" s="231">
        <v>1200</v>
      </c>
      <c r="Q149" s="232">
        <v>1200</v>
      </c>
      <c r="R149" s="232">
        <v>1200</v>
      </c>
      <c r="S149" s="231">
        <v>1200</v>
      </c>
      <c r="T149" s="233"/>
      <c r="U149" s="232">
        <v>1200</v>
      </c>
      <c r="V149" s="232">
        <v>1200</v>
      </c>
      <c r="W149" s="231">
        <v>1200</v>
      </c>
      <c r="X149" s="232">
        <v>1200</v>
      </c>
      <c r="Y149" s="232">
        <v>1200</v>
      </c>
      <c r="Z149" s="233"/>
      <c r="AA149" s="233"/>
      <c r="AB149" s="232">
        <v>1200</v>
      </c>
      <c r="AC149" s="232">
        <v>1200</v>
      </c>
      <c r="AD149" s="231">
        <v>1200</v>
      </c>
      <c r="AE149" s="232">
        <v>1200</v>
      </c>
      <c r="AF149" s="232">
        <v>1200</v>
      </c>
      <c r="AG149" s="235"/>
      <c r="AH149" s="235"/>
    </row>
    <row r="150" spans="1:34" ht="15">
      <c r="A150" s="393"/>
      <c r="B150" s="237" t="s">
        <v>47</v>
      </c>
      <c r="C150" s="238">
        <v>7680</v>
      </c>
      <c r="D150" s="238">
        <v>1280</v>
      </c>
      <c r="E150" s="241"/>
      <c r="F150" s="241"/>
      <c r="G150" s="240">
        <v>1280</v>
      </c>
      <c r="H150" s="240">
        <v>1280</v>
      </c>
      <c r="I150" s="239">
        <v>1280</v>
      </c>
      <c r="J150" s="242"/>
      <c r="K150" s="240">
        <v>1280</v>
      </c>
      <c r="L150" s="239">
        <v>1280</v>
      </c>
      <c r="M150" s="241"/>
      <c r="N150" s="240">
        <v>1280</v>
      </c>
      <c r="O150" s="242"/>
      <c r="P150" s="241"/>
      <c r="Q150" s="242"/>
      <c r="R150" s="242"/>
      <c r="S150" s="241"/>
      <c r="T150" s="241"/>
      <c r="U150" s="242"/>
      <c r="V150" s="242"/>
      <c r="W150" s="241"/>
      <c r="X150" s="242"/>
      <c r="Y150" s="242"/>
      <c r="Z150" s="241"/>
      <c r="AA150" s="241"/>
      <c r="AB150" s="242"/>
      <c r="AC150" s="242"/>
      <c r="AD150" s="241"/>
      <c r="AE150" s="242"/>
      <c r="AF150" s="242"/>
      <c r="AG150" s="243"/>
      <c r="AH150" s="243"/>
    </row>
    <row r="151" spans="1:34" ht="15">
      <c r="A151" s="393"/>
      <c r="B151" s="237" t="s">
        <v>48</v>
      </c>
      <c r="C151" s="238">
        <v>480</v>
      </c>
      <c r="D151" s="238">
        <v>80</v>
      </c>
      <c r="E151" s="241"/>
      <c r="F151" s="241"/>
      <c r="G151" s="240">
        <v>80</v>
      </c>
      <c r="H151" s="240">
        <v>80</v>
      </c>
      <c r="I151" s="239">
        <v>80</v>
      </c>
      <c r="J151" s="242"/>
      <c r="K151" s="240">
        <v>80</v>
      </c>
      <c r="L151" s="239">
        <v>80</v>
      </c>
      <c r="M151" s="241"/>
      <c r="N151" s="240">
        <v>80</v>
      </c>
      <c r="O151" s="242"/>
      <c r="P151" s="241"/>
      <c r="Q151" s="242"/>
      <c r="R151" s="242"/>
      <c r="S151" s="241"/>
      <c r="T151" s="241"/>
      <c r="U151" s="242"/>
      <c r="V151" s="242"/>
      <c r="W151" s="241"/>
      <c r="X151" s="242"/>
      <c r="Y151" s="242"/>
      <c r="Z151" s="241"/>
      <c r="AA151" s="241"/>
      <c r="AB151" s="242"/>
      <c r="AC151" s="242"/>
      <c r="AD151" s="241"/>
      <c r="AE151" s="242"/>
      <c r="AF151" s="242"/>
      <c r="AG151" s="243"/>
      <c r="AH151" s="243"/>
    </row>
    <row r="152" spans="1:34" ht="15">
      <c r="A152" s="393"/>
      <c r="B152" s="237" t="s">
        <v>49</v>
      </c>
      <c r="C152" s="238">
        <v>48</v>
      </c>
      <c r="D152" s="238">
        <v>8</v>
      </c>
      <c r="E152" s="241"/>
      <c r="F152" s="241"/>
      <c r="G152" s="240">
        <v>8</v>
      </c>
      <c r="H152" s="240">
        <v>8</v>
      </c>
      <c r="I152" s="239">
        <v>8</v>
      </c>
      <c r="J152" s="242"/>
      <c r="K152" s="240">
        <v>8</v>
      </c>
      <c r="L152" s="239">
        <v>8</v>
      </c>
      <c r="M152" s="241"/>
      <c r="N152" s="240">
        <v>8</v>
      </c>
      <c r="O152" s="242"/>
      <c r="P152" s="241"/>
      <c r="Q152" s="242"/>
      <c r="R152" s="242"/>
      <c r="S152" s="241"/>
      <c r="T152" s="241"/>
      <c r="U152" s="242"/>
      <c r="V152" s="242"/>
      <c r="W152" s="241"/>
      <c r="X152" s="242"/>
      <c r="Y152" s="242"/>
      <c r="Z152" s="241"/>
      <c r="AA152" s="241"/>
      <c r="AB152" s="242"/>
      <c r="AC152" s="242"/>
      <c r="AD152" s="241"/>
      <c r="AE152" s="242"/>
      <c r="AF152" s="242"/>
      <c r="AG152" s="243"/>
      <c r="AH152" s="243"/>
    </row>
    <row r="153" spans="1:34" ht="15">
      <c r="A153" s="393"/>
      <c r="B153" s="237" t="s">
        <v>50</v>
      </c>
      <c r="C153" s="238">
        <v>74</v>
      </c>
      <c r="D153" s="238">
        <v>74</v>
      </c>
      <c r="E153" s="241"/>
      <c r="F153" s="241"/>
      <c r="G153" s="240">
        <v>77</v>
      </c>
      <c r="H153" s="240">
        <v>74</v>
      </c>
      <c r="I153" s="239">
        <v>73</v>
      </c>
      <c r="J153" s="242"/>
      <c r="K153" s="240">
        <v>73</v>
      </c>
      <c r="L153" s="239">
        <v>73</v>
      </c>
      <c r="M153" s="241"/>
      <c r="N153" s="240">
        <v>75</v>
      </c>
      <c r="O153" s="242"/>
      <c r="P153" s="241"/>
      <c r="Q153" s="242"/>
      <c r="R153" s="242"/>
      <c r="S153" s="241"/>
      <c r="T153" s="241"/>
      <c r="U153" s="242"/>
      <c r="V153" s="242"/>
      <c r="W153" s="241"/>
      <c r="X153" s="242"/>
      <c r="Y153" s="242"/>
      <c r="Z153" s="241"/>
      <c r="AA153" s="241"/>
      <c r="AB153" s="242"/>
      <c r="AC153" s="242"/>
      <c r="AD153" s="241"/>
      <c r="AE153" s="242"/>
      <c r="AF153" s="242"/>
      <c r="AG153" s="243"/>
      <c r="AH153" s="243"/>
    </row>
    <row r="154" spans="1:34" ht="15">
      <c r="A154" s="393"/>
      <c r="B154" s="237" t="s">
        <v>51</v>
      </c>
      <c r="C154" s="238">
        <v>160</v>
      </c>
      <c r="D154" s="238">
        <v>160</v>
      </c>
      <c r="E154" s="241"/>
      <c r="F154" s="241"/>
      <c r="G154" s="240">
        <v>160</v>
      </c>
      <c r="H154" s="240">
        <v>160</v>
      </c>
      <c r="I154" s="239">
        <v>160</v>
      </c>
      <c r="J154" s="242"/>
      <c r="K154" s="240">
        <v>160</v>
      </c>
      <c r="L154" s="239">
        <v>160</v>
      </c>
      <c r="M154" s="241"/>
      <c r="N154" s="240">
        <v>160</v>
      </c>
      <c r="O154" s="242"/>
      <c r="P154" s="241"/>
      <c r="Q154" s="242"/>
      <c r="R154" s="242"/>
      <c r="S154" s="241"/>
      <c r="T154" s="241"/>
      <c r="U154" s="242"/>
      <c r="V154" s="242"/>
      <c r="W154" s="241"/>
      <c r="X154" s="242"/>
      <c r="Y154" s="242"/>
      <c r="Z154" s="241"/>
      <c r="AA154" s="241"/>
      <c r="AB154" s="242"/>
      <c r="AC154" s="242"/>
      <c r="AD154" s="241"/>
      <c r="AE154" s="242"/>
      <c r="AF154" s="242"/>
      <c r="AG154" s="243"/>
      <c r="AH154" s="243"/>
    </row>
    <row r="155" spans="1:34" ht="15">
      <c r="A155" s="394"/>
      <c r="B155" s="245" t="s">
        <v>52</v>
      </c>
      <c r="C155" s="246">
        <v>2.1621999999999999</v>
      </c>
      <c r="D155" s="246">
        <v>2.1621999999999999</v>
      </c>
      <c r="E155" s="248"/>
      <c r="F155" s="248"/>
      <c r="G155" s="246">
        <v>2.0779000000000001</v>
      </c>
      <c r="H155" s="246">
        <v>2.1621999999999999</v>
      </c>
      <c r="I155" s="247">
        <v>2.1918000000000002</v>
      </c>
      <c r="J155" s="249"/>
      <c r="K155" s="246">
        <v>2.1918000000000002</v>
      </c>
      <c r="L155" s="247">
        <v>2.1918000000000002</v>
      </c>
      <c r="M155" s="248"/>
      <c r="N155" s="246">
        <v>2.1333000000000002</v>
      </c>
      <c r="O155" s="249"/>
      <c r="P155" s="248"/>
      <c r="Q155" s="249"/>
      <c r="R155" s="249"/>
      <c r="S155" s="248"/>
      <c r="T155" s="248"/>
      <c r="U155" s="249"/>
      <c r="V155" s="249"/>
      <c r="W155" s="248"/>
      <c r="X155" s="249"/>
      <c r="Y155" s="249"/>
      <c r="Z155" s="248"/>
      <c r="AA155" s="248"/>
      <c r="AB155" s="249"/>
      <c r="AC155" s="249"/>
      <c r="AD155" s="248"/>
      <c r="AE155" s="249"/>
      <c r="AF155" s="249"/>
      <c r="AG155" s="250"/>
      <c r="AH155" s="250"/>
    </row>
    <row r="156" spans="1:34" ht="15">
      <c r="A156" s="392" t="s">
        <v>197</v>
      </c>
      <c r="B156" s="229" t="s">
        <v>45</v>
      </c>
      <c r="C156" s="230">
        <v>7680</v>
      </c>
      <c r="D156" s="230">
        <v>1280</v>
      </c>
      <c r="E156" s="233"/>
      <c r="F156" s="233"/>
      <c r="G156" s="232">
        <v>1280</v>
      </c>
      <c r="H156" s="232">
        <v>1280</v>
      </c>
      <c r="I156" s="231">
        <v>1280</v>
      </c>
      <c r="J156" s="234"/>
      <c r="K156" s="232">
        <v>1280</v>
      </c>
      <c r="L156" s="231">
        <v>1280</v>
      </c>
      <c r="M156" s="233"/>
      <c r="N156" s="232">
        <v>1280</v>
      </c>
      <c r="O156" s="234"/>
      <c r="P156" s="233"/>
      <c r="Q156" s="234"/>
      <c r="R156" s="234"/>
      <c r="S156" s="233"/>
      <c r="T156" s="233"/>
      <c r="U156" s="234"/>
      <c r="V156" s="234"/>
      <c r="W156" s="233"/>
      <c r="X156" s="234"/>
      <c r="Y156" s="234"/>
      <c r="Z156" s="233"/>
      <c r="AA156" s="233"/>
      <c r="AB156" s="234"/>
      <c r="AC156" s="234"/>
      <c r="AD156" s="233"/>
      <c r="AE156" s="234"/>
      <c r="AF156" s="234"/>
      <c r="AG156" s="235"/>
      <c r="AH156" s="235"/>
    </row>
    <row r="157" spans="1:34" ht="15">
      <c r="A157" s="393"/>
      <c r="B157" s="229" t="s">
        <v>46</v>
      </c>
      <c r="C157" s="230">
        <v>7200</v>
      </c>
      <c r="D157" s="230">
        <v>1200</v>
      </c>
      <c r="E157" s="233"/>
      <c r="F157" s="233"/>
      <c r="G157" s="232">
        <v>1200</v>
      </c>
      <c r="H157" s="232">
        <v>1200</v>
      </c>
      <c r="I157" s="231">
        <v>1200</v>
      </c>
      <c r="J157" s="234"/>
      <c r="K157" s="232">
        <v>1200</v>
      </c>
      <c r="L157" s="231">
        <v>1200</v>
      </c>
      <c r="M157" s="233"/>
      <c r="N157" s="232">
        <v>1200</v>
      </c>
      <c r="O157" s="232">
        <v>1200</v>
      </c>
      <c r="P157" s="231">
        <v>1200</v>
      </c>
      <c r="Q157" s="232">
        <v>1200</v>
      </c>
      <c r="R157" s="232">
        <v>1200</v>
      </c>
      <c r="S157" s="231">
        <v>1200</v>
      </c>
      <c r="T157" s="233"/>
      <c r="U157" s="232">
        <v>1200</v>
      </c>
      <c r="V157" s="232">
        <v>1200</v>
      </c>
      <c r="W157" s="231">
        <v>1200</v>
      </c>
      <c r="X157" s="232">
        <v>1200</v>
      </c>
      <c r="Y157" s="232">
        <v>1200</v>
      </c>
      <c r="Z157" s="233"/>
      <c r="AA157" s="233"/>
      <c r="AB157" s="232">
        <v>1200</v>
      </c>
      <c r="AC157" s="232">
        <v>1200</v>
      </c>
      <c r="AD157" s="231">
        <v>1200</v>
      </c>
      <c r="AE157" s="232">
        <v>1200</v>
      </c>
      <c r="AF157" s="232">
        <v>1200</v>
      </c>
      <c r="AG157" s="235"/>
      <c r="AH157" s="235"/>
    </row>
    <row r="158" spans="1:34" ht="15">
      <c r="A158" s="393"/>
      <c r="B158" s="237" t="s">
        <v>47</v>
      </c>
      <c r="C158" s="238">
        <v>7180</v>
      </c>
      <c r="D158" s="238">
        <v>1196.6666666666667</v>
      </c>
      <c r="E158" s="241"/>
      <c r="F158" s="241"/>
      <c r="G158" s="240">
        <v>990</v>
      </c>
      <c r="H158" s="240">
        <v>1230</v>
      </c>
      <c r="I158" s="239">
        <v>1240</v>
      </c>
      <c r="J158" s="242"/>
      <c r="K158" s="240">
        <v>1240</v>
      </c>
      <c r="L158" s="239">
        <v>1280</v>
      </c>
      <c r="M158" s="241"/>
      <c r="N158" s="240">
        <v>1200</v>
      </c>
      <c r="O158" s="242"/>
      <c r="P158" s="241"/>
      <c r="Q158" s="242"/>
      <c r="R158" s="242"/>
      <c r="S158" s="241"/>
      <c r="T158" s="241"/>
      <c r="U158" s="242"/>
      <c r="V158" s="242"/>
      <c r="W158" s="241"/>
      <c r="X158" s="242"/>
      <c r="Y158" s="242"/>
      <c r="Z158" s="241"/>
      <c r="AA158" s="241"/>
      <c r="AB158" s="242"/>
      <c r="AC158" s="242"/>
      <c r="AD158" s="241"/>
      <c r="AE158" s="242"/>
      <c r="AF158" s="242"/>
      <c r="AG158" s="243"/>
      <c r="AH158" s="243"/>
    </row>
    <row r="159" spans="1:34" ht="15">
      <c r="A159" s="393"/>
      <c r="B159" s="237" t="s">
        <v>48</v>
      </c>
      <c r="C159" s="244">
        <v>-20</v>
      </c>
      <c r="D159" s="244">
        <v>-3.3333333333333335</v>
      </c>
      <c r="E159" s="241"/>
      <c r="F159" s="241"/>
      <c r="G159" s="242">
        <v>-210</v>
      </c>
      <c r="H159" s="240">
        <v>30</v>
      </c>
      <c r="I159" s="239">
        <v>40</v>
      </c>
      <c r="J159" s="242"/>
      <c r="K159" s="240">
        <v>40</v>
      </c>
      <c r="L159" s="239">
        <v>80</v>
      </c>
      <c r="M159" s="241"/>
      <c r="N159" s="240">
        <v>0</v>
      </c>
      <c r="O159" s="242"/>
      <c r="P159" s="241"/>
      <c r="Q159" s="242"/>
      <c r="R159" s="242"/>
      <c r="S159" s="241"/>
      <c r="T159" s="241"/>
      <c r="U159" s="242"/>
      <c r="V159" s="242"/>
      <c r="W159" s="241"/>
      <c r="X159" s="242"/>
      <c r="Y159" s="242"/>
      <c r="Z159" s="241"/>
      <c r="AA159" s="241"/>
      <c r="AB159" s="242"/>
      <c r="AC159" s="242"/>
      <c r="AD159" s="241"/>
      <c r="AE159" s="242"/>
      <c r="AF159" s="242"/>
      <c r="AG159" s="243"/>
      <c r="AH159" s="243"/>
    </row>
    <row r="160" spans="1:34" ht="15">
      <c r="A160" s="393"/>
      <c r="B160" s="237" t="s">
        <v>49</v>
      </c>
      <c r="C160" s="238">
        <v>48</v>
      </c>
      <c r="D160" s="238">
        <v>8</v>
      </c>
      <c r="E160" s="241"/>
      <c r="F160" s="241"/>
      <c r="G160" s="240">
        <v>8</v>
      </c>
      <c r="H160" s="240">
        <v>8</v>
      </c>
      <c r="I160" s="239">
        <v>8</v>
      </c>
      <c r="J160" s="242"/>
      <c r="K160" s="240">
        <v>8</v>
      </c>
      <c r="L160" s="239">
        <v>8</v>
      </c>
      <c r="M160" s="241"/>
      <c r="N160" s="240">
        <v>8</v>
      </c>
      <c r="O160" s="242"/>
      <c r="P160" s="241"/>
      <c r="Q160" s="242"/>
      <c r="R160" s="242"/>
      <c r="S160" s="241"/>
      <c r="T160" s="241"/>
      <c r="U160" s="242"/>
      <c r="V160" s="242"/>
      <c r="W160" s="241"/>
      <c r="X160" s="242"/>
      <c r="Y160" s="242"/>
      <c r="Z160" s="241"/>
      <c r="AA160" s="241"/>
      <c r="AB160" s="242"/>
      <c r="AC160" s="242"/>
      <c r="AD160" s="241"/>
      <c r="AE160" s="242"/>
      <c r="AF160" s="242"/>
      <c r="AG160" s="243"/>
      <c r="AH160" s="243"/>
    </row>
    <row r="161" spans="1:34" ht="15">
      <c r="A161" s="393"/>
      <c r="B161" s="237" t="s">
        <v>50</v>
      </c>
      <c r="C161" s="238">
        <v>67</v>
      </c>
      <c r="D161" s="238">
        <v>67</v>
      </c>
      <c r="E161" s="241"/>
      <c r="F161" s="241"/>
      <c r="G161" s="240">
        <v>68</v>
      </c>
      <c r="H161" s="240">
        <v>69</v>
      </c>
      <c r="I161" s="239">
        <v>67</v>
      </c>
      <c r="J161" s="242"/>
      <c r="K161" s="240">
        <v>68</v>
      </c>
      <c r="L161" s="239">
        <v>68</v>
      </c>
      <c r="M161" s="241"/>
      <c r="N161" s="240">
        <v>66</v>
      </c>
      <c r="O161" s="242"/>
      <c r="P161" s="241"/>
      <c r="Q161" s="242"/>
      <c r="R161" s="242"/>
      <c r="S161" s="241"/>
      <c r="T161" s="241"/>
      <c r="U161" s="242"/>
      <c r="V161" s="242"/>
      <c r="W161" s="241"/>
      <c r="X161" s="242"/>
      <c r="Y161" s="242"/>
      <c r="Z161" s="241"/>
      <c r="AA161" s="241"/>
      <c r="AB161" s="242"/>
      <c r="AC161" s="242"/>
      <c r="AD161" s="241"/>
      <c r="AE161" s="242"/>
      <c r="AF161" s="242"/>
      <c r="AG161" s="243"/>
      <c r="AH161" s="243"/>
    </row>
    <row r="162" spans="1:34" ht="15">
      <c r="A162" s="393"/>
      <c r="B162" s="237" t="s">
        <v>51</v>
      </c>
      <c r="C162" s="238">
        <v>149.58333333333334</v>
      </c>
      <c r="D162" s="238">
        <v>149.58333333333334</v>
      </c>
      <c r="E162" s="241"/>
      <c r="F162" s="241"/>
      <c r="G162" s="240">
        <v>123.75</v>
      </c>
      <c r="H162" s="240">
        <v>153.75</v>
      </c>
      <c r="I162" s="239">
        <v>155</v>
      </c>
      <c r="J162" s="242"/>
      <c r="K162" s="240">
        <v>155</v>
      </c>
      <c r="L162" s="239">
        <v>160</v>
      </c>
      <c r="M162" s="241"/>
      <c r="N162" s="240">
        <v>150</v>
      </c>
      <c r="O162" s="242"/>
      <c r="P162" s="241"/>
      <c r="Q162" s="242"/>
      <c r="R162" s="242"/>
      <c r="S162" s="241"/>
      <c r="T162" s="241"/>
      <c r="U162" s="242"/>
      <c r="V162" s="242"/>
      <c r="W162" s="241"/>
      <c r="X162" s="242"/>
      <c r="Y162" s="242"/>
      <c r="Z162" s="241"/>
      <c r="AA162" s="241"/>
      <c r="AB162" s="242"/>
      <c r="AC162" s="242"/>
      <c r="AD162" s="241"/>
      <c r="AE162" s="242"/>
      <c r="AF162" s="242"/>
      <c r="AG162" s="243"/>
      <c r="AH162" s="243"/>
    </row>
    <row r="163" spans="1:34" ht="15">
      <c r="A163" s="394"/>
      <c r="B163" s="245" t="s">
        <v>52</v>
      </c>
      <c r="C163" s="246">
        <v>2.2326000000000001</v>
      </c>
      <c r="D163" s="246">
        <v>2.2326000000000001</v>
      </c>
      <c r="E163" s="248"/>
      <c r="F163" s="248"/>
      <c r="G163" s="246">
        <v>1.8199000000000001</v>
      </c>
      <c r="H163" s="246">
        <v>2.2282999999999999</v>
      </c>
      <c r="I163" s="247">
        <v>2.3134000000000001</v>
      </c>
      <c r="J163" s="249"/>
      <c r="K163" s="246">
        <v>2.2793999999999999</v>
      </c>
      <c r="L163" s="247">
        <v>2.3529</v>
      </c>
      <c r="M163" s="248"/>
      <c r="N163" s="246">
        <v>2.2726999999999999</v>
      </c>
      <c r="O163" s="249"/>
      <c r="P163" s="248"/>
      <c r="Q163" s="249"/>
      <c r="R163" s="249"/>
      <c r="S163" s="248"/>
      <c r="T163" s="248"/>
      <c r="U163" s="249"/>
      <c r="V163" s="249"/>
      <c r="W163" s="248"/>
      <c r="X163" s="249"/>
      <c r="Y163" s="249"/>
      <c r="Z163" s="248"/>
      <c r="AA163" s="248"/>
      <c r="AB163" s="249"/>
      <c r="AC163" s="249"/>
      <c r="AD163" s="248"/>
      <c r="AE163" s="249"/>
      <c r="AF163" s="249"/>
      <c r="AG163" s="250"/>
      <c r="AH163" s="250"/>
    </row>
    <row r="164" spans="1:34" ht="15">
      <c r="A164" s="392" t="s">
        <v>198</v>
      </c>
      <c r="B164" s="229" t="s">
        <v>45</v>
      </c>
      <c r="C164" s="230">
        <v>7680</v>
      </c>
      <c r="D164" s="230">
        <v>1280</v>
      </c>
      <c r="E164" s="233"/>
      <c r="F164" s="233"/>
      <c r="G164" s="232">
        <v>1280</v>
      </c>
      <c r="H164" s="232">
        <v>1280</v>
      </c>
      <c r="I164" s="231">
        <v>1280</v>
      </c>
      <c r="J164" s="234"/>
      <c r="K164" s="232">
        <v>1280</v>
      </c>
      <c r="L164" s="231">
        <v>1280</v>
      </c>
      <c r="M164" s="233"/>
      <c r="N164" s="232">
        <v>1280</v>
      </c>
      <c r="O164" s="234"/>
      <c r="P164" s="233"/>
      <c r="Q164" s="234"/>
      <c r="R164" s="234"/>
      <c r="S164" s="233"/>
      <c r="T164" s="233"/>
      <c r="U164" s="234"/>
      <c r="V164" s="234"/>
      <c r="W164" s="233"/>
      <c r="X164" s="234"/>
      <c r="Y164" s="234"/>
      <c r="Z164" s="233"/>
      <c r="AA164" s="233"/>
      <c r="AB164" s="234"/>
      <c r="AC164" s="234"/>
      <c r="AD164" s="233"/>
      <c r="AE164" s="234"/>
      <c r="AF164" s="234"/>
      <c r="AG164" s="235"/>
      <c r="AH164" s="235"/>
    </row>
    <row r="165" spans="1:34" ht="15">
      <c r="A165" s="393"/>
      <c r="B165" s="229" t="s">
        <v>46</v>
      </c>
      <c r="C165" s="230">
        <v>7200</v>
      </c>
      <c r="D165" s="230">
        <v>1200</v>
      </c>
      <c r="E165" s="233"/>
      <c r="F165" s="233"/>
      <c r="G165" s="232">
        <v>1200</v>
      </c>
      <c r="H165" s="232">
        <v>1200</v>
      </c>
      <c r="I165" s="231">
        <v>1200</v>
      </c>
      <c r="J165" s="234"/>
      <c r="K165" s="232">
        <v>1200</v>
      </c>
      <c r="L165" s="231">
        <v>1200</v>
      </c>
      <c r="M165" s="233"/>
      <c r="N165" s="232">
        <v>1200</v>
      </c>
      <c r="O165" s="232">
        <v>1200</v>
      </c>
      <c r="P165" s="231">
        <v>1200</v>
      </c>
      <c r="Q165" s="232">
        <v>1200</v>
      </c>
      <c r="R165" s="232">
        <v>1200</v>
      </c>
      <c r="S165" s="231">
        <v>1200</v>
      </c>
      <c r="T165" s="233"/>
      <c r="U165" s="232">
        <v>1200</v>
      </c>
      <c r="V165" s="232">
        <v>1200</v>
      </c>
      <c r="W165" s="231">
        <v>1200</v>
      </c>
      <c r="X165" s="232">
        <v>1200</v>
      </c>
      <c r="Y165" s="232">
        <v>1200</v>
      </c>
      <c r="Z165" s="233"/>
      <c r="AA165" s="233"/>
      <c r="AB165" s="232">
        <v>1200</v>
      </c>
      <c r="AC165" s="232">
        <v>1200</v>
      </c>
      <c r="AD165" s="231">
        <v>1200</v>
      </c>
      <c r="AE165" s="232">
        <v>1200</v>
      </c>
      <c r="AF165" s="232">
        <v>1200</v>
      </c>
      <c r="AG165" s="235"/>
      <c r="AH165" s="235"/>
    </row>
    <row r="166" spans="1:34" ht="15">
      <c r="A166" s="393"/>
      <c r="B166" s="237" t="s">
        <v>47</v>
      </c>
      <c r="C166" s="238">
        <v>7240</v>
      </c>
      <c r="D166" s="238">
        <v>1206.6666666666667</v>
      </c>
      <c r="E166" s="241"/>
      <c r="F166" s="241"/>
      <c r="G166" s="240">
        <v>1205</v>
      </c>
      <c r="H166" s="240">
        <v>1105</v>
      </c>
      <c r="I166" s="239">
        <v>1200</v>
      </c>
      <c r="J166" s="242"/>
      <c r="K166" s="240">
        <v>1240</v>
      </c>
      <c r="L166" s="239">
        <v>1280</v>
      </c>
      <c r="M166" s="241"/>
      <c r="N166" s="240">
        <v>1210</v>
      </c>
      <c r="O166" s="242"/>
      <c r="P166" s="241"/>
      <c r="Q166" s="242"/>
      <c r="R166" s="242"/>
      <c r="S166" s="241"/>
      <c r="T166" s="241"/>
      <c r="U166" s="242"/>
      <c r="V166" s="242"/>
      <c r="W166" s="241"/>
      <c r="X166" s="242"/>
      <c r="Y166" s="242"/>
      <c r="Z166" s="241"/>
      <c r="AA166" s="241"/>
      <c r="AB166" s="242"/>
      <c r="AC166" s="242"/>
      <c r="AD166" s="241"/>
      <c r="AE166" s="242"/>
      <c r="AF166" s="242"/>
      <c r="AG166" s="243"/>
      <c r="AH166" s="243"/>
    </row>
    <row r="167" spans="1:34" ht="15">
      <c r="A167" s="393"/>
      <c r="B167" s="237" t="s">
        <v>48</v>
      </c>
      <c r="C167" s="238">
        <v>40</v>
      </c>
      <c r="D167" s="238">
        <v>6.666666666666667</v>
      </c>
      <c r="E167" s="241"/>
      <c r="F167" s="241"/>
      <c r="G167" s="240">
        <v>5</v>
      </c>
      <c r="H167" s="242">
        <v>-95</v>
      </c>
      <c r="I167" s="239">
        <v>0</v>
      </c>
      <c r="J167" s="242"/>
      <c r="K167" s="240">
        <v>40</v>
      </c>
      <c r="L167" s="239">
        <v>80</v>
      </c>
      <c r="M167" s="241"/>
      <c r="N167" s="240">
        <v>10</v>
      </c>
      <c r="O167" s="242"/>
      <c r="P167" s="241"/>
      <c r="Q167" s="242"/>
      <c r="R167" s="242"/>
      <c r="S167" s="241"/>
      <c r="T167" s="241"/>
      <c r="U167" s="242"/>
      <c r="V167" s="242"/>
      <c r="W167" s="241"/>
      <c r="X167" s="242"/>
      <c r="Y167" s="242"/>
      <c r="Z167" s="241"/>
      <c r="AA167" s="241"/>
      <c r="AB167" s="242"/>
      <c r="AC167" s="242"/>
      <c r="AD167" s="241"/>
      <c r="AE167" s="242"/>
      <c r="AF167" s="242"/>
      <c r="AG167" s="243"/>
      <c r="AH167" s="243"/>
    </row>
    <row r="168" spans="1:34" ht="15">
      <c r="A168" s="393"/>
      <c r="B168" s="237" t="s">
        <v>49</v>
      </c>
      <c r="C168" s="238">
        <v>48</v>
      </c>
      <c r="D168" s="238">
        <v>8</v>
      </c>
      <c r="E168" s="241"/>
      <c r="F168" s="241"/>
      <c r="G168" s="240">
        <v>8</v>
      </c>
      <c r="H168" s="240">
        <v>8</v>
      </c>
      <c r="I168" s="239">
        <v>8</v>
      </c>
      <c r="J168" s="242"/>
      <c r="K168" s="240">
        <v>8</v>
      </c>
      <c r="L168" s="239">
        <v>8</v>
      </c>
      <c r="M168" s="241"/>
      <c r="N168" s="240">
        <v>8</v>
      </c>
      <c r="O168" s="242"/>
      <c r="P168" s="241"/>
      <c r="Q168" s="242"/>
      <c r="R168" s="242"/>
      <c r="S168" s="241"/>
      <c r="T168" s="241"/>
      <c r="U168" s="242"/>
      <c r="V168" s="242"/>
      <c r="W168" s="241"/>
      <c r="X168" s="242"/>
      <c r="Y168" s="242"/>
      <c r="Z168" s="241"/>
      <c r="AA168" s="241"/>
      <c r="AB168" s="242"/>
      <c r="AC168" s="242"/>
      <c r="AD168" s="241"/>
      <c r="AE168" s="242"/>
      <c r="AF168" s="242"/>
      <c r="AG168" s="243"/>
      <c r="AH168" s="243"/>
    </row>
    <row r="169" spans="1:34" ht="15">
      <c r="A169" s="393"/>
      <c r="B169" s="237" t="s">
        <v>50</v>
      </c>
      <c r="C169" s="238">
        <v>66</v>
      </c>
      <c r="D169" s="238">
        <v>66</v>
      </c>
      <c r="E169" s="241"/>
      <c r="F169" s="241"/>
      <c r="G169" s="240">
        <v>65</v>
      </c>
      <c r="H169" s="240">
        <v>67</v>
      </c>
      <c r="I169" s="239">
        <v>67</v>
      </c>
      <c r="J169" s="242"/>
      <c r="K169" s="240">
        <v>67</v>
      </c>
      <c r="L169" s="239">
        <v>66</v>
      </c>
      <c r="M169" s="241"/>
      <c r="N169" s="240">
        <v>64</v>
      </c>
      <c r="O169" s="242"/>
      <c r="P169" s="241"/>
      <c r="Q169" s="242"/>
      <c r="R169" s="242"/>
      <c r="S169" s="241"/>
      <c r="T169" s="241"/>
      <c r="U169" s="242"/>
      <c r="V169" s="242"/>
      <c r="W169" s="241"/>
      <c r="X169" s="242"/>
      <c r="Y169" s="242"/>
      <c r="Z169" s="241"/>
      <c r="AA169" s="241"/>
      <c r="AB169" s="242"/>
      <c r="AC169" s="242"/>
      <c r="AD169" s="241"/>
      <c r="AE169" s="242"/>
      <c r="AF169" s="242"/>
      <c r="AG169" s="243"/>
      <c r="AH169" s="243"/>
    </row>
    <row r="170" spans="1:34" ht="15">
      <c r="A170" s="393"/>
      <c r="B170" s="237" t="s">
        <v>51</v>
      </c>
      <c r="C170" s="238">
        <v>150.83333333333334</v>
      </c>
      <c r="D170" s="238">
        <v>150.83333333333334</v>
      </c>
      <c r="E170" s="241"/>
      <c r="F170" s="241"/>
      <c r="G170" s="240">
        <v>150.625</v>
      </c>
      <c r="H170" s="240">
        <v>138.125</v>
      </c>
      <c r="I170" s="239">
        <v>150</v>
      </c>
      <c r="J170" s="242"/>
      <c r="K170" s="240">
        <v>155</v>
      </c>
      <c r="L170" s="239">
        <v>160</v>
      </c>
      <c r="M170" s="241"/>
      <c r="N170" s="240">
        <v>151.25</v>
      </c>
      <c r="O170" s="242"/>
      <c r="P170" s="241"/>
      <c r="Q170" s="242"/>
      <c r="R170" s="242"/>
      <c r="S170" s="241"/>
      <c r="T170" s="241"/>
      <c r="U170" s="242"/>
      <c r="V170" s="242"/>
      <c r="W170" s="241"/>
      <c r="X170" s="242"/>
      <c r="Y170" s="242"/>
      <c r="Z170" s="241"/>
      <c r="AA170" s="241"/>
      <c r="AB170" s="242"/>
      <c r="AC170" s="242"/>
      <c r="AD170" s="241"/>
      <c r="AE170" s="242"/>
      <c r="AF170" s="242"/>
      <c r="AG170" s="243"/>
      <c r="AH170" s="243"/>
    </row>
    <row r="171" spans="1:34" ht="15">
      <c r="A171" s="394"/>
      <c r="B171" s="245" t="s">
        <v>52</v>
      </c>
      <c r="C171" s="246">
        <v>2.2854000000000001</v>
      </c>
      <c r="D171" s="246">
        <v>2.2854000000000001</v>
      </c>
      <c r="E171" s="248"/>
      <c r="F171" s="248"/>
      <c r="G171" s="246">
        <v>2.3172999999999999</v>
      </c>
      <c r="H171" s="246">
        <v>2.0615999999999999</v>
      </c>
      <c r="I171" s="247">
        <v>2.2387999999999999</v>
      </c>
      <c r="J171" s="249"/>
      <c r="K171" s="246">
        <v>2.3134000000000001</v>
      </c>
      <c r="L171" s="247">
        <v>2.4241999999999999</v>
      </c>
      <c r="M171" s="248"/>
      <c r="N171" s="246">
        <v>2.3633000000000002</v>
      </c>
      <c r="O171" s="249"/>
      <c r="P171" s="248"/>
      <c r="Q171" s="249"/>
      <c r="R171" s="249"/>
      <c r="S171" s="248"/>
      <c r="T171" s="248"/>
      <c r="U171" s="249"/>
      <c r="V171" s="249"/>
      <c r="W171" s="248"/>
      <c r="X171" s="249"/>
      <c r="Y171" s="249"/>
      <c r="Z171" s="248"/>
      <c r="AA171" s="248"/>
      <c r="AB171" s="249"/>
      <c r="AC171" s="249"/>
      <c r="AD171" s="248"/>
      <c r="AE171" s="249"/>
      <c r="AF171" s="249"/>
      <c r="AG171" s="250"/>
      <c r="AH171" s="250"/>
    </row>
    <row r="172" spans="1:34" ht="15">
      <c r="A172" s="392" t="s">
        <v>111</v>
      </c>
      <c r="B172" s="229" t="s">
        <v>45</v>
      </c>
      <c r="C172" s="230"/>
      <c r="D172" s="230"/>
      <c r="E172" s="231"/>
      <c r="F172" s="231"/>
      <c r="G172" s="232"/>
      <c r="H172" s="232"/>
      <c r="I172" s="233"/>
      <c r="J172" s="232"/>
      <c r="K172" s="232"/>
      <c r="L172" s="231"/>
      <c r="M172" s="231"/>
      <c r="N172" s="232"/>
      <c r="O172" s="232"/>
      <c r="P172" s="233"/>
      <c r="Q172" s="232"/>
      <c r="R172" s="232"/>
      <c r="S172" s="231"/>
      <c r="T172" s="231"/>
      <c r="U172" s="232"/>
      <c r="V172" s="232"/>
      <c r="W172" s="233"/>
      <c r="X172" s="232"/>
      <c r="Y172" s="232"/>
      <c r="Z172" s="231"/>
      <c r="AA172" s="231"/>
      <c r="AB172" s="232"/>
      <c r="AC172" s="232"/>
      <c r="AD172" s="233"/>
      <c r="AE172" s="234"/>
      <c r="AF172" s="234"/>
      <c r="AG172" s="235"/>
      <c r="AH172" s="235"/>
    </row>
    <row r="173" spans="1:34" ht="15">
      <c r="A173" s="393"/>
      <c r="B173" s="229" t="s">
        <v>46</v>
      </c>
      <c r="C173" s="230"/>
      <c r="D173" s="230"/>
      <c r="E173" s="231"/>
      <c r="F173" s="231"/>
      <c r="G173" s="232"/>
      <c r="H173" s="232"/>
      <c r="I173" s="233"/>
      <c r="J173" s="232"/>
      <c r="K173" s="232"/>
      <c r="L173" s="231"/>
      <c r="M173" s="231"/>
      <c r="N173" s="232"/>
      <c r="O173" s="232"/>
      <c r="P173" s="233"/>
      <c r="Q173" s="232"/>
      <c r="R173" s="232"/>
      <c r="S173" s="231"/>
      <c r="T173" s="231"/>
      <c r="U173" s="232"/>
      <c r="V173" s="232"/>
      <c r="W173" s="233"/>
      <c r="X173" s="232"/>
      <c r="Y173" s="232"/>
      <c r="Z173" s="231"/>
      <c r="AA173" s="231"/>
      <c r="AB173" s="232"/>
      <c r="AC173" s="232"/>
      <c r="AD173" s="233"/>
      <c r="AE173" s="232"/>
      <c r="AF173" s="232"/>
      <c r="AG173" s="236"/>
      <c r="AH173" s="236"/>
    </row>
    <row r="174" spans="1:34" ht="15">
      <c r="A174" s="393"/>
      <c r="B174" s="237" t="s">
        <v>47</v>
      </c>
      <c r="C174" s="238"/>
      <c r="D174" s="238"/>
      <c r="E174" s="239"/>
      <c r="F174" s="239"/>
      <c r="G174" s="240"/>
      <c r="H174" s="240"/>
      <c r="I174" s="241"/>
      <c r="J174" s="240"/>
      <c r="K174" s="240"/>
      <c r="L174" s="239"/>
      <c r="M174" s="239"/>
      <c r="N174" s="240"/>
      <c r="O174" s="240"/>
      <c r="P174" s="241"/>
      <c r="Q174" s="240"/>
      <c r="R174" s="240"/>
      <c r="S174" s="239"/>
      <c r="T174" s="239"/>
      <c r="U174" s="240"/>
      <c r="V174" s="240"/>
      <c r="W174" s="241"/>
      <c r="X174" s="240"/>
      <c r="Y174" s="240"/>
      <c r="Z174" s="239"/>
      <c r="AA174" s="239"/>
      <c r="AB174" s="240"/>
      <c r="AC174" s="240"/>
      <c r="AD174" s="241"/>
      <c r="AE174" s="242"/>
      <c r="AF174" s="242"/>
      <c r="AG174" s="243"/>
      <c r="AH174" s="243"/>
    </row>
    <row r="175" spans="1:34" ht="15">
      <c r="A175" s="393"/>
      <c r="B175" s="237" t="s">
        <v>48</v>
      </c>
      <c r="C175" s="238"/>
      <c r="D175" s="238"/>
      <c r="E175" s="241"/>
      <c r="F175" s="239"/>
      <c r="G175" s="240"/>
      <c r="H175" s="240"/>
      <c r="I175" s="241"/>
      <c r="J175" s="240"/>
      <c r="K175" s="240"/>
      <c r="L175" s="239"/>
      <c r="M175" s="239"/>
      <c r="N175" s="240"/>
      <c r="O175" s="240"/>
      <c r="P175" s="241"/>
      <c r="Q175" s="240"/>
      <c r="R175" s="242"/>
      <c r="S175" s="241"/>
      <c r="T175" s="241"/>
      <c r="U175" s="240"/>
      <c r="V175" s="240"/>
      <c r="W175" s="241"/>
      <c r="X175" s="240"/>
      <c r="Y175" s="240"/>
      <c r="Z175" s="239"/>
      <c r="AA175" s="239"/>
      <c r="AB175" s="240"/>
      <c r="AC175" s="242"/>
      <c r="AD175" s="241"/>
      <c r="AE175" s="242"/>
      <c r="AF175" s="242"/>
      <c r="AG175" s="243"/>
      <c r="AH175" s="243"/>
    </row>
    <row r="176" spans="1:34" ht="15">
      <c r="A176" s="393"/>
      <c r="B176" s="237" t="s">
        <v>49</v>
      </c>
      <c r="C176" s="238"/>
      <c r="D176" s="238"/>
      <c r="E176" s="239"/>
      <c r="F176" s="239"/>
      <c r="G176" s="240"/>
      <c r="H176" s="240"/>
      <c r="I176" s="241"/>
      <c r="J176" s="240"/>
      <c r="K176" s="240"/>
      <c r="L176" s="239"/>
      <c r="M176" s="239"/>
      <c r="N176" s="240"/>
      <c r="O176" s="240"/>
      <c r="P176" s="241"/>
      <c r="Q176" s="240"/>
      <c r="R176" s="240"/>
      <c r="S176" s="239"/>
      <c r="T176" s="239"/>
      <c r="U176" s="240"/>
      <c r="V176" s="240"/>
      <c r="W176" s="241"/>
      <c r="X176" s="240"/>
      <c r="Y176" s="240"/>
      <c r="Z176" s="239"/>
      <c r="AA176" s="239"/>
      <c r="AB176" s="240"/>
      <c r="AC176" s="240"/>
      <c r="AD176" s="241"/>
      <c r="AE176" s="242"/>
      <c r="AF176" s="242"/>
      <c r="AG176" s="243"/>
      <c r="AH176" s="243"/>
    </row>
    <row r="177" spans="1:34" ht="15">
      <c r="A177" s="393"/>
      <c r="B177" s="237" t="s">
        <v>50</v>
      </c>
      <c r="C177" s="238"/>
      <c r="D177" s="238"/>
      <c r="E177" s="239"/>
      <c r="F177" s="239"/>
      <c r="G177" s="240"/>
      <c r="H177" s="240"/>
      <c r="I177" s="241"/>
      <c r="J177" s="240"/>
      <c r="K177" s="240"/>
      <c r="L177" s="239"/>
      <c r="M177" s="239"/>
      <c r="N177" s="240"/>
      <c r="O177" s="240"/>
      <c r="P177" s="241"/>
      <c r="Q177" s="240"/>
      <c r="R177" s="240"/>
      <c r="S177" s="239"/>
      <c r="T177" s="239"/>
      <c r="U177" s="240"/>
      <c r="V177" s="240"/>
      <c r="W177" s="241"/>
      <c r="X177" s="240"/>
      <c r="Y177" s="240"/>
      <c r="Z177" s="239"/>
      <c r="AA177" s="239"/>
      <c r="AB177" s="240"/>
      <c r="AC177" s="240"/>
      <c r="AD177" s="241"/>
      <c r="AE177" s="242"/>
      <c r="AF177" s="242"/>
      <c r="AG177" s="243"/>
      <c r="AH177" s="243"/>
    </row>
    <row r="178" spans="1:34" ht="15">
      <c r="A178" s="393"/>
      <c r="B178" s="237" t="s">
        <v>51</v>
      </c>
      <c r="C178" s="238"/>
      <c r="D178" s="238"/>
      <c r="E178" s="239"/>
      <c r="F178" s="239"/>
      <c r="G178" s="240"/>
      <c r="H178" s="240"/>
      <c r="I178" s="241"/>
      <c r="J178" s="240"/>
      <c r="K178" s="240"/>
      <c r="L178" s="239"/>
      <c r="M178" s="239"/>
      <c r="N178" s="240"/>
      <c r="O178" s="240"/>
      <c r="P178" s="241"/>
      <c r="Q178" s="240"/>
      <c r="R178" s="240"/>
      <c r="S178" s="239"/>
      <c r="T178" s="239"/>
      <c r="U178" s="240"/>
      <c r="V178" s="240"/>
      <c r="W178" s="241"/>
      <c r="X178" s="240"/>
      <c r="Y178" s="240"/>
      <c r="Z178" s="239"/>
      <c r="AA178" s="239"/>
      <c r="AB178" s="240"/>
      <c r="AC178" s="240"/>
      <c r="AD178" s="241"/>
      <c r="AE178" s="242"/>
      <c r="AF178" s="242"/>
      <c r="AG178" s="243"/>
      <c r="AH178" s="243"/>
    </row>
    <row r="179" spans="1:34" ht="15">
      <c r="A179" s="394"/>
      <c r="B179" s="245" t="s">
        <v>52</v>
      </c>
      <c r="C179" s="246"/>
      <c r="D179" s="246"/>
      <c r="E179" s="247"/>
      <c r="F179" s="247"/>
      <c r="G179" s="246"/>
      <c r="H179" s="246"/>
      <c r="I179" s="248"/>
      <c r="J179" s="246"/>
      <c r="K179" s="246"/>
      <c r="L179" s="247"/>
      <c r="M179" s="247"/>
      <c r="N179" s="246"/>
      <c r="O179" s="246"/>
      <c r="P179" s="248"/>
      <c r="Q179" s="246"/>
      <c r="R179" s="246"/>
      <c r="S179" s="247"/>
      <c r="T179" s="247"/>
      <c r="U179" s="246"/>
      <c r="V179" s="246"/>
      <c r="W179" s="248"/>
      <c r="X179" s="246"/>
      <c r="Y179" s="246"/>
      <c r="Z179" s="247"/>
      <c r="AA179" s="247"/>
      <c r="AB179" s="246"/>
      <c r="AC179" s="246"/>
      <c r="AD179" s="248"/>
      <c r="AE179" s="249"/>
      <c r="AF179" s="249"/>
      <c r="AG179" s="250"/>
      <c r="AH179" s="250"/>
    </row>
  </sheetData>
  <mergeCells count="24">
    <mergeCell ref="A172:A179"/>
    <mergeCell ref="A132:A139"/>
    <mergeCell ref="A140:A147"/>
    <mergeCell ref="A148:A155"/>
    <mergeCell ref="A156:A163"/>
    <mergeCell ref="A164:A171"/>
    <mergeCell ref="A92:A99"/>
    <mergeCell ref="A100:A107"/>
    <mergeCell ref="A108:A115"/>
    <mergeCell ref="A116:A123"/>
    <mergeCell ref="A124:A131"/>
    <mergeCell ref="A52:A59"/>
    <mergeCell ref="A60:A67"/>
    <mergeCell ref="A68:A75"/>
    <mergeCell ref="A76:A83"/>
    <mergeCell ref="A84:A91"/>
    <mergeCell ref="A28:A35"/>
    <mergeCell ref="A36:A43"/>
    <mergeCell ref="A44:A51"/>
    <mergeCell ref="A1:B1"/>
    <mergeCell ref="A2:AE2"/>
    <mergeCell ref="A4:A11"/>
    <mergeCell ref="A12:A19"/>
    <mergeCell ref="A20:A27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FF00"/>
  </sheetPr>
  <dimension ref="A1:AH147"/>
  <sheetViews>
    <sheetView workbookViewId="0">
      <selection sqref="A1:B1"/>
    </sheetView>
  </sheetViews>
  <sheetFormatPr defaultRowHeight="15.75"/>
  <cols>
    <col min="1" max="1" width="10.42578125" style="73" customWidth="1"/>
    <col min="4" max="4" width="8.42578125" style="71" customWidth="1"/>
    <col min="5" max="6" width="4.7109375" style="70" customWidth="1"/>
    <col min="7" max="8" width="4.7109375" style="137" customWidth="1"/>
    <col min="9" max="9" width="4.7109375" style="70" customWidth="1"/>
    <col min="10" max="11" width="4.7109375" style="137" customWidth="1"/>
    <col min="12" max="13" width="4.7109375" style="70" customWidth="1"/>
    <col min="14" max="15" width="4.7109375" style="137" customWidth="1"/>
    <col min="16" max="16" width="4.7109375" style="70" customWidth="1"/>
    <col min="17" max="18" width="4.7109375" style="137" customWidth="1"/>
    <col min="19" max="20" width="4.7109375" style="70" customWidth="1"/>
    <col min="21" max="22" width="4.7109375" style="137" customWidth="1"/>
    <col min="23" max="23" width="4.7109375" style="70" customWidth="1"/>
    <col min="24" max="25" width="4.7109375" style="137" customWidth="1"/>
    <col min="26" max="27" width="4.7109375" style="70" customWidth="1"/>
    <col min="28" max="29" width="4.7109375" style="137" customWidth="1"/>
    <col min="30" max="30" width="4.7109375" style="70" customWidth="1"/>
    <col min="31" max="32" width="4.7109375" style="137" customWidth="1"/>
    <col min="33" max="34" width="4.7109375" style="70" customWidth="1"/>
  </cols>
  <sheetData>
    <row r="1" spans="1:34" ht="27.75">
      <c r="A1" s="369" t="s">
        <v>4</v>
      </c>
      <c r="B1" s="370"/>
    </row>
    <row r="2" spans="1:34" s="8" customFormat="1" ht="30">
      <c r="A2" s="388" t="s">
        <v>199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138"/>
      <c r="AG2" s="74"/>
      <c r="AH2" s="74"/>
    </row>
    <row r="3" spans="1:34" s="8" customFormat="1" ht="16.5">
      <c r="A3" s="72" t="s">
        <v>200</v>
      </c>
      <c r="B3" s="283" t="s">
        <v>201</v>
      </c>
      <c r="C3" s="284" t="s">
        <v>44</v>
      </c>
      <c r="D3" s="285" t="s">
        <v>84</v>
      </c>
      <c r="E3" s="286">
        <v>1</v>
      </c>
      <c r="F3" s="287">
        <v>2</v>
      </c>
      <c r="G3" s="311">
        <v>3</v>
      </c>
      <c r="H3" s="311">
        <v>4</v>
      </c>
      <c r="I3" s="286">
        <v>5</v>
      </c>
      <c r="J3" s="311">
        <v>6</v>
      </c>
      <c r="K3" s="311">
        <v>7</v>
      </c>
      <c r="L3" s="286">
        <v>8</v>
      </c>
      <c r="M3" s="287">
        <v>9</v>
      </c>
      <c r="N3" s="311">
        <v>10</v>
      </c>
      <c r="O3" s="311">
        <v>11</v>
      </c>
      <c r="P3" s="286">
        <v>12</v>
      </c>
      <c r="Q3" s="311">
        <v>13</v>
      </c>
      <c r="R3" s="311">
        <v>14</v>
      </c>
      <c r="S3" s="286">
        <v>15</v>
      </c>
      <c r="T3" s="287">
        <v>16</v>
      </c>
      <c r="U3" s="311">
        <v>17</v>
      </c>
      <c r="V3" s="311">
        <v>18</v>
      </c>
      <c r="W3" s="286">
        <v>19</v>
      </c>
      <c r="X3" s="311">
        <v>20</v>
      </c>
      <c r="Y3" s="311">
        <v>21</v>
      </c>
      <c r="Z3" s="286">
        <v>22</v>
      </c>
      <c r="AA3" s="287">
        <v>23</v>
      </c>
      <c r="AB3" s="311">
        <v>24</v>
      </c>
      <c r="AC3" s="311">
        <v>25</v>
      </c>
      <c r="AD3" s="286">
        <v>26</v>
      </c>
      <c r="AE3" s="311">
        <v>27</v>
      </c>
      <c r="AF3" s="311">
        <v>28</v>
      </c>
      <c r="AG3" s="288">
        <v>29</v>
      </c>
      <c r="AH3" s="289">
        <v>30</v>
      </c>
    </row>
    <row r="4" spans="1:34" s="8" customFormat="1" ht="15">
      <c r="A4" s="392" t="s">
        <v>44</v>
      </c>
      <c r="B4" s="290" t="s">
        <v>45</v>
      </c>
      <c r="C4" s="291">
        <v>157648</v>
      </c>
      <c r="D4" s="291">
        <v>26567.999999999996</v>
      </c>
      <c r="E4" s="294"/>
      <c r="F4" s="294"/>
      <c r="G4" s="293">
        <v>26736</v>
      </c>
      <c r="H4" s="293">
        <v>26576</v>
      </c>
      <c r="I4" s="292">
        <v>26560</v>
      </c>
      <c r="J4" s="295"/>
      <c r="K4" s="293">
        <v>26544</v>
      </c>
      <c r="L4" s="292">
        <v>26528</v>
      </c>
      <c r="M4" s="294"/>
      <c r="N4" s="293">
        <v>24704</v>
      </c>
      <c r="O4" s="295"/>
      <c r="P4" s="294"/>
      <c r="Q4" s="295"/>
      <c r="R4" s="295"/>
      <c r="S4" s="294"/>
      <c r="T4" s="294"/>
      <c r="U4" s="295"/>
      <c r="V4" s="295"/>
      <c r="W4" s="294"/>
      <c r="X4" s="295"/>
      <c r="Y4" s="295"/>
      <c r="Z4" s="294"/>
      <c r="AA4" s="294"/>
      <c r="AB4" s="295"/>
      <c r="AC4" s="295"/>
      <c r="AD4" s="294"/>
      <c r="AE4" s="295"/>
      <c r="AF4" s="295"/>
      <c r="AG4" s="296"/>
      <c r="AH4" s="296"/>
    </row>
    <row r="5" spans="1:34" s="8" customFormat="1" ht="15">
      <c r="A5" s="393"/>
      <c r="B5" s="290" t="s">
        <v>46</v>
      </c>
      <c r="C5" s="291">
        <v>145740</v>
      </c>
      <c r="D5" s="291">
        <v>24570</v>
      </c>
      <c r="E5" s="294"/>
      <c r="F5" s="294"/>
      <c r="G5" s="293">
        <v>24240</v>
      </c>
      <c r="H5" s="293">
        <v>25360</v>
      </c>
      <c r="I5" s="292">
        <v>24460</v>
      </c>
      <c r="J5" s="295"/>
      <c r="K5" s="293">
        <v>24370</v>
      </c>
      <c r="L5" s="292">
        <v>24710</v>
      </c>
      <c r="M5" s="294"/>
      <c r="N5" s="293">
        <v>22600</v>
      </c>
      <c r="O5" s="293">
        <v>22680</v>
      </c>
      <c r="P5" s="292">
        <v>23040</v>
      </c>
      <c r="Q5" s="293">
        <v>23160</v>
      </c>
      <c r="R5" s="293">
        <v>23160</v>
      </c>
      <c r="S5" s="292">
        <v>22800</v>
      </c>
      <c r="T5" s="294"/>
      <c r="U5" s="293">
        <v>22600</v>
      </c>
      <c r="V5" s="293">
        <v>22100</v>
      </c>
      <c r="W5" s="292">
        <v>22160</v>
      </c>
      <c r="X5" s="293">
        <v>23000</v>
      </c>
      <c r="Y5" s="293">
        <v>23420</v>
      </c>
      <c r="Z5" s="294"/>
      <c r="AA5" s="294"/>
      <c r="AB5" s="293">
        <v>23300</v>
      </c>
      <c r="AC5" s="293">
        <v>23780</v>
      </c>
      <c r="AD5" s="292">
        <v>24260</v>
      </c>
      <c r="AE5" s="293">
        <v>24040</v>
      </c>
      <c r="AF5" s="293">
        <v>24040</v>
      </c>
      <c r="AG5" s="296"/>
      <c r="AH5" s="296"/>
    </row>
    <row r="6" spans="1:34" s="8" customFormat="1" ht="15">
      <c r="A6" s="393"/>
      <c r="B6" s="297" t="s">
        <v>47</v>
      </c>
      <c r="C6" s="298">
        <v>142075</v>
      </c>
      <c r="D6" s="298">
        <v>23941.566666666669</v>
      </c>
      <c r="E6" s="301"/>
      <c r="F6" s="301"/>
      <c r="G6" s="300">
        <v>24248</v>
      </c>
      <c r="H6" s="300">
        <v>25090</v>
      </c>
      <c r="I6" s="299">
        <v>22585</v>
      </c>
      <c r="J6" s="302"/>
      <c r="K6" s="300">
        <v>23810</v>
      </c>
      <c r="L6" s="299">
        <v>24162</v>
      </c>
      <c r="M6" s="301"/>
      <c r="N6" s="300">
        <v>22180</v>
      </c>
      <c r="O6" s="302"/>
      <c r="P6" s="301"/>
      <c r="Q6" s="302"/>
      <c r="R6" s="302"/>
      <c r="S6" s="301"/>
      <c r="T6" s="301"/>
      <c r="U6" s="302"/>
      <c r="V6" s="302"/>
      <c r="W6" s="301"/>
      <c r="X6" s="302"/>
      <c r="Y6" s="302"/>
      <c r="Z6" s="301"/>
      <c r="AA6" s="301"/>
      <c r="AB6" s="302"/>
      <c r="AC6" s="302"/>
      <c r="AD6" s="301"/>
      <c r="AE6" s="302"/>
      <c r="AF6" s="302"/>
      <c r="AG6" s="303"/>
      <c r="AH6" s="303"/>
    </row>
    <row r="7" spans="1:34" s="8" customFormat="1" ht="15">
      <c r="A7" s="393"/>
      <c r="B7" s="297" t="s">
        <v>48</v>
      </c>
      <c r="C7" s="304">
        <v>-3665</v>
      </c>
      <c r="D7" s="304">
        <v>-628.43333333333339</v>
      </c>
      <c r="E7" s="301"/>
      <c r="F7" s="301"/>
      <c r="G7" s="300">
        <v>8</v>
      </c>
      <c r="H7" s="302">
        <v>-270</v>
      </c>
      <c r="I7" s="301">
        <v>-1875</v>
      </c>
      <c r="J7" s="302"/>
      <c r="K7" s="302">
        <v>-560</v>
      </c>
      <c r="L7" s="301">
        <v>-548</v>
      </c>
      <c r="M7" s="301"/>
      <c r="N7" s="302">
        <v>-420</v>
      </c>
      <c r="O7" s="302"/>
      <c r="P7" s="301"/>
      <c r="Q7" s="302"/>
      <c r="R7" s="302"/>
      <c r="S7" s="301"/>
      <c r="T7" s="301"/>
      <c r="U7" s="302"/>
      <c r="V7" s="302"/>
      <c r="W7" s="301"/>
      <c r="X7" s="302"/>
      <c r="Y7" s="302"/>
      <c r="Z7" s="301"/>
      <c r="AA7" s="301"/>
      <c r="AB7" s="302"/>
      <c r="AC7" s="302"/>
      <c r="AD7" s="301"/>
      <c r="AE7" s="302"/>
      <c r="AF7" s="302"/>
      <c r="AG7" s="303"/>
      <c r="AH7" s="303"/>
    </row>
    <row r="8" spans="1:34" s="8" customFormat="1" ht="15">
      <c r="A8" s="393"/>
      <c r="B8" s="297" t="s">
        <v>49</v>
      </c>
      <c r="C8" s="298">
        <v>47.529411764705884</v>
      </c>
      <c r="D8" s="298">
        <v>8</v>
      </c>
      <c r="E8" s="301"/>
      <c r="F8" s="301"/>
      <c r="G8" s="300">
        <v>8</v>
      </c>
      <c r="H8" s="300">
        <v>8</v>
      </c>
      <c r="I8" s="299">
        <v>8</v>
      </c>
      <c r="J8" s="302"/>
      <c r="K8" s="300">
        <v>8</v>
      </c>
      <c r="L8" s="299">
        <v>8</v>
      </c>
      <c r="M8" s="301"/>
      <c r="N8" s="300">
        <v>8</v>
      </c>
      <c r="O8" s="302"/>
      <c r="P8" s="301"/>
      <c r="Q8" s="302"/>
      <c r="R8" s="302"/>
      <c r="S8" s="301"/>
      <c r="T8" s="301"/>
      <c r="U8" s="302"/>
      <c r="V8" s="302"/>
      <c r="W8" s="301"/>
      <c r="X8" s="302"/>
      <c r="Y8" s="302"/>
      <c r="Z8" s="301"/>
      <c r="AA8" s="301"/>
      <c r="AB8" s="302"/>
      <c r="AC8" s="302"/>
      <c r="AD8" s="301"/>
      <c r="AE8" s="302"/>
      <c r="AF8" s="302"/>
      <c r="AG8" s="303"/>
      <c r="AH8" s="303"/>
    </row>
    <row r="9" spans="1:34" s="8" customFormat="1" ht="15">
      <c r="A9" s="393"/>
      <c r="B9" s="297" t="s">
        <v>50</v>
      </c>
      <c r="C9" s="298">
        <v>1174</v>
      </c>
      <c r="D9" s="298">
        <v>1174</v>
      </c>
      <c r="E9" s="301"/>
      <c r="F9" s="301"/>
      <c r="G9" s="300">
        <v>1198</v>
      </c>
      <c r="H9" s="300">
        <v>1195</v>
      </c>
      <c r="I9" s="299">
        <v>1165</v>
      </c>
      <c r="J9" s="302"/>
      <c r="K9" s="300">
        <v>1165</v>
      </c>
      <c r="L9" s="299">
        <v>1182</v>
      </c>
      <c r="M9" s="301"/>
      <c r="N9" s="300">
        <v>1113</v>
      </c>
      <c r="O9" s="302"/>
      <c r="P9" s="301"/>
      <c r="Q9" s="302"/>
      <c r="R9" s="302"/>
      <c r="S9" s="301"/>
      <c r="T9" s="301"/>
      <c r="U9" s="302"/>
      <c r="V9" s="302"/>
      <c r="W9" s="301"/>
      <c r="X9" s="302"/>
      <c r="Y9" s="302"/>
      <c r="Z9" s="301"/>
      <c r="AA9" s="301"/>
      <c r="AB9" s="302"/>
      <c r="AC9" s="302"/>
      <c r="AD9" s="301"/>
      <c r="AE9" s="302"/>
      <c r="AF9" s="302"/>
      <c r="AG9" s="303"/>
      <c r="AH9" s="303"/>
    </row>
    <row r="10" spans="1:34" s="8" customFormat="1" ht="15">
      <c r="A10" s="393"/>
      <c r="B10" s="297" t="s">
        <v>51</v>
      </c>
      <c r="C10" s="298">
        <v>2992.6958333333337</v>
      </c>
      <c r="D10" s="298">
        <v>2992.6958333333337</v>
      </c>
      <c r="E10" s="301"/>
      <c r="F10" s="301"/>
      <c r="G10" s="300">
        <v>3031</v>
      </c>
      <c r="H10" s="300">
        <v>3136.25</v>
      </c>
      <c r="I10" s="299">
        <v>2823.125</v>
      </c>
      <c r="J10" s="302"/>
      <c r="K10" s="300">
        <v>2976.25</v>
      </c>
      <c r="L10" s="299">
        <v>3020.25</v>
      </c>
      <c r="M10" s="301"/>
      <c r="N10" s="300">
        <v>2772.5</v>
      </c>
      <c r="O10" s="302"/>
      <c r="P10" s="301"/>
      <c r="Q10" s="302"/>
      <c r="R10" s="302"/>
      <c r="S10" s="301"/>
      <c r="T10" s="301"/>
      <c r="U10" s="302"/>
      <c r="V10" s="302"/>
      <c r="W10" s="301"/>
      <c r="X10" s="302"/>
      <c r="Y10" s="302"/>
      <c r="Z10" s="301"/>
      <c r="AA10" s="301"/>
      <c r="AB10" s="302"/>
      <c r="AC10" s="302"/>
      <c r="AD10" s="301"/>
      <c r="AE10" s="302"/>
      <c r="AF10" s="302"/>
      <c r="AG10" s="303"/>
      <c r="AH10" s="303"/>
    </row>
    <row r="11" spans="1:34" s="8" customFormat="1" ht="15">
      <c r="A11" s="394"/>
      <c r="B11" s="305" t="s">
        <v>52</v>
      </c>
      <c r="C11" s="306">
        <v>2.5491446621237936</v>
      </c>
      <c r="D11" s="306">
        <v>2.5491446621237932</v>
      </c>
      <c r="E11" s="308"/>
      <c r="F11" s="308"/>
      <c r="G11" s="306">
        <v>2.530050083472454</v>
      </c>
      <c r="H11" s="306">
        <v>2.6244769874476988</v>
      </c>
      <c r="I11" s="307">
        <v>2.4232832618025753</v>
      </c>
      <c r="J11" s="309"/>
      <c r="K11" s="306">
        <v>2.5547210300429186</v>
      </c>
      <c r="L11" s="307">
        <v>2.5552030456852792</v>
      </c>
      <c r="M11" s="308"/>
      <c r="N11" s="306">
        <v>2.491015274034142</v>
      </c>
      <c r="O11" s="309"/>
      <c r="P11" s="308"/>
      <c r="Q11" s="309"/>
      <c r="R11" s="309"/>
      <c r="S11" s="308"/>
      <c r="T11" s="308"/>
      <c r="U11" s="309"/>
      <c r="V11" s="309"/>
      <c r="W11" s="308"/>
      <c r="X11" s="309"/>
      <c r="Y11" s="309"/>
      <c r="Z11" s="308"/>
      <c r="AA11" s="308"/>
      <c r="AB11" s="309"/>
      <c r="AC11" s="309"/>
      <c r="AD11" s="308"/>
      <c r="AE11" s="309"/>
      <c r="AF11" s="309"/>
      <c r="AG11" s="310"/>
      <c r="AH11" s="310"/>
    </row>
    <row r="12" spans="1:34" ht="15">
      <c r="A12" s="392" t="s">
        <v>202</v>
      </c>
      <c r="B12" s="173" t="s">
        <v>45</v>
      </c>
      <c r="C12" s="174">
        <v>10208</v>
      </c>
      <c r="D12" s="174">
        <v>1701.3333333333333</v>
      </c>
      <c r="E12" s="175"/>
      <c r="F12" s="175"/>
      <c r="G12" s="178">
        <v>1744</v>
      </c>
      <c r="H12" s="178">
        <v>1760</v>
      </c>
      <c r="I12" s="177">
        <v>1744</v>
      </c>
      <c r="J12" s="176"/>
      <c r="K12" s="178">
        <v>1680</v>
      </c>
      <c r="L12" s="177">
        <v>1640</v>
      </c>
      <c r="M12" s="175"/>
      <c r="N12" s="178">
        <v>1640</v>
      </c>
      <c r="O12" s="176"/>
      <c r="P12" s="175"/>
      <c r="Q12" s="176"/>
      <c r="R12" s="176"/>
      <c r="S12" s="175"/>
      <c r="T12" s="175"/>
      <c r="U12" s="176"/>
      <c r="V12" s="176"/>
      <c r="W12" s="175"/>
      <c r="X12" s="176"/>
      <c r="Y12" s="176"/>
      <c r="Z12" s="175"/>
      <c r="AA12" s="175"/>
      <c r="AB12" s="176"/>
      <c r="AC12" s="176"/>
      <c r="AD12" s="175"/>
      <c r="AE12" s="176"/>
      <c r="AF12" s="176"/>
      <c r="AG12" s="179"/>
      <c r="AH12" s="179"/>
    </row>
    <row r="13" spans="1:34" ht="15">
      <c r="A13" s="393"/>
      <c r="B13" s="173" t="s">
        <v>46</v>
      </c>
      <c r="C13" s="174">
        <v>8280</v>
      </c>
      <c r="D13" s="174">
        <v>1380</v>
      </c>
      <c r="E13" s="175"/>
      <c r="F13" s="175"/>
      <c r="G13" s="178">
        <v>1440</v>
      </c>
      <c r="H13" s="178">
        <v>1440</v>
      </c>
      <c r="I13" s="177">
        <v>1080</v>
      </c>
      <c r="J13" s="176"/>
      <c r="K13" s="178">
        <v>1440</v>
      </c>
      <c r="L13" s="177">
        <v>1440</v>
      </c>
      <c r="M13" s="175"/>
      <c r="N13" s="178">
        <v>1440</v>
      </c>
      <c r="O13" s="178">
        <v>1440</v>
      </c>
      <c r="P13" s="177">
        <v>1440</v>
      </c>
      <c r="Q13" s="178">
        <v>1440</v>
      </c>
      <c r="R13" s="178">
        <v>1440</v>
      </c>
      <c r="S13" s="177">
        <v>1080</v>
      </c>
      <c r="T13" s="175"/>
      <c r="U13" s="178">
        <v>1440</v>
      </c>
      <c r="V13" s="178">
        <v>1440</v>
      </c>
      <c r="W13" s="177">
        <v>1440</v>
      </c>
      <c r="X13" s="178">
        <v>1440</v>
      </c>
      <c r="Y13" s="178">
        <v>1440</v>
      </c>
      <c r="Z13" s="175"/>
      <c r="AA13" s="175"/>
      <c r="AB13" s="178">
        <v>1440</v>
      </c>
      <c r="AC13" s="178">
        <v>1440</v>
      </c>
      <c r="AD13" s="177">
        <v>1140</v>
      </c>
      <c r="AE13" s="178">
        <v>1520</v>
      </c>
      <c r="AF13" s="178">
        <v>1520</v>
      </c>
      <c r="AG13" s="179"/>
      <c r="AH13" s="179"/>
    </row>
    <row r="14" spans="1:34" ht="15">
      <c r="A14" s="393"/>
      <c r="B14" s="180" t="s">
        <v>47</v>
      </c>
      <c r="C14" s="181">
        <v>8802</v>
      </c>
      <c r="D14" s="181">
        <v>1467</v>
      </c>
      <c r="E14" s="182"/>
      <c r="F14" s="182"/>
      <c r="G14" s="185">
        <v>1440</v>
      </c>
      <c r="H14" s="185">
        <v>1440</v>
      </c>
      <c r="I14" s="184">
        <v>1280</v>
      </c>
      <c r="J14" s="183"/>
      <c r="K14" s="185">
        <v>1546</v>
      </c>
      <c r="L14" s="184">
        <v>1656</v>
      </c>
      <c r="M14" s="182"/>
      <c r="N14" s="185">
        <v>1440</v>
      </c>
      <c r="O14" s="183"/>
      <c r="P14" s="182"/>
      <c r="Q14" s="183"/>
      <c r="R14" s="183"/>
      <c r="S14" s="182"/>
      <c r="T14" s="182"/>
      <c r="U14" s="183"/>
      <c r="V14" s="183"/>
      <c r="W14" s="182"/>
      <c r="X14" s="183"/>
      <c r="Y14" s="183"/>
      <c r="Z14" s="182"/>
      <c r="AA14" s="182"/>
      <c r="AB14" s="183"/>
      <c r="AC14" s="183"/>
      <c r="AD14" s="182"/>
      <c r="AE14" s="183"/>
      <c r="AF14" s="183"/>
      <c r="AG14" s="186"/>
      <c r="AH14" s="186"/>
    </row>
    <row r="15" spans="1:34" ht="15">
      <c r="A15" s="393"/>
      <c r="B15" s="180" t="s">
        <v>48</v>
      </c>
      <c r="C15" s="181">
        <v>522</v>
      </c>
      <c r="D15" s="181">
        <v>87</v>
      </c>
      <c r="E15" s="182"/>
      <c r="F15" s="182"/>
      <c r="G15" s="185">
        <v>0</v>
      </c>
      <c r="H15" s="185">
        <v>0</v>
      </c>
      <c r="I15" s="184">
        <v>200</v>
      </c>
      <c r="J15" s="183"/>
      <c r="K15" s="185">
        <v>106</v>
      </c>
      <c r="L15" s="184">
        <v>216</v>
      </c>
      <c r="M15" s="182"/>
      <c r="N15" s="185">
        <v>0</v>
      </c>
      <c r="O15" s="183"/>
      <c r="P15" s="182"/>
      <c r="Q15" s="183"/>
      <c r="R15" s="183"/>
      <c r="S15" s="182"/>
      <c r="T15" s="182"/>
      <c r="U15" s="183"/>
      <c r="V15" s="183"/>
      <c r="W15" s="182"/>
      <c r="X15" s="183"/>
      <c r="Y15" s="183"/>
      <c r="Z15" s="182"/>
      <c r="AA15" s="182"/>
      <c r="AB15" s="183"/>
      <c r="AC15" s="183"/>
      <c r="AD15" s="182"/>
      <c r="AE15" s="183"/>
      <c r="AF15" s="183"/>
      <c r="AG15" s="186"/>
      <c r="AH15" s="186"/>
    </row>
    <row r="16" spans="1:34" ht="15">
      <c r="A16" s="393"/>
      <c r="B16" s="180" t="s">
        <v>49</v>
      </c>
      <c r="C16" s="181">
        <v>48</v>
      </c>
      <c r="D16" s="181">
        <v>8</v>
      </c>
      <c r="E16" s="182"/>
      <c r="F16" s="182"/>
      <c r="G16" s="185">
        <v>8</v>
      </c>
      <c r="H16" s="185">
        <v>8</v>
      </c>
      <c r="I16" s="184">
        <v>8</v>
      </c>
      <c r="J16" s="183"/>
      <c r="K16" s="185">
        <v>8</v>
      </c>
      <c r="L16" s="184">
        <v>8</v>
      </c>
      <c r="M16" s="182"/>
      <c r="N16" s="185">
        <v>8</v>
      </c>
      <c r="O16" s="183"/>
      <c r="P16" s="182"/>
      <c r="Q16" s="183"/>
      <c r="R16" s="183"/>
      <c r="S16" s="182"/>
      <c r="T16" s="182"/>
      <c r="U16" s="183"/>
      <c r="V16" s="183"/>
      <c r="W16" s="182"/>
      <c r="X16" s="183"/>
      <c r="Y16" s="183"/>
      <c r="Z16" s="182"/>
      <c r="AA16" s="182"/>
      <c r="AB16" s="183"/>
      <c r="AC16" s="183"/>
      <c r="AD16" s="182"/>
      <c r="AE16" s="183"/>
      <c r="AF16" s="183"/>
      <c r="AG16" s="186"/>
      <c r="AH16" s="186"/>
    </row>
    <row r="17" spans="1:34" ht="15">
      <c r="A17" s="393"/>
      <c r="B17" s="180" t="s">
        <v>50</v>
      </c>
      <c r="C17" s="181">
        <v>66</v>
      </c>
      <c r="D17" s="181">
        <v>66</v>
      </c>
      <c r="E17" s="182"/>
      <c r="F17" s="182"/>
      <c r="G17" s="185">
        <v>67</v>
      </c>
      <c r="H17" s="185">
        <v>65</v>
      </c>
      <c r="I17" s="184">
        <v>65</v>
      </c>
      <c r="J17" s="183"/>
      <c r="K17" s="185">
        <v>66</v>
      </c>
      <c r="L17" s="184">
        <v>66</v>
      </c>
      <c r="M17" s="182"/>
      <c r="N17" s="185">
        <v>67</v>
      </c>
      <c r="O17" s="183"/>
      <c r="P17" s="182"/>
      <c r="Q17" s="183"/>
      <c r="R17" s="183"/>
      <c r="S17" s="182"/>
      <c r="T17" s="182"/>
      <c r="U17" s="183"/>
      <c r="V17" s="183"/>
      <c r="W17" s="182"/>
      <c r="X17" s="183"/>
      <c r="Y17" s="183"/>
      <c r="Z17" s="182"/>
      <c r="AA17" s="182"/>
      <c r="AB17" s="183"/>
      <c r="AC17" s="183"/>
      <c r="AD17" s="182"/>
      <c r="AE17" s="183"/>
      <c r="AF17" s="183"/>
      <c r="AG17" s="186"/>
      <c r="AH17" s="186"/>
    </row>
    <row r="18" spans="1:34" ht="15">
      <c r="A18" s="393"/>
      <c r="B18" s="180" t="s">
        <v>51</v>
      </c>
      <c r="C18" s="181">
        <v>183.375</v>
      </c>
      <c r="D18" s="181">
        <v>183.375</v>
      </c>
      <c r="E18" s="182"/>
      <c r="F18" s="182"/>
      <c r="G18" s="185">
        <v>180</v>
      </c>
      <c r="H18" s="185">
        <v>180</v>
      </c>
      <c r="I18" s="184">
        <v>160</v>
      </c>
      <c r="J18" s="183"/>
      <c r="K18" s="185">
        <v>193.25</v>
      </c>
      <c r="L18" s="184">
        <v>207</v>
      </c>
      <c r="M18" s="182"/>
      <c r="N18" s="185">
        <v>180</v>
      </c>
      <c r="O18" s="183"/>
      <c r="P18" s="182"/>
      <c r="Q18" s="183"/>
      <c r="R18" s="183"/>
      <c r="S18" s="182"/>
      <c r="T18" s="182"/>
      <c r="U18" s="183"/>
      <c r="V18" s="183"/>
      <c r="W18" s="182"/>
      <c r="X18" s="183"/>
      <c r="Y18" s="183"/>
      <c r="Z18" s="182"/>
      <c r="AA18" s="182"/>
      <c r="AB18" s="183"/>
      <c r="AC18" s="183"/>
      <c r="AD18" s="182"/>
      <c r="AE18" s="183"/>
      <c r="AF18" s="183"/>
      <c r="AG18" s="186"/>
      <c r="AH18" s="186"/>
    </row>
    <row r="19" spans="1:34" ht="15">
      <c r="A19" s="394"/>
      <c r="B19" s="187" t="s">
        <v>52</v>
      </c>
      <c r="C19" s="188">
        <v>2.7784</v>
      </c>
      <c r="D19" s="188">
        <v>2.7784</v>
      </c>
      <c r="E19" s="189"/>
      <c r="F19" s="189"/>
      <c r="G19" s="188">
        <v>2.6865999999999999</v>
      </c>
      <c r="H19" s="188">
        <v>2.7692000000000001</v>
      </c>
      <c r="I19" s="191">
        <v>2.4615</v>
      </c>
      <c r="J19" s="190"/>
      <c r="K19" s="188">
        <v>2.9279999999999999</v>
      </c>
      <c r="L19" s="191">
        <v>3.1364000000000001</v>
      </c>
      <c r="M19" s="189"/>
      <c r="N19" s="188">
        <v>2.6865999999999999</v>
      </c>
      <c r="O19" s="190"/>
      <c r="P19" s="189"/>
      <c r="Q19" s="190"/>
      <c r="R19" s="190"/>
      <c r="S19" s="189"/>
      <c r="T19" s="189"/>
      <c r="U19" s="190"/>
      <c r="V19" s="190"/>
      <c r="W19" s="189"/>
      <c r="X19" s="190"/>
      <c r="Y19" s="190"/>
      <c r="Z19" s="189"/>
      <c r="AA19" s="189"/>
      <c r="AB19" s="190"/>
      <c r="AC19" s="190"/>
      <c r="AD19" s="189"/>
      <c r="AE19" s="190"/>
      <c r="AF19" s="190"/>
      <c r="AG19" s="192"/>
      <c r="AH19" s="192"/>
    </row>
    <row r="20" spans="1:34" ht="15">
      <c r="A20" s="392" t="s">
        <v>203</v>
      </c>
      <c r="B20" s="173" t="s">
        <v>45</v>
      </c>
      <c r="C20" s="174">
        <v>8800</v>
      </c>
      <c r="D20" s="174">
        <v>1760</v>
      </c>
      <c r="E20" s="175"/>
      <c r="F20" s="175"/>
      <c r="G20" s="178">
        <v>1760</v>
      </c>
      <c r="H20" s="178">
        <v>1760</v>
      </c>
      <c r="I20" s="177">
        <v>1760</v>
      </c>
      <c r="J20" s="176"/>
      <c r="K20" s="178">
        <v>1760</v>
      </c>
      <c r="L20" s="177">
        <v>1760</v>
      </c>
      <c r="M20" s="175"/>
      <c r="N20" s="176"/>
      <c r="O20" s="176"/>
      <c r="P20" s="175"/>
      <c r="Q20" s="176"/>
      <c r="R20" s="176"/>
      <c r="S20" s="175"/>
      <c r="T20" s="175"/>
      <c r="U20" s="176"/>
      <c r="V20" s="176"/>
      <c r="W20" s="175"/>
      <c r="X20" s="176"/>
      <c r="Y20" s="176"/>
      <c r="Z20" s="175"/>
      <c r="AA20" s="175"/>
      <c r="AB20" s="176"/>
      <c r="AC20" s="176"/>
      <c r="AD20" s="175"/>
      <c r="AE20" s="176"/>
      <c r="AF20" s="176"/>
      <c r="AG20" s="179"/>
      <c r="AH20" s="179"/>
    </row>
    <row r="21" spans="1:34" ht="15">
      <c r="A21" s="393"/>
      <c r="B21" s="173" t="s">
        <v>46</v>
      </c>
      <c r="C21" s="174">
        <v>8400</v>
      </c>
      <c r="D21" s="174">
        <v>1680</v>
      </c>
      <c r="E21" s="175"/>
      <c r="F21" s="175"/>
      <c r="G21" s="178">
        <v>1680</v>
      </c>
      <c r="H21" s="178">
        <v>1680</v>
      </c>
      <c r="I21" s="177">
        <v>1680</v>
      </c>
      <c r="J21" s="176"/>
      <c r="K21" s="178">
        <v>1680</v>
      </c>
      <c r="L21" s="177">
        <v>1680</v>
      </c>
      <c r="M21" s="175"/>
      <c r="N21" s="176"/>
      <c r="O21" s="176"/>
      <c r="P21" s="175"/>
      <c r="Q21" s="176"/>
      <c r="R21" s="176"/>
      <c r="S21" s="175"/>
      <c r="T21" s="175"/>
      <c r="U21" s="176"/>
      <c r="V21" s="176"/>
      <c r="W21" s="175"/>
      <c r="X21" s="176"/>
      <c r="Y21" s="176"/>
      <c r="Z21" s="175"/>
      <c r="AA21" s="175"/>
      <c r="AB21" s="176"/>
      <c r="AC21" s="176"/>
      <c r="AD21" s="175"/>
      <c r="AE21" s="176"/>
      <c r="AF21" s="176"/>
      <c r="AG21" s="179"/>
      <c r="AH21" s="179"/>
    </row>
    <row r="22" spans="1:34" ht="15">
      <c r="A22" s="393"/>
      <c r="B22" s="180" t="s">
        <v>47</v>
      </c>
      <c r="C22" s="181">
        <v>7872</v>
      </c>
      <c r="D22" s="181">
        <v>1574.4</v>
      </c>
      <c r="E22" s="182"/>
      <c r="F22" s="182"/>
      <c r="G22" s="185">
        <v>1688</v>
      </c>
      <c r="H22" s="185">
        <v>1680</v>
      </c>
      <c r="I22" s="184">
        <v>1348</v>
      </c>
      <c r="J22" s="183"/>
      <c r="K22" s="185">
        <v>1680</v>
      </c>
      <c r="L22" s="184">
        <v>1476</v>
      </c>
      <c r="M22" s="182"/>
      <c r="N22" s="183"/>
      <c r="O22" s="183"/>
      <c r="P22" s="182"/>
      <c r="Q22" s="183"/>
      <c r="R22" s="183"/>
      <c r="S22" s="182"/>
      <c r="T22" s="182"/>
      <c r="U22" s="183"/>
      <c r="V22" s="183"/>
      <c r="W22" s="182"/>
      <c r="X22" s="183"/>
      <c r="Y22" s="183"/>
      <c r="Z22" s="182"/>
      <c r="AA22" s="182"/>
      <c r="AB22" s="183"/>
      <c r="AC22" s="183"/>
      <c r="AD22" s="182"/>
      <c r="AE22" s="183"/>
      <c r="AF22" s="183"/>
      <c r="AG22" s="186"/>
      <c r="AH22" s="186"/>
    </row>
    <row r="23" spans="1:34" ht="15">
      <c r="A23" s="393"/>
      <c r="B23" s="180" t="s">
        <v>48</v>
      </c>
      <c r="C23" s="193">
        <v>-528</v>
      </c>
      <c r="D23" s="193">
        <v>-105.6</v>
      </c>
      <c r="E23" s="182"/>
      <c r="F23" s="182"/>
      <c r="G23" s="185">
        <v>8</v>
      </c>
      <c r="H23" s="185">
        <v>0</v>
      </c>
      <c r="I23" s="182">
        <v>-332</v>
      </c>
      <c r="J23" s="183"/>
      <c r="K23" s="185">
        <v>0</v>
      </c>
      <c r="L23" s="182">
        <v>-204</v>
      </c>
      <c r="M23" s="182"/>
      <c r="N23" s="183"/>
      <c r="O23" s="183"/>
      <c r="P23" s="182"/>
      <c r="Q23" s="183"/>
      <c r="R23" s="183"/>
      <c r="S23" s="182"/>
      <c r="T23" s="182"/>
      <c r="U23" s="183"/>
      <c r="V23" s="183"/>
      <c r="W23" s="182"/>
      <c r="X23" s="183"/>
      <c r="Y23" s="183"/>
      <c r="Z23" s="182"/>
      <c r="AA23" s="182"/>
      <c r="AB23" s="183"/>
      <c r="AC23" s="183"/>
      <c r="AD23" s="182"/>
      <c r="AE23" s="183"/>
      <c r="AF23" s="183"/>
      <c r="AG23" s="186"/>
      <c r="AH23" s="186"/>
    </row>
    <row r="24" spans="1:34" ht="15">
      <c r="A24" s="393"/>
      <c r="B24" s="180" t="s">
        <v>49</v>
      </c>
      <c r="C24" s="181">
        <v>40</v>
      </c>
      <c r="D24" s="181">
        <v>8</v>
      </c>
      <c r="E24" s="182"/>
      <c r="F24" s="182"/>
      <c r="G24" s="185">
        <v>8</v>
      </c>
      <c r="H24" s="185">
        <v>8</v>
      </c>
      <c r="I24" s="184">
        <v>8</v>
      </c>
      <c r="J24" s="183"/>
      <c r="K24" s="185">
        <v>8</v>
      </c>
      <c r="L24" s="184">
        <v>8</v>
      </c>
      <c r="M24" s="182"/>
      <c r="N24" s="183"/>
      <c r="O24" s="183"/>
      <c r="P24" s="182"/>
      <c r="Q24" s="183"/>
      <c r="R24" s="183"/>
      <c r="S24" s="182"/>
      <c r="T24" s="182"/>
      <c r="U24" s="183"/>
      <c r="V24" s="183"/>
      <c r="W24" s="182"/>
      <c r="X24" s="183"/>
      <c r="Y24" s="183"/>
      <c r="Z24" s="182"/>
      <c r="AA24" s="182"/>
      <c r="AB24" s="183"/>
      <c r="AC24" s="183"/>
      <c r="AD24" s="182"/>
      <c r="AE24" s="183"/>
      <c r="AF24" s="183"/>
      <c r="AG24" s="186"/>
      <c r="AH24" s="186"/>
    </row>
    <row r="25" spans="1:34" ht="15">
      <c r="A25" s="393"/>
      <c r="B25" s="180" t="s">
        <v>50</v>
      </c>
      <c r="C25" s="181">
        <v>68</v>
      </c>
      <c r="D25" s="181">
        <v>68</v>
      </c>
      <c r="E25" s="182"/>
      <c r="F25" s="182"/>
      <c r="G25" s="185">
        <v>69</v>
      </c>
      <c r="H25" s="185">
        <v>69</v>
      </c>
      <c r="I25" s="184">
        <v>67</v>
      </c>
      <c r="J25" s="183"/>
      <c r="K25" s="185">
        <v>68</v>
      </c>
      <c r="L25" s="184">
        <v>69</v>
      </c>
      <c r="M25" s="182"/>
      <c r="N25" s="183"/>
      <c r="O25" s="183"/>
      <c r="P25" s="182"/>
      <c r="Q25" s="183"/>
      <c r="R25" s="183"/>
      <c r="S25" s="182"/>
      <c r="T25" s="182"/>
      <c r="U25" s="183"/>
      <c r="V25" s="183"/>
      <c r="W25" s="182"/>
      <c r="X25" s="183"/>
      <c r="Y25" s="183"/>
      <c r="Z25" s="182"/>
      <c r="AA25" s="182"/>
      <c r="AB25" s="183"/>
      <c r="AC25" s="183"/>
      <c r="AD25" s="182"/>
      <c r="AE25" s="183"/>
      <c r="AF25" s="183"/>
      <c r="AG25" s="186"/>
      <c r="AH25" s="186"/>
    </row>
    <row r="26" spans="1:34" ht="15">
      <c r="A26" s="393"/>
      <c r="B26" s="180" t="s">
        <v>51</v>
      </c>
      <c r="C26" s="181">
        <v>196.8</v>
      </c>
      <c r="D26" s="181">
        <v>196.8</v>
      </c>
      <c r="E26" s="182"/>
      <c r="F26" s="182"/>
      <c r="G26" s="185">
        <v>211</v>
      </c>
      <c r="H26" s="185">
        <v>210</v>
      </c>
      <c r="I26" s="184">
        <v>168.5</v>
      </c>
      <c r="J26" s="183"/>
      <c r="K26" s="185">
        <v>210</v>
      </c>
      <c r="L26" s="184">
        <v>184.5</v>
      </c>
      <c r="M26" s="182"/>
      <c r="N26" s="183"/>
      <c r="O26" s="183"/>
      <c r="P26" s="182"/>
      <c r="Q26" s="183"/>
      <c r="R26" s="183"/>
      <c r="S26" s="182"/>
      <c r="T26" s="182"/>
      <c r="U26" s="183"/>
      <c r="V26" s="183"/>
      <c r="W26" s="182"/>
      <c r="X26" s="183"/>
      <c r="Y26" s="183"/>
      <c r="Z26" s="182"/>
      <c r="AA26" s="182"/>
      <c r="AB26" s="183"/>
      <c r="AC26" s="183"/>
      <c r="AD26" s="182"/>
      <c r="AE26" s="183"/>
      <c r="AF26" s="183"/>
      <c r="AG26" s="186"/>
      <c r="AH26" s="186"/>
    </row>
    <row r="27" spans="1:34" ht="15">
      <c r="A27" s="394"/>
      <c r="B27" s="187" t="s">
        <v>52</v>
      </c>
      <c r="C27" s="188">
        <v>2.8940999999999999</v>
      </c>
      <c r="D27" s="188">
        <v>2.8940999999999999</v>
      </c>
      <c r="E27" s="189"/>
      <c r="F27" s="189"/>
      <c r="G27" s="188">
        <v>3.0579999999999998</v>
      </c>
      <c r="H27" s="188">
        <v>3.0434999999999999</v>
      </c>
      <c r="I27" s="191">
        <v>2.5148999999999999</v>
      </c>
      <c r="J27" s="190"/>
      <c r="K27" s="188">
        <v>3.0882000000000001</v>
      </c>
      <c r="L27" s="191">
        <v>2.6739000000000002</v>
      </c>
      <c r="M27" s="189"/>
      <c r="N27" s="190"/>
      <c r="O27" s="190"/>
      <c r="P27" s="189"/>
      <c r="Q27" s="190"/>
      <c r="R27" s="190"/>
      <c r="S27" s="189"/>
      <c r="T27" s="189"/>
      <c r="U27" s="190"/>
      <c r="V27" s="190"/>
      <c r="W27" s="189"/>
      <c r="X27" s="190"/>
      <c r="Y27" s="190"/>
      <c r="Z27" s="189"/>
      <c r="AA27" s="189"/>
      <c r="AB27" s="190"/>
      <c r="AC27" s="190"/>
      <c r="AD27" s="189"/>
      <c r="AE27" s="190"/>
      <c r="AF27" s="190"/>
      <c r="AG27" s="192"/>
      <c r="AH27" s="192"/>
    </row>
    <row r="28" spans="1:34" ht="15">
      <c r="A28" s="392" t="s">
        <v>204</v>
      </c>
      <c r="B28" s="173" t="s">
        <v>45</v>
      </c>
      <c r="C28" s="174">
        <v>10560</v>
      </c>
      <c r="D28" s="174">
        <v>1760</v>
      </c>
      <c r="E28" s="175"/>
      <c r="F28" s="175"/>
      <c r="G28" s="178">
        <v>1760</v>
      </c>
      <c r="H28" s="178">
        <v>1760</v>
      </c>
      <c r="I28" s="177">
        <v>1760</v>
      </c>
      <c r="J28" s="176"/>
      <c r="K28" s="178">
        <v>1760</v>
      </c>
      <c r="L28" s="177">
        <v>1760</v>
      </c>
      <c r="M28" s="175"/>
      <c r="N28" s="178">
        <v>1760</v>
      </c>
      <c r="O28" s="176"/>
      <c r="P28" s="175"/>
      <c r="Q28" s="176"/>
      <c r="R28" s="176"/>
      <c r="S28" s="175"/>
      <c r="T28" s="175"/>
      <c r="U28" s="176"/>
      <c r="V28" s="176"/>
      <c r="W28" s="175"/>
      <c r="X28" s="176"/>
      <c r="Y28" s="176"/>
      <c r="Z28" s="175"/>
      <c r="AA28" s="175"/>
      <c r="AB28" s="176"/>
      <c r="AC28" s="176"/>
      <c r="AD28" s="175"/>
      <c r="AE28" s="176"/>
      <c r="AF28" s="176"/>
      <c r="AG28" s="179"/>
      <c r="AH28" s="179"/>
    </row>
    <row r="29" spans="1:34" ht="15">
      <c r="A29" s="393"/>
      <c r="B29" s="173" t="s">
        <v>46</v>
      </c>
      <c r="C29" s="174">
        <v>10080</v>
      </c>
      <c r="D29" s="174">
        <v>1680</v>
      </c>
      <c r="E29" s="175"/>
      <c r="F29" s="175"/>
      <c r="G29" s="178">
        <v>1680</v>
      </c>
      <c r="H29" s="178">
        <v>1680</v>
      </c>
      <c r="I29" s="177">
        <v>1680</v>
      </c>
      <c r="J29" s="176"/>
      <c r="K29" s="178">
        <v>1680</v>
      </c>
      <c r="L29" s="177">
        <v>1680</v>
      </c>
      <c r="M29" s="175"/>
      <c r="N29" s="178">
        <v>1680</v>
      </c>
      <c r="O29" s="178">
        <v>1680</v>
      </c>
      <c r="P29" s="177">
        <v>1680</v>
      </c>
      <c r="Q29" s="178">
        <v>1680</v>
      </c>
      <c r="R29" s="178">
        <v>1680</v>
      </c>
      <c r="S29" s="177">
        <v>1680</v>
      </c>
      <c r="T29" s="175"/>
      <c r="U29" s="178">
        <v>1680</v>
      </c>
      <c r="V29" s="178">
        <v>1680</v>
      </c>
      <c r="W29" s="177">
        <v>1680</v>
      </c>
      <c r="X29" s="178">
        <v>1680</v>
      </c>
      <c r="Y29" s="178">
        <v>1680</v>
      </c>
      <c r="Z29" s="175"/>
      <c r="AA29" s="175"/>
      <c r="AB29" s="178">
        <v>1680</v>
      </c>
      <c r="AC29" s="178">
        <v>1680</v>
      </c>
      <c r="AD29" s="177">
        <v>1680</v>
      </c>
      <c r="AE29" s="178">
        <v>1680</v>
      </c>
      <c r="AF29" s="178">
        <v>1680</v>
      </c>
      <c r="AG29" s="179"/>
      <c r="AH29" s="179"/>
    </row>
    <row r="30" spans="1:34" ht="15">
      <c r="A30" s="393"/>
      <c r="B30" s="180" t="s">
        <v>47</v>
      </c>
      <c r="C30" s="181">
        <v>9781</v>
      </c>
      <c r="D30" s="181">
        <v>1630.1666666666667</v>
      </c>
      <c r="E30" s="182"/>
      <c r="F30" s="182"/>
      <c r="G30" s="185">
        <v>1680</v>
      </c>
      <c r="H30" s="185">
        <v>1584</v>
      </c>
      <c r="I30" s="184">
        <v>1477</v>
      </c>
      <c r="J30" s="183"/>
      <c r="K30" s="185">
        <v>1680</v>
      </c>
      <c r="L30" s="184">
        <v>1680</v>
      </c>
      <c r="M30" s="182"/>
      <c r="N30" s="185">
        <v>1680</v>
      </c>
      <c r="O30" s="183"/>
      <c r="P30" s="182"/>
      <c r="Q30" s="183"/>
      <c r="R30" s="183"/>
      <c r="S30" s="182"/>
      <c r="T30" s="182"/>
      <c r="U30" s="183"/>
      <c r="V30" s="183"/>
      <c r="W30" s="182"/>
      <c r="X30" s="183"/>
      <c r="Y30" s="183"/>
      <c r="Z30" s="182"/>
      <c r="AA30" s="182"/>
      <c r="AB30" s="183"/>
      <c r="AC30" s="183"/>
      <c r="AD30" s="182"/>
      <c r="AE30" s="183"/>
      <c r="AF30" s="183"/>
      <c r="AG30" s="186"/>
      <c r="AH30" s="186"/>
    </row>
    <row r="31" spans="1:34" ht="15">
      <c r="A31" s="393"/>
      <c r="B31" s="180" t="s">
        <v>48</v>
      </c>
      <c r="C31" s="193">
        <v>-299</v>
      </c>
      <c r="D31" s="193">
        <v>-49.833333333333336</v>
      </c>
      <c r="E31" s="182"/>
      <c r="F31" s="182"/>
      <c r="G31" s="185">
        <v>0</v>
      </c>
      <c r="H31" s="183">
        <v>-96</v>
      </c>
      <c r="I31" s="182">
        <v>-203</v>
      </c>
      <c r="J31" s="183"/>
      <c r="K31" s="185">
        <v>0</v>
      </c>
      <c r="L31" s="184">
        <v>0</v>
      </c>
      <c r="M31" s="182"/>
      <c r="N31" s="185">
        <v>0</v>
      </c>
      <c r="O31" s="183"/>
      <c r="P31" s="182"/>
      <c r="Q31" s="183"/>
      <c r="R31" s="183"/>
      <c r="S31" s="182"/>
      <c r="T31" s="182"/>
      <c r="U31" s="183"/>
      <c r="V31" s="183"/>
      <c r="W31" s="182"/>
      <c r="X31" s="183"/>
      <c r="Y31" s="183"/>
      <c r="Z31" s="182"/>
      <c r="AA31" s="182"/>
      <c r="AB31" s="183"/>
      <c r="AC31" s="183"/>
      <c r="AD31" s="182"/>
      <c r="AE31" s="183"/>
      <c r="AF31" s="183"/>
      <c r="AG31" s="186"/>
      <c r="AH31" s="186"/>
    </row>
    <row r="32" spans="1:34" ht="15">
      <c r="A32" s="393"/>
      <c r="B32" s="180" t="s">
        <v>49</v>
      </c>
      <c r="C32" s="181">
        <v>48</v>
      </c>
      <c r="D32" s="181">
        <v>8</v>
      </c>
      <c r="E32" s="182"/>
      <c r="F32" s="182"/>
      <c r="G32" s="185">
        <v>8</v>
      </c>
      <c r="H32" s="185">
        <v>8</v>
      </c>
      <c r="I32" s="184">
        <v>8</v>
      </c>
      <c r="J32" s="183"/>
      <c r="K32" s="185">
        <v>8</v>
      </c>
      <c r="L32" s="184">
        <v>8</v>
      </c>
      <c r="M32" s="182"/>
      <c r="N32" s="185">
        <v>8</v>
      </c>
      <c r="O32" s="183"/>
      <c r="P32" s="182"/>
      <c r="Q32" s="183"/>
      <c r="R32" s="183"/>
      <c r="S32" s="182"/>
      <c r="T32" s="182"/>
      <c r="U32" s="183"/>
      <c r="V32" s="183"/>
      <c r="W32" s="182"/>
      <c r="X32" s="183"/>
      <c r="Y32" s="183"/>
      <c r="Z32" s="182"/>
      <c r="AA32" s="182"/>
      <c r="AB32" s="183"/>
      <c r="AC32" s="183"/>
      <c r="AD32" s="182"/>
      <c r="AE32" s="183"/>
      <c r="AF32" s="183"/>
      <c r="AG32" s="186"/>
      <c r="AH32" s="186"/>
    </row>
    <row r="33" spans="1:34" ht="15">
      <c r="A33" s="393"/>
      <c r="B33" s="180" t="s">
        <v>50</v>
      </c>
      <c r="C33" s="181">
        <v>68</v>
      </c>
      <c r="D33" s="181">
        <v>68</v>
      </c>
      <c r="E33" s="182"/>
      <c r="F33" s="182"/>
      <c r="G33" s="185">
        <v>71</v>
      </c>
      <c r="H33" s="185">
        <v>70</v>
      </c>
      <c r="I33" s="184">
        <v>67</v>
      </c>
      <c r="J33" s="183"/>
      <c r="K33" s="185">
        <v>65</v>
      </c>
      <c r="L33" s="184">
        <v>68</v>
      </c>
      <c r="M33" s="182"/>
      <c r="N33" s="185">
        <v>69</v>
      </c>
      <c r="O33" s="183"/>
      <c r="P33" s="182"/>
      <c r="Q33" s="183"/>
      <c r="R33" s="183"/>
      <c r="S33" s="182"/>
      <c r="T33" s="182"/>
      <c r="U33" s="183"/>
      <c r="V33" s="183"/>
      <c r="W33" s="182"/>
      <c r="X33" s="183"/>
      <c r="Y33" s="183"/>
      <c r="Z33" s="182"/>
      <c r="AA33" s="182"/>
      <c r="AB33" s="183"/>
      <c r="AC33" s="183"/>
      <c r="AD33" s="182"/>
      <c r="AE33" s="183"/>
      <c r="AF33" s="183"/>
      <c r="AG33" s="186"/>
      <c r="AH33" s="186"/>
    </row>
    <row r="34" spans="1:34" ht="15">
      <c r="A34" s="393"/>
      <c r="B34" s="180" t="s">
        <v>51</v>
      </c>
      <c r="C34" s="181">
        <v>203.77083333333334</v>
      </c>
      <c r="D34" s="181">
        <v>203.77083333333334</v>
      </c>
      <c r="E34" s="182"/>
      <c r="F34" s="182"/>
      <c r="G34" s="185">
        <v>210</v>
      </c>
      <c r="H34" s="185">
        <v>198</v>
      </c>
      <c r="I34" s="184">
        <v>184.625</v>
      </c>
      <c r="J34" s="183"/>
      <c r="K34" s="185">
        <v>210</v>
      </c>
      <c r="L34" s="184">
        <v>210</v>
      </c>
      <c r="M34" s="182"/>
      <c r="N34" s="185">
        <v>210</v>
      </c>
      <c r="O34" s="183"/>
      <c r="P34" s="182"/>
      <c r="Q34" s="183"/>
      <c r="R34" s="183"/>
      <c r="S34" s="182"/>
      <c r="T34" s="182"/>
      <c r="U34" s="183"/>
      <c r="V34" s="183"/>
      <c r="W34" s="182"/>
      <c r="X34" s="183"/>
      <c r="Y34" s="183"/>
      <c r="Z34" s="182"/>
      <c r="AA34" s="182"/>
      <c r="AB34" s="183"/>
      <c r="AC34" s="183"/>
      <c r="AD34" s="182"/>
      <c r="AE34" s="183"/>
      <c r="AF34" s="183"/>
      <c r="AG34" s="186"/>
      <c r="AH34" s="186"/>
    </row>
    <row r="35" spans="1:34" ht="15">
      <c r="A35" s="394"/>
      <c r="B35" s="187" t="s">
        <v>52</v>
      </c>
      <c r="C35" s="188">
        <v>2.9965999999999999</v>
      </c>
      <c r="D35" s="188">
        <v>2.9965999999999999</v>
      </c>
      <c r="E35" s="189"/>
      <c r="F35" s="189"/>
      <c r="G35" s="188">
        <v>2.9577</v>
      </c>
      <c r="H35" s="188">
        <v>2.8285999999999998</v>
      </c>
      <c r="I35" s="191">
        <v>2.7556000000000003</v>
      </c>
      <c r="J35" s="190"/>
      <c r="K35" s="188">
        <v>3.2307999999999999</v>
      </c>
      <c r="L35" s="191">
        <v>3.0882000000000001</v>
      </c>
      <c r="M35" s="189"/>
      <c r="N35" s="188">
        <v>3.0434999999999999</v>
      </c>
      <c r="O35" s="190"/>
      <c r="P35" s="189"/>
      <c r="Q35" s="190"/>
      <c r="R35" s="190"/>
      <c r="S35" s="189"/>
      <c r="T35" s="189"/>
      <c r="U35" s="190"/>
      <c r="V35" s="190"/>
      <c r="W35" s="189"/>
      <c r="X35" s="190"/>
      <c r="Y35" s="190"/>
      <c r="Z35" s="189"/>
      <c r="AA35" s="189"/>
      <c r="AB35" s="190"/>
      <c r="AC35" s="190"/>
      <c r="AD35" s="189"/>
      <c r="AE35" s="190"/>
      <c r="AF35" s="190"/>
      <c r="AG35" s="192"/>
      <c r="AH35" s="192"/>
    </row>
    <row r="36" spans="1:34" ht="15">
      <c r="A36" s="392" t="s">
        <v>205</v>
      </c>
      <c r="B36" s="173" t="s">
        <v>45</v>
      </c>
      <c r="C36" s="174">
        <v>7840</v>
      </c>
      <c r="D36" s="174">
        <v>1306.6666666666667</v>
      </c>
      <c r="E36" s="175"/>
      <c r="F36" s="175"/>
      <c r="G36" s="178">
        <v>1280</v>
      </c>
      <c r="H36" s="178">
        <v>1280</v>
      </c>
      <c r="I36" s="177">
        <v>1280</v>
      </c>
      <c r="J36" s="176"/>
      <c r="K36" s="178">
        <v>1360</v>
      </c>
      <c r="L36" s="177">
        <v>1280</v>
      </c>
      <c r="M36" s="175"/>
      <c r="N36" s="178">
        <v>1360</v>
      </c>
      <c r="O36" s="176"/>
      <c r="P36" s="175"/>
      <c r="Q36" s="176"/>
      <c r="R36" s="176"/>
      <c r="S36" s="175"/>
      <c r="T36" s="175"/>
      <c r="U36" s="176"/>
      <c r="V36" s="176"/>
      <c r="W36" s="175"/>
      <c r="X36" s="176"/>
      <c r="Y36" s="176"/>
      <c r="Z36" s="175"/>
      <c r="AA36" s="175"/>
      <c r="AB36" s="176"/>
      <c r="AC36" s="176"/>
      <c r="AD36" s="175"/>
      <c r="AE36" s="176"/>
      <c r="AF36" s="176"/>
      <c r="AG36" s="179"/>
      <c r="AH36" s="179"/>
    </row>
    <row r="37" spans="1:34" ht="15">
      <c r="A37" s="393"/>
      <c r="B37" s="173" t="s">
        <v>46</v>
      </c>
      <c r="C37" s="174">
        <v>7680</v>
      </c>
      <c r="D37" s="174">
        <v>1280</v>
      </c>
      <c r="E37" s="175"/>
      <c r="F37" s="175"/>
      <c r="G37" s="178">
        <v>1280</v>
      </c>
      <c r="H37" s="178">
        <v>1280</v>
      </c>
      <c r="I37" s="177">
        <v>1280</v>
      </c>
      <c r="J37" s="176"/>
      <c r="K37" s="178">
        <v>1280</v>
      </c>
      <c r="L37" s="177">
        <v>1280</v>
      </c>
      <c r="M37" s="175"/>
      <c r="N37" s="178">
        <v>1280</v>
      </c>
      <c r="O37" s="178">
        <v>1280</v>
      </c>
      <c r="P37" s="177">
        <v>1280</v>
      </c>
      <c r="Q37" s="178">
        <v>1280</v>
      </c>
      <c r="R37" s="178">
        <v>1280</v>
      </c>
      <c r="S37" s="177">
        <v>1280</v>
      </c>
      <c r="T37" s="175"/>
      <c r="U37" s="178">
        <v>1280</v>
      </c>
      <c r="V37" s="178">
        <v>1280</v>
      </c>
      <c r="W37" s="177">
        <v>1280</v>
      </c>
      <c r="X37" s="178">
        <v>1280</v>
      </c>
      <c r="Y37" s="178">
        <v>1280</v>
      </c>
      <c r="Z37" s="175"/>
      <c r="AA37" s="175"/>
      <c r="AB37" s="178">
        <v>1280</v>
      </c>
      <c r="AC37" s="178">
        <v>1280</v>
      </c>
      <c r="AD37" s="177">
        <v>1280</v>
      </c>
      <c r="AE37" s="178">
        <v>1280</v>
      </c>
      <c r="AF37" s="178">
        <v>1280</v>
      </c>
      <c r="AG37" s="179"/>
      <c r="AH37" s="179"/>
    </row>
    <row r="38" spans="1:34" ht="15">
      <c r="A38" s="393"/>
      <c r="B38" s="180" t="s">
        <v>47</v>
      </c>
      <c r="C38" s="181">
        <v>7410</v>
      </c>
      <c r="D38" s="181">
        <v>1235</v>
      </c>
      <c r="E38" s="182"/>
      <c r="F38" s="182"/>
      <c r="G38" s="185">
        <v>1280</v>
      </c>
      <c r="H38" s="185">
        <v>1280</v>
      </c>
      <c r="I38" s="184">
        <v>1280</v>
      </c>
      <c r="J38" s="183"/>
      <c r="K38" s="185">
        <v>1010</v>
      </c>
      <c r="L38" s="184">
        <v>1280</v>
      </c>
      <c r="M38" s="182"/>
      <c r="N38" s="185">
        <v>1280</v>
      </c>
      <c r="O38" s="183"/>
      <c r="P38" s="182"/>
      <c r="Q38" s="183"/>
      <c r="R38" s="183"/>
      <c r="S38" s="182"/>
      <c r="T38" s="182"/>
      <c r="U38" s="183"/>
      <c r="V38" s="183"/>
      <c r="W38" s="182"/>
      <c r="X38" s="183"/>
      <c r="Y38" s="183"/>
      <c r="Z38" s="182"/>
      <c r="AA38" s="182"/>
      <c r="AB38" s="183"/>
      <c r="AC38" s="183"/>
      <c r="AD38" s="182"/>
      <c r="AE38" s="183"/>
      <c r="AF38" s="183"/>
      <c r="AG38" s="186"/>
      <c r="AH38" s="186"/>
    </row>
    <row r="39" spans="1:34" ht="15">
      <c r="A39" s="393"/>
      <c r="B39" s="180" t="s">
        <v>48</v>
      </c>
      <c r="C39" s="193">
        <v>-270</v>
      </c>
      <c r="D39" s="193">
        <v>-45</v>
      </c>
      <c r="E39" s="182"/>
      <c r="F39" s="182"/>
      <c r="G39" s="185">
        <v>0</v>
      </c>
      <c r="H39" s="185">
        <v>0</v>
      </c>
      <c r="I39" s="184">
        <v>0</v>
      </c>
      <c r="J39" s="183"/>
      <c r="K39" s="183">
        <v>-270</v>
      </c>
      <c r="L39" s="184">
        <v>0</v>
      </c>
      <c r="M39" s="182"/>
      <c r="N39" s="185">
        <v>0</v>
      </c>
      <c r="O39" s="183"/>
      <c r="P39" s="182"/>
      <c r="Q39" s="183"/>
      <c r="R39" s="183"/>
      <c r="S39" s="182"/>
      <c r="T39" s="182"/>
      <c r="U39" s="183"/>
      <c r="V39" s="183"/>
      <c r="W39" s="182"/>
      <c r="X39" s="183"/>
      <c r="Y39" s="183"/>
      <c r="Z39" s="182"/>
      <c r="AA39" s="182"/>
      <c r="AB39" s="183"/>
      <c r="AC39" s="183"/>
      <c r="AD39" s="182"/>
      <c r="AE39" s="183"/>
      <c r="AF39" s="183"/>
      <c r="AG39" s="186"/>
      <c r="AH39" s="186"/>
    </row>
    <row r="40" spans="1:34" ht="15">
      <c r="A40" s="393"/>
      <c r="B40" s="180" t="s">
        <v>49</v>
      </c>
      <c r="C40" s="181">
        <v>48</v>
      </c>
      <c r="D40" s="181">
        <v>8</v>
      </c>
      <c r="E40" s="182"/>
      <c r="F40" s="182"/>
      <c r="G40" s="185">
        <v>8</v>
      </c>
      <c r="H40" s="185">
        <v>8</v>
      </c>
      <c r="I40" s="184">
        <v>8</v>
      </c>
      <c r="J40" s="183"/>
      <c r="K40" s="185">
        <v>8</v>
      </c>
      <c r="L40" s="184">
        <v>8</v>
      </c>
      <c r="M40" s="182"/>
      <c r="N40" s="185">
        <v>8</v>
      </c>
      <c r="O40" s="183"/>
      <c r="P40" s="182"/>
      <c r="Q40" s="183"/>
      <c r="R40" s="183"/>
      <c r="S40" s="182"/>
      <c r="T40" s="182"/>
      <c r="U40" s="183"/>
      <c r="V40" s="183"/>
      <c r="W40" s="182"/>
      <c r="X40" s="183"/>
      <c r="Y40" s="183"/>
      <c r="Z40" s="182"/>
      <c r="AA40" s="182"/>
      <c r="AB40" s="183"/>
      <c r="AC40" s="183"/>
      <c r="AD40" s="182"/>
      <c r="AE40" s="183"/>
      <c r="AF40" s="183"/>
      <c r="AG40" s="186"/>
      <c r="AH40" s="186"/>
    </row>
    <row r="41" spans="1:34" ht="15">
      <c r="A41" s="393"/>
      <c r="B41" s="180" t="s">
        <v>50</v>
      </c>
      <c r="C41" s="181">
        <v>67</v>
      </c>
      <c r="D41" s="181">
        <v>67</v>
      </c>
      <c r="E41" s="182"/>
      <c r="F41" s="182"/>
      <c r="G41" s="185">
        <v>69</v>
      </c>
      <c r="H41" s="185">
        <v>69</v>
      </c>
      <c r="I41" s="184">
        <v>67</v>
      </c>
      <c r="J41" s="183"/>
      <c r="K41" s="185">
        <v>66</v>
      </c>
      <c r="L41" s="184">
        <v>66</v>
      </c>
      <c r="M41" s="182"/>
      <c r="N41" s="185">
        <v>66</v>
      </c>
      <c r="O41" s="183"/>
      <c r="P41" s="182"/>
      <c r="Q41" s="183"/>
      <c r="R41" s="183"/>
      <c r="S41" s="182"/>
      <c r="T41" s="182"/>
      <c r="U41" s="183"/>
      <c r="V41" s="183"/>
      <c r="W41" s="182"/>
      <c r="X41" s="183"/>
      <c r="Y41" s="183"/>
      <c r="Z41" s="182"/>
      <c r="AA41" s="182"/>
      <c r="AB41" s="183"/>
      <c r="AC41" s="183"/>
      <c r="AD41" s="182"/>
      <c r="AE41" s="183"/>
      <c r="AF41" s="183"/>
      <c r="AG41" s="186"/>
      <c r="AH41" s="186"/>
    </row>
    <row r="42" spans="1:34" ht="15">
      <c r="A42" s="393"/>
      <c r="B42" s="180" t="s">
        <v>51</v>
      </c>
      <c r="C42" s="181">
        <v>154.375</v>
      </c>
      <c r="D42" s="181">
        <v>154.375</v>
      </c>
      <c r="E42" s="182"/>
      <c r="F42" s="182"/>
      <c r="G42" s="185">
        <v>160</v>
      </c>
      <c r="H42" s="185">
        <v>160</v>
      </c>
      <c r="I42" s="184">
        <v>160</v>
      </c>
      <c r="J42" s="183"/>
      <c r="K42" s="185">
        <v>126.25</v>
      </c>
      <c r="L42" s="184">
        <v>160</v>
      </c>
      <c r="M42" s="182"/>
      <c r="N42" s="185">
        <v>160</v>
      </c>
      <c r="O42" s="183"/>
      <c r="P42" s="182"/>
      <c r="Q42" s="183"/>
      <c r="R42" s="183"/>
      <c r="S42" s="182"/>
      <c r="T42" s="182"/>
      <c r="U42" s="183"/>
      <c r="V42" s="183"/>
      <c r="W42" s="182"/>
      <c r="X42" s="183"/>
      <c r="Y42" s="183"/>
      <c r="Z42" s="182"/>
      <c r="AA42" s="182"/>
      <c r="AB42" s="183"/>
      <c r="AC42" s="183"/>
      <c r="AD42" s="182"/>
      <c r="AE42" s="183"/>
      <c r="AF42" s="183"/>
      <c r="AG42" s="186"/>
      <c r="AH42" s="186"/>
    </row>
    <row r="43" spans="1:34" ht="15">
      <c r="A43" s="394"/>
      <c r="B43" s="187" t="s">
        <v>52</v>
      </c>
      <c r="C43" s="188">
        <v>2.3041</v>
      </c>
      <c r="D43" s="188">
        <v>2.3041</v>
      </c>
      <c r="E43" s="189"/>
      <c r="F43" s="189"/>
      <c r="G43" s="188">
        <v>2.3188</v>
      </c>
      <c r="H43" s="188">
        <v>2.3188</v>
      </c>
      <c r="I43" s="191">
        <v>2.3881000000000001</v>
      </c>
      <c r="J43" s="190"/>
      <c r="K43" s="188">
        <v>1.9129</v>
      </c>
      <c r="L43" s="191">
        <v>2.4241999999999999</v>
      </c>
      <c r="M43" s="189"/>
      <c r="N43" s="188">
        <v>2.4241999999999999</v>
      </c>
      <c r="O43" s="190"/>
      <c r="P43" s="189"/>
      <c r="Q43" s="190"/>
      <c r="R43" s="190"/>
      <c r="S43" s="189"/>
      <c r="T43" s="189"/>
      <c r="U43" s="190"/>
      <c r="V43" s="190"/>
      <c r="W43" s="189"/>
      <c r="X43" s="190"/>
      <c r="Y43" s="190"/>
      <c r="Z43" s="189"/>
      <c r="AA43" s="189"/>
      <c r="AB43" s="190"/>
      <c r="AC43" s="190"/>
      <c r="AD43" s="189"/>
      <c r="AE43" s="190"/>
      <c r="AF43" s="190"/>
      <c r="AG43" s="192"/>
      <c r="AH43" s="192"/>
    </row>
    <row r="44" spans="1:34" ht="15">
      <c r="A44" s="392" t="s">
        <v>206</v>
      </c>
      <c r="B44" s="173" t="s">
        <v>45</v>
      </c>
      <c r="C44" s="174">
        <v>10488</v>
      </c>
      <c r="D44" s="174">
        <v>1748</v>
      </c>
      <c r="E44" s="175"/>
      <c r="F44" s="175"/>
      <c r="G44" s="178">
        <v>1760</v>
      </c>
      <c r="H44" s="178">
        <v>1760</v>
      </c>
      <c r="I44" s="177">
        <v>1760</v>
      </c>
      <c r="J44" s="176"/>
      <c r="K44" s="178">
        <v>1688</v>
      </c>
      <c r="L44" s="177">
        <v>1760</v>
      </c>
      <c r="M44" s="175"/>
      <c r="N44" s="178">
        <v>1760</v>
      </c>
      <c r="O44" s="176"/>
      <c r="P44" s="175"/>
      <c r="Q44" s="176"/>
      <c r="R44" s="176"/>
      <c r="S44" s="175"/>
      <c r="T44" s="175"/>
      <c r="U44" s="176"/>
      <c r="V44" s="176"/>
      <c r="W44" s="175"/>
      <c r="X44" s="176"/>
      <c r="Y44" s="176"/>
      <c r="Z44" s="175"/>
      <c r="AA44" s="175"/>
      <c r="AB44" s="176"/>
      <c r="AC44" s="176"/>
      <c r="AD44" s="175"/>
      <c r="AE44" s="176"/>
      <c r="AF44" s="176"/>
      <c r="AG44" s="179"/>
      <c r="AH44" s="179"/>
    </row>
    <row r="45" spans="1:34" ht="15">
      <c r="A45" s="393"/>
      <c r="B45" s="173" t="s">
        <v>46</v>
      </c>
      <c r="C45" s="174">
        <v>10080</v>
      </c>
      <c r="D45" s="174">
        <v>1680</v>
      </c>
      <c r="E45" s="175"/>
      <c r="F45" s="175"/>
      <c r="G45" s="178">
        <v>1680</v>
      </c>
      <c r="H45" s="178">
        <v>1680</v>
      </c>
      <c r="I45" s="177">
        <v>1680</v>
      </c>
      <c r="J45" s="176"/>
      <c r="K45" s="178">
        <v>1680</v>
      </c>
      <c r="L45" s="177">
        <v>1680</v>
      </c>
      <c r="M45" s="175"/>
      <c r="N45" s="178">
        <v>1680</v>
      </c>
      <c r="O45" s="178">
        <v>1680</v>
      </c>
      <c r="P45" s="177">
        <v>1680</v>
      </c>
      <c r="Q45" s="178">
        <v>1680</v>
      </c>
      <c r="R45" s="178">
        <v>1680</v>
      </c>
      <c r="S45" s="177">
        <v>1680</v>
      </c>
      <c r="T45" s="175"/>
      <c r="U45" s="178">
        <v>1680</v>
      </c>
      <c r="V45" s="178">
        <v>1680</v>
      </c>
      <c r="W45" s="177">
        <v>1680</v>
      </c>
      <c r="X45" s="178">
        <v>1680</v>
      </c>
      <c r="Y45" s="178">
        <v>1680</v>
      </c>
      <c r="Z45" s="175"/>
      <c r="AA45" s="175"/>
      <c r="AB45" s="178">
        <v>1680</v>
      </c>
      <c r="AC45" s="178">
        <v>1680</v>
      </c>
      <c r="AD45" s="177">
        <v>1680</v>
      </c>
      <c r="AE45" s="178">
        <v>1680</v>
      </c>
      <c r="AF45" s="178">
        <v>1680</v>
      </c>
      <c r="AG45" s="179"/>
      <c r="AH45" s="179"/>
    </row>
    <row r="46" spans="1:34" ht="15">
      <c r="A46" s="393"/>
      <c r="B46" s="180" t="s">
        <v>47</v>
      </c>
      <c r="C46" s="181">
        <v>10350</v>
      </c>
      <c r="D46" s="181">
        <v>1725</v>
      </c>
      <c r="E46" s="182"/>
      <c r="F46" s="182"/>
      <c r="G46" s="185">
        <v>1680</v>
      </c>
      <c r="H46" s="185">
        <v>1776</v>
      </c>
      <c r="I46" s="184">
        <v>1680</v>
      </c>
      <c r="J46" s="183"/>
      <c r="K46" s="185">
        <v>1854</v>
      </c>
      <c r="L46" s="184">
        <v>1680</v>
      </c>
      <c r="M46" s="182"/>
      <c r="N46" s="185">
        <v>1680</v>
      </c>
      <c r="O46" s="183"/>
      <c r="P46" s="182"/>
      <c r="Q46" s="183"/>
      <c r="R46" s="183"/>
      <c r="S46" s="182"/>
      <c r="T46" s="182"/>
      <c r="U46" s="183"/>
      <c r="V46" s="183"/>
      <c r="W46" s="182"/>
      <c r="X46" s="183"/>
      <c r="Y46" s="183"/>
      <c r="Z46" s="182"/>
      <c r="AA46" s="182"/>
      <c r="AB46" s="183"/>
      <c r="AC46" s="183"/>
      <c r="AD46" s="182"/>
      <c r="AE46" s="183"/>
      <c r="AF46" s="183"/>
      <c r="AG46" s="186"/>
      <c r="AH46" s="186"/>
    </row>
    <row r="47" spans="1:34" ht="15">
      <c r="A47" s="393"/>
      <c r="B47" s="180" t="s">
        <v>48</v>
      </c>
      <c r="C47" s="181">
        <v>270</v>
      </c>
      <c r="D47" s="181">
        <v>45</v>
      </c>
      <c r="E47" s="182"/>
      <c r="F47" s="182"/>
      <c r="G47" s="185">
        <v>0</v>
      </c>
      <c r="H47" s="185">
        <v>96</v>
      </c>
      <c r="I47" s="184">
        <v>0</v>
      </c>
      <c r="J47" s="183"/>
      <c r="K47" s="185">
        <v>174</v>
      </c>
      <c r="L47" s="184">
        <v>0</v>
      </c>
      <c r="M47" s="182"/>
      <c r="N47" s="185">
        <v>0</v>
      </c>
      <c r="O47" s="183"/>
      <c r="P47" s="182"/>
      <c r="Q47" s="183"/>
      <c r="R47" s="183"/>
      <c r="S47" s="182"/>
      <c r="T47" s="182"/>
      <c r="U47" s="183"/>
      <c r="V47" s="183"/>
      <c r="W47" s="182"/>
      <c r="X47" s="183"/>
      <c r="Y47" s="183"/>
      <c r="Z47" s="182"/>
      <c r="AA47" s="182"/>
      <c r="AB47" s="183"/>
      <c r="AC47" s="183"/>
      <c r="AD47" s="182"/>
      <c r="AE47" s="183"/>
      <c r="AF47" s="183"/>
      <c r="AG47" s="186"/>
      <c r="AH47" s="186"/>
    </row>
    <row r="48" spans="1:34" ht="15">
      <c r="A48" s="393"/>
      <c r="B48" s="180" t="s">
        <v>49</v>
      </c>
      <c r="C48" s="181">
        <v>48</v>
      </c>
      <c r="D48" s="181">
        <v>8</v>
      </c>
      <c r="E48" s="182"/>
      <c r="F48" s="182"/>
      <c r="G48" s="185">
        <v>8</v>
      </c>
      <c r="H48" s="185">
        <v>8</v>
      </c>
      <c r="I48" s="184">
        <v>8</v>
      </c>
      <c r="J48" s="183"/>
      <c r="K48" s="185">
        <v>8</v>
      </c>
      <c r="L48" s="184">
        <v>8</v>
      </c>
      <c r="M48" s="182"/>
      <c r="N48" s="185">
        <v>8</v>
      </c>
      <c r="O48" s="183"/>
      <c r="P48" s="182"/>
      <c r="Q48" s="183"/>
      <c r="R48" s="183"/>
      <c r="S48" s="182"/>
      <c r="T48" s="182"/>
      <c r="U48" s="183"/>
      <c r="V48" s="183"/>
      <c r="W48" s="182"/>
      <c r="X48" s="183"/>
      <c r="Y48" s="183"/>
      <c r="Z48" s="182"/>
      <c r="AA48" s="182"/>
      <c r="AB48" s="183"/>
      <c r="AC48" s="183"/>
      <c r="AD48" s="182"/>
      <c r="AE48" s="183"/>
      <c r="AF48" s="183"/>
      <c r="AG48" s="186"/>
      <c r="AH48" s="186"/>
    </row>
    <row r="49" spans="1:34" ht="15">
      <c r="A49" s="393"/>
      <c r="B49" s="180" t="s">
        <v>50</v>
      </c>
      <c r="C49" s="181">
        <v>66</v>
      </c>
      <c r="D49" s="181">
        <v>66</v>
      </c>
      <c r="E49" s="182"/>
      <c r="F49" s="182"/>
      <c r="G49" s="185">
        <v>67</v>
      </c>
      <c r="H49" s="185">
        <v>68</v>
      </c>
      <c r="I49" s="184">
        <v>64</v>
      </c>
      <c r="J49" s="183"/>
      <c r="K49" s="185">
        <v>67</v>
      </c>
      <c r="L49" s="184">
        <v>68</v>
      </c>
      <c r="M49" s="182"/>
      <c r="N49" s="185">
        <v>66</v>
      </c>
      <c r="O49" s="183"/>
      <c r="P49" s="182"/>
      <c r="Q49" s="183"/>
      <c r="R49" s="183"/>
      <c r="S49" s="182"/>
      <c r="T49" s="182"/>
      <c r="U49" s="183"/>
      <c r="V49" s="183"/>
      <c r="W49" s="182"/>
      <c r="X49" s="183"/>
      <c r="Y49" s="183"/>
      <c r="Z49" s="182"/>
      <c r="AA49" s="182"/>
      <c r="AB49" s="183"/>
      <c r="AC49" s="183"/>
      <c r="AD49" s="182"/>
      <c r="AE49" s="183"/>
      <c r="AF49" s="183"/>
      <c r="AG49" s="186"/>
      <c r="AH49" s="186"/>
    </row>
    <row r="50" spans="1:34" ht="15">
      <c r="A50" s="393"/>
      <c r="B50" s="180" t="s">
        <v>51</v>
      </c>
      <c r="C50" s="181">
        <v>215.625</v>
      </c>
      <c r="D50" s="181">
        <v>215.625</v>
      </c>
      <c r="E50" s="182"/>
      <c r="F50" s="182"/>
      <c r="G50" s="185">
        <v>210</v>
      </c>
      <c r="H50" s="185">
        <v>222</v>
      </c>
      <c r="I50" s="184">
        <v>210</v>
      </c>
      <c r="J50" s="183"/>
      <c r="K50" s="185">
        <v>231.75</v>
      </c>
      <c r="L50" s="184">
        <v>210</v>
      </c>
      <c r="M50" s="182"/>
      <c r="N50" s="185">
        <v>210</v>
      </c>
      <c r="O50" s="183"/>
      <c r="P50" s="182"/>
      <c r="Q50" s="183"/>
      <c r="R50" s="183"/>
      <c r="S50" s="182"/>
      <c r="T50" s="182"/>
      <c r="U50" s="183"/>
      <c r="V50" s="183"/>
      <c r="W50" s="182"/>
      <c r="X50" s="183"/>
      <c r="Y50" s="183"/>
      <c r="Z50" s="182"/>
      <c r="AA50" s="182"/>
      <c r="AB50" s="183"/>
      <c r="AC50" s="183"/>
      <c r="AD50" s="182"/>
      <c r="AE50" s="183"/>
      <c r="AF50" s="183"/>
      <c r="AG50" s="186"/>
      <c r="AH50" s="186"/>
    </row>
    <row r="51" spans="1:34" ht="15">
      <c r="A51" s="394"/>
      <c r="B51" s="187" t="s">
        <v>52</v>
      </c>
      <c r="C51" s="188">
        <v>3.2669999999999999</v>
      </c>
      <c r="D51" s="188">
        <v>3.2669999999999999</v>
      </c>
      <c r="E51" s="189"/>
      <c r="F51" s="189"/>
      <c r="G51" s="188">
        <v>3.1343000000000001</v>
      </c>
      <c r="H51" s="188">
        <v>3.2646999999999999</v>
      </c>
      <c r="I51" s="191">
        <v>3.2812999999999999</v>
      </c>
      <c r="J51" s="190"/>
      <c r="K51" s="188">
        <v>3.4590000000000001</v>
      </c>
      <c r="L51" s="191">
        <v>3.0882000000000001</v>
      </c>
      <c r="M51" s="189"/>
      <c r="N51" s="188">
        <v>3.1818</v>
      </c>
      <c r="O51" s="190"/>
      <c r="P51" s="189"/>
      <c r="Q51" s="190"/>
      <c r="R51" s="190"/>
      <c r="S51" s="189"/>
      <c r="T51" s="189"/>
      <c r="U51" s="190"/>
      <c r="V51" s="190"/>
      <c r="W51" s="189"/>
      <c r="X51" s="190"/>
      <c r="Y51" s="190"/>
      <c r="Z51" s="189"/>
      <c r="AA51" s="189"/>
      <c r="AB51" s="190"/>
      <c r="AC51" s="190"/>
      <c r="AD51" s="189"/>
      <c r="AE51" s="190"/>
      <c r="AF51" s="190"/>
      <c r="AG51" s="192"/>
      <c r="AH51" s="192"/>
    </row>
    <row r="52" spans="1:34" ht="15">
      <c r="A52" s="392" t="s">
        <v>207</v>
      </c>
      <c r="B52" s="173" t="s">
        <v>45</v>
      </c>
      <c r="C52" s="174">
        <v>10560</v>
      </c>
      <c r="D52" s="174">
        <v>1760</v>
      </c>
      <c r="E52" s="175"/>
      <c r="F52" s="175"/>
      <c r="G52" s="178">
        <v>1760</v>
      </c>
      <c r="H52" s="178">
        <v>1760</v>
      </c>
      <c r="I52" s="177">
        <v>1760</v>
      </c>
      <c r="J52" s="176"/>
      <c r="K52" s="178">
        <v>1760</v>
      </c>
      <c r="L52" s="177">
        <v>1760</v>
      </c>
      <c r="M52" s="175"/>
      <c r="N52" s="178">
        <v>1760</v>
      </c>
      <c r="O52" s="176"/>
      <c r="P52" s="175"/>
      <c r="Q52" s="176"/>
      <c r="R52" s="176"/>
      <c r="S52" s="175"/>
      <c r="T52" s="175"/>
      <c r="U52" s="176"/>
      <c r="V52" s="176"/>
      <c r="W52" s="175"/>
      <c r="X52" s="176"/>
      <c r="Y52" s="176"/>
      <c r="Z52" s="175"/>
      <c r="AA52" s="175"/>
      <c r="AB52" s="176"/>
      <c r="AC52" s="176"/>
      <c r="AD52" s="175"/>
      <c r="AE52" s="176"/>
      <c r="AF52" s="176"/>
      <c r="AG52" s="179"/>
      <c r="AH52" s="179"/>
    </row>
    <row r="53" spans="1:34" ht="15">
      <c r="A53" s="393"/>
      <c r="B53" s="173" t="s">
        <v>46</v>
      </c>
      <c r="C53" s="174">
        <v>10080</v>
      </c>
      <c r="D53" s="174">
        <v>1680</v>
      </c>
      <c r="E53" s="175"/>
      <c r="F53" s="175"/>
      <c r="G53" s="178">
        <v>1680</v>
      </c>
      <c r="H53" s="178">
        <v>1680</v>
      </c>
      <c r="I53" s="177">
        <v>1680</v>
      </c>
      <c r="J53" s="176"/>
      <c r="K53" s="178">
        <v>1680</v>
      </c>
      <c r="L53" s="177">
        <v>1680</v>
      </c>
      <c r="M53" s="175"/>
      <c r="N53" s="178">
        <v>1680</v>
      </c>
      <c r="O53" s="178">
        <v>1760</v>
      </c>
      <c r="P53" s="177">
        <v>1760</v>
      </c>
      <c r="Q53" s="178">
        <v>1760</v>
      </c>
      <c r="R53" s="178">
        <v>1760</v>
      </c>
      <c r="S53" s="177">
        <v>1760</v>
      </c>
      <c r="T53" s="175"/>
      <c r="U53" s="178">
        <v>1440</v>
      </c>
      <c r="V53" s="178">
        <v>1440</v>
      </c>
      <c r="W53" s="177">
        <v>1440</v>
      </c>
      <c r="X53" s="178">
        <v>1440</v>
      </c>
      <c r="Y53" s="178">
        <v>1440</v>
      </c>
      <c r="Z53" s="175"/>
      <c r="AA53" s="175"/>
      <c r="AB53" s="178">
        <v>1440</v>
      </c>
      <c r="AC53" s="178">
        <v>1440</v>
      </c>
      <c r="AD53" s="177">
        <v>1440</v>
      </c>
      <c r="AE53" s="178">
        <v>1440</v>
      </c>
      <c r="AF53" s="178">
        <v>1440</v>
      </c>
      <c r="AG53" s="179"/>
      <c r="AH53" s="179"/>
    </row>
    <row r="54" spans="1:34" ht="15">
      <c r="A54" s="393"/>
      <c r="B54" s="180" t="s">
        <v>47</v>
      </c>
      <c r="C54" s="181">
        <v>10180</v>
      </c>
      <c r="D54" s="181">
        <v>1696.6666666666667</v>
      </c>
      <c r="E54" s="182"/>
      <c r="F54" s="182"/>
      <c r="G54" s="185">
        <v>1730</v>
      </c>
      <c r="H54" s="185">
        <v>1680</v>
      </c>
      <c r="I54" s="184">
        <v>1680</v>
      </c>
      <c r="J54" s="183"/>
      <c r="K54" s="185">
        <v>1730</v>
      </c>
      <c r="L54" s="184">
        <v>1680</v>
      </c>
      <c r="M54" s="182"/>
      <c r="N54" s="185">
        <v>1680</v>
      </c>
      <c r="O54" s="183"/>
      <c r="P54" s="182"/>
      <c r="Q54" s="183"/>
      <c r="R54" s="183"/>
      <c r="S54" s="182"/>
      <c r="T54" s="182"/>
      <c r="U54" s="183"/>
      <c r="V54" s="183"/>
      <c r="W54" s="182"/>
      <c r="X54" s="183"/>
      <c r="Y54" s="183"/>
      <c r="Z54" s="182"/>
      <c r="AA54" s="182"/>
      <c r="AB54" s="183"/>
      <c r="AC54" s="183"/>
      <c r="AD54" s="182"/>
      <c r="AE54" s="183"/>
      <c r="AF54" s="183"/>
      <c r="AG54" s="186"/>
      <c r="AH54" s="186"/>
    </row>
    <row r="55" spans="1:34" ht="15">
      <c r="A55" s="393"/>
      <c r="B55" s="180" t="s">
        <v>48</v>
      </c>
      <c r="C55" s="181">
        <v>100</v>
      </c>
      <c r="D55" s="181">
        <v>16.666666666666668</v>
      </c>
      <c r="E55" s="182"/>
      <c r="F55" s="182"/>
      <c r="G55" s="185">
        <v>50</v>
      </c>
      <c r="H55" s="185">
        <v>0</v>
      </c>
      <c r="I55" s="184">
        <v>0</v>
      </c>
      <c r="J55" s="183"/>
      <c r="K55" s="185">
        <v>50</v>
      </c>
      <c r="L55" s="184">
        <v>0</v>
      </c>
      <c r="M55" s="182"/>
      <c r="N55" s="185">
        <v>0</v>
      </c>
      <c r="O55" s="183"/>
      <c r="P55" s="182"/>
      <c r="Q55" s="183"/>
      <c r="R55" s="183"/>
      <c r="S55" s="182"/>
      <c r="T55" s="182"/>
      <c r="U55" s="183"/>
      <c r="V55" s="183"/>
      <c r="W55" s="182"/>
      <c r="X55" s="183"/>
      <c r="Y55" s="183"/>
      <c r="Z55" s="182"/>
      <c r="AA55" s="182"/>
      <c r="AB55" s="183"/>
      <c r="AC55" s="183"/>
      <c r="AD55" s="182"/>
      <c r="AE55" s="183"/>
      <c r="AF55" s="183"/>
      <c r="AG55" s="186"/>
      <c r="AH55" s="186"/>
    </row>
    <row r="56" spans="1:34" ht="15">
      <c r="A56" s="393"/>
      <c r="B56" s="180" t="s">
        <v>49</v>
      </c>
      <c r="C56" s="181">
        <v>48</v>
      </c>
      <c r="D56" s="181">
        <v>8</v>
      </c>
      <c r="E56" s="182"/>
      <c r="F56" s="182"/>
      <c r="G56" s="185">
        <v>8</v>
      </c>
      <c r="H56" s="185">
        <v>8</v>
      </c>
      <c r="I56" s="184">
        <v>8</v>
      </c>
      <c r="J56" s="183"/>
      <c r="K56" s="185">
        <v>8</v>
      </c>
      <c r="L56" s="184">
        <v>8</v>
      </c>
      <c r="M56" s="182"/>
      <c r="N56" s="185">
        <v>8</v>
      </c>
      <c r="O56" s="183"/>
      <c r="P56" s="182"/>
      <c r="Q56" s="183"/>
      <c r="R56" s="183"/>
      <c r="S56" s="182"/>
      <c r="T56" s="182"/>
      <c r="U56" s="183"/>
      <c r="V56" s="183"/>
      <c r="W56" s="182"/>
      <c r="X56" s="183"/>
      <c r="Y56" s="183"/>
      <c r="Z56" s="182"/>
      <c r="AA56" s="182"/>
      <c r="AB56" s="183"/>
      <c r="AC56" s="183"/>
      <c r="AD56" s="182"/>
      <c r="AE56" s="183"/>
      <c r="AF56" s="183"/>
      <c r="AG56" s="186"/>
      <c r="AH56" s="186"/>
    </row>
    <row r="57" spans="1:34" ht="15">
      <c r="A57" s="393"/>
      <c r="B57" s="180" t="s">
        <v>50</v>
      </c>
      <c r="C57" s="181">
        <v>74</v>
      </c>
      <c r="D57" s="181">
        <v>74</v>
      </c>
      <c r="E57" s="182"/>
      <c r="F57" s="182"/>
      <c r="G57" s="185">
        <v>74</v>
      </c>
      <c r="H57" s="185">
        <v>75</v>
      </c>
      <c r="I57" s="184">
        <v>72</v>
      </c>
      <c r="J57" s="183"/>
      <c r="K57" s="185">
        <v>73</v>
      </c>
      <c r="L57" s="184">
        <v>76</v>
      </c>
      <c r="M57" s="182"/>
      <c r="N57" s="185">
        <v>74</v>
      </c>
      <c r="O57" s="183"/>
      <c r="P57" s="182"/>
      <c r="Q57" s="183"/>
      <c r="R57" s="183"/>
      <c r="S57" s="182"/>
      <c r="T57" s="182"/>
      <c r="U57" s="183"/>
      <c r="V57" s="183"/>
      <c r="W57" s="182"/>
      <c r="X57" s="183"/>
      <c r="Y57" s="183"/>
      <c r="Z57" s="182"/>
      <c r="AA57" s="182"/>
      <c r="AB57" s="183"/>
      <c r="AC57" s="183"/>
      <c r="AD57" s="182"/>
      <c r="AE57" s="183"/>
      <c r="AF57" s="183"/>
      <c r="AG57" s="186"/>
      <c r="AH57" s="186"/>
    </row>
    <row r="58" spans="1:34" ht="15">
      <c r="A58" s="393"/>
      <c r="B58" s="180" t="s">
        <v>51</v>
      </c>
      <c r="C58" s="181">
        <v>212.08333333333334</v>
      </c>
      <c r="D58" s="181">
        <v>212.08333333333334</v>
      </c>
      <c r="E58" s="182"/>
      <c r="F58" s="182"/>
      <c r="G58" s="185">
        <v>216.25</v>
      </c>
      <c r="H58" s="185">
        <v>210</v>
      </c>
      <c r="I58" s="184">
        <v>210</v>
      </c>
      <c r="J58" s="183"/>
      <c r="K58" s="185">
        <v>216.25</v>
      </c>
      <c r="L58" s="184">
        <v>210</v>
      </c>
      <c r="M58" s="182"/>
      <c r="N58" s="185">
        <v>210</v>
      </c>
      <c r="O58" s="183"/>
      <c r="P58" s="182"/>
      <c r="Q58" s="183"/>
      <c r="R58" s="183"/>
      <c r="S58" s="182"/>
      <c r="T58" s="182"/>
      <c r="U58" s="183"/>
      <c r="V58" s="183"/>
      <c r="W58" s="182"/>
      <c r="X58" s="183"/>
      <c r="Y58" s="183"/>
      <c r="Z58" s="182"/>
      <c r="AA58" s="182"/>
      <c r="AB58" s="183"/>
      <c r="AC58" s="183"/>
      <c r="AD58" s="182"/>
      <c r="AE58" s="183"/>
      <c r="AF58" s="183"/>
      <c r="AG58" s="186"/>
      <c r="AH58" s="186"/>
    </row>
    <row r="59" spans="1:34" ht="15">
      <c r="A59" s="394"/>
      <c r="B59" s="187" t="s">
        <v>52</v>
      </c>
      <c r="C59" s="188">
        <v>2.8660000000000001</v>
      </c>
      <c r="D59" s="188">
        <v>2.8660000000000001</v>
      </c>
      <c r="E59" s="189"/>
      <c r="F59" s="189"/>
      <c r="G59" s="188">
        <v>2.9222999999999999</v>
      </c>
      <c r="H59" s="188">
        <v>2.8</v>
      </c>
      <c r="I59" s="191">
        <v>2.9167000000000001</v>
      </c>
      <c r="J59" s="190"/>
      <c r="K59" s="188">
        <v>2.9622999999999999</v>
      </c>
      <c r="L59" s="191">
        <v>2.7631999999999999</v>
      </c>
      <c r="M59" s="189"/>
      <c r="N59" s="188">
        <v>2.8378000000000001</v>
      </c>
      <c r="O59" s="190"/>
      <c r="P59" s="189"/>
      <c r="Q59" s="190"/>
      <c r="R59" s="190"/>
      <c r="S59" s="189"/>
      <c r="T59" s="189"/>
      <c r="U59" s="190"/>
      <c r="V59" s="190"/>
      <c r="W59" s="189"/>
      <c r="X59" s="190"/>
      <c r="Y59" s="190"/>
      <c r="Z59" s="189"/>
      <c r="AA59" s="189"/>
      <c r="AB59" s="190"/>
      <c r="AC59" s="190"/>
      <c r="AD59" s="189"/>
      <c r="AE59" s="190"/>
      <c r="AF59" s="190"/>
      <c r="AG59" s="192"/>
      <c r="AH59" s="192"/>
    </row>
    <row r="60" spans="1:34" ht="15">
      <c r="A60" s="392" t="s">
        <v>208</v>
      </c>
      <c r="B60" s="173" t="s">
        <v>45</v>
      </c>
      <c r="C60" s="174">
        <v>7704</v>
      </c>
      <c r="D60" s="174">
        <v>1284</v>
      </c>
      <c r="E60" s="175"/>
      <c r="F60" s="175"/>
      <c r="G60" s="178">
        <v>1280</v>
      </c>
      <c r="H60" s="178">
        <v>1304</v>
      </c>
      <c r="I60" s="177">
        <v>1280</v>
      </c>
      <c r="J60" s="176"/>
      <c r="K60" s="178">
        <v>1280</v>
      </c>
      <c r="L60" s="177">
        <v>1280</v>
      </c>
      <c r="M60" s="175"/>
      <c r="N60" s="178">
        <v>1280</v>
      </c>
      <c r="O60" s="176"/>
      <c r="P60" s="175"/>
      <c r="Q60" s="176"/>
      <c r="R60" s="176"/>
      <c r="S60" s="175"/>
      <c r="T60" s="175"/>
      <c r="U60" s="176"/>
      <c r="V60" s="176"/>
      <c r="W60" s="175"/>
      <c r="X60" s="176"/>
      <c r="Y60" s="176"/>
      <c r="Z60" s="175"/>
      <c r="AA60" s="175"/>
      <c r="AB60" s="176"/>
      <c r="AC60" s="176"/>
      <c r="AD60" s="175"/>
      <c r="AE60" s="176"/>
      <c r="AF60" s="176"/>
      <c r="AG60" s="179"/>
      <c r="AH60" s="179"/>
    </row>
    <row r="61" spans="1:34" ht="15">
      <c r="A61" s="393"/>
      <c r="B61" s="173" t="s">
        <v>46</v>
      </c>
      <c r="C61" s="174">
        <v>8160</v>
      </c>
      <c r="D61" s="174">
        <v>1360</v>
      </c>
      <c r="E61" s="175"/>
      <c r="F61" s="175"/>
      <c r="G61" s="178">
        <v>1440</v>
      </c>
      <c r="H61" s="178">
        <v>1440</v>
      </c>
      <c r="I61" s="177">
        <v>1320</v>
      </c>
      <c r="J61" s="176"/>
      <c r="K61" s="178">
        <v>1320</v>
      </c>
      <c r="L61" s="177">
        <v>1320</v>
      </c>
      <c r="M61" s="175"/>
      <c r="N61" s="178">
        <v>1320</v>
      </c>
      <c r="O61" s="178">
        <v>1320</v>
      </c>
      <c r="P61" s="177">
        <v>1320</v>
      </c>
      <c r="Q61" s="178">
        <v>1440</v>
      </c>
      <c r="R61" s="178">
        <v>1440</v>
      </c>
      <c r="S61" s="177">
        <v>1440</v>
      </c>
      <c r="T61" s="175"/>
      <c r="U61" s="178">
        <v>1440</v>
      </c>
      <c r="V61" s="178">
        <v>1440</v>
      </c>
      <c r="W61" s="177">
        <v>1440</v>
      </c>
      <c r="X61" s="178">
        <v>1440</v>
      </c>
      <c r="Y61" s="178">
        <v>1440</v>
      </c>
      <c r="Z61" s="175"/>
      <c r="AA61" s="175"/>
      <c r="AB61" s="178">
        <v>1440</v>
      </c>
      <c r="AC61" s="178">
        <v>1440</v>
      </c>
      <c r="AD61" s="177">
        <v>1440</v>
      </c>
      <c r="AE61" s="178">
        <v>1440</v>
      </c>
      <c r="AF61" s="178">
        <v>1440</v>
      </c>
      <c r="AG61" s="179"/>
      <c r="AH61" s="179"/>
    </row>
    <row r="62" spans="1:34" ht="15">
      <c r="A62" s="393"/>
      <c r="B62" s="180" t="s">
        <v>47</v>
      </c>
      <c r="C62" s="181">
        <v>8360</v>
      </c>
      <c r="D62" s="181">
        <v>1393.3333333333333</v>
      </c>
      <c r="E62" s="182"/>
      <c r="F62" s="182"/>
      <c r="G62" s="185">
        <v>1490</v>
      </c>
      <c r="H62" s="185">
        <v>1540</v>
      </c>
      <c r="I62" s="184">
        <v>1320</v>
      </c>
      <c r="J62" s="183"/>
      <c r="K62" s="185">
        <v>1370</v>
      </c>
      <c r="L62" s="184">
        <v>1320</v>
      </c>
      <c r="M62" s="182"/>
      <c r="N62" s="185">
        <v>1320</v>
      </c>
      <c r="O62" s="183"/>
      <c r="P62" s="182"/>
      <c r="Q62" s="183"/>
      <c r="R62" s="183"/>
      <c r="S62" s="182"/>
      <c r="T62" s="182"/>
      <c r="U62" s="183"/>
      <c r="V62" s="183"/>
      <c r="W62" s="182"/>
      <c r="X62" s="183"/>
      <c r="Y62" s="183"/>
      <c r="Z62" s="182"/>
      <c r="AA62" s="182"/>
      <c r="AB62" s="183"/>
      <c r="AC62" s="183"/>
      <c r="AD62" s="182"/>
      <c r="AE62" s="183"/>
      <c r="AF62" s="183"/>
      <c r="AG62" s="186"/>
      <c r="AH62" s="186"/>
    </row>
    <row r="63" spans="1:34" ht="15">
      <c r="A63" s="393"/>
      <c r="B63" s="180" t="s">
        <v>48</v>
      </c>
      <c r="C63" s="181">
        <v>200</v>
      </c>
      <c r="D63" s="181">
        <v>33.333333333333336</v>
      </c>
      <c r="E63" s="182"/>
      <c r="F63" s="182"/>
      <c r="G63" s="185">
        <v>50</v>
      </c>
      <c r="H63" s="185">
        <v>100</v>
      </c>
      <c r="I63" s="184">
        <v>0</v>
      </c>
      <c r="J63" s="183"/>
      <c r="K63" s="185">
        <v>50</v>
      </c>
      <c r="L63" s="184">
        <v>0</v>
      </c>
      <c r="M63" s="182"/>
      <c r="N63" s="185">
        <v>0</v>
      </c>
      <c r="O63" s="183"/>
      <c r="P63" s="182"/>
      <c r="Q63" s="183"/>
      <c r="R63" s="183"/>
      <c r="S63" s="182"/>
      <c r="T63" s="182"/>
      <c r="U63" s="183"/>
      <c r="V63" s="183"/>
      <c r="W63" s="182"/>
      <c r="X63" s="183"/>
      <c r="Y63" s="183"/>
      <c r="Z63" s="182"/>
      <c r="AA63" s="182"/>
      <c r="AB63" s="183"/>
      <c r="AC63" s="183"/>
      <c r="AD63" s="182"/>
      <c r="AE63" s="183"/>
      <c r="AF63" s="183"/>
      <c r="AG63" s="186"/>
      <c r="AH63" s="186"/>
    </row>
    <row r="64" spans="1:34" ht="15">
      <c r="A64" s="393"/>
      <c r="B64" s="180" t="s">
        <v>49</v>
      </c>
      <c r="C64" s="181">
        <v>48</v>
      </c>
      <c r="D64" s="181">
        <v>8</v>
      </c>
      <c r="E64" s="182"/>
      <c r="F64" s="182"/>
      <c r="G64" s="185">
        <v>8</v>
      </c>
      <c r="H64" s="185">
        <v>8</v>
      </c>
      <c r="I64" s="184">
        <v>8</v>
      </c>
      <c r="J64" s="183"/>
      <c r="K64" s="185">
        <v>8</v>
      </c>
      <c r="L64" s="184">
        <v>8</v>
      </c>
      <c r="M64" s="182"/>
      <c r="N64" s="185">
        <v>8</v>
      </c>
      <c r="O64" s="183"/>
      <c r="P64" s="182"/>
      <c r="Q64" s="183"/>
      <c r="R64" s="183"/>
      <c r="S64" s="182"/>
      <c r="T64" s="182"/>
      <c r="U64" s="183"/>
      <c r="V64" s="183"/>
      <c r="W64" s="182"/>
      <c r="X64" s="183"/>
      <c r="Y64" s="183"/>
      <c r="Z64" s="182"/>
      <c r="AA64" s="182"/>
      <c r="AB64" s="183"/>
      <c r="AC64" s="183"/>
      <c r="AD64" s="182"/>
      <c r="AE64" s="183"/>
      <c r="AF64" s="183"/>
      <c r="AG64" s="186"/>
      <c r="AH64" s="186"/>
    </row>
    <row r="65" spans="1:34" ht="15">
      <c r="A65" s="393"/>
      <c r="B65" s="180" t="s">
        <v>50</v>
      </c>
      <c r="C65" s="181">
        <v>71</v>
      </c>
      <c r="D65" s="181">
        <v>71</v>
      </c>
      <c r="E65" s="182"/>
      <c r="F65" s="182"/>
      <c r="G65" s="185">
        <v>73</v>
      </c>
      <c r="H65" s="185">
        <v>73</v>
      </c>
      <c r="I65" s="184">
        <v>71</v>
      </c>
      <c r="J65" s="183"/>
      <c r="K65" s="185">
        <v>71</v>
      </c>
      <c r="L65" s="184">
        <v>71</v>
      </c>
      <c r="M65" s="182"/>
      <c r="N65" s="185">
        <v>70</v>
      </c>
      <c r="O65" s="183"/>
      <c r="P65" s="182"/>
      <c r="Q65" s="183"/>
      <c r="R65" s="183"/>
      <c r="S65" s="182"/>
      <c r="T65" s="182"/>
      <c r="U65" s="183"/>
      <c r="V65" s="183"/>
      <c r="W65" s="182"/>
      <c r="X65" s="183"/>
      <c r="Y65" s="183"/>
      <c r="Z65" s="182"/>
      <c r="AA65" s="182"/>
      <c r="AB65" s="183"/>
      <c r="AC65" s="183"/>
      <c r="AD65" s="182"/>
      <c r="AE65" s="183"/>
      <c r="AF65" s="183"/>
      <c r="AG65" s="186"/>
      <c r="AH65" s="186"/>
    </row>
    <row r="66" spans="1:34" ht="15">
      <c r="A66" s="393"/>
      <c r="B66" s="180" t="s">
        <v>51</v>
      </c>
      <c r="C66" s="181">
        <v>174.16666666666666</v>
      </c>
      <c r="D66" s="181">
        <v>174.16666666666666</v>
      </c>
      <c r="E66" s="182"/>
      <c r="F66" s="182"/>
      <c r="G66" s="185">
        <v>186.25</v>
      </c>
      <c r="H66" s="185">
        <v>192.5</v>
      </c>
      <c r="I66" s="184">
        <v>165</v>
      </c>
      <c r="J66" s="183"/>
      <c r="K66" s="185">
        <v>171.25</v>
      </c>
      <c r="L66" s="184">
        <v>165</v>
      </c>
      <c r="M66" s="182"/>
      <c r="N66" s="185">
        <v>165</v>
      </c>
      <c r="O66" s="183"/>
      <c r="P66" s="182"/>
      <c r="Q66" s="183"/>
      <c r="R66" s="183"/>
      <c r="S66" s="182"/>
      <c r="T66" s="182"/>
      <c r="U66" s="183"/>
      <c r="V66" s="183"/>
      <c r="W66" s="182"/>
      <c r="X66" s="183"/>
      <c r="Y66" s="183"/>
      <c r="Z66" s="182"/>
      <c r="AA66" s="182"/>
      <c r="AB66" s="183"/>
      <c r="AC66" s="183"/>
      <c r="AD66" s="182"/>
      <c r="AE66" s="183"/>
      <c r="AF66" s="183"/>
      <c r="AG66" s="186"/>
      <c r="AH66" s="186"/>
    </row>
    <row r="67" spans="1:34" ht="15">
      <c r="A67" s="394"/>
      <c r="B67" s="187" t="s">
        <v>52</v>
      </c>
      <c r="C67" s="188">
        <v>2.4531000000000001</v>
      </c>
      <c r="D67" s="188">
        <v>2.4531000000000001</v>
      </c>
      <c r="E67" s="189"/>
      <c r="F67" s="189"/>
      <c r="G67" s="188">
        <v>2.5514000000000001</v>
      </c>
      <c r="H67" s="188">
        <v>2.637</v>
      </c>
      <c r="I67" s="191">
        <v>2.3239000000000001</v>
      </c>
      <c r="J67" s="190"/>
      <c r="K67" s="188">
        <v>2.4119999999999999</v>
      </c>
      <c r="L67" s="191">
        <v>2.3239000000000001</v>
      </c>
      <c r="M67" s="189"/>
      <c r="N67" s="188">
        <v>2.3571</v>
      </c>
      <c r="O67" s="190"/>
      <c r="P67" s="189"/>
      <c r="Q67" s="190"/>
      <c r="R67" s="190"/>
      <c r="S67" s="189"/>
      <c r="T67" s="189"/>
      <c r="U67" s="190"/>
      <c r="V67" s="190"/>
      <c r="W67" s="189"/>
      <c r="X67" s="190"/>
      <c r="Y67" s="190"/>
      <c r="Z67" s="189"/>
      <c r="AA67" s="189"/>
      <c r="AB67" s="190"/>
      <c r="AC67" s="190"/>
      <c r="AD67" s="189"/>
      <c r="AE67" s="190"/>
      <c r="AF67" s="190"/>
      <c r="AG67" s="192"/>
      <c r="AH67" s="192"/>
    </row>
    <row r="68" spans="1:34" ht="15">
      <c r="A68" s="392" t="s">
        <v>209</v>
      </c>
      <c r="B68" s="173" t="s">
        <v>45</v>
      </c>
      <c r="C68" s="174">
        <v>8640</v>
      </c>
      <c r="D68" s="174">
        <v>1440</v>
      </c>
      <c r="E68" s="175"/>
      <c r="F68" s="175"/>
      <c r="G68" s="178">
        <v>1440</v>
      </c>
      <c r="H68" s="178">
        <v>1440</v>
      </c>
      <c r="I68" s="177">
        <v>1440</v>
      </c>
      <c r="J68" s="176"/>
      <c r="K68" s="178">
        <v>1440</v>
      </c>
      <c r="L68" s="177">
        <v>1440</v>
      </c>
      <c r="M68" s="175"/>
      <c r="N68" s="178">
        <v>1440</v>
      </c>
      <c r="O68" s="176"/>
      <c r="P68" s="175"/>
      <c r="Q68" s="176"/>
      <c r="R68" s="176"/>
      <c r="S68" s="175"/>
      <c r="T68" s="175"/>
      <c r="U68" s="176"/>
      <c r="V68" s="176"/>
      <c r="W68" s="175"/>
      <c r="X68" s="176"/>
      <c r="Y68" s="176"/>
      <c r="Z68" s="175"/>
      <c r="AA68" s="175"/>
      <c r="AB68" s="176"/>
      <c r="AC68" s="176"/>
      <c r="AD68" s="175"/>
      <c r="AE68" s="176"/>
      <c r="AF68" s="176"/>
      <c r="AG68" s="179"/>
      <c r="AH68" s="179"/>
    </row>
    <row r="69" spans="1:34" ht="15">
      <c r="A69" s="393"/>
      <c r="B69" s="173" t="s">
        <v>46</v>
      </c>
      <c r="C69" s="174">
        <v>8640</v>
      </c>
      <c r="D69" s="174">
        <v>1440</v>
      </c>
      <c r="E69" s="175"/>
      <c r="F69" s="175"/>
      <c r="G69" s="178">
        <v>1440</v>
      </c>
      <c r="H69" s="178">
        <v>1440</v>
      </c>
      <c r="I69" s="177">
        <v>1440</v>
      </c>
      <c r="J69" s="176"/>
      <c r="K69" s="178">
        <v>1440</v>
      </c>
      <c r="L69" s="177">
        <v>1440</v>
      </c>
      <c r="M69" s="175"/>
      <c r="N69" s="178">
        <v>1440</v>
      </c>
      <c r="O69" s="178">
        <v>1440</v>
      </c>
      <c r="P69" s="177">
        <v>1440</v>
      </c>
      <c r="Q69" s="178">
        <v>1440</v>
      </c>
      <c r="R69" s="178">
        <v>1440</v>
      </c>
      <c r="S69" s="177">
        <v>1440</v>
      </c>
      <c r="T69" s="175"/>
      <c r="U69" s="178">
        <v>1440</v>
      </c>
      <c r="V69" s="178">
        <v>1440</v>
      </c>
      <c r="W69" s="177">
        <v>1080</v>
      </c>
      <c r="X69" s="178">
        <v>1440</v>
      </c>
      <c r="Y69" s="178">
        <v>1440</v>
      </c>
      <c r="Z69" s="175"/>
      <c r="AA69" s="175"/>
      <c r="AB69" s="178">
        <v>1440</v>
      </c>
      <c r="AC69" s="178">
        <v>1080</v>
      </c>
      <c r="AD69" s="177">
        <v>1440</v>
      </c>
      <c r="AE69" s="178">
        <v>1440</v>
      </c>
      <c r="AF69" s="178">
        <v>1440</v>
      </c>
      <c r="AG69" s="179"/>
      <c r="AH69" s="179"/>
    </row>
    <row r="70" spans="1:34" ht="15">
      <c r="A70" s="393"/>
      <c r="B70" s="180" t="s">
        <v>47</v>
      </c>
      <c r="C70" s="181">
        <v>8610</v>
      </c>
      <c r="D70" s="181">
        <v>1435</v>
      </c>
      <c r="E70" s="182"/>
      <c r="F70" s="182"/>
      <c r="G70" s="185">
        <v>1490</v>
      </c>
      <c r="H70" s="185">
        <v>1490</v>
      </c>
      <c r="I70" s="184">
        <v>1440</v>
      </c>
      <c r="J70" s="183"/>
      <c r="K70" s="185">
        <v>1490</v>
      </c>
      <c r="L70" s="184">
        <v>1260</v>
      </c>
      <c r="M70" s="182"/>
      <c r="N70" s="185">
        <v>1440</v>
      </c>
      <c r="O70" s="183"/>
      <c r="P70" s="182"/>
      <c r="Q70" s="183"/>
      <c r="R70" s="183"/>
      <c r="S70" s="182"/>
      <c r="T70" s="182"/>
      <c r="U70" s="183"/>
      <c r="V70" s="183"/>
      <c r="W70" s="182"/>
      <c r="X70" s="183"/>
      <c r="Y70" s="183"/>
      <c r="Z70" s="182"/>
      <c r="AA70" s="182"/>
      <c r="AB70" s="183"/>
      <c r="AC70" s="183"/>
      <c r="AD70" s="182"/>
      <c r="AE70" s="183"/>
      <c r="AF70" s="183"/>
      <c r="AG70" s="186"/>
      <c r="AH70" s="186"/>
    </row>
    <row r="71" spans="1:34" ht="15">
      <c r="A71" s="393"/>
      <c r="B71" s="180" t="s">
        <v>48</v>
      </c>
      <c r="C71" s="193">
        <v>-30</v>
      </c>
      <c r="D71" s="193">
        <v>-5</v>
      </c>
      <c r="E71" s="182"/>
      <c r="F71" s="182"/>
      <c r="G71" s="185">
        <v>50</v>
      </c>
      <c r="H71" s="185">
        <v>50</v>
      </c>
      <c r="I71" s="184">
        <v>0</v>
      </c>
      <c r="J71" s="183"/>
      <c r="K71" s="185">
        <v>50</v>
      </c>
      <c r="L71" s="182">
        <v>-180</v>
      </c>
      <c r="M71" s="182"/>
      <c r="N71" s="185">
        <v>0</v>
      </c>
      <c r="O71" s="183"/>
      <c r="P71" s="182"/>
      <c r="Q71" s="183"/>
      <c r="R71" s="183"/>
      <c r="S71" s="182"/>
      <c r="T71" s="182"/>
      <c r="U71" s="183"/>
      <c r="V71" s="183"/>
      <c r="W71" s="182"/>
      <c r="X71" s="183"/>
      <c r="Y71" s="183"/>
      <c r="Z71" s="182"/>
      <c r="AA71" s="182"/>
      <c r="AB71" s="183"/>
      <c r="AC71" s="183"/>
      <c r="AD71" s="182"/>
      <c r="AE71" s="183"/>
      <c r="AF71" s="183"/>
      <c r="AG71" s="186"/>
      <c r="AH71" s="186"/>
    </row>
    <row r="72" spans="1:34" ht="15">
      <c r="A72" s="393"/>
      <c r="B72" s="180" t="s">
        <v>49</v>
      </c>
      <c r="C72" s="181">
        <v>48</v>
      </c>
      <c r="D72" s="181">
        <v>8</v>
      </c>
      <c r="E72" s="182"/>
      <c r="F72" s="182"/>
      <c r="G72" s="185">
        <v>8</v>
      </c>
      <c r="H72" s="185">
        <v>8</v>
      </c>
      <c r="I72" s="184">
        <v>8</v>
      </c>
      <c r="J72" s="183"/>
      <c r="K72" s="185">
        <v>8</v>
      </c>
      <c r="L72" s="184">
        <v>8</v>
      </c>
      <c r="M72" s="182"/>
      <c r="N72" s="185">
        <v>8</v>
      </c>
      <c r="O72" s="183"/>
      <c r="P72" s="182"/>
      <c r="Q72" s="183"/>
      <c r="R72" s="183"/>
      <c r="S72" s="182"/>
      <c r="T72" s="182"/>
      <c r="U72" s="183"/>
      <c r="V72" s="183"/>
      <c r="W72" s="182"/>
      <c r="X72" s="183"/>
      <c r="Y72" s="183"/>
      <c r="Z72" s="182"/>
      <c r="AA72" s="182"/>
      <c r="AB72" s="183"/>
      <c r="AC72" s="183"/>
      <c r="AD72" s="182"/>
      <c r="AE72" s="183"/>
      <c r="AF72" s="183"/>
      <c r="AG72" s="186"/>
      <c r="AH72" s="186"/>
    </row>
    <row r="73" spans="1:34" ht="15">
      <c r="A73" s="393"/>
      <c r="B73" s="180" t="s">
        <v>50</v>
      </c>
      <c r="C73" s="181">
        <v>70</v>
      </c>
      <c r="D73" s="181">
        <v>70</v>
      </c>
      <c r="E73" s="182"/>
      <c r="F73" s="182"/>
      <c r="G73" s="185">
        <v>72</v>
      </c>
      <c r="H73" s="185">
        <v>72</v>
      </c>
      <c r="I73" s="184">
        <v>68</v>
      </c>
      <c r="J73" s="183"/>
      <c r="K73" s="185">
        <v>69</v>
      </c>
      <c r="L73" s="184">
        <v>70</v>
      </c>
      <c r="M73" s="182"/>
      <c r="N73" s="185">
        <v>70</v>
      </c>
      <c r="O73" s="183"/>
      <c r="P73" s="182"/>
      <c r="Q73" s="183"/>
      <c r="R73" s="183"/>
      <c r="S73" s="182"/>
      <c r="T73" s="182"/>
      <c r="U73" s="183"/>
      <c r="V73" s="183"/>
      <c r="W73" s="182"/>
      <c r="X73" s="183"/>
      <c r="Y73" s="183"/>
      <c r="Z73" s="182"/>
      <c r="AA73" s="182"/>
      <c r="AB73" s="183"/>
      <c r="AC73" s="183"/>
      <c r="AD73" s="182"/>
      <c r="AE73" s="183"/>
      <c r="AF73" s="183"/>
      <c r="AG73" s="186"/>
      <c r="AH73" s="186"/>
    </row>
    <row r="74" spans="1:34" ht="15">
      <c r="A74" s="393"/>
      <c r="B74" s="180" t="s">
        <v>51</v>
      </c>
      <c r="C74" s="181">
        <v>179.375</v>
      </c>
      <c r="D74" s="181">
        <v>179.375</v>
      </c>
      <c r="E74" s="182"/>
      <c r="F74" s="182"/>
      <c r="G74" s="185">
        <v>186.25</v>
      </c>
      <c r="H74" s="185">
        <v>186.25</v>
      </c>
      <c r="I74" s="184">
        <v>180</v>
      </c>
      <c r="J74" s="183"/>
      <c r="K74" s="185">
        <v>186.25</v>
      </c>
      <c r="L74" s="184">
        <v>157.5</v>
      </c>
      <c r="M74" s="182"/>
      <c r="N74" s="185">
        <v>180</v>
      </c>
      <c r="O74" s="183"/>
      <c r="P74" s="182"/>
      <c r="Q74" s="183"/>
      <c r="R74" s="183"/>
      <c r="S74" s="182"/>
      <c r="T74" s="182"/>
      <c r="U74" s="183"/>
      <c r="V74" s="183"/>
      <c r="W74" s="182"/>
      <c r="X74" s="183"/>
      <c r="Y74" s="183"/>
      <c r="Z74" s="182"/>
      <c r="AA74" s="182"/>
      <c r="AB74" s="183"/>
      <c r="AC74" s="183"/>
      <c r="AD74" s="182"/>
      <c r="AE74" s="183"/>
      <c r="AF74" s="183"/>
      <c r="AG74" s="186"/>
      <c r="AH74" s="186"/>
    </row>
    <row r="75" spans="1:34" ht="15">
      <c r="A75" s="394"/>
      <c r="B75" s="187" t="s">
        <v>52</v>
      </c>
      <c r="C75" s="188">
        <v>2.5625</v>
      </c>
      <c r="D75" s="188">
        <v>2.5625</v>
      </c>
      <c r="E75" s="189"/>
      <c r="F75" s="189"/>
      <c r="G75" s="188">
        <v>2.5868000000000002</v>
      </c>
      <c r="H75" s="188">
        <v>2.5868000000000002</v>
      </c>
      <c r="I75" s="191">
        <v>2.6471</v>
      </c>
      <c r="J75" s="190"/>
      <c r="K75" s="188">
        <v>2.6993</v>
      </c>
      <c r="L75" s="191">
        <v>2.25</v>
      </c>
      <c r="M75" s="189"/>
      <c r="N75" s="188">
        <v>2.5714000000000001</v>
      </c>
      <c r="O75" s="190"/>
      <c r="P75" s="189"/>
      <c r="Q75" s="190"/>
      <c r="R75" s="190"/>
      <c r="S75" s="189"/>
      <c r="T75" s="189"/>
      <c r="U75" s="190"/>
      <c r="V75" s="190"/>
      <c r="W75" s="189"/>
      <c r="X75" s="190"/>
      <c r="Y75" s="190"/>
      <c r="Z75" s="189"/>
      <c r="AA75" s="189"/>
      <c r="AB75" s="190"/>
      <c r="AC75" s="190"/>
      <c r="AD75" s="189"/>
      <c r="AE75" s="190"/>
      <c r="AF75" s="190"/>
      <c r="AG75" s="192"/>
      <c r="AH75" s="192"/>
    </row>
    <row r="76" spans="1:34" ht="15">
      <c r="A76" s="392" t="s">
        <v>210</v>
      </c>
      <c r="B76" s="173" t="s">
        <v>45</v>
      </c>
      <c r="C76" s="174">
        <v>7072</v>
      </c>
      <c r="D76" s="174">
        <v>1178.6666666666667</v>
      </c>
      <c r="E76" s="175"/>
      <c r="F76" s="175"/>
      <c r="G76" s="178">
        <v>1280</v>
      </c>
      <c r="H76" s="178">
        <v>960</v>
      </c>
      <c r="I76" s="177">
        <v>960</v>
      </c>
      <c r="J76" s="176"/>
      <c r="K76" s="178">
        <v>1256</v>
      </c>
      <c r="L76" s="177">
        <v>1256</v>
      </c>
      <c r="M76" s="175"/>
      <c r="N76" s="178">
        <v>1360</v>
      </c>
      <c r="O76" s="176"/>
      <c r="P76" s="175"/>
      <c r="Q76" s="176"/>
      <c r="R76" s="176"/>
      <c r="S76" s="175"/>
      <c r="T76" s="175"/>
      <c r="U76" s="176"/>
      <c r="V76" s="176"/>
      <c r="W76" s="175"/>
      <c r="X76" s="176"/>
      <c r="Y76" s="176"/>
      <c r="Z76" s="175"/>
      <c r="AA76" s="175"/>
      <c r="AB76" s="176"/>
      <c r="AC76" s="176"/>
      <c r="AD76" s="175"/>
      <c r="AE76" s="176"/>
      <c r="AF76" s="176"/>
      <c r="AG76" s="179"/>
      <c r="AH76" s="179"/>
    </row>
    <row r="77" spans="1:34" ht="15">
      <c r="A77" s="393"/>
      <c r="B77" s="173" t="s">
        <v>46</v>
      </c>
      <c r="C77" s="174">
        <v>6440</v>
      </c>
      <c r="D77" s="174">
        <v>1073.3333333333333</v>
      </c>
      <c r="E77" s="175"/>
      <c r="F77" s="175"/>
      <c r="G77" s="178">
        <v>840</v>
      </c>
      <c r="H77" s="178">
        <v>1120</v>
      </c>
      <c r="I77" s="177">
        <v>1120</v>
      </c>
      <c r="J77" s="176"/>
      <c r="K77" s="178">
        <v>1120</v>
      </c>
      <c r="L77" s="177">
        <v>1120</v>
      </c>
      <c r="M77" s="175"/>
      <c r="N77" s="178">
        <v>1120</v>
      </c>
      <c r="O77" s="178">
        <v>1120</v>
      </c>
      <c r="P77" s="177">
        <v>1120</v>
      </c>
      <c r="Q77" s="178">
        <v>1120</v>
      </c>
      <c r="R77" s="178">
        <v>1120</v>
      </c>
      <c r="S77" s="177">
        <v>1120</v>
      </c>
      <c r="T77" s="175"/>
      <c r="U77" s="178">
        <v>1120</v>
      </c>
      <c r="V77" s="178">
        <v>1120</v>
      </c>
      <c r="W77" s="177">
        <v>1120</v>
      </c>
      <c r="X77" s="178">
        <v>1120</v>
      </c>
      <c r="Y77" s="178">
        <v>1380</v>
      </c>
      <c r="Z77" s="175"/>
      <c r="AA77" s="175"/>
      <c r="AB77" s="178">
        <v>1840</v>
      </c>
      <c r="AC77" s="178">
        <v>1680</v>
      </c>
      <c r="AD77" s="177">
        <v>1680</v>
      </c>
      <c r="AE77" s="178">
        <v>1080</v>
      </c>
      <c r="AF77" s="178">
        <v>1080</v>
      </c>
      <c r="AG77" s="179"/>
      <c r="AH77" s="179"/>
    </row>
    <row r="78" spans="1:34" ht="15">
      <c r="A78" s="393"/>
      <c r="B78" s="180" t="s">
        <v>47</v>
      </c>
      <c r="C78" s="181">
        <v>4040</v>
      </c>
      <c r="D78" s="181">
        <v>673.33333333333337</v>
      </c>
      <c r="E78" s="182"/>
      <c r="F78" s="182"/>
      <c r="G78" s="185">
        <v>640</v>
      </c>
      <c r="H78" s="185">
        <v>600</v>
      </c>
      <c r="I78" s="184">
        <v>500</v>
      </c>
      <c r="J78" s="183"/>
      <c r="K78" s="185">
        <v>700</v>
      </c>
      <c r="L78" s="184">
        <v>900</v>
      </c>
      <c r="M78" s="182"/>
      <c r="N78" s="185">
        <v>700</v>
      </c>
      <c r="O78" s="183"/>
      <c r="P78" s="182"/>
      <c r="Q78" s="183"/>
      <c r="R78" s="183"/>
      <c r="S78" s="182"/>
      <c r="T78" s="182"/>
      <c r="U78" s="183"/>
      <c r="V78" s="183"/>
      <c r="W78" s="182"/>
      <c r="X78" s="183"/>
      <c r="Y78" s="183"/>
      <c r="Z78" s="182"/>
      <c r="AA78" s="182"/>
      <c r="AB78" s="183"/>
      <c r="AC78" s="183"/>
      <c r="AD78" s="182"/>
      <c r="AE78" s="183"/>
      <c r="AF78" s="183"/>
      <c r="AG78" s="186"/>
      <c r="AH78" s="186"/>
    </row>
    <row r="79" spans="1:34" ht="15">
      <c r="A79" s="393"/>
      <c r="B79" s="180" t="s">
        <v>48</v>
      </c>
      <c r="C79" s="193">
        <v>-2400</v>
      </c>
      <c r="D79" s="193">
        <v>-400</v>
      </c>
      <c r="E79" s="182"/>
      <c r="F79" s="182"/>
      <c r="G79" s="183">
        <v>-200</v>
      </c>
      <c r="H79" s="183">
        <v>-520</v>
      </c>
      <c r="I79" s="182">
        <v>-620</v>
      </c>
      <c r="J79" s="183"/>
      <c r="K79" s="183">
        <v>-420</v>
      </c>
      <c r="L79" s="182">
        <v>-220</v>
      </c>
      <c r="M79" s="182"/>
      <c r="N79" s="183">
        <v>-420</v>
      </c>
      <c r="O79" s="183"/>
      <c r="P79" s="182"/>
      <c r="Q79" s="183"/>
      <c r="R79" s="183"/>
      <c r="S79" s="182"/>
      <c r="T79" s="182"/>
      <c r="U79" s="183"/>
      <c r="V79" s="183"/>
      <c r="W79" s="182"/>
      <c r="X79" s="183"/>
      <c r="Y79" s="183"/>
      <c r="Z79" s="182"/>
      <c r="AA79" s="182"/>
      <c r="AB79" s="183"/>
      <c r="AC79" s="183"/>
      <c r="AD79" s="182"/>
      <c r="AE79" s="183"/>
      <c r="AF79" s="183"/>
      <c r="AG79" s="186"/>
      <c r="AH79" s="186"/>
    </row>
    <row r="80" spans="1:34" ht="15">
      <c r="A80" s="393"/>
      <c r="B80" s="180" t="s">
        <v>49</v>
      </c>
      <c r="C80" s="181">
        <v>48</v>
      </c>
      <c r="D80" s="181">
        <v>8</v>
      </c>
      <c r="E80" s="182"/>
      <c r="F80" s="182"/>
      <c r="G80" s="185">
        <v>8</v>
      </c>
      <c r="H80" s="185">
        <v>8</v>
      </c>
      <c r="I80" s="184">
        <v>8</v>
      </c>
      <c r="J80" s="183"/>
      <c r="K80" s="185">
        <v>8</v>
      </c>
      <c r="L80" s="184">
        <v>8</v>
      </c>
      <c r="M80" s="182"/>
      <c r="N80" s="185">
        <v>8</v>
      </c>
      <c r="O80" s="183"/>
      <c r="P80" s="182"/>
      <c r="Q80" s="183"/>
      <c r="R80" s="183"/>
      <c r="S80" s="182"/>
      <c r="T80" s="182"/>
      <c r="U80" s="183"/>
      <c r="V80" s="183"/>
      <c r="W80" s="182"/>
      <c r="X80" s="183"/>
      <c r="Y80" s="183"/>
      <c r="Z80" s="182"/>
      <c r="AA80" s="182"/>
      <c r="AB80" s="183"/>
      <c r="AC80" s="183"/>
      <c r="AD80" s="182"/>
      <c r="AE80" s="183"/>
      <c r="AF80" s="183"/>
      <c r="AG80" s="186"/>
      <c r="AH80" s="186"/>
    </row>
    <row r="81" spans="1:34" ht="15">
      <c r="A81" s="393"/>
      <c r="B81" s="180" t="s">
        <v>50</v>
      </c>
      <c r="C81" s="181">
        <v>73</v>
      </c>
      <c r="D81" s="181">
        <v>73</v>
      </c>
      <c r="E81" s="182"/>
      <c r="F81" s="182"/>
      <c r="G81" s="185">
        <v>74</v>
      </c>
      <c r="H81" s="185">
        <v>74</v>
      </c>
      <c r="I81" s="184">
        <v>74</v>
      </c>
      <c r="J81" s="183"/>
      <c r="K81" s="185">
        <v>72</v>
      </c>
      <c r="L81" s="184">
        <v>74</v>
      </c>
      <c r="M81" s="182"/>
      <c r="N81" s="185">
        <v>74</v>
      </c>
      <c r="O81" s="183"/>
      <c r="P81" s="182"/>
      <c r="Q81" s="183"/>
      <c r="R81" s="183"/>
      <c r="S81" s="182"/>
      <c r="T81" s="182"/>
      <c r="U81" s="183"/>
      <c r="V81" s="183"/>
      <c r="W81" s="182"/>
      <c r="X81" s="183"/>
      <c r="Y81" s="183"/>
      <c r="Z81" s="182"/>
      <c r="AA81" s="182"/>
      <c r="AB81" s="183"/>
      <c r="AC81" s="183"/>
      <c r="AD81" s="182"/>
      <c r="AE81" s="183"/>
      <c r="AF81" s="183"/>
      <c r="AG81" s="186"/>
      <c r="AH81" s="186"/>
    </row>
    <row r="82" spans="1:34" ht="15">
      <c r="A82" s="393"/>
      <c r="B82" s="180" t="s">
        <v>51</v>
      </c>
      <c r="C82" s="181">
        <v>84.166666666666671</v>
      </c>
      <c r="D82" s="181">
        <v>84.166666666666671</v>
      </c>
      <c r="E82" s="182"/>
      <c r="F82" s="182"/>
      <c r="G82" s="185">
        <v>80</v>
      </c>
      <c r="H82" s="185">
        <v>75</v>
      </c>
      <c r="I82" s="184">
        <v>62.5</v>
      </c>
      <c r="J82" s="183"/>
      <c r="K82" s="185">
        <v>87.5</v>
      </c>
      <c r="L82" s="184">
        <v>112.5</v>
      </c>
      <c r="M82" s="182"/>
      <c r="N82" s="185">
        <v>87.5</v>
      </c>
      <c r="O82" s="183"/>
      <c r="P82" s="182"/>
      <c r="Q82" s="183"/>
      <c r="R82" s="183"/>
      <c r="S82" s="182"/>
      <c r="T82" s="182"/>
      <c r="U82" s="183"/>
      <c r="V82" s="183"/>
      <c r="W82" s="182"/>
      <c r="X82" s="183"/>
      <c r="Y82" s="183"/>
      <c r="Z82" s="182"/>
      <c r="AA82" s="182"/>
      <c r="AB82" s="183"/>
      <c r="AC82" s="183"/>
      <c r="AD82" s="182"/>
      <c r="AE82" s="183"/>
      <c r="AF82" s="183"/>
      <c r="AG82" s="186"/>
      <c r="AH82" s="186"/>
    </row>
    <row r="83" spans="1:34" ht="15">
      <c r="A83" s="394"/>
      <c r="B83" s="187" t="s">
        <v>52</v>
      </c>
      <c r="C83" s="188">
        <v>1.153</v>
      </c>
      <c r="D83" s="188">
        <v>1.153</v>
      </c>
      <c r="E83" s="189"/>
      <c r="F83" s="189"/>
      <c r="G83" s="188">
        <v>1.0810999999999999</v>
      </c>
      <c r="H83" s="188">
        <v>1.0135000000000001</v>
      </c>
      <c r="I83" s="191">
        <v>0.84460000000000002</v>
      </c>
      <c r="J83" s="190"/>
      <c r="K83" s="188">
        <v>1.2153</v>
      </c>
      <c r="L83" s="191">
        <v>1.5203</v>
      </c>
      <c r="M83" s="189"/>
      <c r="N83" s="188">
        <v>1.1823999999999999</v>
      </c>
      <c r="O83" s="190"/>
      <c r="P83" s="189"/>
      <c r="Q83" s="190"/>
      <c r="R83" s="190"/>
      <c r="S83" s="189"/>
      <c r="T83" s="189"/>
      <c r="U83" s="190"/>
      <c r="V83" s="190"/>
      <c r="W83" s="189"/>
      <c r="X83" s="190"/>
      <c r="Y83" s="190"/>
      <c r="Z83" s="189"/>
      <c r="AA83" s="189"/>
      <c r="AB83" s="190"/>
      <c r="AC83" s="190"/>
      <c r="AD83" s="189"/>
      <c r="AE83" s="190"/>
      <c r="AF83" s="190"/>
      <c r="AG83" s="192"/>
      <c r="AH83" s="192"/>
    </row>
    <row r="84" spans="1:34" ht="15">
      <c r="A84" s="392" t="s">
        <v>211</v>
      </c>
      <c r="B84" s="173" t="s">
        <v>45</v>
      </c>
      <c r="C84" s="174">
        <v>9688</v>
      </c>
      <c r="D84" s="174">
        <v>1614.6666666666667</v>
      </c>
      <c r="E84" s="175"/>
      <c r="F84" s="175"/>
      <c r="G84" s="178">
        <v>1680</v>
      </c>
      <c r="H84" s="178">
        <v>1680</v>
      </c>
      <c r="I84" s="177">
        <v>1688</v>
      </c>
      <c r="J84" s="176"/>
      <c r="K84" s="178">
        <v>1520</v>
      </c>
      <c r="L84" s="177">
        <v>1600</v>
      </c>
      <c r="M84" s="175"/>
      <c r="N84" s="178">
        <v>1520</v>
      </c>
      <c r="O84" s="176"/>
      <c r="P84" s="175"/>
      <c r="Q84" s="176"/>
      <c r="R84" s="176"/>
      <c r="S84" s="175"/>
      <c r="T84" s="175"/>
      <c r="U84" s="176"/>
      <c r="V84" s="176"/>
      <c r="W84" s="175"/>
      <c r="X84" s="176"/>
      <c r="Y84" s="176"/>
      <c r="Z84" s="175"/>
      <c r="AA84" s="175"/>
      <c r="AB84" s="176"/>
      <c r="AC84" s="176"/>
      <c r="AD84" s="175"/>
      <c r="AE84" s="176"/>
      <c r="AF84" s="176"/>
      <c r="AG84" s="179"/>
      <c r="AH84" s="179"/>
    </row>
    <row r="85" spans="1:34" ht="15">
      <c r="A85" s="393"/>
      <c r="B85" s="173" t="s">
        <v>46</v>
      </c>
      <c r="C85" s="174">
        <v>8640</v>
      </c>
      <c r="D85" s="174">
        <v>1440</v>
      </c>
      <c r="E85" s="175"/>
      <c r="F85" s="175"/>
      <c r="G85" s="178">
        <v>1440</v>
      </c>
      <c r="H85" s="178">
        <v>1440</v>
      </c>
      <c r="I85" s="177">
        <v>1440</v>
      </c>
      <c r="J85" s="176"/>
      <c r="K85" s="178">
        <v>1440</v>
      </c>
      <c r="L85" s="177">
        <v>1440</v>
      </c>
      <c r="M85" s="175"/>
      <c r="N85" s="178">
        <v>1440</v>
      </c>
      <c r="O85" s="178">
        <v>1440</v>
      </c>
      <c r="P85" s="177">
        <v>1440</v>
      </c>
      <c r="Q85" s="178">
        <v>1440</v>
      </c>
      <c r="R85" s="178">
        <v>1440</v>
      </c>
      <c r="S85" s="177">
        <v>1440</v>
      </c>
      <c r="T85" s="175"/>
      <c r="U85" s="178">
        <v>1440</v>
      </c>
      <c r="V85" s="178">
        <v>1440</v>
      </c>
      <c r="W85" s="177">
        <v>1440</v>
      </c>
      <c r="X85" s="178">
        <v>1440</v>
      </c>
      <c r="Y85" s="178">
        <v>1440</v>
      </c>
      <c r="Z85" s="175"/>
      <c r="AA85" s="175"/>
      <c r="AB85" s="178">
        <v>1260</v>
      </c>
      <c r="AC85" s="178">
        <v>1680</v>
      </c>
      <c r="AD85" s="177">
        <v>1680</v>
      </c>
      <c r="AE85" s="178">
        <v>1680</v>
      </c>
      <c r="AF85" s="178">
        <v>1680</v>
      </c>
      <c r="AG85" s="179"/>
      <c r="AH85" s="179"/>
    </row>
    <row r="86" spans="1:34" ht="15">
      <c r="A86" s="393"/>
      <c r="B86" s="180" t="s">
        <v>47</v>
      </c>
      <c r="C86" s="181">
        <v>8740</v>
      </c>
      <c r="D86" s="181">
        <v>1456.6666666666667</v>
      </c>
      <c r="E86" s="182"/>
      <c r="F86" s="182"/>
      <c r="G86" s="185">
        <v>1490</v>
      </c>
      <c r="H86" s="185">
        <v>1490</v>
      </c>
      <c r="I86" s="184">
        <v>1440</v>
      </c>
      <c r="J86" s="183"/>
      <c r="K86" s="185">
        <v>1440</v>
      </c>
      <c r="L86" s="184">
        <v>1440</v>
      </c>
      <c r="M86" s="182"/>
      <c r="N86" s="185">
        <v>1440</v>
      </c>
      <c r="O86" s="183"/>
      <c r="P86" s="182"/>
      <c r="Q86" s="183"/>
      <c r="R86" s="183"/>
      <c r="S86" s="182"/>
      <c r="T86" s="182"/>
      <c r="U86" s="183"/>
      <c r="V86" s="183"/>
      <c r="W86" s="182"/>
      <c r="X86" s="183"/>
      <c r="Y86" s="183"/>
      <c r="Z86" s="182"/>
      <c r="AA86" s="182"/>
      <c r="AB86" s="183"/>
      <c r="AC86" s="183"/>
      <c r="AD86" s="182"/>
      <c r="AE86" s="183"/>
      <c r="AF86" s="183"/>
      <c r="AG86" s="186"/>
      <c r="AH86" s="186"/>
    </row>
    <row r="87" spans="1:34" ht="15">
      <c r="A87" s="393"/>
      <c r="B87" s="180" t="s">
        <v>48</v>
      </c>
      <c r="C87" s="181">
        <v>100</v>
      </c>
      <c r="D87" s="181">
        <v>16.666666666666668</v>
      </c>
      <c r="E87" s="182"/>
      <c r="F87" s="182"/>
      <c r="G87" s="185">
        <v>50</v>
      </c>
      <c r="H87" s="185">
        <v>50</v>
      </c>
      <c r="I87" s="184">
        <v>0</v>
      </c>
      <c r="J87" s="183"/>
      <c r="K87" s="185">
        <v>0</v>
      </c>
      <c r="L87" s="184">
        <v>0</v>
      </c>
      <c r="M87" s="182"/>
      <c r="N87" s="185">
        <v>0</v>
      </c>
      <c r="O87" s="183"/>
      <c r="P87" s="182"/>
      <c r="Q87" s="183"/>
      <c r="R87" s="183"/>
      <c r="S87" s="182"/>
      <c r="T87" s="182"/>
      <c r="U87" s="183"/>
      <c r="V87" s="183"/>
      <c r="W87" s="182"/>
      <c r="X87" s="183"/>
      <c r="Y87" s="183"/>
      <c r="Z87" s="182"/>
      <c r="AA87" s="182"/>
      <c r="AB87" s="183"/>
      <c r="AC87" s="183"/>
      <c r="AD87" s="182"/>
      <c r="AE87" s="183"/>
      <c r="AF87" s="183"/>
      <c r="AG87" s="186"/>
      <c r="AH87" s="186"/>
    </row>
    <row r="88" spans="1:34" ht="15">
      <c r="A88" s="393"/>
      <c r="B88" s="180" t="s">
        <v>49</v>
      </c>
      <c r="C88" s="181">
        <v>48</v>
      </c>
      <c r="D88" s="181">
        <v>8</v>
      </c>
      <c r="E88" s="182"/>
      <c r="F88" s="182"/>
      <c r="G88" s="185">
        <v>8</v>
      </c>
      <c r="H88" s="185">
        <v>8</v>
      </c>
      <c r="I88" s="184">
        <v>8</v>
      </c>
      <c r="J88" s="183"/>
      <c r="K88" s="185">
        <v>8</v>
      </c>
      <c r="L88" s="184">
        <v>8</v>
      </c>
      <c r="M88" s="182"/>
      <c r="N88" s="185">
        <v>8</v>
      </c>
      <c r="O88" s="183"/>
      <c r="P88" s="182"/>
      <c r="Q88" s="183"/>
      <c r="R88" s="183"/>
      <c r="S88" s="182"/>
      <c r="T88" s="182"/>
      <c r="U88" s="183"/>
      <c r="V88" s="183"/>
      <c r="W88" s="182"/>
      <c r="X88" s="183"/>
      <c r="Y88" s="183"/>
      <c r="Z88" s="182"/>
      <c r="AA88" s="182"/>
      <c r="AB88" s="183"/>
      <c r="AC88" s="183"/>
      <c r="AD88" s="182"/>
      <c r="AE88" s="183"/>
      <c r="AF88" s="183"/>
      <c r="AG88" s="186"/>
      <c r="AH88" s="186"/>
    </row>
    <row r="89" spans="1:34" ht="15">
      <c r="A89" s="393"/>
      <c r="B89" s="180" t="s">
        <v>50</v>
      </c>
      <c r="C89" s="181">
        <v>64</v>
      </c>
      <c r="D89" s="181">
        <v>64</v>
      </c>
      <c r="E89" s="182"/>
      <c r="F89" s="182"/>
      <c r="G89" s="185">
        <v>65</v>
      </c>
      <c r="H89" s="185">
        <v>66</v>
      </c>
      <c r="I89" s="184">
        <v>62</v>
      </c>
      <c r="J89" s="183"/>
      <c r="K89" s="185">
        <v>64</v>
      </c>
      <c r="L89" s="184">
        <v>66</v>
      </c>
      <c r="M89" s="182"/>
      <c r="N89" s="185">
        <v>65</v>
      </c>
      <c r="O89" s="183"/>
      <c r="P89" s="182"/>
      <c r="Q89" s="183"/>
      <c r="R89" s="183"/>
      <c r="S89" s="182"/>
      <c r="T89" s="182"/>
      <c r="U89" s="183"/>
      <c r="V89" s="183"/>
      <c r="W89" s="182"/>
      <c r="X89" s="183"/>
      <c r="Y89" s="183"/>
      <c r="Z89" s="182"/>
      <c r="AA89" s="182"/>
      <c r="AB89" s="183"/>
      <c r="AC89" s="183"/>
      <c r="AD89" s="182"/>
      <c r="AE89" s="183"/>
      <c r="AF89" s="183"/>
      <c r="AG89" s="186"/>
      <c r="AH89" s="186"/>
    </row>
    <row r="90" spans="1:34" ht="15">
      <c r="A90" s="393"/>
      <c r="B90" s="180" t="s">
        <v>51</v>
      </c>
      <c r="C90" s="181">
        <v>182.08333333333334</v>
      </c>
      <c r="D90" s="181">
        <v>182.08333333333334</v>
      </c>
      <c r="E90" s="182"/>
      <c r="F90" s="182"/>
      <c r="G90" s="185">
        <v>186.25</v>
      </c>
      <c r="H90" s="185">
        <v>186.25</v>
      </c>
      <c r="I90" s="184">
        <v>180</v>
      </c>
      <c r="J90" s="183"/>
      <c r="K90" s="185">
        <v>180</v>
      </c>
      <c r="L90" s="184">
        <v>180</v>
      </c>
      <c r="M90" s="182"/>
      <c r="N90" s="185">
        <v>180</v>
      </c>
      <c r="O90" s="183"/>
      <c r="P90" s="182"/>
      <c r="Q90" s="183"/>
      <c r="R90" s="183"/>
      <c r="S90" s="182"/>
      <c r="T90" s="182"/>
      <c r="U90" s="183"/>
      <c r="V90" s="183"/>
      <c r="W90" s="182"/>
      <c r="X90" s="183"/>
      <c r="Y90" s="183"/>
      <c r="Z90" s="182"/>
      <c r="AA90" s="182"/>
      <c r="AB90" s="183"/>
      <c r="AC90" s="183"/>
      <c r="AD90" s="182"/>
      <c r="AE90" s="183"/>
      <c r="AF90" s="183"/>
      <c r="AG90" s="186"/>
      <c r="AH90" s="186"/>
    </row>
    <row r="91" spans="1:34" ht="15">
      <c r="A91" s="394"/>
      <c r="B91" s="187" t="s">
        <v>52</v>
      </c>
      <c r="C91" s="188">
        <v>2.8451</v>
      </c>
      <c r="D91" s="188">
        <v>2.8451</v>
      </c>
      <c r="E91" s="189"/>
      <c r="F91" s="189"/>
      <c r="G91" s="188">
        <v>2.8654000000000002</v>
      </c>
      <c r="H91" s="188">
        <v>2.8220000000000001</v>
      </c>
      <c r="I91" s="191">
        <v>2.9032</v>
      </c>
      <c r="J91" s="190"/>
      <c r="K91" s="188">
        <v>2.8125</v>
      </c>
      <c r="L91" s="191">
        <v>2.7273000000000001</v>
      </c>
      <c r="M91" s="189"/>
      <c r="N91" s="188">
        <v>2.7692000000000001</v>
      </c>
      <c r="O91" s="190"/>
      <c r="P91" s="189"/>
      <c r="Q91" s="190"/>
      <c r="R91" s="190"/>
      <c r="S91" s="189"/>
      <c r="T91" s="189"/>
      <c r="U91" s="190"/>
      <c r="V91" s="190"/>
      <c r="W91" s="189"/>
      <c r="X91" s="190"/>
      <c r="Y91" s="190"/>
      <c r="Z91" s="189"/>
      <c r="AA91" s="189"/>
      <c r="AB91" s="190"/>
      <c r="AC91" s="190"/>
      <c r="AD91" s="189"/>
      <c r="AE91" s="190"/>
      <c r="AF91" s="190"/>
      <c r="AG91" s="192"/>
      <c r="AH91" s="192"/>
    </row>
    <row r="92" spans="1:34" ht="15">
      <c r="A92" s="392" t="s">
        <v>212</v>
      </c>
      <c r="B92" s="173" t="s">
        <v>45</v>
      </c>
      <c r="C92" s="174">
        <v>9120</v>
      </c>
      <c r="D92" s="174">
        <v>1520</v>
      </c>
      <c r="E92" s="175"/>
      <c r="F92" s="175"/>
      <c r="G92" s="178">
        <v>1520</v>
      </c>
      <c r="H92" s="178">
        <v>1520</v>
      </c>
      <c r="I92" s="177">
        <v>1520</v>
      </c>
      <c r="J92" s="176"/>
      <c r="K92" s="178">
        <v>1520</v>
      </c>
      <c r="L92" s="177">
        <v>1520</v>
      </c>
      <c r="M92" s="175"/>
      <c r="N92" s="178">
        <v>1520</v>
      </c>
      <c r="O92" s="176"/>
      <c r="P92" s="175"/>
      <c r="Q92" s="176"/>
      <c r="R92" s="176"/>
      <c r="S92" s="175"/>
      <c r="T92" s="175"/>
      <c r="U92" s="176"/>
      <c r="V92" s="176"/>
      <c r="W92" s="175"/>
      <c r="X92" s="176"/>
      <c r="Y92" s="176"/>
      <c r="Z92" s="175"/>
      <c r="AA92" s="175"/>
      <c r="AB92" s="176"/>
      <c r="AC92" s="176"/>
      <c r="AD92" s="175"/>
      <c r="AE92" s="176"/>
      <c r="AF92" s="176"/>
      <c r="AG92" s="179"/>
      <c r="AH92" s="179"/>
    </row>
    <row r="93" spans="1:34" ht="15">
      <c r="A93" s="393"/>
      <c r="B93" s="173" t="s">
        <v>46</v>
      </c>
      <c r="C93" s="174">
        <v>8140</v>
      </c>
      <c r="D93" s="174">
        <v>1356.6666666666667</v>
      </c>
      <c r="E93" s="175"/>
      <c r="F93" s="175"/>
      <c r="G93" s="178">
        <v>1440</v>
      </c>
      <c r="H93" s="178">
        <v>1440</v>
      </c>
      <c r="I93" s="177">
        <v>1020</v>
      </c>
      <c r="J93" s="176"/>
      <c r="K93" s="178">
        <v>1360</v>
      </c>
      <c r="L93" s="177">
        <v>1520</v>
      </c>
      <c r="M93" s="175"/>
      <c r="N93" s="178">
        <v>1360</v>
      </c>
      <c r="O93" s="178">
        <v>1360</v>
      </c>
      <c r="P93" s="177">
        <v>1360</v>
      </c>
      <c r="Q93" s="178">
        <v>1360</v>
      </c>
      <c r="R93" s="178">
        <v>1360</v>
      </c>
      <c r="S93" s="177">
        <v>1360</v>
      </c>
      <c r="T93" s="175"/>
      <c r="U93" s="178">
        <v>1360</v>
      </c>
      <c r="V93" s="178">
        <v>1360</v>
      </c>
      <c r="W93" s="177">
        <v>1360</v>
      </c>
      <c r="X93" s="178">
        <v>1360</v>
      </c>
      <c r="Y93" s="178">
        <v>1520</v>
      </c>
      <c r="Z93" s="175"/>
      <c r="AA93" s="175"/>
      <c r="AB93" s="178">
        <v>1520</v>
      </c>
      <c r="AC93" s="178">
        <v>1260</v>
      </c>
      <c r="AD93" s="177">
        <v>1680</v>
      </c>
      <c r="AE93" s="178">
        <v>1680</v>
      </c>
      <c r="AF93" s="178">
        <v>1680</v>
      </c>
      <c r="AG93" s="179"/>
      <c r="AH93" s="179"/>
    </row>
    <row r="94" spans="1:34" ht="15">
      <c r="A94" s="393"/>
      <c r="B94" s="180" t="s">
        <v>47</v>
      </c>
      <c r="C94" s="181">
        <v>7530</v>
      </c>
      <c r="D94" s="181">
        <v>1255</v>
      </c>
      <c r="E94" s="182"/>
      <c r="F94" s="182"/>
      <c r="G94" s="185">
        <v>1440</v>
      </c>
      <c r="H94" s="185">
        <v>1490</v>
      </c>
      <c r="I94" s="184">
        <v>820</v>
      </c>
      <c r="J94" s="183"/>
      <c r="K94" s="185">
        <v>1060</v>
      </c>
      <c r="L94" s="184">
        <v>1360</v>
      </c>
      <c r="M94" s="182"/>
      <c r="N94" s="185">
        <v>1360</v>
      </c>
      <c r="O94" s="183"/>
      <c r="P94" s="182"/>
      <c r="Q94" s="183"/>
      <c r="R94" s="183"/>
      <c r="S94" s="182"/>
      <c r="T94" s="182"/>
      <c r="U94" s="183"/>
      <c r="V94" s="183"/>
      <c r="W94" s="182"/>
      <c r="X94" s="183"/>
      <c r="Y94" s="183"/>
      <c r="Z94" s="182"/>
      <c r="AA94" s="182"/>
      <c r="AB94" s="183"/>
      <c r="AC94" s="183"/>
      <c r="AD94" s="182"/>
      <c r="AE94" s="183"/>
      <c r="AF94" s="183"/>
      <c r="AG94" s="186"/>
      <c r="AH94" s="186"/>
    </row>
    <row r="95" spans="1:34" ht="15">
      <c r="A95" s="393"/>
      <c r="B95" s="180" t="s">
        <v>48</v>
      </c>
      <c r="C95" s="193">
        <v>-610</v>
      </c>
      <c r="D95" s="193">
        <v>-101.66666666666667</v>
      </c>
      <c r="E95" s="182"/>
      <c r="F95" s="182"/>
      <c r="G95" s="185">
        <v>0</v>
      </c>
      <c r="H95" s="185">
        <v>50</v>
      </c>
      <c r="I95" s="182">
        <v>-200</v>
      </c>
      <c r="J95" s="183"/>
      <c r="K95" s="183">
        <v>-300</v>
      </c>
      <c r="L95" s="182">
        <v>-160</v>
      </c>
      <c r="M95" s="182"/>
      <c r="N95" s="185">
        <v>0</v>
      </c>
      <c r="O95" s="183"/>
      <c r="P95" s="182"/>
      <c r="Q95" s="183"/>
      <c r="R95" s="183"/>
      <c r="S95" s="182"/>
      <c r="T95" s="182"/>
      <c r="U95" s="183"/>
      <c r="V95" s="183"/>
      <c r="W95" s="182"/>
      <c r="X95" s="183"/>
      <c r="Y95" s="183"/>
      <c r="Z95" s="182"/>
      <c r="AA95" s="182"/>
      <c r="AB95" s="183"/>
      <c r="AC95" s="183"/>
      <c r="AD95" s="182"/>
      <c r="AE95" s="183"/>
      <c r="AF95" s="183"/>
      <c r="AG95" s="186"/>
      <c r="AH95" s="186"/>
    </row>
    <row r="96" spans="1:34" ht="15">
      <c r="A96" s="393"/>
      <c r="B96" s="180" t="s">
        <v>49</v>
      </c>
      <c r="C96" s="181">
        <v>48</v>
      </c>
      <c r="D96" s="181">
        <v>8</v>
      </c>
      <c r="E96" s="182"/>
      <c r="F96" s="182"/>
      <c r="G96" s="185">
        <v>8</v>
      </c>
      <c r="H96" s="185">
        <v>8</v>
      </c>
      <c r="I96" s="184">
        <v>8</v>
      </c>
      <c r="J96" s="183"/>
      <c r="K96" s="185">
        <v>8</v>
      </c>
      <c r="L96" s="184">
        <v>8</v>
      </c>
      <c r="M96" s="182"/>
      <c r="N96" s="185">
        <v>8</v>
      </c>
      <c r="O96" s="183"/>
      <c r="P96" s="182"/>
      <c r="Q96" s="183"/>
      <c r="R96" s="183"/>
      <c r="S96" s="182"/>
      <c r="T96" s="182"/>
      <c r="U96" s="183"/>
      <c r="V96" s="183"/>
      <c r="W96" s="182"/>
      <c r="X96" s="183"/>
      <c r="Y96" s="183"/>
      <c r="Z96" s="182"/>
      <c r="AA96" s="182"/>
      <c r="AB96" s="183"/>
      <c r="AC96" s="183"/>
      <c r="AD96" s="182"/>
      <c r="AE96" s="183"/>
      <c r="AF96" s="183"/>
      <c r="AG96" s="186"/>
      <c r="AH96" s="186"/>
    </row>
    <row r="97" spans="1:34" ht="15">
      <c r="A97" s="393"/>
      <c r="B97" s="180" t="s">
        <v>50</v>
      </c>
      <c r="C97" s="181">
        <v>68</v>
      </c>
      <c r="D97" s="181">
        <v>68</v>
      </c>
      <c r="E97" s="182"/>
      <c r="F97" s="182"/>
      <c r="G97" s="185">
        <v>69</v>
      </c>
      <c r="H97" s="185">
        <v>70</v>
      </c>
      <c r="I97" s="184">
        <v>70</v>
      </c>
      <c r="J97" s="183"/>
      <c r="K97" s="185">
        <v>64</v>
      </c>
      <c r="L97" s="184">
        <v>70</v>
      </c>
      <c r="M97" s="182"/>
      <c r="N97" s="185">
        <v>70</v>
      </c>
      <c r="O97" s="183"/>
      <c r="P97" s="182"/>
      <c r="Q97" s="183"/>
      <c r="R97" s="183"/>
      <c r="S97" s="182"/>
      <c r="T97" s="182"/>
      <c r="U97" s="183"/>
      <c r="V97" s="183"/>
      <c r="W97" s="182"/>
      <c r="X97" s="183"/>
      <c r="Y97" s="183"/>
      <c r="Z97" s="182"/>
      <c r="AA97" s="182"/>
      <c r="AB97" s="183"/>
      <c r="AC97" s="183"/>
      <c r="AD97" s="182"/>
      <c r="AE97" s="183"/>
      <c r="AF97" s="183"/>
      <c r="AG97" s="186"/>
      <c r="AH97" s="186"/>
    </row>
    <row r="98" spans="1:34" ht="15">
      <c r="A98" s="393"/>
      <c r="B98" s="180" t="s">
        <v>51</v>
      </c>
      <c r="C98" s="181">
        <v>156.875</v>
      </c>
      <c r="D98" s="181">
        <v>156.875</v>
      </c>
      <c r="E98" s="182"/>
      <c r="F98" s="182"/>
      <c r="G98" s="185">
        <v>180</v>
      </c>
      <c r="H98" s="185">
        <v>186.25</v>
      </c>
      <c r="I98" s="184">
        <v>102.5</v>
      </c>
      <c r="J98" s="183"/>
      <c r="K98" s="185">
        <v>132.5</v>
      </c>
      <c r="L98" s="184">
        <v>170</v>
      </c>
      <c r="M98" s="182"/>
      <c r="N98" s="185">
        <v>170</v>
      </c>
      <c r="O98" s="183"/>
      <c r="P98" s="182"/>
      <c r="Q98" s="183"/>
      <c r="R98" s="183"/>
      <c r="S98" s="182"/>
      <c r="T98" s="182"/>
      <c r="U98" s="183"/>
      <c r="V98" s="183"/>
      <c r="W98" s="182"/>
      <c r="X98" s="183"/>
      <c r="Y98" s="183"/>
      <c r="Z98" s="182"/>
      <c r="AA98" s="182"/>
      <c r="AB98" s="183"/>
      <c r="AC98" s="183"/>
      <c r="AD98" s="182"/>
      <c r="AE98" s="183"/>
      <c r="AF98" s="183"/>
      <c r="AG98" s="186"/>
      <c r="AH98" s="186"/>
    </row>
    <row r="99" spans="1:34" ht="15">
      <c r="A99" s="394"/>
      <c r="B99" s="187" t="s">
        <v>52</v>
      </c>
      <c r="C99" s="188">
        <v>2.3069999999999999</v>
      </c>
      <c r="D99" s="188">
        <v>2.3069999999999999</v>
      </c>
      <c r="E99" s="189"/>
      <c r="F99" s="189"/>
      <c r="G99" s="188">
        <v>2.6086999999999998</v>
      </c>
      <c r="H99" s="188">
        <v>2.6606999999999998</v>
      </c>
      <c r="I99" s="191">
        <v>1.4642999999999999</v>
      </c>
      <c r="J99" s="190"/>
      <c r="K99" s="188">
        <v>2.0703</v>
      </c>
      <c r="L99" s="191">
        <v>2.4285999999999999</v>
      </c>
      <c r="M99" s="189"/>
      <c r="N99" s="188">
        <v>2.4285999999999999</v>
      </c>
      <c r="O99" s="190"/>
      <c r="P99" s="189"/>
      <c r="Q99" s="190"/>
      <c r="R99" s="190"/>
      <c r="S99" s="189"/>
      <c r="T99" s="189"/>
      <c r="U99" s="190"/>
      <c r="V99" s="190"/>
      <c r="W99" s="189"/>
      <c r="X99" s="190"/>
      <c r="Y99" s="190"/>
      <c r="Z99" s="189"/>
      <c r="AA99" s="189"/>
      <c r="AB99" s="190"/>
      <c r="AC99" s="190"/>
      <c r="AD99" s="189"/>
      <c r="AE99" s="190"/>
      <c r="AF99" s="190"/>
      <c r="AG99" s="192"/>
      <c r="AH99" s="192"/>
    </row>
    <row r="100" spans="1:34" ht="15">
      <c r="A100" s="392" t="s">
        <v>213</v>
      </c>
      <c r="B100" s="173" t="s">
        <v>45</v>
      </c>
      <c r="C100" s="174">
        <v>10408</v>
      </c>
      <c r="D100" s="174">
        <v>1734.6666666666667</v>
      </c>
      <c r="E100" s="175"/>
      <c r="F100" s="175"/>
      <c r="G100" s="178">
        <v>1704</v>
      </c>
      <c r="H100" s="178">
        <v>1704</v>
      </c>
      <c r="I100" s="177">
        <v>1720</v>
      </c>
      <c r="J100" s="176"/>
      <c r="K100" s="178">
        <v>1760</v>
      </c>
      <c r="L100" s="177">
        <v>1760</v>
      </c>
      <c r="M100" s="175"/>
      <c r="N100" s="178">
        <v>1760</v>
      </c>
      <c r="O100" s="176"/>
      <c r="P100" s="175"/>
      <c r="Q100" s="176"/>
      <c r="R100" s="176"/>
      <c r="S100" s="175"/>
      <c r="T100" s="175"/>
      <c r="U100" s="176"/>
      <c r="V100" s="176"/>
      <c r="W100" s="175"/>
      <c r="X100" s="176"/>
      <c r="Y100" s="176"/>
      <c r="Z100" s="175"/>
      <c r="AA100" s="175"/>
      <c r="AB100" s="176"/>
      <c r="AC100" s="176"/>
      <c r="AD100" s="175"/>
      <c r="AE100" s="176"/>
      <c r="AF100" s="176"/>
      <c r="AG100" s="179"/>
      <c r="AH100" s="179"/>
    </row>
    <row r="101" spans="1:34" ht="15">
      <c r="A101" s="393"/>
      <c r="B101" s="173" t="s">
        <v>46</v>
      </c>
      <c r="C101" s="174">
        <v>7920</v>
      </c>
      <c r="D101" s="174">
        <v>1320</v>
      </c>
      <c r="E101" s="175"/>
      <c r="F101" s="175"/>
      <c r="G101" s="178">
        <v>1320</v>
      </c>
      <c r="H101" s="178">
        <v>1320</v>
      </c>
      <c r="I101" s="177">
        <v>1320</v>
      </c>
      <c r="J101" s="176"/>
      <c r="K101" s="178">
        <v>1320</v>
      </c>
      <c r="L101" s="177">
        <v>1320</v>
      </c>
      <c r="M101" s="175"/>
      <c r="N101" s="178">
        <v>1320</v>
      </c>
      <c r="O101" s="178">
        <v>1320</v>
      </c>
      <c r="P101" s="177">
        <v>1320</v>
      </c>
      <c r="Q101" s="178">
        <v>1320</v>
      </c>
      <c r="R101" s="178">
        <v>1320</v>
      </c>
      <c r="S101" s="177">
        <v>1320</v>
      </c>
      <c r="T101" s="175"/>
      <c r="U101" s="178">
        <v>1320</v>
      </c>
      <c r="V101" s="178">
        <v>1320</v>
      </c>
      <c r="W101" s="177">
        <v>1320</v>
      </c>
      <c r="X101" s="178">
        <v>1320</v>
      </c>
      <c r="Y101" s="178">
        <v>1320</v>
      </c>
      <c r="Z101" s="175"/>
      <c r="AA101" s="175"/>
      <c r="AB101" s="178">
        <v>1320</v>
      </c>
      <c r="AC101" s="178">
        <v>1320</v>
      </c>
      <c r="AD101" s="177">
        <v>1320</v>
      </c>
      <c r="AE101" s="178">
        <v>1320</v>
      </c>
      <c r="AF101" s="178">
        <v>1320</v>
      </c>
      <c r="AG101" s="179"/>
      <c r="AH101" s="179"/>
    </row>
    <row r="102" spans="1:34" ht="15">
      <c r="A102" s="393"/>
      <c r="B102" s="180" t="s">
        <v>47</v>
      </c>
      <c r="C102" s="181">
        <v>9250</v>
      </c>
      <c r="D102" s="181">
        <v>1541.6666666666667</v>
      </c>
      <c r="E102" s="182"/>
      <c r="F102" s="182"/>
      <c r="G102" s="185">
        <v>1752</v>
      </c>
      <c r="H102" s="185">
        <v>1501</v>
      </c>
      <c r="I102" s="184">
        <v>1329</v>
      </c>
      <c r="J102" s="183"/>
      <c r="K102" s="185">
        <v>1908</v>
      </c>
      <c r="L102" s="184">
        <v>1680</v>
      </c>
      <c r="M102" s="182"/>
      <c r="N102" s="185">
        <v>1080</v>
      </c>
      <c r="O102" s="183"/>
      <c r="P102" s="182"/>
      <c r="Q102" s="183"/>
      <c r="R102" s="183"/>
      <c r="S102" s="182"/>
      <c r="T102" s="182"/>
      <c r="U102" s="183"/>
      <c r="V102" s="183"/>
      <c r="W102" s="182"/>
      <c r="X102" s="183"/>
      <c r="Y102" s="183"/>
      <c r="Z102" s="182"/>
      <c r="AA102" s="182"/>
      <c r="AB102" s="183"/>
      <c r="AC102" s="183"/>
      <c r="AD102" s="182"/>
      <c r="AE102" s="183"/>
      <c r="AF102" s="183"/>
      <c r="AG102" s="186"/>
      <c r="AH102" s="186"/>
    </row>
    <row r="103" spans="1:34" ht="15">
      <c r="A103" s="393"/>
      <c r="B103" s="180" t="s">
        <v>48</v>
      </c>
      <c r="C103" s="181">
        <v>1330</v>
      </c>
      <c r="D103" s="181">
        <v>221.66666666666666</v>
      </c>
      <c r="E103" s="182"/>
      <c r="F103" s="182"/>
      <c r="G103" s="185">
        <v>432</v>
      </c>
      <c r="H103" s="185">
        <v>181</v>
      </c>
      <c r="I103" s="184">
        <v>9</v>
      </c>
      <c r="J103" s="183"/>
      <c r="K103" s="185">
        <v>588</v>
      </c>
      <c r="L103" s="184">
        <v>360</v>
      </c>
      <c r="M103" s="182"/>
      <c r="N103" s="183">
        <v>-240</v>
      </c>
      <c r="O103" s="183"/>
      <c r="P103" s="182"/>
      <c r="Q103" s="183"/>
      <c r="R103" s="183"/>
      <c r="S103" s="182"/>
      <c r="T103" s="182"/>
      <c r="U103" s="183"/>
      <c r="V103" s="183"/>
      <c r="W103" s="182"/>
      <c r="X103" s="183"/>
      <c r="Y103" s="183"/>
      <c r="Z103" s="182"/>
      <c r="AA103" s="182"/>
      <c r="AB103" s="183"/>
      <c r="AC103" s="183"/>
      <c r="AD103" s="182"/>
      <c r="AE103" s="183"/>
      <c r="AF103" s="183"/>
      <c r="AG103" s="186"/>
      <c r="AH103" s="186"/>
    </row>
    <row r="104" spans="1:34" ht="15">
      <c r="A104" s="393"/>
      <c r="B104" s="180" t="s">
        <v>49</v>
      </c>
      <c r="C104" s="181">
        <v>48</v>
      </c>
      <c r="D104" s="181">
        <v>8</v>
      </c>
      <c r="E104" s="182"/>
      <c r="F104" s="182"/>
      <c r="G104" s="185">
        <v>8</v>
      </c>
      <c r="H104" s="185">
        <v>8</v>
      </c>
      <c r="I104" s="184">
        <v>8</v>
      </c>
      <c r="J104" s="183"/>
      <c r="K104" s="185">
        <v>8</v>
      </c>
      <c r="L104" s="184">
        <v>8</v>
      </c>
      <c r="M104" s="182"/>
      <c r="N104" s="185">
        <v>8</v>
      </c>
      <c r="O104" s="183"/>
      <c r="P104" s="182"/>
      <c r="Q104" s="183"/>
      <c r="R104" s="183"/>
      <c r="S104" s="182"/>
      <c r="T104" s="182"/>
      <c r="U104" s="183"/>
      <c r="V104" s="183"/>
      <c r="W104" s="182"/>
      <c r="X104" s="183"/>
      <c r="Y104" s="183"/>
      <c r="Z104" s="182"/>
      <c r="AA104" s="182"/>
      <c r="AB104" s="183"/>
      <c r="AC104" s="183"/>
      <c r="AD104" s="182"/>
      <c r="AE104" s="183"/>
      <c r="AF104" s="183"/>
      <c r="AG104" s="186"/>
      <c r="AH104" s="186"/>
    </row>
    <row r="105" spans="1:34" ht="15">
      <c r="A105" s="393"/>
      <c r="B105" s="180" t="s">
        <v>50</v>
      </c>
      <c r="C105" s="181">
        <v>65</v>
      </c>
      <c r="D105" s="181">
        <v>65</v>
      </c>
      <c r="E105" s="182"/>
      <c r="F105" s="182"/>
      <c r="G105" s="185">
        <v>67</v>
      </c>
      <c r="H105" s="185">
        <v>66</v>
      </c>
      <c r="I105" s="184">
        <v>65</v>
      </c>
      <c r="J105" s="183"/>
      <c r="K105" s="185">
        <v>67</v>
      </c>
      <c r="L105" s="184">
        <v>65</v>
      </c>
      <c r="M105" s="182"/>
      <c r="N105" s="185">
        <v>65</v>
      </c>
      <c r="O105" s="183"/>
      <c r="P105" s="182"/>
      <c r="Q105" s="183"/>
      <c r="R105" s="183"/>
      <c r="S105" s="182"/>
      <c r="T105" s="182"/>
      <c r="U105" s="183"/>
      <c r="V105" s="183"/>
      <c r="W105" s="182"/>
      <c r="X105" s="183"/>
      <c r="Y105" s="183"/>
      <c r="Z105" s="182"/>
      <c r="AA105" s="182"/>
      <c r="AB105" s="183"/>
      <c r="AC105" s="183"/>
      <c r="AD105" s="182"/>
      <c r="AE105" s="183"/>
      <c r="AF105" s="183"/>
      <c r="AG105" s="186"/>
      <c r="AH105" s="186"/>
    </row>
    <row r="106" spans="1:34" ht="15">
      <c r="A106" s="393"/>
      <c r="B106" s="180" t="s">
        <v>51</v>
      </c>
      <c r="C106" s="181">
        <v>192.70833333333334</v>
      </c>
      <c r="D106" s="181">
        <v>192.70833333333334</v>
      </c>
      <c r="E106" s="182"/>
      <c r="F106" s="182"/>
      <c r="G106" s="185">
        <v>219</v>
      </c>
      <c r="H106" s="185">
        <v>187.625</v>
      </c>
      <c r="I106" s="184">
        <v>166.125</v>
      </c>
      <c r="J106" s="183"/>
      <c r="K106" s="185">
        <v>238.5</v>
      </c>
      <c r="L106" s="184">
        <v>210</v>
      </c>
      <c r="M106" s="182"/>
      <c r="N106" s="185">
        <v>135</v>
      </c>
      <c r="O106" s="183"/>
      <c r="P106" s="182"/>
      <c r="Q106" s="183"/>
      <c r="R106" s="183"/>
      <c r="S106" s="182"/>
      <c r="T106" s="182"/>
      <c r="U106" s="183"/>
      <c r="V106" s="183"/>
      <c r="W106" s="182"/>
      <c r="X106" s="183"/>
      <c r="Y106" s="183"/>
      <c r="Z106" s="182"/>
      <c r="AA106" s="182"/>
      <c r="AB106" s="183"/>
      <c r="AC106" s="183"/>
      <c r="AD106" s="182"/>
      <c r="AE106" s="183"/>
      <c r="AF106" s="183"/>
      <c r="AG106" s="186"/>
      <c r="AH106" s="186"/>
    </row>
    <row r="107" spans="1:34" ht="15">
      <c r="A107" s="394"/>
      <c r="B107" s="187" t="s">
        <v>52</v>
      </c>
      <c r="C107" s="188">
        <v>2.9647000000000001</v>
      </c>
      <c r="D107" s="188">
        <v>2.9647000000000001</v>
      </c>
      <c r="E107" s="189"/>
      <c r="F107" s="189"/>
      <c r="G107" s="188">
        <v>3.2686999999999999</v>
      </c>
      <c r="H107" s="188">
        <v>2.8428</v>
      </c>
      <c r="I107" s="191">
        <v>2.5558000000000001</v>
      </c>
      <c r="J107" s="190"/>
      <c r="K107" s="188">
        <v>3.5596999999999999</v>
      </c>
      <c r="L107" s="191">
        <v>3.2307999999999999</v>
      </c>
      <c r="M107" s="189"/>
      <c r="N107" s="188">
        <v>2.0769000000000002</v>
      </c>
      <c r="O107" s="190"/>
      <c r="P107" s="189"/>
      <c r="Q107" s="190"/>
      <c r="R107" s="190"/>
      <c r="S107" s="189"/>
      <c r="T107" s="189"/>
      <c r="U107" s="190"/>
      <c r="V107" s="190"/>
      <c r="W107" s="189"/>
      <c r="X107" s="190"/>
      <c r="Y107" s="190"/>
      <c r="Z107" s="189"/>
      <c r="AA107" s="189"/>
      <c r="AB107" s="190"/>
      <c r="AC107" s="190"/>
      <c r="AD107" s="189"/>
      <c r="AE107" s="190"/>
      <c r="AF107" s="190"/>
      <c r="AG107" s="192"/>
      <c r="AH107" s="192"/>
    </row>
    <row r="108" spans="1:34" ht="15">
      <c r="A108" s="392" t="s">
        <v>214</v>
      </c>
      <c r="B108" s="173" t="s">
        <v>45</v>
      </c>
      <c r="C108" s="174">
        <v>7760</v>
      </c>
      <c r="D108" s="174">
        <v>1293.3333333333333</v>
      </c>
      <c r="E108" s="175"/>
      <c r="F108" s="175"/>
      <c r="G108" s="178">
        <v>1288</v>
      </c>
      <c r="H108" s="178">
        <v>1288</v>
      </c>
      <c r="I108" s="177">
        <v>1288</v>
      </c>
      <c r="J108" s="176"/>
      <c r="K108" s="178">
        <v>1296</v>
      </c>
      <c r="L108" s="177">
        <v>1296</v>
      </c>
      <c r="M108" s="175"/>
      <c r="N108" s="178">
        <v>1304</v>
      </c>
      <c r="O108" s="176"/>
      <c r="P108" s="175"/>
      <c r="Q108" s="176"/>
      <c r="R108" s="176"/>
      <c r="S108" s="175"/>
      <c r="T108" s="175"/>
      <c r="U108" s="176"/>
      <c r="V108" s="176"/>
      <c r="W108" s="175"/>
      <c r="X108" s="176"/>
      <c r="Y108" s="176"/>
      <c r="Z108" s="175"/>
      <c r="AA108" s="175"/>
      <c r="AB108" s="176"/>
      <c r="AC108" s="176"/>
      <c r="AD108" s="175"/>
      <c r="AE108" s="176"/>
      <c r="AF108" s="176"/>
      <c r="AG108" s="179"/>
      <c r="AH108" s="179"/>
    </row>
    <row r="109" spans="1:34" ht="15">
      <c r="A109" s="393"/>
      <c r="B109" s="173" t="s">
        <v>46</v>
      </c>
      <c r="C109" s="174">
        <v>8820</v>
      </c>
      <c r="D109" s="174">
        <v>1470</v>
      </c>
      <c r="E109" s="175"/>
      <c r="F109" s="175"/>
      <c r="G109" s="178">
        <v>1600</v>
      </c>
      <c r="H109" s="178">
        <v>1600</v>
      </c>
      <c r="I109" s="177">
        <v>1600</v>
      </c>
      <c r="J109" s="176"/>
      <c r="K109" s="178">
        <v>1260</v>
      </c>
      <c r="L109" s="177">
        <v>1680</v>
      </c>
      <c r="M109" s="175"/>
      <c r="N109" s="178">
        <v>1080</v>
      </c>
      <c r="O109" s="178">
        <v>1080</v>
      </c>
      <c r="P109" s="177">
        <v>1440</v>
      </c>
      <c r="Q109" s="178">
        <v>1440</v>
      </c>
      <c r="R109" s="178">
        <v>1440</v>
      </c>
      <c r="S109" s="177">
        <v>1440</v>
      </c>
      <c r="T109" s="175"/>
      <c r="U109" s="178">
        <v>1440</v>
      </c>
      <c r="V109" s="178">
        <v>1260</v>
      </c>
      <c r="W109" s="177">
        <v>1680</v>
      </c>
      <c r="X109" s="178">
        <v>1680</v>
      </c>
      <c r="Y109" s="178">
        <v>1680</v>
      </c>
      <c r="Z109" s="175"/>
      <c r="AA109" s="175"/>
      <c r="AB109" s="178">
        <v>1680</v>
      </c>
      <c r="AC109" s="178">
        <v>1680</v>
      </c>
      <c r="AD109" s="177">
        <v>1680</v>
      </c>
      <c r="AE109" s="178">
        <v>1680</v>
      </c>
      <c r="AF109" s="178">
        <v>1680</v>
      </c>
      <c r="AG109" s="179"/>
      <c r="AH109" s="179"/>
    </row>
    <row r="110" spans="1:34" ht="15">
      <c r="A110" s="393"/>
      <c r="B110" s="180" t="s">
        <v>47</v>
      </c>
      <c r="C110" s="181">
        <v>7488</v>
      </c>
      <c r="D110" s="181">
        <v>1248</v>
      </c>
      <c r="E110" s="182"/>
      <c r="F110" s="182"/>
      <c r="G110" s="185">
        <v>888</v>
      </c>
      <c r="H110" s="185">
        <v>1320</v>
      </c>
      <c r="I110" s="184">
        <v>1320</v>
      </c>
      <c r="J110" s="183"/>
      <c r="K110" s="185">
        <v>1320</v>
      </c>
      <c r="L110" s="184">
        <v>1320</v>
      </c>
      <c r="M110" s="182"/>
      <c r="N110" s="185">
        <v>1320</v>
      </c>
      <c r="O110" s="183"/>
      <c r="P110" s="182"/>
      <c r="Q110" s="183"/>
      <c r="R110" s="183"/>
      <c r="S110" s="182"/>
      <c r="T110" s="182"/>
      <c r="U110" s="183"/>
      <c r="V110" s="183"/>
      <c r="W110" s="182"/>
      <c r="X110" s="183"/>
      <c r="Y110" s="183"/>
      <c r="Z110" s="182"/>
      <c r="AA110" s="182"/>
      <c r="AB110" s="183"/>
      <c r="AC110" s="183"/>
      <c r="AD110" s="182"/>
      <c r="AE110" s="183"/>
      <c r="AF110" s="183"/>
      <c r="AG110" s="186"/>
      <c r="AH110" s="186"/>
    </row>
    <row r="111" spans="1:34" ht="15">
      <c r="A111" s="393"/>
      <c r="B111" s="180" t="s">
        <v>48</v>
      </c>
      <c r="C111" s="193">
        <v>-1332</v>
      </c>
      <c r="D111" s="193">
        <v>-222</v>
      </c>
      <c r="E111" s="182"/>
      <c r="F111" s="182"/>
      <c r="G111" s="183">
        <v>-712</v>
      </c>
      <c r="H111" s="183">
        <v>-280</v>
      </c>
      <c r="I111" s="182">
        <v>-280</v>
      </c>
      <c r="J111" s="183"/>
      <c r="K111" s="185">
        <v>60</v>
      </c>
      <c r="L111" s="182">
        <v>-360</v>
      </c>
      <c r="M111" s="182"/>
      <c r="N111" s="185">
        <v>240</v>
      </c>
      <c r="O111" s="183"/>
      <c r="P111" s="182"/>
      <c r="Q111" s="183"/>
      <c r="R111" s="183"/>
      <c r="S111" s="182"/>
      <c r="T111" s="182"/>
      <c r="U111" s="183"/>
      <c r="V111" s="183"/>
      <c r="W111" s="182"/>
      <c r="X111" s="183"/>
      <c r="Y111" s="183"/>
      <c r="Z111" s="182"/>
      <c r="AA111" s="182"/>
      <c r="AB111" s="183"/>
      <c r="AC111" s="183"/>
      <c r="AD111" s="182"/>
      <c r="AE111" s="183"/>
      <c r="AF111" s="183"/>
      <c r="AG111" s="186"/>
      <c r="AH111" s="186"/>
    </row>
    <row r="112" spans="1:34" ht="15">
      <c r="A112" s="393"/>
      <c r="B112" s="180" t="s">
        <v>49</v>
      </c>
      <c r="C112" s="181">
        <v>48</v>
      </c>
      <c r="D112" s="181">
        <v>8</v>
      </c>
      <c r="E112" s="182"/>
      <c r="F112" s="182"/>
      <c r="G112" s="185">
        <v>8</v>
      </c>
      <c r="H112" s="185">
        <v>8</v>
      </c>
      <c r="I112" s="184">
        <v>8</v>
      </c>
      <c r="J112" s="183"/>
      <c r="K112" s="185">
        <v>8</v>
      </c>
      <c r="L112" s="184">
        <v>8</v>
      </c>
      <c r="M112" s="182"/>
      <c r="N112" s="185">
        <v>8</v>
      </c>
      <c r="O112" s="183"/>
      <c r="P112" s="182"/>
      <c r="Q112" s="183"/>
      <c r="R112" s="183"/>
      <c r="S112" s="182"/>
      <c r="T112" s="182"/>
      <c r="U112" s="183"/>
      <c r="V112" s="183"/>
      <c r="W112" s="182"/>
      <c r="X112" s="183"/>
      <c r="Y112" s="183"/>
      <c r="Z112" s="182"/>
      <c r="AA112" s="182"/>
      <c r="AB112" s="183"/>
      <c r="AC112" s="183"/>
      <c r="AD112" s="182"/>
      <c r="AE112" s="183"/>
      <c r="AF112" s="183"/>
      <c r="AG112" s="186"/>
      <c r="AH112" s="186"/>
    </row>
    <row r="113" spans="1:34" ht="15">
      <c r="A113" s="393"/>
      <c r="B113" s="180" t="s">
        <v>50</v>
      </c>
      <c r="C113" s="181">
        <v>67</v>
      </c>
      <c r="D113" s="181">
        <v>67</v>
      </c>
      <c r="E113" s="182"/>
      <c r="F113" s="182"/>
      <c r="G113" s="185">
        <v>70</v>
      </c>
      <c r="H113" s="185">
        <v>69</v>
      </c>
      <c r="I113" s="184">
        <v>68</v>
      </c>
      <c r="J113" s="183"/>
      <c r="K113" s="185">
        <v>66</v>
      </c>
      <c r="L113" s="184">
        <v>65</v>
      </c>
      <c r="M113" s="182"/>
      <c r="N113" s="185">
        <v>68</v>
      </c>
      <c r="O113" s="183"/>
      <c r="P113" s="182"/>
      <c r="Q113" s="183"/>
      <c r="R113" s="183"/>
      <c r="S113" s="182"/>
      <c r="T113" s="182"/>
      <c r="U113" s="183"/>
      <c r="V113" s="183"/>
      <c r="W113" s="182"/>
      <c r="X113" s="183"/>
      <c r="Y113" s="183"/>
      <c r="Z113" s="182"/>
      <c r="AA113" s="182"/>
      <c r="AB113" s="183"/>
      <c r="AC113" s="183"/>
      <c r="AD113" s="182"/>
      <c r="AE113" s="183"/>
      <c r="AF113" s="183"/>
      <c r="AG113" s="186"/>
      <c r="AH113" s="186"/>
    </row>
    <row r="114" spans="1:34" ht="15">
      <c r="A114" s="393"/>
      <c r="B114" s="180" t="s">
        <v>51</v>
      </c>
      <c r="C114" s="181">
        <v>156</v>
      </c>
      <c r="D114" s="181">
        <v>156</v>
      </c>
      <c r="E114" s="182"/>
      <c r="F114" s="182"/>
      <c r="G114" s="185">
        <v>111</v>
      </c>
      <c r="H114" s="185">
        <v>165</v>
      </c>
      <c r="I114" s="184">
        <v>165</v>
      </c>
      <c r="J114" s="183"/>
      <c r="K114" s="185">
        <v>165</v>
      </c>
      <c r="L114" s="184">
        <v>165</v>
      </c>
      <c r="M114" s="182"/>
      <c r="N114" s="185">
        <v>165</v>
      </c>
      <c r="O114" s="183"/>
      <c r="P114" s="182"/>
      <c r="Q114" s="183"/>
      <c r="R114" s="183"/>
      <c r="S114" s="182"/>
      <c r="T114" s="182"/>
      <c r="U114" s="183"/>
      <c r="V114" s="183"/>
      <c r="W114" s="182"/>
      <c r="X114" s="183"/>
      <c r="Y114" s="183"/>
      <c r="Z114" s="182"/>
      <c r="AA114" s="182"/>
      <c r="AB114" s="183"/>
      <c r="AC114" s="183"/>
      <c r="AD114" s="182"/>
      <c r="AE114" s="183"/>
      <c r="AF114" s="183"/>
      <c r="AG114" s="186"/>
      <c r="AH114" s="186"/>
    </row>
    <row r="115" spans="1:34" ht="15">
      <c r="A115" s="394"/>
      <c r="B115" s="187" t="s">
        <v>52</v>
      </c>
      <c r="C115" s="188">
        <v>2.3284000000000002</v>
      </c>
      <c r="D115" s="188">
        <v>2.3284000000000002</v>
      </c>
      <c r="E115" s="189"/>
      <c r="F115" s="189"/>
      <c r="G115" s="188">
        <v>1.5857000000000001</v>
      </c>
      <c r="H115" s="188">
        <v>2.3913000000000002</v>
      </c>
      <c r="I115" s="191">
        <v>2.4264999999999999</v>
      </c>
      <c r="J115" s="190"/>
      <c r="K115" s="188">
        <v>2.5</v>
      </c>
      <c r="L115" s="191">
        <v>2.5385</v>
      </c>
      <c r="M115" s="189"/>
      <c r="N115" s="188">
        <v>2.4264999999999999</v>
      </c>
      <c r="O115" s="190"/>
      <c r="P115" s="189"/>
      <c r="Q115" s="190"/>
      <c r="R115" s="190"/>
      <c r="S115" s="189"/>
      <c r="T115" s="189"/>
      <c r="U115" s="190"/>
      <c r="V115" s="190"/>
      <c r="W115" s="189"/>
      <c r="X115" s="190"/>
      <c r="Y115" s="190"/>
      <c r="Z115" s="189"/>
      <c r="AA115" s="189"/>
      <c r="AB115" s="190"/>
      <c r="AC115" s="190"/>
      <c r="AD115" s="189"/>
      <c r="AE115" s="190"/>
      <c r="AF115" s="190"/>
      <c r="AG115" s="192"/>
      <c r="AH115" s="192"/>
    </row>
    <row r="116" spans="1:34" ht="15">
      <c r="A116" s="392" t="s">
        <v>215</v>
      </c>
      <c r="B116" s="173" t="s">
        <v>45</v>
      </c>
      <c r="C116" s="174">
        <v>9520</v>
      </c>
      <c r="D116" s="174">
        <v>1586.6666666666667</v>
      </c>
      <c r="E116" s="175"/>
      <c r="F116" s="175"/>
      <c r="G116" s="178">
        <v>1600</v>
      </c>
      <c r="H116" s="178">
        <v>1600</v>
      </c>
      <c r="I116" s="177">
        <v>1600</v>
      </c>
      <c r="J116" s="176"/>
      <c r="K116" s="178">
        <v>1600</v>
      </c>
      <c r="L116" s="177">
        <v>1600</v>
      </c>
      <c r="M116" s="175"/>
      <c r="N116" s="178">
        <v>1520</v>
      </c>
      <c r="O116" s="176"/>
      <c r="P116" s="175"/>
      <c r="Q116" s="176"/>
      <c r="R116" s="176"/>
      <c r="S116" s="175"/>
      <c r="T116" s="175"/>
      <c r="U116" s="176"/>
      <c r="V116" s="176"/>
      <c r="W116" s="175"/>
      <c r="X116" s="176"/>
      <c r="Y116" s="176"/>
      <c r="Z116" s="175"/>
      <c r="AA116" s="175"/>
      <c r="AB116" s="176"/>
      <c r="AC116" s="176"/>
      <c r="AD116" s="175"/>
      <c r="AE116" s="176"/>
      <c r="AF116" s="176"/>
      <c r="AG116" s="179"/>
      <c r="AH116" s="179"/>
    </row>
    <row r="117" spans="1:34" ht="15">
      <c r="A117" s="393"/>
      <c r="B117" s="173" t="s">
        <v>46</v>
      </c>
      <c r="C117" s="174">
        <v>7620</v>
      </c>
      <c r="D117" s="174">
        <v>1270</v>
      </c>
      <c r="E117" s="175"/>
      <c r="F117" s="175"/>
      <c r="G117" s="178">
        <v>1440</v>
      </c>
      <c r="H117" s="178">
        <v>1440</v>
      </c>
      <c r="I117" s="177">
        <v>1440</v>
      </c>
      <c r="J117" s="176"/>
      <c r="K117" s="178">
        <v>990</v>
      </c>
      <c r="L117" s="177">
        <v>990</v>
      </c>
      <c r="M117" s="175"/>
      <c r="N117" s="178">
        <v>1320</v>
      </c>
      <c r="O117" s="178">
        <v>1320</v>
      </c>
      <c r="P117" s="177">
        <v>1320</v>
      </c>
      <c r="Q117" s="178">
        <v>1320</v>
      </c>
      <c r="R117" s="178">
        <v>1320</v>
      </c>
      <c r="S117" s="177">
        <v>1320</v>
      </c>
      <c r="T117" s="175"/>
      <c r="U117" s="178">
        <v>1320</v>
      </c>
      <c r="V117" s="178">
        <v>1320</v>
      </c>
      <c r="W117" s="177">
        <v>1320</v>
      </c>
      <c r="X117" s="178">
        <v>1320</v>
      </c>
      <c r="Y117" s="178">
        <v>1320</v>
      </c>
      <c r="Z117" s="175"/>
      <c r="AA117" s="175"/>
      <c r="AB117" s="178">
        <v>1260</v>
      </c>
      <c r="AC117" s="178">
        <v>1680</v>
      </c>
      <c r="AD117" s="177">
        <v>1680</v>
      </c>
      <c r="AE117" s="178">
        <v>1680</v>
      </c>
      <c r="AF117" s="178">
        <v>1680</v>
      </c>
      <c r="AG117" s="179"/>
      <c r="AH117" s="179"/>
    </row>
    <row r="118" spans="1:34" ht="15">
      <c r="A118" s="393"/>
      <c r="B118" s="180" t="s">
        <v>47</v>
      </c>
      <c r="C118" s="181">
        <v>7570</v>
      </c>
      <c r="D118" s="181">
        <v>1261.6666666666667</v>
      </c>
      <c r="E118" s="182"/>
      <c r="F118" s="182"/>
      <c r="G118" s="185">
        <v>1008</v>
      </c>
      <c r="H118" s="185">
        <v>1440</v>
      </c>
      <c r="I118" s="184">
        <v>1440</v>
      </c>
      <c r="J118" s="183"/>
      <c r="K118" s="185">
        <v>772</v>
      </c>
      <c r="L118" s="184">
        <v>1590</v>
      </c>
      <c r="M118" s="182"/>
      <c r="N118" s="185">
        <v>1320</v>
      </c>
      <c r="O118" s="183"/>
      <c r="P118" s="182"/>
      <c r="Q118" s="183"/>
      <c r="R118" s="183"/>
      <c r="S118" s="182"/>
      <c r="T118" s="182"/>
      <c r="U118" s="183"/>
      <c r="V118" s="183"/>
      <c r="W118" s="182"/>
      <c r="X118" s="183"/>
      <c r="Y118" s="183"/>
      <c r="Z118" s="182"/>
      <c r="AA118" s="182"/>
      <c r="AB118" s="183"/>
      <c r="AC118" s="183"/>
      <c r="AD118" s="182"/>
      <c r="AE118" s="183"/>
      <c r="AF118" s="183"/>
      <c r="AG118" s="186"/>
      <c r="AH118" s="186"/>
    </row>
    <row r="119" spans="1:34" ht="15">
      <c r="A119" s="393"/>
      <c r="B119" s="180" t="s">
        <v>48</v>
      </c>
      <c r="C119" s="193">
        <v>-50</v>
      </c>
      <c r="D119" s="193">
        <v>-8.3333333333333339</v>
      </c>
      <c r="E119" s="182"/>
      <c r="F119" s="182"/>
      <c r="G119" s="183">
        <v>-432</v>
      </c>
      <c r="H119" s="185">
        <v>0</v>
      </c>
      <c r="I119" s="184">
        <v>0</v>
      </c>
      <c r="J119" s="183"/>
      <c r="K119" s="183">
        <v>-218</v>
      </c>
      <c r="L119" s="184">
        <v>600</v>
      </c>
      <c r="M119" s="182"/>
      <c r="N119" s="185">
        <v>0</v>
      </c>
      <c r="O119" s="183"/>
      <c r="P119" s="182"/>
      <c r="Q119" s="183"/>
      <c r="R119" s="183"/>
      <c r="S119" s="182"/>
      <c r="T119" s="182"/>
      <c r="U119" s="183"/>
      <c r="V119" s="183"/>
      <c r="W119" s="182"/>
      <c r="X119" s="183"/>
      <c r="Y119" s="183"/>
      <c r="Z119" s="182"/>
      <c r="AA119" s="182"/>
      <c r="AB119" s="183"/>
      <c r="AC119" s="183"/>
      <c r="AD119" s="182"/>
      <c r="AE119" s="183"/>
      <c r="AF119" s="183"/>
      <c r="AG119" s="186"/>
      <c r="AH119" s="186"/>
    </row>
    <row r="120" spans="1:34" ht="15">
      <c r="A120" s="393"/>
      <c r="B120" s="180" t="s">
        <v>49</v>
      </c>
      <c r="C120" s="181">
        <v>48</v>
      </c>
      <c r="D120" s="181">
        <v>8</v>
      </c>
      <c r="E120" s="182"/>
      <c r="F120" s="182"/>
      <c r="G120" s="185">
        <v>8</v>
      </c>
      <c r="H120" s="185">
        <v>8</v>
      </c>
      <c r="I120" s="184">
        <v>8</v>
      </c>
      <c r="J120" s="183"/>
      <c r="K120" s="185">
        <v>8</v>
      </c>
      <c r="L120" s="184">
        <v>8</v>
      </c>
      <c r="M120" s="182"/>
      <c r="N120" s="185">
        <v>8</v>
      </c>
      <c r="O120" s="183"/>
      <c r="P120" s="182"/>
      <c r="Q120" s="183"/>
      <c r="R120" s="183"/>
      <c r="S120" s="182"/>
      <c r="T120" s="182"/>
      <c r="U120" s="183"/>
      <c r="V120" s="183"/>
      <c r="W120" s="182"/>
      <c r="X120" s="183"/>
      <c r="Y120" s="183"/>
      <c r="Z120" s="182"/>
      <c r="AA120" s="182"/>
      <c r="AB120" s="183"/>
      <c r="AC120" s="183"/>
      <c r="AD120" s="182"/>
      <c r="AE120" s="183"/>
      <c r="AF120" s="183"/>
      <c r="AG120" s="186"/>
      <c r="AH120" s="186"/>
    </row>
    <row r="121" spans="1:34" ht="15">
      <c r="A121" s="393"/>
      <c r="B121" s="180" t="s">
        <v>50</v>
      </c>
      <c r="C121" s="181">
        <v>66</v>
      </c>
      <c r="D121" s="181">
        <v>66</v>
      </c>
      <c r="E121" s="182"/>
      <c r="F121" s="182"/>
      <c r="G121" s="185">
        <v>66</v>
      </c>
      <c r="H121" s="185">
        <v>66</v>
      </c>
      <c r="I121" s="184">
        <v>66</v>
      </c>
      <c r="J121" s="183"/>
      <c r="K121" s="185">
        <v>66</v>
      </c>
      <c r="L121" s="184">
        <v>66</v>
      </c>
      <c r="M121" s="182"/>
      <c r="N121" s="185">
        <v>67</v>
      </c>
      <c r="O121" s="183"/>
      <c r="P121" s="182"/>
      <c r="Q121" s="183"/>
      <c r="R121" s="183"/>
      <c r="S121" s="182"/>
      <c r="T121" s="182"/>
      <c r="U121" s="183"/>
      <c r="V121" s="183"/>
      <c r="W121" s="182"/>
      <c r="X121" s="183"/>
      <c r="Y121" s="183"/>
      <c r="Z121" s="182"/>
      <c r="AA121" s="182"/>
      <c r="AB121" s="183"/>
      <c r="AC121" s="183"/>
      <c r="AD121" s="182"/>
      <c r="AE121" s="183"/>
      <c r="AF121" s="183"/>
      <c r="AG121" s="186"/>
      <c r="AH121" s="186"/>
    </row>
    <row r="122" spans="1:34" ht="15">
      <c r="A122" s="393"/>
      <c r="B122" s="180" t="s">
        <v>51</v>
      </c>
      <c r="C122" s="181">
        <v>157.70833333333334</v>
      </c>
      <c r="D122" s="181">
        <v>157.70833333333334</v>
      </c>
      <c r="E122" s="182"/>
      <c r="F122" s="182"/>
      <c r="G122" s="185">
        <v>126</v>
      </c>
      <c r="H122" s="185">
        <v>180</v>
      </c>
      <c r="I122" s="184">
        <v>180</v>
      </c>
      <c r="J122" s="183"/>
      <c r="K122" s="185">
        <v>96.5</v>
      </c>
      <c r="L122" s="184">
        <v>198.75</v>
      </c>
      <c r="M122" s="182"/>
      <c r="N122" s="185">
        <v>165</v>
      </c>
      <c r="O122" s="183"/>
      <c r="P122" s="182"/>
      <c r="Q122" s="183"/>
      <c r="R122" s="183"/>
      <c r="S122" s="182"/>
      <c r="T122" s="182"/>
      <c r="U122" s="183"/>
      <c r="V122" s="183"/>
      <c r="W122" s="182"/>
      <c r="X122" s="183"/>
      <c r="Y122" s="183"/>
      <c r="Z122" s="182"/>
      <c r="AA122" s="182"/>
      <c r="AB122" s="183"/>
      <c r="AC122" s="183"/>
      <c r="AD122" s="182"/>
      <c r="AE122" s="183"/>
      <c r="AF122" s="183"/>
      <c r="AG122" s="186"/>
      <c r="AH122" s="186"/>
    </row>
    <row r="123" spans="1:34" ht="15">
      <c r="A123" s="394"/>
      <c r="B123" s="187" t="s">
        <v>52</v>
      </c>
      <c r="C123" s="188">
        <v>2.3895</v>
      </c>
      <c r="D123" s="188">
        <v>2.3895</v>
      </c>
      <c r="E123" s="189"/>
      <c r="F123" s="189"/>
      <c r="G123" s="188">
        <v>1.9091</v>
      </c>
      <c r="H123" s="188">
        <v>2.7273000000000001</v>
      </c>
      <c r="I123" s="191">
        <v>2.7273000000000001</v>
      </c>
      <c r="J123" s="190"/>
      <c r="K123" s="188">
        <v>1.4621</v>
      </c>
      <c r="L123" s="191">
        <v>3.0114000000000001</v>
      </c>
      <c r="M123" s="189"/>
      <c r="N123" s="188">
        <v>2.4626999999999999</v>
      </c>
      <c r="O123" s="190"/>
      <c r="P123" s="189"/>
      <c r="Q123" s="190"/>
      <c r="R123" s="190"/>
      <c r="S123" s="189"/>
      <c r="T123" s="189"/>
      <c r="U123" s="190"/>
      <c r="V123" s="190"/>
      <c r="W123" s="189"/>
      <c r="X123" s="190"/>
      <c r="Y123" s="190"/>
      <c r="Z123" s="189"/>
      <c r="AA123" s="189"/>
      <c r="AB123" s="190"/>
      <c r="AC123" s="190"/>
      <c r="AD123" s="189"/>
      <c r="AE123" s="190"/>
      <c r="AF123" s="190"/>
      <c r="AG123" s="192"/>
      <c r="AH123" s="192"/>
    </row>
    <row r="124" spans="1:34" ht="15">
      <c r="A124" s="392" t="s">
        <v>216</v>
      </c>
      <c r="B124" s="173" t="s">
        <v>45</v>
      </c>
      <c r="C124" s="174">
        <v>9008</v>
      </c>
      <c r="D124" s="174">
        <v>1501.3333333333333</v>
      </c>
      <c r="E124" s="175"/>
      <c r="F124" s="175"/>
      <c r="G124" s="178">
        <v>1600</v>
      </c>
      <c r="H124" s="178">
        <v>1680</v>
      </c>
      <c r="I124" s="177">
        <v>1480</v>
      </c>
      <c r="J124" s="176"/>
      <c r="K124" s="178">
        <v>1408</v>
      </c>
      <c r="L124" s="177">
        <v>1480</v>
      </c>
      <c r="M124" s="175"/>
      <c r="N124" s="178">
        <v>1360</v>
      </c>
      <c r="O124" s="176"/>
      <c r="P124" s="175"/>
      <c r="Q124" s="176"/>
      <c r="R124" s="176"/>
      <c r="S124" s="175"/>
      <c r="T124" s="175"/>
      <c r="U124" s="176"/>
      <c r="V124" s="176"/>
      <c r="W124" s="175"/>
      <c r="X124" s="176"/>
      <c r="Y124" s="176"/>
      <c r="Z124" s="175"/>
      <c r="AA124" s="175"/>
      <c r="AB124" s="176"/>
      <c r="AC124" s="176"/>
      <c r="AD124" s="175"/>
      <c r="AE124" s="176"/>
      <c r="AF124" s="176"/>
      <c r="AG124" s="179"/>
      <c r="AH124" s="179"/>
    </row>
    <row r="125" spans="1:34" ht="15">
      <c r="A125" s="393"/>
      <c r="B125" s="173" t="s">
        <v>46</v>
      </c>
      <c r="C125" s="174">
        <v>7920</v>
      </c>
      <c r="D125" s="174">
        <v>1320</v>
      </c>
      <c r="E125" s="175"/>
      <c r="F125" s="175"/>
      <c r="G125" s="178">
        <v>1320</v>
      </c>
      <c r="H125" s="178">
        <v>1320</v>
      </c>
      <c r="I125" s="177">
        <v>1320</v>
      </c>
      <c r="J125" s="176"/>
      <c r="K125" s="178">
        <v>1320</v>
      </c>
      <c r="L125" s="177">
        <v>1320</v>
      </c>
      <c r="M125" s="175"/>
      <c r="N125" s="178">
        <v>1320</v>
      </c>
      <c r="O125" s="178">
        <v>1320</v>
      </c>
      <c r="P125" s="177">
        <v>1320</v>
      </c>
      <c r="Q125" s="178">
        <v>1320</v>
      </c>
      <c r="R125" s="178">
        <v>1320</v>
      </c>
      <c r="S125" s="177">
        <v>1320</v>
      </c>
      <c r="T125" s="175"/>
      <c r="U125" s="178">
        <v>1320</v>
      </c>
      <c r="V125" s="178">
        <v>1320</v>
      </c>
      <c r="W125" s="177">
        <v>1320</v>
      </c>
      <c r="X125" s="178">
        <v>1320</v>
      </c>
      <c r="Y125" s="178">
        <v>1320</v>
      </c>
      <c r="Z125" s="175"/>
      <c r="AA125" s="175"/>
      <c r="AB125" s="178">
        <v>1320</v>
      </c>
      <c r="AC125" s="178">
        <v>1320</v>
      </c>
      <c r="AD125" s="177">
        <v>1320</v>
      </c>
      <c r="AE125" s="178">
        <v>1320</v>
      </c>
      <c r="AF125" s="178">
        <v>1320</v>
      </c>
      <c r="AG125" s="179"/>
      <c r="AH125" s="179"/>
    </row>
    <row r="126" spans="1:34" ht="15">
      <c r="A126" s="393"/>
      <c r="B126" s="180" t="s">
        <v>47</v>
      </c>
      <c r="C126" s="181">
        <v>7260</v>
      </c>
      <c r="D126" s="181">
        <v>1210</v>
      </c>
      <c r="E126" s="182"/>
      <c r="F126" s="182"/>
      <c r="G126" s="185">
        <v>1600</v>
      </c>
      <c r="H126" s="185">
        <v>1600</v>
      </c>
      <c r="I126" s="184">
        <v>1300</v>
      </c>
      <c r="J126" s="183"/>
      <c r="K126" s="185">
        <v>1320</v>
      </c>
      <c r="L126" s="184">
        <v>160</v>
      </c>
      <c r="M126" s="182"/>
      <c r="N126" s="185">
        <v>1280</v>
      </c>
      <c r="O126" s="183"/>
      <c r="P126" s="182"/>
      <c r="Q126" s="183"/>
      <c r="R126" s="183"/>
      <c r="S126" s="182"/>
      <c r="T126" s="182"/>
      <c r="U126" s="183"/>
      <c r="V126" s="183"/>
      <c r="W126" s="182"/>
      <c r="X126" s="183"/>
      <c r="Y126" s="183"/>
      <c r="Z126" s="182"/>
      <c r="AA126" s="182"/>
      <c r="AB126" s="183"/>
      <c r="AC126" s="183"/>
      <c r="AD126" s="182"/>
      <c r="AE126" s="183"/>
      <c r="AF126" s="183"/>
      <c r="AG126" s="186"/>
      <c r="AH126" s="186"/>
    </row>
    <row r="127" spans="1:34" ht="15">
      <c r="A127" s="393"/>
      <c r="B127" s="180" t="s">
        <v>48</v>
      </c>
      <c r="C127" s="193">
        <v>-660</v>
      </c>
      <c r="D127" s="193">
        <v>-110</v>
      </c>
      <c r="E127" s="182"/>
      <c r="F127" s="182"/>
      <c r="G127" s="185">
        <v>280</v>
      </c>
      <c r="H127" s="185">
        <v>280</v>
      </c>
      <c r="I127" s="182">
        <v>-20</v>
      </c>
      <c r="J127" s="183"/>
      <c r="K127" s="185">
        <v>0</v>
      </c>
      <c r="L127" s="182">
        <v>-1160</v>
      </c>
      <c r="M127" s="182"/>
      <c r="N127" s="183">
        <v>-40</v>
      </c>
      <c r="O127" s="183"/>
      <c r="P127" s="182"/>
      <c r="Q127" s="183"/>
      <c r="R127" s="183"/>
      <c r="S127" s="182"/>
      <c r="T127" s="182"/>
      <c r="U127" s="183"/>
      <c r="V127" s="183"/>
      <c r="W127" s="182"/>
      <c r="X127" s="183"/>
      <c r="Y127" s="183"/>
      <c r="Z127" s="182"/>
      <c r="AA127" s="182"/>
      <c r="AB127" s="183"/>
      <c r="AC127" s="183"/>
      <c r="AD127" s="182"/>
      <c r="AE127" s="183"/>
      <c r="AF127" s="183"/>
      <c r="AG127" s="186"/>
      <c r="AH127" s="186"/>
    </row>
    <row r="128" spans="1:34" ht="15">
      <c r="A128" s="393"/>
      <c r="B128" s="180" t="s">
        <v>49</v>
      </c>
      <c r="C128" s="181">
        <v>48</v>
      </c>
      <c r="D128" s="181">
        <v>8</v>
      </c>
      <c r="E128" s="182"/>
      <c r="F128" s="182"/>
      <c r="G128" s="185">
        <v>8</v>
      </c>
      <c r="H128" s="185">
        <v>8</v>
      </c>
      <c r="I128" s="184">
        <v>8</v>
      </c>
      <c r="J128" s="183"/>
      <c r="K128" s="185">
        <v>8</v>
      </c>
      <c r="L128" s="184">
        <v>8</v>
      </c>
      <c r="M128" s="182"/>
      <c r="N128" s="185">
        <v>8</v>
      </c>
      <c r="O128" s="183"/>
      <c r="P128" s="182"/>
      <c r="Q128" s="183"/>
      <c r="R128" s="183"/>
      <c r="S128" s="182"/>
      <c r="T128" s="182"/>
      <c r="U128" s="183"/>
      <c r="V128" s="183"/>
      <c r="W128" s="182"/>
      <c r="X128" s="183"/>
      <c r="Y128" s="183"/>
      <c r="Z128" s="182"/>
      <c r="AA128" s="182"/>
      <c r="AB128" s="183"/>
      <c r="AC128" s="183"/>
      <c r="AD128" s="182"/>
      <c r="AE128" s="183"/>
      <c r="AF128" s="183"/>
      <c r="AG128" s="186"/>
      <c r="AH128" s="186"/>
    </row>
    <row r="129" spans="1:34" ht="15">
      <c r="A129" s="393"/>
      <c r="B129" s="180" t="s">
        <v>50</v>
      </c>
      <c r="C129" s="181">
        <v>80</v>
      </c>
      <c r="D129" s="181">
        <v>80</v>
      </c>
      <c r="E129" s="182"/>
      <c r="F129" s="182"/>
      <c r="G129" s="185">
        <v>81</v>
      </c>
      <c r="H129" s="185">
        <v>81</v>
      </c>
      <c r="I129" s="184">
        <v>79</v>
      </c>
      <c r="J129" s="183"/>
      <c r="K129" s="185">
        <v>81</v>
      </c>
      <c r="L129" s="184">
        <v>80</v>
      </c>
      <c r="M129" s="182"/>
      <c r="N129" s="185">
        <v>81</v>
      </c>
      <c r="O129" s="183"/>
      <c r="P129" s="182"/>
      <c r="Q129" s="183"/>
      <c r="R129" s="183"/>
      <c r="S129" s="182"/>
      <c r="T129" s="182"/>
      <c r="U129" s="183"/>
      <c r="V129" s="183"/>
      <c r="W129" s="182"/>
      <c r="X129" s="183"/>
      <c r="Y129" s="183"/>
      <c r="Z129" s="182"/>
      <c r="AA129" s="182"/>
      <c r="AB129" s="183"/>
      <c r="AC129" s="183"/>
      <c r="AD129" s="182"/>
      <c r="AE129" s="183"/>
      <c r="AF129" s="183"/>
      <c r="AG129" s="186"/>
      <c r="AH129" s="186"/>
    </row>
    <row r="130" spans="1:34" ht="15">
      <c r="A130" s="393"/>
      <c r="B130" s="180" t="s">
        <v>51</v>
      </c>
      <c r="C130" s="181">
        <v>151.25</v>
      </c>
      <c r="D130" s="181">
        <v>151.25</v>
      </c>
      <c r="E130" s="182"/>
      <c r="F130" s="182"/>
      <c r="G130" s="185">
        <v>200</v>
      </c>
      <c r="H130" s="185">
        <v>200</v>
      </c>
      <c r="I130" s="184">
        <v>162.5</v>
      </c>
      <c r="J130" s="183"/>
      <c r="K130" s="185">
        <v>165</v>
      </c>
      <c r="L130" s="184">
        <v>20</v>
      </c>
      <c r="M130" s="182"/>
      <c r="N130" s="185">
        <v>160</v>
      </c>
      <c r="O130" s="183"/>
      <c r="P130" s="182"/>
      <c r="Q130" s="183"/>
      <c r="R130" s="183"/>
      <c r="S130" s="182"/>
      <c r="T130" s="182"/>
      <c r="U130" s="183"/>
      <c r="V130" s="183"/>
      <c r="W130" s="182"/>
      <c r="X130" s="183"/>
      <c r="Y130" s="183"/>
      <c r="Z130" s="182"/>
      <c r="AA130" s="182"/>
      <c r="AB130" s="183"/>
      <c r="AC130" s="183"/>
      <c r="AD130" s="182"/>
      <c r="AE130" s="183"/>
      <c r="AF130" s="183"/>
      <c r="AG130" s="186"/>
      <c r="AH130" s="186"/>
    </row>
    <row r="131" spans="1:34" ht="15">
      <c r="A131" s="394"/>
      <c r="B131" s="187" t="s">
        <v>52</v>
      </c>
      <c r="C131" s="188">
        <v>1.8906000000000001</v>
      </c>
      <c r="D131" s="188">
        <v>1.8906000000000001</v>
      </c>
      <c r="E131" s="189"/>
      <c r="F131" s="189"/>
      <c r="G131" s="188">
        <v>2.4691000000000001</v>
      </c>
      <c r="H131" s="188">
        <v>2.4691000000000001</v>
      </c>
      <c r="I131" s="191">
        <v>2.0569999999999999</v>
      </c>
      <c r="J131" s="190"/>
      <c r="K131" s="188">
        <v>2.0369999999999999</v>
      </c>
      <c r="L131" s="191">
        <v>0.25</v>
      </c>
      <c r="M131" s="189"/>
      <c r="N131" s="188">
        <v>1.9752999999999998</v>
      </c>
      <c r="O131" s="190"/>
      <c r="P131" s="189"/>
      <c r="Q131" s="190"/>
      <c r="R131" s="190"/>
      <c r="S131" s="189"/>
      <c r="T131" s="189"/>
      <c r="U131" s="190"/>
      <c r="V131" s="190"/>
      <c r="W131" s="189"/>
      <c r="X131" s="190"/>
      <c r="Y131" s="190"/>
      <c r="Z131" s="189"/>
      <c r="AA131" s="189"/>
      <c r="AB131" s="190"/>
      <c r="AC131" s="190"/>
      <c r="AD131" s="189"/>
      <c r="AE131" s="190"/>
      <c r="AF131" s="190"/>
      <c r="AG131" s="192"/>
      <c r="AH131" s="192"/>
    </row>
    <row r="132" spans="1:34" ht="15">
      <c r="A132" s="392" t="s">
        <v>217</v>
      </c>
      <c r="B132" s="173" t="s">
        <v>45</v>
      </c>
      <c r="C132" s="174">
        <v>10136</v>
      </c>
      <c r="D132" s="174">
        <v>1689.3333333333333</v>
      </c>
      <c r="E132" s="175"/>
      <c r="F132" s="175"/>
      <c r="G132" s="178">
        <v>1760</v>
      </c>
      <c r="H132" s="178">
        <v>1680</v>
      </c>
      <c r="I132" s="177">
        <v>1760</v>
      </c>
      <c r="J132" s="176"/>
      <c r="K132" s="178">
        <v>1760</v>
      </c>
      <c r="L132" s="177">
        <v>1576</v>
      </c>
      <c r="M132" s="175"/>
      <c r="N132" s="178">
        <v>1600</v>
      </c>
      <c r="O132" s="176"/>
      <c r="P132" s="175"/>
      <c r="Q132" s="176"/>
      <c r="R132" s="176"/>
      <c r="S132" s="175"/>
      <c r="T132" s="175"/>
      <c r="U132" s="176"/>
      <c r="V132" s="176"/>
      <c r="W132" s="175"/>
      <c r="X132" s="176"/>
      <c r="Y132" s="176"/>
      <c r="Z132" s="175"/>
      <c r="AA132" s="175"/>
      <c r="AB132" s="176"/>
      <c r="AC132" s="176"/>
      <c r="AD132" s="175"/>
      <c r="AE132" s="176"/>
      <c r="AF132" s="176"/>
      <c r="AG132" s="179"/>
      <c r="AH132" s="179"/>
    </row>
    <row r="133" spans="1:34" ht="15">
      <c r="A133" s="393"/>
      <c r="B133" s="173" t="s">
        <v>46</v>
      </c>
      <c r="C133" s="174">
        <v>9180</v>
      </c>
      <c r="D133" s="174">
        <v>1530</v>
      </c>
      <c r="E133" s="175"/>
      <c r="F133" s="175"/>
      <c r="G133" s="178">
        <v>1260</v>
      </c>
      <c r="H133" s="178">
        <v>1680</v>
      </c>
      <c r="I133" s="177">
        <v>1680</v>
      </c>
      <c r="J133" s="176"/>
      <c r="K133" s="178">
        <v>1680</v>
      </c>
      <c r="L133" s="177">
        <v>1440</v>
      </c>
      <c r="M133" s="175"/>
      <c r="N133" s="178">
        <v>1440</v>
      </c>
      <c r="O133" s="178">
        <v>1440</v>
      </c>
      <c r="P133" s="177">
        <v>1440</v>
      </c>
      <c r="Q133" s="178">
        <v>1440</v>
      </c>
      <c r="R133" s="178">
        <v>1440</v>
      </c>
      <c r="S133" s="177">
        <v>1440</v>
      </c>
      <c r="T133" s="175"/>
      <c r="U133" s="178">
        <v>1200</v>
      </c>
      <c r="V133" s="178">
        <v>1600</v>
      </c>
      <c r="W133" s="177">
        <v>1600</v>
      </c>
      <c r="X133" s="178">
        <v>1600</v>
      </c>
      <c r="Y133" s="178">
        <v>1600</v>
      </c>
      <c r="Z133" s="175"/>
      <c r="AA133" s="175"/>
      <c r="AB133" s="178">
        <v>1260</v>
      </c>
      <c r="AC133" s="178">
        <v>1680</v>
      </c>
      <c r="AD133" s="177">
        <v>1680</v>
      </c>
      <c r="AE133" s="178">
        <v>1680</v>
      </c>
      <c r="AF133" s="178">
        <v>1680</v>
      </c>
      <c r="AG133" s="179"/>
      <c r="AH133" s="179"/>
    </row>
    <row r="134" spans="1:34" ht="15">
      <c r="A134" s="393"/>
      <c r="B134" s="180" t="s">
        <v>47</v>
      </c>
      <c r="C134" s="181">
        <v>10017</v>
      </c>
      <c r="D134" s="181">
        <v>1669.5</v>
      </c>
      <c r="E134" s="182"/>
      <c r="F134" s="182"/>
      <c r="G134" s="185">
        <v>1692</v>
      </c>
      <c r="H134" s="185">
        <v>1684</v>
      </c>
      <c r="I134" s="184">
        <v>1681</v>
      </c>
      <c r="J134" s="183"/>
      <c r="K134" s="185">
        <v>1680</v>
      </c>
      <c r="L134" s="184">
        <v>1840</v>
      </c>
      <c r="M134" s="182"/>
      <c r="N134" s="185">
        <v>1440</v>
      </c>
      <c r="O134" s="183"/>
      <c r="P134" s="182"/>
      <c r="Q134" s="183"/>
      <c r="R134" s="183"/>
      <c r="S134" s="182"/>
      <c r="T134" s="182"/>
      <c r="U134" s="183"/>
      <c r="V134" s="183"/>
      <c r="W134" s="182"/>
      <c r="X134" s="183"/>
      <c r="Y134" s="183"/>
      <c r="Z134" s="182"/>
      <c r="AA134" s="182"/>
      <c r="AB134" s="183"/>
      <c r="AC134" s="183"/>
      <c r="AD134" s="182"/>
      <c r="AE134" s="183"/>
      <c r="AF134" s="183"/>
      <c r="AG134" s="186"/>
      <c r="AH134" s="186"/>
    </row>
    <row r="135" spans="1:34" ht="15">
      <c r="A135" s="393"/>
      <c r="B135" s="180" t="s">
        <v>48</v>
      </c>
      <c r="C135" s="181">
        <v>837</v>
      </c>
      <c r="D135" s="181">
        <v>139.5</v>
      </c>
      <c r="E135" s="182"/>
      <c r="F135" s="182"/>
      <c r="G135" s="185">
        <v>432</v>
      </c>
      <c r="H135" s="185">
        <v>4</v>
      </c>
      <c r="I135" s="184">
        <v>1</v>
      </c>
      <c r="J135" s="183"/>
      <c r="K135" s="185">
        <v>0</v>
      </c>
      <c r="L135" s="184">
        <v>400</v>
      </c>
      <c r="M135" s="182"/>
      <c r="N135" s="185">
        <v>0</v>
      </c>
      <c r="O135" s="183"/>
      <c r="P135" s="182"/>
      <c r="Q135" s="183"/>
      <c r="R135" s="183"/>
      <c r="S135" s="182"/>
      <c r="T135" s="182"/>
      <c r="U135" s="183"/>
      <c r="V135" s="183"/>
      <c r="W135" s="182"/>
      <c r="X135" s="183"/>
      <c r="Y135" s="183"/>
      <c r="Z135" s="182"/>
      <c r="AA135" s="182"/>
      <c r="AB135" s="183"/>
      <c r="AC135" s="183"/>
      <c r="AD135" s="182"/>
      <c r="AE135" s="183"/>
      <c r="AF135" s="183"/>
      <c r="AG135" s="186"/>
      <c r="AH135" s="186"/>
    </row>
    <row r="136" spans="1:34" ht="15">
      <c r="A136" s="393"/>
      <c r="B136" s="180" t="s">
        <v>49</v>
      </c>
      <c r="C136" s="181">
        <v>48</v>
      </c>
      <c r="D136" s="181">
        <v>8</v>
      </c>
      <c r="E136" s="182"/>
      <c r="F136" s="182"/>
      <c r="G136" s="185">
        <v>8</v>
      </c>
      <c r="H136" s="185">
        <v>8</v>
      </c>
      <c r="I136" s="184">
        <v>8</v>
      </c>
      <c r="J136" s="183"/>
      <c r="K136" s="185">
        <v>8</v>
      </c>
      <c r="L136" s="184">
        <v>8</v>
      </c>
      <c r="M136" s="182"/>
      <c r="N136" s="185">
        <v>8</v>
      </c>
      <c r="O136" s="183"/>
      <c r="P136" s="182"/>
      <c r="Q136" s="183"/>
      <c r="R136" s="183"/>
      <c r="S136" s="182"/>
      <c r="T136" s="182"/>
      <c r="U136" s="183"/>
      <c r="V136" s="183"/>
      <c r="W136" s="182"/>
      <c r="X136" s="183"/>
      <c r="Y136" s="183"/>
      <c r="Z136" s="182"/>
      <c r="AA136" s="182"/>
      <c r="AB136" s="183"/>
      <c r="AC136" s="183"/>
      <c r="AD136" s="182"/>
      <c r="AE136" s="183"/>
      <c r="AF136" s="183"/>
      <c r="AG136" s="186"/>
      <c r="AH136" s="186"/>
    </row>
    <row r="137" spans="1:34" ht="15">
      <c r="A137" s="393"/>
      <c r="B137" s="180" t="s">
        <v>50</v>
      </c>
      <c r="C137" s="181">
        <v>72</v>
      </c>
      <c r="D137" s="181">
        <v>72</v>
      </c>
      <c r="E137" s="182"/>
      <c r="F137" s="182"/>
      <c r="G137" s="185">
        <v>72</v>
      </c>
      <c r="H137" s="185">
        <v>72</v>
      </c>
      <c r="I137" s="184">
        <v>73</v>
      </c>
      <c r="J137" s="183"/>
      <c r="K137" s="185">
        <v>71</v>
      </c>
      <c r="L137" s="184">
        <v>74</v>
      </c>
      <c r="M137" s="182"/>
      <c r="N137" s="185">
        <v>72</v>
      </c>
      <c r="O137" s="183"/>
      <c r="P137" s="182"/>
      <c r="Q137" s="183"/>
      <c r="R137" s="183"/>
      <c r="S137" s="182"/>
      <c r="T137" s="182"/>
      <c r="U137" s="183"/>
      <c r="V137" s="183"/>
      <c r="W137" s="182"/>
      <c r="X137" s="183"/>
      <c r="Y137" s="183"/>
      <c r="Z137" s="182"/>
      <c r="AA137" s="182"/>
      <c r="AB137" s="183"/>
      <c r="AC137" s="183"/>
      <c r="AD137" s="182"/>
      <c r="AE137" s="183"/>
      <c r="AF137" s="183"/>
      <c r="AG137" s="186"/>
      <c r="AH137" s="186"/>
    </row>
    <row r="138" spans="1:34" ht="15">
      <c r="A138" s="393"/>
      <c r="B138" s="180" t="s">
        <v>51</v>
      </c>
      <c r="C138" s="181">
        <v>208.6875</v>
      </c>
      <c r="D138" s="181">
        <v>208.6875</v>
      </c>
      <c r="E138" s="182"/>
      <c r="F138" s="182"/>
      <c r="G138" s="185">
        <v>211.5</v>
      </c>
      <c r="H138" s="185">
        <v>210.5</v>
      </c>
      <c r="I138" s="184">
        <v>210.125</v>
      </c>
      <c r="J138" s="183"/>
      <c r="K138" s="185">
        <v>210</v>
      </c>
      <c r="L138" s="184">
        <v>230</v>
      </c>
      <c r="M138" s="182"/>
      <c r="N138" s="185">
        <v>180</v>
      </c>
      <c r="O138" s="183"/>
      <c r="P138" s="182"/>
      <c r="Q138" s="183"/>
      <c r="R138" s="183"/>
      <c r="S138" s="182"/>
      <c r="T138" s="182"/>
      <c r="U138" s="183"/>
      <c r="V138" s="183"/>
      <c r="W138" s="182"/>
      <c r="X138" s="183"/>
      <c r="Y138" s="183"/>
      <c r="Z138" s="182"/>
      <c r="AA138" s="182"/>
      <c r="AB138" s="183"/>
      <c r="AC138" s="183"/>
      <c r="AD138" s="182"/>
      <c r="AE138" s="183"/>
      <c r="AF138" s="183"/>
      <c r="AG138" s="186"/>
      <c r="AH138" s="186"/>
    </row>
    <row r="139" spans="1:34" ht="15">
      <c r="A139" s="394"/>
      <c r="B139" s="187" t="s">
        <v>218</v>
      </c>
      <c r="C139" s="188">
        <v>2.8984000000000001</v>
      </c>
      <c r="D139" s="188">
        <v>2.8984000000000001</v>
      </c>
      <c r="E139" s="189"/>
      <c r="F139" s="189"/>
      <c r="G139" s="188">
        <v>2.9375</v>
      </c>
      <c r="H139" s="188">
        <v>2.9236</v>
      </c>
      <c r="I139" s="191">
        <v>2.8784000000000001</v>
      </c>
      <c r="J139" s="190"/>
      <c r="K139" s="188">
        <v>2.9577</v>
      </c>
      <c r="L139" s="191">
        <v>3.1080999999999999</v>
      </c>
      <c r="M139" s="189"/>
      <c r="N139" s="188">
        <v>2.5</v>
      </c>
      <c r="O139" s="190"/>
      <c r="P139" s="189"/>
      <c r="Q139" s="190"/>
      <c r="R139" s="190"/>
      <c r="S139" s="189"/>
      <c r="T139" s="189"/>
      <c r="U139" s="190"/>
      <c r="V139" s="190"/>
      <c r="W139" s="189"/>
      <c r="X139" s="190"/>
      <c r="Y139" s="190"/>
      <c r="Z139" s="189"/>
      <c r="AA139" s="189"/>
      <c r="AB139" s="190"/>
      <c r="AC139" s="190"/>
      <c r="AD139" s="189"/>
      <c r="AE139" s="190"/>
      <c r="AF139" s="190"/>
      <c r="AG139" s="192"/>
      <c r="AH139" s="192"/>
    </row>
    <row r="140" spans="1:34" ht="15">
      <c r="A140" s="392" t="s">
        <v>219</v>
      </c>
      <c r="B140" s="173" t="s">
        <v>45</v>
      </c>
      <c r="C140" s="174">
        <v>10136</v>
      </c>
      <c r="D140" s="174">
        <v>1689.3333333333333</v>
      </c>
      <c r="E140" s="175"/>
      <c r="F140" s="175"/>
      <c r="G140" s="178">
        <v>1520</v>
      </c>
      <c r="H140" s="178">
        <v>1640</v>
      </c>
      <c r="I140" s="177">
        <v>1760</v>
      </c>
      <c r="J140" s="176"/>
      <c r="K140" s="178">
        <v>1696</v>
      </c>
      <c r="L140" s="177">
        <v>1760</v>
      </c>
      <c r="M140" s="175"/>
      <c r="N140" s="178">
        <v>1760</v>
      </c>
      <c r="O140" s="176"/>
      <c r="P140" s="175"/>
      <c r="Q140" s="176"/>
      <c r="R140" s="176"/>
      <c r="S140" s="175"/>
      <c r="T140" s="175"/>
      <c r="U140" s="176"/>
      <c r="V140" s="176"/>
      <c r="W140" s="175"/>
      <c r="X140" s="176"/>
      <c r="Y140" s="176"/>
      <c r="Z140" s="175"/>
      <c r="AA140" s="175"/>
      <c r="AB140" s="176"/>
      <c r="AC140" s="176"/>
      <c r="AD140" s="175"/>
      <c r="AE140" s="176"/>
      <c r="AF140" s="176"/>
      <c r="AG140" s="179"/>
      <c r="AH140" s="179"/>
    </row>
    <row r="141" spans="1:34" ht="15">
      <c r="A141" s="393"/>
      <c r="B141" s="173" t="s">
        <v>46</v>
      </c>
      <c r="C141" s="174">
        <v>9660</v>
      </c>
      <c r="D141" s="174">
        <v>1610</v>
      </c>
      <c r="E141" s="175"/>
      <c r="F141" s="175"/>
      <c r="G141" s="178">
        <v>1260</v>
      </c>
      <c r="H141" s="178">
        <v>1680</v>
      </c>
      <c r="I141" s="177">
        <v>1680</v>
      </c>
      <c r="J141" s="176"/>
      <c r="K141" s="178">
        <v>1680</v>
      </c>
      <c r="L141" s="177">
        <v>1680</v>
      </c>
      <c r="M141" s="175"/>
      <c r="N141" s="178">
        <v>1680</v>
      </c>
      <c r="O141" s="178">
        <v>1680</v>
      </c>
      <c r="P141" s="177">
        <v>1680</v>
      </c>
      <c r="Q141" s="178">
        <v>1680</v>
      </c>
      <c r="R141" s="178">
        <v>1680</v>
      </c>
      <c r="S141" s="177">
        <v>1680</v>
      </c>
      <c r="T141" s="175"/>
      <c r="U141" s="178">
        <v>1680</v>
      </c>
      <c r="V141" s="178">
        <v>960</v>
      </c>
      <c r="W141" s="177">
        <v>960</v>
      </c>
      <c r="X141" s="178">
        <v>1440</v>
      </c>
      <c r="Y141" s="178">
        <v>1440</v>
      </c>
      <c r="Z141" s="175"/>
      <c r="AA141" s="175"/>
      <c r="AB141" s="178">
        <v>1440</v>
      </c>
      <c r="AC141" s="178">
        <v>1440</v>
      </c>
      <c r="AD141" s="177">
        <v>1440</v>
      </c>
      <c r="AE141" s="178">
        <v>1440</v>
      </c>
      <c r="AF141" s="178">
        <v>1440</v>
      </c>
      <c r="AG141" s="179"/>
      <c r="AH141" s="179"/>
    </row>
    <row r="142" spans="1:34" ht="15">
      <c r="A142" s="393"/>
      <c r="B142" s="180" t="s">
        <v>220</v>
      </c>
      <c r="C142" s="181">
        <v>8815</v>
      </c>
      <c r="D142" s="181">
        <v>1469.1666666666667</v>
      </c>
      <c r="E142" s="182"/>
      <c r="F142" s="182"/>
      <c r="G142" s="185">
        <v>1260</v>
      </c>
      <c r="H142" s="185">
        <v>1495</v>
      </c>
      <c r="I142" s="184">
        <v>1250</v>
      </c>
      <c r="J142" s="183"/>
      <c r="K142" s="185">
        <v>1250</v>
      </c>
      <c r="L142" s="184">
        <v>1840</v>
      </c>
      <c r="M142" s="182"/>
      <c r="N142" s="185">
        <v>1720</v>
      </c>
      <c r="O142" s="183"/>
      <c r="P142" s="182"/>
      <c r="Q142" s="183"/>
      <c r="R142" s="183"/>
      <c r="S142" s="182"/>
      <c r="T142" s="182"/>
      <c r="U142" s="183"/>
      <c r="V142" s="183"/>
      <c r="W142" s="182"/>
      <c r="X142" s="183"/>
      <c r="Y142" s="183"/>
      <c r="Z142" s="182"/>
      <c r="AA142" s="182"/>
      <c r="AB142" s="183"/>
      <c r="AC142" s="183"/>
      <c r="AD142" s="182"/>
      <c r="AE142" s="183"/>
      <c r="AF142" s="183"/>
      <c r="AG142" s="186"/>
      <c r="AH142" s="186"/>
    </row>
    <row r="143" spans="1:34" ht="15">
      <c r="A143" s="393"/>
      <c r="B143" s="180" t="s">
        <v>48</v>
      </c>
      <c r="C143" s="193">
        <v>-845</v>
      </c>
      <c r="D143" s="193">
        <v>-140.83333333333334</v>
      </c>
      <c r="E143" s="182"/>
      <c r="F143" s="182"/>
      <c r="G143" s="185">
        <v>0</v>
      </c>
      <c r="H143" s="183">
        <v>-185</v>
      </c>
      <c r="I143" s="182">
        <v>-430</v>
      </c>
      <c r="J143" s="183"/>
      <c r="K143" s="183">
        <v>-430</v>
      </c>
      <c r="L143" s="184">
        <v>160</v>
      </c>
      <c r="M143" s="182"/>
      <c r="N143" s="185">
        <v>40</v>
      </c>
      <c r="O143" s="183"/>
      <c r="P143" s="182"/>
      <c r="Q143" s="183"/>
      <c r="R143" s="183"/>
      <c r="S143" s="182"/>
      <c r="T143" s="182"/>
      <c r="U143" s="183"/>
      <c r="V143" s="183"/>
      <c r="W143" s="182"/>
      <c r="X143" s="183"/>
      <c r="Y143" s="183"/>
      <c r="Z143" s="182"/>
      <c r="AA143" s="182"/>
      <c r="AB143" s="183"/>
      <c r="AC143" s="183"/>
      <c r="AD143" s="182"/>
      <c r="AE143" s="183"/>
      <c r="AF143" s="183"/>
      <c r="AG143" s="186"/>
      <c r="AH143" s="186"/>
    </row>
    <row r="144" spans="1:34" ht="15">
      <c r="A144" s="393"/>
      <c r="B144" s="180" t="s">
        <v>49</v>
      </c>
      <c r="C144" s="181">
        <v>48</v>
      </c>
      <c r="D144" s="181">
        <v>8</v>
      </c>
      <c r="E144" s="182"/>
      <c r="F144" s="182"/>
      <c r="G144" s="185">
        <v>8</v>
      </c>
      <c r="H144" s="185">
        <v>8</v>
      </c>
      <c r="I144" s="184">
        <v>8</v>
      </c>
      <c r="J144" s="183"/>
      <c r="K144" s="185">
        <v>8</v>
      </c>
      <c r="L144" s="184">
        <v>8</v>
      </c>
      <c r="M144" s="182"/>
      <c r="N144" s="185">
        <v>8</v>
      </c>
      <c r="O144" s="183"/>
      <c r="P144" s="182"/>
      <c r="Q144" s="183"/>
      <c r="R144" s="183"/>
      <c r="S144" s="182"/>
      <c r="T144" s="182"/>
      <c r="U144" s="183"/>
      <c r="V144" s="183"/>
      <c r="W144" s="182"/>
      <c r="X144" s="183"/>
      <c r="Y144" s="183"/>
      <c r="Z144" s="182"/>
      <c r="AA144" s="182"/>
      <c r="AB144" s="183"/>
      <c r="AC144" s="183"/>
      <c r="AD144" s="182"/>
      <c r="AE144" s="183"/>
      <c r="AF144" s="183"/>
      <c r="AG144" s="186"/>
      <c r="AH144" s="186"/>
    </row>
    <row r="145" spans="1:34" ht="15">
      <c r="A145" s="393"/>
      <c r="B145" s="180" t="s">
        <v>50</v>
      </c>
      <c r="C145" s="181">
        <v>69</v>
      </c>
      <c r="D145" s="181">
        <v>69</v>
      </c>
      <c r="E145" s="182"/>
      <c r="F145" s="182"/>
      <c r="G145" s="185">
        <v>72</v>
      </c>
      <c r="H145" s="185">
        <v>70</v>
      </c>
      <c r="I145" s="184">
        <v>67</v>
      </c>
      <c r="J145" s="183"/>
      <c r="K145" s="185">
        <v>69</v>
      </c>
      <c r="L145" s="184">
        <v>68</v>
      </c>
      <c r="M145" s="182"/>
      <c r="N145" s="185">
        <v>69</v>
      </c>
      <c r="O145" s="183"/>
      <c r="P145" s="182"/>
      <c r="Q145" s="183"/>
      <c r="R145" s="183"/>
      <c r="S145" s="182"/>
      <c r="T145" s="182"/>
      <c r="U145" s="183"/>
      <c r="V145" s="183"/>
      <c r="W145" s="182"/>
      <c r="X145" s="183"/>
      <c r="Y145" s="183"/>
      <c r="Z145" s="182"/>
      <c r="AA145" s="182"/>
      <c r="AB145" s="183"/>
      <c r="AC145" s="183"/>
      <c r="AD145" s="182"/>
      <c r="AE145" s="183"/>
      <c r="AF145" s="183"/>
      <c r="AG145" s="186"/>
      <c r="AH145" s="186"/>
    </row>
    <row r="146" spans="1:34" ht="15">
      <c r="A146" s="393"/>
      <c r="B146" s="180" t="s">
        <v>51</v>
      </c>
      <c r="C146" s="181">
        <v>183.64583333333334</v>
      </c>
      <c r="D146" s="181">
        <v>183.64583333333334</v>
      </c>
      <c r="E146" s="182"/>
      <c r="F146" s="182"/>
      <c r="G146" s="185">
        <v>157.5</v>
      </c>
      <c r="H146" s="185">
        <v>186.875</v>
      </c>
      <c r="I146" s="184">
        <v>156.25</v>
      </c>
      <c r="J146" s="183"/>
      <c r="K146" s="185">
        <v>156.25</v>
      </c>
      <c r="L146" s="184">
        <v>230</v>
      </c>
      <c r="M146" s="182"/>
      <c r="N146" s="185">
        <v>215</v>
      </c>
      <c r="O146" s="183"/>
      <c r="P146" s="182"/>
      <c r="Q146" s="183"/>
      <c r="R146" s="183"/>
      <c r="S146" s="182"/>
      <c r="T146" s="182"/>
      <c r="U146" s="183"/>
      <c r="V146" s="183"/>
      <c r="W146" s="182"/>
      <c r="X146" s="183"/>
      <c r="Y146" s="183"/>
      <c r="Z146" s="182"/>
      <c r="AA146" s="182"/>
      <c r="AB146" s="183"/>
      <c r="AC146" s="183"/>
      <c r="AD146" s="182"/>
      <c r="AE146" s="183"/>
      <c r="AF146" s="183"/>
      <c r="AG146" s="186"/>
      <c r="AH146" s="186"/>
    </row>
    <row r="147" spans="1:34" ht="15">
      <c r="A147" s="394"/>
      <c r="B147" s="187" t="s">
        <v>52</v>
      </c>
      <c r="C147" s="188">
        <v>2.6615000000000002</v>
      </c>
      <c r="D147" s="188">
        <v>2.6615000000000002</v>
      </c>
      <c r="E147" s="189"/>
      <c r="F147" s="189"/>
      <c r="G147" s="188">
        <v>2.1875</v>
      </c>
      <c r="H147" s="188">
        <v>2.6696</v>
      </c>
      <c r="I147" s="191">
        <v>2.3321000000000001</v>
      </c>
      <c r="J147" s="190"/>
      <c r="K147" s="188">
        <v>2.2645</v>
      </c>
      <c r="L147" s="191">
        <v>3.3824000000000001</v>
      </c>
      <c r="M147" s="189"/>
      <c r="N147" s="188">
        <v>3.1158999999999999</v>
      </c>
      <c r="O147" s="190"/>
      <c r="P147" s="189"/>
      <c r="Q147" s="190"/>
      <c r="R147" s="190"/>
      <c r="S147" s="189"/>
      <c r="T147" s="189"/>
      <c r="U147" s="190"/>
      <c r="V147" s="190"/>
      <c r="W147" s="189"/>
      <c r="X147" s="190"/>
      <c r="Y147" s="190"/>
      <c r="Z147" s="189"/>
      <c r="AA147" s="189"/>
      <c r="AB147" s="190"/>
      <c r="AC147" s="190"/>
      <c r="AD147" s="189"/>
      <c r="AE147" s="190"/>
      <c r="AF147" s="190"/>
      <c r="AG147" s="192"/>
      <c r="AH147" s="192"/>
    </row>
  </sheetData>
  <mergeCells count="20">
    <mergeCell ref="A132:A139"/>
    <mergeCell ref="A140:A147"/>
    <mergeCell ref="A92:A99"/>
    <mergeCell ref="A100:A107"/>
    <mergeCell ref="A108:A115"/>
    <mergeCell ref="A116:A123"/>
    <mergeCell ref="A124:A131"/>
    <mergeCell ref="A4:A11"/>
    <mergeCell ref="A1:B1"/>
    <mergeCell ref="A2:AE2"/>
    <mergeCell ref="A12:A19"/>
    <mergeCell ref="A20:A27"/>
    <mergeCell ref="A68:A75"/>
    <mergeCell ref="A76:A83"/>
    <mergeCell ref="A84:A91"/>
    <mergeCell ref="A28:A35"/>
    <mergeCell ref="A36:A43"/>
    <mergeCell ref="A44:A51"/>
    <mergeCell ref="A52:A59"/>
    <mergeCell ref="A60:A67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FF00"/>
  </sheetPr>
  <dimension ref="A1:AH35"/>
  <sheetViews>
    <sheetView workbookViewId="0">
      <selection sqref="A1:B1"/>
    </sheetView>
  </sheetViews>
  <sheetFormatPr defaultRowHeight="15"/>
  <cols>
    <col min="1" max="1" width="10.42578125" customWidth="1"/>
    <col min="4" max="4" width="7.140625" style="71" customWidth="1"/>
    <col min="5" max="6" width="4.7109375" style="70" customWidth="1"/>
    <col min="7" max="8" width="4.7109375" customWidth="1"/>
    <col min="9" max="9" width="4.7109375" style="70" customWidth="1"/>
    <col min="10" max="11" width="4.7109375" customWidth="1"/>
    <col min="12" max="13" width="4.7109375" style="70" customWidth="1"/>
    <col min="14" max="15" width="4.7109375" customWidth="1"/>
    <col min="16" max="16" width="4.7109375" style="70" customWidth="1"/>
    <col min="17" max="18" width="4.7109375" customWidth="1"/>
    <col min="19" max="20" width="4.7109375" style="70" customWidth="1"/>
    <col min="21" max="22" width="4.7109375" customWidth="1"/>
    <col min="23" max="23" width="4.7109375" style="70" customWidth="1"/>
    <col min="24" max="25" width="4.7109375" customWidth="1"/>
    <col min="26" max="27" width="4.7109375" style="70" customWidth="1"/>
    <col min="28" max="29" width="4.7109375" customWidth="1"/>
    <col min="30" max="30" width="4.7109375" style="70" customWidth="1"/>
    <col min="31" max="32" width="4.7109375" customWidth="1"/>
    <col min="33" max="34" width="4.7109375" style="70" customWidth="1"/>
  </cols>
  <sheetData>
    <row r="1" spans="1:34" ht="27.75">
      <c r="A1" s="369" t="s">
        <v>4</v>
      </c>
      <c r="B1" s="370"/>
    </row>
    <row r="2" spans="1:34" s="8" customFormat="1" ht="30">
      <c r="A2" s="388" t="s">
        <v>221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G2" s="74"/>
      <c r="AH2" s="74"/>
    </row>
    <row r="3" spans="1:34" s="8" customFormat="1" ht="16.5">
      <c r="A3" s="69" t="s">
        <v>222</v>
      </c>
      <c r="B3" s="283" t="s">
        <v>223</v>
      </c>
      <c r="C3" s="284" t="s">
        <v>44</v>
      </c>
      <c r="D3" s="285" t="s">
        <v>84</v>
      </c>
      <c r="E3" s="286">
        <v>1</v>
      </c>
      <c r="F3" s="287">
        <v>2</v>
      </c>
      <c r="G3" s="283">
        <v>3</v>
      </c>
      <c r="H3" s="283">
        <v>4</v>
      </c>
      <c r="I3" s="286">
        <v>5</v>
      </c>
      <c r="J3" s="283">
        <v>6</v>
      </c>
      <c r="K3" s="283">
        <v>7</v>
      </c>
      <c r="L3" s="286">
        <v>8</v>
      </c>
      <c r="M3" s="287">
        <v>9</v>
      </c>
      <c r="N3" s="283">
        <v>10</v>
      </c>
      <c r="O3" s="283">
        <v>11</v>
      </c>
      <c r="P3" s="286">
        <v>12</v>
      </c>
      <c r="Q3" s="283">
        <v>13</v>
      </c>
      <c r="R3" s="283">
        <v>14</v>
      </c>
      <c r="S3" s="286">
        <v>15</v>
      </c>
      <c r="T3" s="287">
        <v>16</v>
      </c>
      <c r="U3" s="283">
        <v>17</v>
      </c>
      <c r="V3" s="283">
        <v>18</v>
      </c>
      <c r="W3" s="286">
        <v>19</v>
      </c>
      <c r="X3" s="283">
        <v>20</v>
      </c>
      <c r="Y3" s="283">
        <v>21</v>
      </c>
      <c r="Z3" s="286">
        <v>22</v>
      </c>
      <c r="AA3" s="287">
        <v>23</v>
      </c>
      <c r="AB3" s="283">
        <v>24</v>
      </c>
      <c r="AC3" s="283">
        <v>25</v>
      </c>
      <c r="AD3" s="286">
        <v>26</v>
      </c>
      <c r="AE3" s="283">
        <v>27</v>
      </c>
      <c r="AF3" s="283">
        <v>28</v>
      </c>
      <c r="AG3" s="288">
        <v>29</v>
      </c>
      <c r="AH3" s="289">
        <v>30</v>
      </c>
    </row>
    <row r="4" spans="1:34" s="8" customFormat="1" ht="15" customHeight="1">
      <c r="A4" s="395" t="s">
        <v>44</v>
      </c>
      <c r="B4" s="290" t="s">
        <v>45</v>
      </c>
      <c r="C4" s="291">
        <v>328224</v>
      </c>
      <c r="D4" s="291">
        <v>54704</v>
      </c>
      <c r="E4" s="294"/>
      <c r="F4" s="294"/>
      <c r="G4" s="293">
        <v>55608</v>
      </c>
      <c r="H4" s="293">
        <v>55504</v>
      </c>
      <c r="I4" s="292">
        <v>55336</v>
      </c>
      <c r="J4" s="295"/>
      <c r="K4" s="293">
        <v>55168</v>
      </c>
      <c r="L4" s="292">
        <v>55184</v>
      </c>
      <c r="M4" s="294"/>
      <c r="N4" s="293">
        <v>51424</v>
      </c>
      <c r="O4" s="295"/>
      <c r="P4" s="294"/>
      <c r="Q4" s="295"/>
      <c r="R4" s="295"/>
      <c r="S4" s="294"/>
      <c r="T4" s="294"/>
      <c r="U4" s="295"/>
      <c r="V4" s="295"/>
      <c r="W4" s="294"/>
      <c r="X4" s="295"/>
      <c r="Y4" s="295"/>
      <c r="Z4" s="294"/>
      <c r="AA4" s="294"/>
      <c r="AB4" s="295"/>
      <c r="AC4" s="295"/>
      <c r="AD4" s="294"/>
      <c r="AE4" s="295"/>
      <c r="AF4" s="295"/>
      <c r="AG4" s="296"/>
      <c r="AH4" s="296"/>
    </row>
    <row r="5" spans="1:34" s="8" customFormat="1" ht="15" customHeight="1">
      <c r="A5" s="396"/>
      <c r="B5" s="290" t="s">
        <v>224</v>
      </c>
      <c r="C5" s="291">
        <v>304692</v>
      </c>
      <c r="D5" s="291">
        <v>50782</v>
      </c>
      <c r="E5" s="294"/>
      <c r="F5" s="294"/>
      <c r="G5" s="293">
        <v>51232</v>
      </c>
      <c r="H5" s="293">
        <v>52352</v>
      </c>
      <c r="I5" s="292">
        <v>51452</v>
      </c>
      <c r="J5" s="295"/>
      <c r="K5" s="293">
        <v>51362</v>
      </c>
      <c r="L5" s="292">
        <v>51042</v>
      </c>
      <c r="M5" s="294"/>
      <c r="N5" s="293">
        <v>47252</v>
      </c>
      <c r="O5" s="293">
        <v>47612</v>
      </c>
      <c r="P5" s="292">
        <v>48272</v>
      </c>
      <c r="Q5" s="293">
        <v>48112</v>
      </c>
      <c r="R5" s="293">
        <v>47732</v>
      </c>
      <c r="S5" s="292">
        <v>47432</v>
      </c>
      <c r="T5" s="294"/>
      <c r="U5" s="293">
        <v>47832</v>
      </c>
      <c r="V5" s="293">
        <v>47332</v>
      </c>
      <c r="W5" s="292">
        <v>47392</v>
      </c>
      <c r="X5" s="293">
        <v>48112</v>
      </c>
      <c r="Y5" s="293">
        <v>48532</v>
      </c>
      <c r="Z5" s="294"/>
      <c r="AA5" s="294"/>
      <c r="AB5" s="293">
        <v>48432</v>
      </c>
      <c r="AC5" s="293">
        <v>48732</v>
      </c>
      <c r="AD5" s="292">
        <v>49892</v>
      </c>
      <c r="AE5" s="293">
        <v>50012</v>
      </c>
      <c r="AF5" s="293">
        <v>50392</v>
      </c>
      <c r="AG5" s="296"/>
      <c r="AH5" s="296"/>
    </row>
    <row r="6" spans="1:34" s="8" customFormat="1" ht="15" customHeight="1">
      <c r="A6" s="396"/>
      <c r="B6" s="297" t="s">
        <v>47</v>
      </c>
      <c r="C6" s="298">
        <v>295345</v>
      </c>
      <c r="D6" s="298">
        <v>49224.166666666672</v>
      </c>
      <c r="E6" s="301"/>
      <c r="F6" s="301"/>
      <c r="G6" s="300">
        <v>51156</v>
      </c>
      <c r="H6" s="300">
        <v>50547</v>
      </c>
      <c r="I6" s="299">
        <v>48343</v>
      </c>
      <c r="J6" s="302"/>
      <c r="K6" s="300">
        <v>50398</v>
      </c>
      <c r="L6" s="299">
        <v>49786</v>
      </c>
      <c r="M6" s="301"/>
      <c r="N6" s="300">
        <v>45115</v>
      </c>
      <c r="O6" s="302"/>
      <c r="P6" s="301"/>
      <c r="Q6" s="302"/>
      <c r="R6" s="302"/>
      <c r="S6" s="301"/>
      <c r="T6" s="301"/>
      <c r="U6" s="302"/>
      <c r="V6" s="302"/>
      <c r="W6" s="301"/>
      <c r="X6" s="302"/>
      <c r="Y6" s="302"/>
      <c r="Z6" s="301"/>
      <c r="AA6" s="301"/>
      <c r="AB6" s="302"/>
      <c r="AC6" s="302"/>
      <c r="AD6" s="301"/>
      <c r="AE6" s="302"/>
      <c r="AF6" s="302"/>
      <c r="AG6" s="303"/>
      <c r="AH6" s="303"/>
    </row>
    <row r="7" spans="1:34" s="8" customFormat="1" ht="15" customHeight="1">
      <c r="A7" s="396"/>
      <c r="B7" s="297" t="s">
        <v>48</v>
      </c>
      <c r="C7" s="304">
        <v>-9347</v>
      </c>
      <c r="D7" s="304">
        <v>-1557.8333333333335</v>
      </c>
      <c r="E7" s="301"/>
      <c r="F7" s="301"/>
      <c r="G7" s="302">
        <v>-76</v>
      </c>
      <c r="H7" s="302">
        <v>-1805</v>
      </c>
      <c r="I7" s="301">
        <v>-3109</v>
      </c>
      <c r="J7" s="302"/>
      <c r="K7" s="302">
        <v>-964</v>
      </c>
      <c r="L7" s="301">
        <v>-1256</v>
      </c>
      <c r="M7" s="301"/>
      <c r="N7" s="302">
        <v>-2137</v>
      </c>
      <c r="O7" s="302"/>
      <c r="P7" s="301"/>
      <c r="Q7" s="302"/>
      <c r="R7" s="302"/>
      <c r="S7" s="301"/>
      <c r="T7" s="301"/>
      <c r="U7" s="302"/>
      <c r="V7" s="302"/>
      <c r="W7" s="301"/>
      <c r="X7" s="302"/>
      <c r="Y7" s="302"/>
      <c r="Z7" s="301"/>
      <c r="AA7" s="301"/>
      <c r="AB7" s="302"/>
      <c r="AC7" s="302"/>
      <c r="AD7" s="301"/>
      <c r="AE7" s="302"/>
      <c r="AF7" s="302"/>
      <c r="AG7" s="303"/>
      <c r="AH7" s="303"/>
    </row>
    <row r="8" spans="1:34" s="8" customFormat="1" ht="15" customHeight="1">
      <c r="A8" s="396"/>
      <c r="B8" s="297" t="s">
        <v>49</v>
      </c>
      <c r="C8" s="298">
        <v>47.55</v>
      </c>
      <c r="D8" s="298">
        <v>7.9250000000000007</v>
      </c>
      <c r="E8" s="301"/>
      <c r="F8" s="301"/>
      <c r="G8" s="300">
        <v>8</v>
      </c>
      <c r="H8" s="300">
        <v>8</v>
      </c>
      <c r="I8" s="299">
        <v>8</v>
      </c>
      <c r="J8" s="302"/>
      <c r="K8" s="300">
        <v>8</v>
      </c>
      <c r="L8" s="299">
        <v>8</v>
      </c>
      <c r="M8" s="301"/>
      <c r="N8" s="300">
        <v>8</v>
      </c>
      <c r="O8" s="302"/>
      <c r="P8" s="301"/>
      <c r="Q8" s="302"/>
      <c r="R8" s="302"/>
      <c r="S8" s="301"/>
      <c r="T8" s="301"/>
      <c r="U8" s="302"/>
      <c r="V8" s="302"/>
      <c r="W8" s="301"/>
      <c r="X8" s="302"/>
      <c r="Y8" s="302"/>
      <c r="Z8" s="301"/>
      <c r="AA8" s="301"/>
      <c r="AB8" s="302"/>
      <c r="AC8" s="302"/>
      <c r="AD8" s="301"/>
      <c r="AE8" s="302"/>
      <c r="AF8" s="302"/>
      <c r="AG8" s="303"/>
      <c r="AH8" s="303"/>
    </row>
    <row r="9" spans="1:34" s="8" customFormat="1" ht="15" customHeight="1">
      <c r="A9" s="396"/>
      <c r="B9" s="297" t="s">
        <v>50</v>
      </c>
      <c r="C9" s="298">
        <v>6441</v>
      </c>
      <c r="D9" s="298">
        <v>6441</v>
      </c>
      <c r="E9" s="301"/>
      <c r="F9" s="301"/>
      <c r="G9" s="300">
        <v>6515</v>
      </c>
      <c r="H9" s="300">
        <v>6521</v>
      </c>
      <c r="I9" s="299">
        <v>6420</v>
      </c>
      <c r="J9" s="302"/>
      <c r="K9" s="300">
        <v>6405</v>
      </c>
      <c r="L9" s="299">
        <v>6461</v>
      </c>
      <c r="M9" s="301"/>
      <c r="N9" s="300">
        <v>6128</v>
      </c>
      <c r="O9" s="302"/>
      <c r="P9" s="301"/>
      <c r="Q9" s="302"/>
      <c r="R9" s="302"/>
      <c r="S9" s="301"/>
      <c r="T9" s="301"/>
      <c r="U9" s="302"/>
      <c r="V9" s="302"/>
      <c r="W9" s="301"/>
      <c r="X9" s="302"/>
      <c r="Y9" s="302"/>
      <c r="Z9" s="301"/>
      <c r="AA9" s="301"/>
      <c r="AB9" s="302"/>
      <c r="AC9" s="302"/>
      <c r="AD9" s="301"/>
      <c r="AE9" s="302"/>
      <c r="AF9" s="302"/>
      <c r="AG9" s="303"/>
      <c r="AH9" s="303"/>
    </row>
    <row r="10" spans="1:34" s="8" customFormat="1" ht="15" customHeight="1">
      <c r="A10" s="396"/>
      <c r="B10" s="297" t="s">
        <v>51</v>
      </c>
      <c r="C10" s="298">
        <v>6211.0106147722254</v>
      </c>
      <c r="D10" s="298">
        <v>6211.0106147722254</v>
      </c>
      <c r="E10" s="301"/>
      <c r="F10" s="301"/>
      <c r="G10" s="300">
        <v>6394.5</v>
      </c>
      <c r="H10" s="300">
        <v>6318.375</v>
      </c>
      <c r="I10" s="299">
        <v>6042.875</v>
      </c>
      <c r="J10" s="302"/>
      <c r="K10" s="300">
        <v>6299.75</v>
      </c>
      <c r="L10" s="299">
        <v>6223.25</v>
      </c>
      <c r="M10" s="301"/>
      <c r="N10" s="300">
        <v>5639.375</v>
      </c>
      <c r="O10" s="302"/>
      <c r="P10" s="301"/>
      <c r="Q10" s="302"/>
      <c r="R10" s="302"/>
      <c r="S10" s="301"/>
      <c r="T10" s="301"/>
      <c r="U10" s="302"/>
      <c r="V10" s="302"/>
      <c r="W10" s="301"/>
      <c r="X10" s="302"/>
      <c r="Y10" s="302"/>
      <c r="Z10" s="301"/>
      <c r="AA10" s="301"/>
      <c r="AB10" s="302"/>
      <c r="AC10" s="302"/>
      <c r="AD10" s="301"/>
      <c r="AE10" s="302"/>
      <c r="AF10" s="302"/>
      <c r="AG10" s="303"/>
      <c r="AH10" s="303"/>
    </row>
    <row r="11" spans="1:34" s="8" customFormat="1" ht="15" customHeight="1">
      <c r="A11" s="397"/>
      <c r="B11" s="305" t="s">
        <v>52</v>
      </c>
      <c r="C11" s="306">
        <v>0.96774999999999989</v>
      </c>
      <c r="D11" s="306">
        <v>0.96774999999999989</v>
      </c>
      <c r="E11" s="308"/>
      <c r="F11" s="308"/>
      <c r="G11" s="306">
        <v>0.98384999999999989</v>
      </c>
      <c r="H11" s="306">
        <v>0.97475000000000001</v>
      </c>
      <c r="I11" s="307">
        <v>0.94274999999999998</v>
      </c>
      <c r="J11" s="309"/>
      <c r="K11" s="306">
        <v>0.9859</v>
      </c>
      <c r="L11" s="307">
        <v>0.96689999999999998</v>
      </c>
      <c r="M11" s="308"/>
      <c r="N11" s="306">
        <v>0.92575000000000007</v>
      </c>
      <c r="O11" s="309"/>
      <c r="P11" s="308"/>
      <c r="Q11" s="309"/>
      <c r="R11" s="309"/>
      <c r="S11" s="308"/>
      <c r="T11" s="308"/>
      <c r="U11" s="309"/>
      <c r="V11" s="309"/>
      <c r="W11" s="308"/>
      <c r="X11" s="309"/>
      <c r="Y11" s="309"/>
      <c r="Z11" s="308"/>
      <c r="AA11" s="308"/>
      <c r="AB11" s="309"/>
      <c r="AC11" s="309"/>
      <c r="AD11" s="308"/>
      <c r="AE11" s="309"/>
      <c r="AF11" s="309"/>
      <c r="AG11" s="310"/>
      <c r="AH11" s="310"/>
    </row>
    <row r="12" spans="1:34">
      <c r="A12" s="395" t="s">
        <v>93</v>
      </c>
      <c r="B12" s="194" t="s">
        <v>45</v>
      </c>
      <c r="C12" s="195">
        <v>170576</v>
      </c>
      <c r="D12" s="195">
        <v>28429.333333333332</v>
      </c>
      <c r="E12" s="196"/>
      <c r="F12" s="196"/>
      <c r="G12" s="199">
        <v>28872</v>
      </c>
      <c r="H12" s="199">
        <v>28928</v>
      </c>
      <c r="I12" s="198">
        <v>28776</v>
      </c>
      <c r="J12" s="197"/>
      <c r="K12" s="199">
        <v>28624</v>
      </c>
      <c r="L12" s="198">
        <v>28656</v>
      </c>
      <c r="M12" s="196"/>
      <c r="N12" s="199">
        <v>26720</v>
      </c>
      <c r="O12" s="197"/>
      <c r="P12" s="196"/>
      <c r="Q12" s="197"/>
      <c r="R12" s="197"/>
      <c r="S12" s="196"/>
      <c r="T12" s="196"/>
      <c r="U12" s="197"/>
      <c r="V12" s="197"/>
      <c r="W12" s="196"/>
      <c r="X12" s="197"/>
      <c r="Y12" s="197"/>
      <c r="Z12" s="196"/>
      <c r="AA12" s="196"/>
      <c r="AB12" s="197"/>
      <c r="AC12" s="197"/>
      <c r="AD12" s="196"/>
      <c r="AE12" s="197"/>
      <c r="AF12" s="197"/>
      <c r="AG12" s="200"/>
      <c r="AH12" s="200"/>
    </row>
    <row r="13" spans="1:34">
      <c r="A13" s="396"/>
      <c r="B13" s="194" t="s">
        <v>46</v>
      </c>
      <c r="C13" s="195">
        <v>158952</v>
      </c>
      <c r="D13" s="195">
        <v>26492</v>
      </c>
      <c r="E13" s="196"/>
      <c r="F13" s="196"/>
      <c r="G13" s="199">
        <v>26992</v>
      </c>
      <c r="H13" s="199">
        <v>26992</v>
      </c>
      <c r="I13" s="198">
        <v>26992</v>
      </c>
      <c r="J13" s="197"/>
      <c r="K13" s="199">
        <v>26992</v>
      </c>
      <c r="L13" s="198">
        <v>26332</v>
      </c>
      <c r="M13" s="196"/>
      <c r="N13" s="199">
        <v>24652</v>
      </c>
      <c r="O13" s="199">
        <v>24932</v>
      </c>
      <c r="P13" s="198">
        <v>25232</v>
      </c>
      <c r="Q13" s="199">
        <v>24952</v>
      </c>
      <c r="R13" s="199">
        <v>24572</v>
      </c>
      <c r="S13" s="198">
        <v>24632</v>
      </c>
      <c r="T13" s="196"/>
      <c r="U13" s="199">
        <v>25232</v>
      </c>
      <c r="V13" s="199">
        <v>25232</v>
      </c>
      <c r="W13" s="198">
        <v>25232</v>
      </c>
      <c r="X13" s="199">
        <v>25112</v>
      </c>
      <c r="Y13" s="199">
        <v>25112</v>
      </c>
      <c r="Z13" s="196"/>
      <c r="AA13" s="196"/>
      <c r="AB13" s="199">
        <v>25132</v>
      </c>
      <c r="AC13" s="199">
        <v>24952</v>
      </c>
      <c r="AD13" s="198">
        <v>25632</v>
      </c>
      <c r="AE13" s="199">
        <v>25972</v>
      </c>
      <c r="AF13" s="199">
        <v>26352</v>
      </c>
      <c r="AG13" s="200"/>
      <c r="AH13" s="200"/>
    </row>
    <row r="14" spans="1:34">
      <c r="A14" s="396"/>
      <c r="B14" s="201" t="s">
        <v>47</v>
      </c>
      <c r="C14" s="202">
        <v>153270</v>
      </c>
      <c r="D14" s="202">
        <v>25545</v>
      </c>
      <c r="E14" s="203"/>
      <c r="F14" s="203"/>
      <c r="G14" s="206">
        <v>26908</v>
      </c>
      <c r="H14" s="206">
        <v>25457</v>
      </c>
      <c r="I14" s="205">
        <v>25758</v>
      </c>
      <c r="J14" s="204"/>
      <c r="K14" s="206">
        <v>26588</v>
      </c>
      <c r="L14" s="205">
        <v>25624</v>
      </c>
      <c r="M14" s="203"/>
      <c r="N14" s="206">
        <v>22935</v>
      </c>
      <c r="O14" s="204"/>
      <c r="P14" s="203"/>
      <c r="Q14" s="204"/>
      <c r="R14" s="204"/>
      <c r="S14" s="203"/>
      <c r="T14" s="203"/>
      <c r="U14" s="204"/>
      <c r="V14" s="204"/>
      <c r="W14" s="203"/>
      <c r="X14" s="204"/>
      <c r="Y14" s="204"/>
      <c r="Z14" s="203"/>
      <c r="AA14" s="203"/>
      <c r="AB14" s="204"/>
      <c r="AC14" s="204"/>
      <c r="AD14" s="203"/>
      <c r="AE14" s="204"/>
      <c r="AF14" s="204"/>
      <c r="AG14" s="207"/>
      <c r="AH14" s="207"/>
    </row>
    <row r="15" spans="1:34">
      <c r="A15" s="396"/>
      <c r="B15" s="201" t="s">
        <v>48</v>
      </c>
      <c r="C15" s="208">
        <v>-5682</v>
      </c>
      <c r="D15" s="208">
        <v>-947</v>
      </c>
      <c r="E15" s="203"/>
      <c r="F15" s="203"/>
      <c r="G15" s="204">
        <v>-84</v>
      </c>
      <c r="H15" s="204">
        <v>-1535</v>
      </c>
      <c r="I15" s="203">
        <v>-1234</v>
      </c>
      <c r="J15" s="204"/>
      <c r="K15" s="204">
        <v>-404</v>
      </c>
      <c r="L15" s="203">
        <v>-708</v>
      </c>
      <c r="M15" s="203"/>
      <c r="N15" s="204">
        <v>-1717</v>
      </c>
      <c r="O15" s="204"/>
      <c r="P15" s="203"/>
      <c r="Q15" s="204"/>
      <c r="R15" s="204"/>
      <c r="S15" s="203"/>
      <c r="T15" s="203"/>
      <c r="U15" s="204"/>
      <c r="V15" s="204"/>
      <c r="W15" s="203"/>
      <c r="X15" s="204"/>
      <c r="Y15" s="204"/>
      <c r="Z15" s="203"/>
      <c r="AA15" s="203"/>
      <c r="AB15" s="204"/>
      <c r="AC15" s="204"/>
      <c r="AD15" s="203"/>
      <c r="AE15" s="204"/>
      <c r="AF15" s="204"/>
      <c r="AG15" s="207"/>
      <c r="AH15" s="207"/>
    </row>
    <row r="16" spans="1:34">
      <c r="A16" s="396"/>
      <c r="B16" s="201" t="s">
        <v>49</v>
      </c>
      <c r="C16" s="202">
        <v>47.6</v>
      </c>
      <c r="D16" s="202">
        <v>7.9333333333333336</v>
      </c>
      <c r="E16" s="203"/>
      <c r="F16" s="203"/>
      <c r="G16" s="206">
        <v>8</v>
      </c>
      <c r="H16" s="206">
        <v>8</v>
      </c>
      <c r="I16" s="205">
        <v>8</v>
      </c>
      <c r="J16" s="204"/>
      <c r="K16" s="206">
        <v>8</v>
      </c>
      <c r="L16" s="205">
        <v>8</v>
      </c>
      <c r="M16" s="203"/>
      <c r="N16" s="206">
        <v>8</v>
      </c>
      <c r="O16" s="204"/>
      <c r="P16" s="203"/>
      <c r="Q16" s="204"/>
      <c r="R16" s="204"/>
      <c r="S16" s="203"/>
      <c r="T16" s="203"/>
      <c r="U16" s="204"/>
      <c r="V16" s="204"/>
      <c r="W16" s="203"/>
      <c r="X16" s="204"/>
      <c r="Y16" s="204"/>
      <c r="Z16" s="203"/>
      <c r="AA16" s="203"/>
      <c r="AB16" s="204"/>
      <c r="AC16" s="204"/>
      <c r="AD16" s="203"/>
      <c r="AE16" s="204"/>
      <c r="AF16" s="204"/>
      <c r="AG16" s="207"/>
      <c r="AH16" s="207"/>
    </row>
    <row r="17" spans="1:34">
      <c r="A17" s="396"/>
      <c r="B17" s="201" t="s">
        <v>225</v>
      </c>
      <c r="C17" s="202">
        <v>3482</v>
      </c>
      <c r="D17" s="202">
        <v>3482</v>
      </c>
      <c r="E17" s="203"/>
      <c r="F17" s="203"/>
      <c r="G17" s="206">
        <v>3523</v>
      </c>
      <c r="H17" s="206">
        <v>3524</v>
      </c>
      <c r="I17" s="205">
        <v>3481</v>
      </c>
      <c r="J17" s="204"/>
      <c r="K17" s="206">
        <v>3469</v>
      </c>
      <c r="L17" s="205">
        <v>3484</v>
      </c>
      <c r="M17" s="203"/>
      <c r="N17" s="206">
        <v>3327</v>
      </c>
      <c r="O17" s="204"/>
      <c r="P17" s="203"/>
      <c r="Q17" s="204"/>
      <c r="R17" s="204"/>
      <c r="S17" s="203"/>
      <c r="T17" s="203"/>
      <c r="U17" s="204"/>
      <c r="V17" s="204"/>
      <c r="W17" s="203"/>
      <c r="X17" s="204"/>
      <c r="Y17" s="204"/>
      <c r="Z17" s="203"/>
      <c r="AA17" s="203"/>
      <c r="AB17" s="204"/>
      <c r="AC17" s="204"/>
      <c r="AD17" s="203"/>
      <c r="AE17" s="204"/>
      <c r="AF17" s="204"/>
      <c r="AG17" s="207"/>
      <c r="AH17" s="207"/>
    </row>
    <row r="18" spans="1:34">
      <c r="A18" s="396"/>
      <c r="B18" s="201" t="s">
        <v>226</v>
      </c>
      <c r="C18" s="202">
        <v>3219.9579831932774</v>
      </c>
      <c r="D18" s="202">
        <v>3219.9579831932774</v>
      </c>
      <c r="E18" s="203"/>
      <c r="F18" s="203"/>
      <c r="G18" s="206">
        <v>3363.5</v>
      </c>
      <c r="H18" s="206">
        <v>3182.125</v>
      </c>
      <c r="I18" s="205">
        <v>3219.75</v>
      </c>
      <c r="J18" s="204"/>
      <c r="K18" s="206">
        <v>3323.5</v>
      </c>
      <c r="L18" s="205">
        <v>3203</v>
      </c>
      <c r="M18" s="203"/>
      <c r="N18" s="206">
        <v>2866.875</v>
      </c>
      <c r="O18" s="204"/>
      <c r="P18" s="203"/>
      <c r="Q18" s="204"/>
      <c r="R18" s="204"/>
      <c r="S18" s="203"/>
      <c r="T18" s="203"/>
      <c r="U18" s="204"/>
      <c r="V18" s="204"/>
      <c r="W18" s="203"/>
      <c r="X18" s="204"/>
      <c r="Y18" s="204"/>
      <c r="Z18" s="203"/>
      <c r="AA18" s="203"/>
      <c r="AB18" s="204"/>
      <c r="AC18" s="204"/>
      <c r="AD18" s="203"/>
      <c r="AE18" s="204"/>
      <c r="AF18" s="204"/>
      <c r="AG18" s="207"/>
      <c r="AH18" s="207"/>
    </row>
    <row r="19" spans="1:34">
      <c r="A19" s="397"/>
      <c r="B19" s="209" t="s">
        <v>227</v>
      </c>
      <c r="C19" s="210">
        <v>0.92469999999999997</v>
      </c>
      <c r="D19" s="210">
        <v>0.92469999999999997</v>
      </c>
      <c r="E19" s="211"/>
      <c r="F19" s="211"/>
      <c r="G19" s="210">
        <v>0.95469999999999999</v>
      </c>
      <c r="H19" s="210">
        <v>0.90300000000000002</v>
      </c>
      <c r="I19" s="213">
        <v>0.92490000000000006</v>
      </c>
      <c r="J19" s="212"/>
      <c r="K19" s="210">
        <v>0.95809999999999995</v>
      </c>
      <c r="L19" s="213">
        <v>0.91930000000000001</v>
      </c>
      <c r="M19" s="211"/>
      <c r="N19" s="210">
        <v>0.86170000000000002</v>
      </c>
      <c r="O19" s="212"/>
      <c r="P19" s="211"/>
      <c r="Q19" s="212"/>
      <c r="R19" s="212"/>
      <c r="S19" s="211"/>
      <c r="T19" s="211"/>
      <c r="U19" s="212"/>
      <c r="V19" s="212"/>
      <c r="W19" s="211"/>
      <c r="X19" s="212"/>
      <c r="Y19" s="212"/>
      <c r="Z19" s="211"/>
      <c r="AA19" s="211"/>
      <c r="AB19" s="212"/>
      <c r="AC19" s="212"/>
      <c r="AD19" s="211"/>
      <c r="AE19" s="212"/>
      <c r="AF19" s="212"/>
      <c r="AG19" s="214"/>
      <c r="AH19" s="214"/>
    </row>
    <row r="20" spans="1:34">
      <c r="A20" s="395" t="s">
        <v>86</v>
      </c>
      <c r="B20" s="194" t="s">
        <v>45</v>
      </c>
      <c r="C20" s="195">
        <v>157648</v>
      </c>
      <c r="D20" s="195">
        <v>26274.666666666668</v>
      </c>
      <c r="E20" s="196"/>
      <c r="F20" s="196"/>
      <c r="G20" s="199">
        <v>26736</v>
      </c>
      <c r="H20" s="199">
        <v>26576</v>
      </c>
      <c r="I20" s="198">
        <v>26560</v>
      </c>
      <c r="J20" s="197"/>
      <c r="K20" s="199">
        <v>26544</v>
      </c>
      <c r="L20" s="198">
        <v>26528</v>
      </c>
      <c r="M20" s="196"/>
      <c r="N20" s="199">
        <v>24704</v>
      </c>
      <c r="O20" s="197"/>
      <c r="P20" s="196"/>
      <c r="Q20" s="197"/>
      <c r="R20" s="197"/>
      <c r="S20" s="196"/>
      <c r="T20" s="196"/>
      <c r="U20" s="197"/>
      <c r="V20" s="197"/>
      <c r="W20" s="196"/>
      <c r="X20" s="197"/>
      <c r="Y20" s="197"/>
      <c r="Z20" s="196"/>
      <c r="AA20" s="196"/>
      <c r="AB20" s="197"/>
      <c r="AC20" s="197"/>
      <c r="AD20" s="196"/>
      <c r="AE20" s="197"/>
      <c r="AF20" s="197"/>
      <c r="AG20" s="200"/>
      <c r="AH20" s="200"/>
    </row>
    <row r="21" spans="1:34">
      <c r="A21" s="396"/>
      <c r="B21" s="194" t="s">
        <v>228</v>
      </c>
      <c r="C21" s="195">
        <v>145740</v>
      </c>
      <c r="D21" s="195">
        <v>24290</v>
      </c>
      <c r="E21" s="196"/>
      <c r="F21" s="196"/>
      <c r="G21" s="199">
        <v>24240</v>
      </c>
      <c r="H21" s="199">
        <v>25360</v>
      </c>
      <c r="I21" s="198">
        <v>24460</v>
      </c>
      <c r="J21" s="197"/>
      <c r="K21" s="199">
        <v>24370</v>
      </c>
      <c r="L21" s="198">
        <v>24710</v>
      </c>
      <c r="M21" s="196"/>
      <c r="N21" s="199">
        <v>22600</v>
      </c>
      <c r="O21" s="199">
        <v>22680</v>
      </c>
      <c r="P21" s="198">
        <v>23040</v>
      </c>
      <c r="Q21" s="199">
        <v>23160</v>
      </c>
      <c r="R21" s="199">
        <v>23160</v>
      </c>
      <c r="S21" s="198">
        <v>22800</v>
      </c>
      <c r="T21" s="196"/>
      <c r="U21" s="199">
        <v>22600</v>
      </c>
      <c r="V21" s="199">
        <v>22100</v>
      </c>
      <c r="W21" s="198">
        <v>22160</v>
      </c>
      <c r="X21" s="199">
        <v>23000</v>
      </c>
      <c r="Y21" s="199">
        <v>23420</v>
      </c>
      <c r="Z21" s="196"/>
      <c r="AA21" s="196"/>
      <c r="AB21" s="199">
        <v>23300</v>
      </c>
      <c r="AC21" s="199">
        <v>23780</v>
      </c>
      <c r="AD21" s="198">
        <v>24260</v>
      </c>
      <c r="AE21" s="199">
        <v>24040</v>
      </c>
      <c r="AF21" s="199">
        <v>24040</v>
      </c>
      <c r="AG21" s="200"/>
      <c r="AH21" s="200"/>
    </row>
    <row r="22" spans="1:34">
      <c r="A22" s="396"/>
      <c r="B22" s="201" t="s">
        <v>47</v>
      </c>
      <c r="C22" s="202">
        <v>142075</v>
      </c>
      <c r="D22" s="202">
        <v>23679.166666666668</v>
      </c>
      <c r="E22" s="203"/>
      <c r="F22" s="203"/>
      <c r="G22" s="206">
        <v>24248</v>
      </c>
      <c r="H22" s="206">
        <v>25090</v>
      </c>
      <c r="I22" s="205">
        <v>22585</v>
      </c>
      <c r="J22" s="204"/>
      <c r="K22" s="206">
        <v>23810</v>
      </c>
      <c r="L22" s="205">
        <v>24162</v>
      </c>
      <c r="M22" s="203"/>
      <c r="N22" s="206">
        <v>22180</v>
      </c>
      <c r="O22" s="204"/>
      <c r="P22" s="203"/>
      <c r="Q22" s="204"/>
      <c r="R22" s="204"/>
      <c r="S22" s="203"/>
      <c r="T22" s="203"/>
      <c r="U22" s="204"/>
      <c r="V22" s="204"/>
      <c r="W22" s="203"/>
      <c r="X22" s="204"/>
      <c r="Y22" s="204"/>
      <c r="Z22" s="203"/>
      <c r="AA22" s="203"/>
      <c r="AB22" s="204"/>
      <c r="AC22" s="204"/>
      <c r="AD22" s="203"/>
      <c r="AE22" s="204"/>
      <c r="AF22" s="204"/>
      <c r="AG22" s="207"/>
      <c r="AH22" s="207"/>
    </row>
    <row r="23" spans="1:34">
      <c r="A23" s="396"/>
      <c r="B23" s="201" t="s">
        <v>48</v>
      </c>
      <c r="C23" s="208">
        <v>-3665</v>
      </c>
      <c r="D23" s="208">
        <v>-610.83333333333337</v>
      </c>
      <c r="E23" s="203"/>
      <c r="F23" s="203"/>
      <c r="G23" s="206">
        <v>8</v>
      </c>
      <c r="H23" s="204">
        <v>-270</v>
      </c>
      <c r="I23" s="203">
        <v>-1875</v>
      </c>
      <c r="J23" s="204"/>
      <c r="K23" s="204">
        <v>-560</v>
      </c>
      <c r="L23" s="203">
        <v>-548</v>
      </c>
      <c r="M23" s="203"/>
      <c r="N23" s="204">
        <v>-420</v>
      </c>
      <c r="O23" s="204"/>
      <c r="P23" s="203"/>
      <c r="Q23" s="204"/>
      <c r="R23" s="204"/>
      <c r="S23" s="203"/>
      <c r="T23" s="203"/>
      <c r="U23" s="204"/>
      <c r="V23" s="204"/>
      <c r="W23" s="203"/>
      <c r="X23" s="204"/>
      <c r="Y23" s="204"/>
      <c r="Z23" s="203"/>
      <c r="AA23" s="203"/>
      <c r="AB23" s="204"/>
      <c r="AC23" s="204"/>
      <c r="AD23" s="203"/>
      <c r="AE23" s="204"/>
      <c r="AF23" s="204"/>
      <c r="AG23" s="207"/>
      <c r="AH23" s="207"/>
    </row>
    <row r="24" spans="1:34">
      <c r="A24" s="396"/>
      <c r="B24" s="201" t="s">
        <v>49</v>
      </c>
      <c r="C24" s="202">
        <v>47.5</v>
      </c>
      <c r="D24" s="202">
        <v>7.916666666666667</v>
      </c>
      <c r="E24" s="203"/>
      <c r="F24" s="203"/>
      <c r="G24" s="206">
        <v>8</v>
      </c>
      <c r="H24" s="206">
        <v>8</v>
      </c>
      <c r="I24" s="205">
        <v>8</v>
      </c>
      <c r="J24" s="204"/>
      <c r="K24" s="206">
        <v>8</v>
      </c>
      <c r="L24" s="205">
        <v>8</v>
      </c>
      <c r="M24" s="203"/>
      <c r="N24" s="206">
        <v>8</v>
      </c>
      <c r="O24" s="204"/>
      <c r="P24" s="203"/>
      <c r="Q24" s="204"/>
      <c r="R24" s="204"/>
      <c r="S24" s="203"/>
      <c r="T24" s="203"/>
      <c r="U24" s="204"/>
      <c r="V24" s="204"/>
      <c r="W24" s="203"/>
      <c r="X24" s="204"/>
      <c r="Y24" s="204"/>
      <c r="Z24" s="203"/>
      <c r="AA24" s="203"/>
      <c r="AB24" s="204"/>
      <c r="AC24" s="204"/>
      <c r="AD24" s="203"/>
      <c r="AE24" s="204"/>
      <c r="AF24" s="204"/>
      <c r="AG24" s="207"/>
      <c r="AH24" s="207"/>
    </row>
    <row r="25" spans="1:34">
      <c r="A25" s="396"/>
      <c r="B25" s="201" t="s">
        <v>50</v>
      </c>
      <c r="C25" s="202">
        <v>2959</v>
      </c>
      <c r="D25" s="202">
        <v>2959</v>
      </c>
      <c r="E25" s="203"/>
      <c r="F25" s="203"/>
      <c r="G25" s="206">
        <v>2992</v>
      </c>
      <c r="H25" s="206">
        <v>2997</v>
      </c>
      <c r="I25" s="205">
        <v>2939</v>
      </c>
      <c r="J25" s="204"/>
      <c r="K25" s="206">
        <v>2936</v>
      </c>
      <c r="L25" s="205">
        <v>2977</v>
      </c>
      <c r="M25" s="203"/>
      <c r="N25" s="206">
        <v>2801</v>
      </c>
      <c r="O25" s="204"/>
      <c r="P25" s="203"/>
      <c r="Q25" s="204"/>
      <c r="R25" s="204"/>
      <c r="S25" s="203"/>
      <c r="T25" s="203"/>
      <c r="U25" s="204"/>
      <c r="V25" s="204"/>
      <c r="W25" s="203"/>
      <c r="X25" s="204"/>
      <c r="Y25" s="204"/>
      <c r="Z25" s="203"/>
      <c r="AA25" s="203"/>
      <c r="AB25" s="204"/>
      <c r="AC25" s="204"/>
      <c r="AD25" s="203"/>
      <c r="AE25" s="204"/>
      <c r="AF25" s="204"/>
      <c r="AG25" s="207"/>
      <c r="AH25" s="207"/>
    </row>
    <row r="26" spans="1:34">
      <c r="A26" s="396"/>
      <c r="B26" s="201" t="s">
        <v>51</v>
      </c>
      <c r="C26" s="202">
        <v>2991.0526315789475</v>
      </c>
      <c r="D26" s="202">
        <v>2991.0526315789475</v>
      </c>
      <c r="E26" s="203"/>
      <c r="F26" s="203"/>
      <c r="G26" s="206">
        <v>3031</v>
      </c>
      <c r="H26" s="206">
        <v>3136.25</v>
      </c>
      <c r="I26" s="205">
        <v>2823.125</v>
      </c>
      <c r="J26" s="204"/>
      <c r="K26" s="206">
        <v>2976.25</v>
      </c>
      <c r="L26" s="205">
        <v>3020.25</v>
      </c>
      <c r="M26" s="203"/>
      <c r="N26" s="206">
        <v>2772.5</v>
      </c>
      <c r="O26" s="204"/>
      <c r="P26" s="203"/>
      <c r="Q26" s="204"/>
      <c r="R26" s="204"/>
      <c r="S26" s="203"/>
      <c r="T26" s="203"/>
      <c r="U26" s="204"/>
      <c r="V26" s="204"/>
      <c r="W26" s="203"/>
      <c r="X26" s="204"/>
      <c r="Y26" s="204"/>
      <c r="Z26" s="203"/>
      <c r="AA26" s="203"/>
      <c r="AB26" s="204"/>
      <c r="AC26" s="204"/>
      <c r="AD26" s="203"/>
      <c r="AE26" s="204"/>
      <c r="AF26" s="204"/>
      <c r="AG26" s="207"/>
      <c r="AH26" s="207"/>
    </row>
    <row r="27" spans="1:34">
      <c r="A27" s="397"/>
      <c r="B27" s="209" t="s">
        <v>52</v>
      </c>
      <c r="C27" s="210">
        <v>1.0107999999999999</v>
      </c>
      <c r="D27" s="210">
        <v>1.0107999999999999</v>
      </c>
      <c r="E27" s="211"/>
      <c r="F27" s="211"/>
      <c r="G27" s="210">
        <v>1.0129999999999999</v>
      </c>
      <c r="H27" s="210">
        <v>1.0465</v>
      </c>
      <c r="I27" s="213">
        <v>0.96060000000000001</v>
      </c>
      <c r="J27" s="212"/>
      <c r="K27" s="210">
        <v>1.0137</v>
      </c>
      <c r="L27" s="213">
        <v>1.0145</v>
      </c>
      <c r="M27" s="211"/>
      <c r="N27" s="210">
        <v>0.98980000000000001</v>
      </c>
      <c r="O27" s="212"/>
      <c r="P27" s="211"/>
      <c r="Q27" s="212"/>
      <c r="R27" s="212"/>
      <c r="S27" s="211"/>
      <c r="T27" s="211"/>
      <c r="U27" s="212"/>
      <c r="V27" s="212"/>
      <c r="W27" s="211"/>
      <c r="X27" s="212"/>
      <c r="Y27" s="212"/>
      <c r="Z27" s="211"/>
      <c r="AA27" s="211"/>
      <c r="AB27" s="212"/>
      <c r="AC27" s="212"/>
      <c r="AD27" s="211"/>
      <c r="AE27" s="212"/>
      <c r="AF27" s="212"/>
      <c r="AG27" s="214"/>
      <c r="AH27" s="214"/>
    </row>
    <row r="28" spans="1:34">
      <c r="A28" s="395" t="s">
        <v>87</v>
      </c>
      <c r="B28" s="194" t="s">
        <v>45</v>
      </c>
      <c r="C28" s="195"/>
      <c r="D28" s="195"/>
      <c r="E28" s="198"/>
      <c r="F28" s="198"/>
      <c r="G28" s="199"/>
      <c r="H28" s="199"/>
      <c r="I28" s="196"/>
      <c r="J28" s="199"/>
      <c r="K28" s="199"/>
      <c r="L28" s="198"/>
      <c r="M28" s="198"/>
      <c r="N28" s="199"/>
      <c r="O28" s="199"/>
      <c r="P28" s="196"/>
      <c r="Q28" s="199"/>
      <c r="R28" s="199"/>
      <c r="S28" s="198"/>
      <c r="T28" s="198"/>
      <c r="U28" s="199"/>
      <c r="V28" s="199"/>
      <c r="W28" s="196"/>
      <c r="X28" s="199"/>
      <c r="Y28" s="199"/>
      <c r="Z28" s="198"/>
      <c r="AA28" s="198"/>
      <c r="AB28" s="199"/>
      <c r="AC28" s="199"/>
      <c r="AD28" s="196"/>
      <c r="AE28" s="197"/>
      <c r="AF28" s="197"/>
      <c r="AG28" s="200"/>
      <c r="AH28" s="200"/>
    </row>
    <row r="29" spans="1:34">
      <c r="A29" s="396"/>
      <c r="B29" s="194" t="s">
        <v>46</v>
      </c>
      <c r="C29" s="195"/>
      <c r="D29" s="195"/>
      <c r="E29" s="198"/>
      <c r="F29" s="198"/>
      <c r="G29" s="199"/>
      <c r="H29" s="199"/>
      <c r="I29" s="196"/>
      <c r="J29" s="199"/>
      <c r="K29" s="199"/>
      <c r="L29" s="198"/>
      <c r="M29" s="198"/>
      <c r="N29" s="199"/>
      <c r="O29" s="199"/>
      <c r="P29" s="196"/>
      <c r="Q29" s="199"/>
      <c r="R29" s="199"/>
      <c r="S29" s="198"/>
      <c r="T29" s="198"/>
      <c r="U29" s="199"/>
      <c r="V29" s="199"/>
      <c r="W29" s="196"/>
      <c r="X29" s="199"/>
      <c r="Y29" s="199"/>
      <c r="Z29" s="198"/>
      <c r="AA29" s="198"/>
      <c r="AB29" s="199"/>
      <c r="AC29" s="199"/>
      <c r="AD29" s="196"/>
      <c r="AE29" s="199"/>
      <c r="AF29" s="199"/>
      <c r="AG29" s="215"/>
      <c r="AH29" s="215"/>
    </row>
    <row r="30" spans="1:34">
      <c r="A30" s="396"/>
      <c r="B30" s="201" t="s">
        <v>47</v>
      </c>
      <c r="C30" s="202"/>
      <c r="D30" s="202"/>
      <c r="E30" s="205"/>
      <c r="F30" s="205"/>
      <c r="G30" s="206"/>
      <c r="H30" s="206"/>
      <c r="I30" s="203"/>
      <c r="J30" s="206"/>
      <c r="K30" s="206"/>
      <c r="L30" s="205"/>
      <c r="M30" s="205"/>
      <c r="N30" s="206"/>
      <c r="O30" s="206"/>
      <c r="P30" s="203"/>
      <c r="Q30" s="206"/>
      <c r="R30" s="206"/>
      <c r="S30" s="205"/>
      <c r="T30" s="205"/>
      <c r="U30" s="206"/>
      <c r="V30" s="206"/>
      <c r="W30" s="203"/>
      <c r="X30" s="206"/>
      <c r="Y30" s="206"/>
      <c r="Z30" s="205"/>
      <c r="AA30" s="205"/>
      <c r="AB30" s="206"/>
      <c r="AC30" s="206"/>
      <c r="AD30" s="203"/>
      <c r="AE30" s="204"/>
      <c r="AF30" s="204"/>
      <c r="AG30" s="207"/>
      <c r="AH30" s="207"/>
    </row>
    <row r="31" spans="1:34">
      <c r="A31" s="396"/>
      <c r="B31" s="201" t="s">
        <v>48</v>
      </c>
      <c r="C31" s="202"/>
      <c r="D31" s="202"/>
      <c r="E31" s="203"/>
      <c r="F31" s="205"/>
      <c r="G31" s="206"/>
      <c r="H31" s="206"/>
      <c r="I31" s="203"/>
      <c r="J31" s="206"/>
      <c r="K31" s="206"/>
      <c r="L31" s="205"/>
      <c r="M31" s="205"/>
      <c r="N31" s="206"/>
      <c r="O31" s="206"/>
      <c r="P31" s="203"/>
      <c r="Q31" s="206"/>
      <c r="R31" s="204"/>
      <c r="S31" s="203"/>
      <c r="T31" s="203"/>
      <c r="U31" s="206"/>
      <c r="V31" s="206"/>
      <c r="W31" s="203"/>
      <c r="X31" s="206"/>
      <c r="Y31" s="206"/>
      <c r="Z31" s="205"/>
      <c r="AA31" s="205"/>
      <c r="AB31" s="206"/>
      <c r="AC31" s="204"/>
      <c r="AD31" s="203"/>
      <c r="AE31" s="204"/>
      <c r="AF31" s="204"/>
      <c r="AG31" s="207"/>
      <c r="AH31" s="207"/>
    </row>
    <row r="32" spans="1:34">
      <c r="A32" s="396"/>
      <c r="B32" s="201" t="s">
        <v>49</v>
      </c>
      <c r="C32" s="202"/>
      <c r="D32" s="202"/>
      <c r="E32" s="205"/>
      <c r="F32" s="205"/>
      <c r="G32" s="206"/>
      <c r="H32" s="206"/>
      <c r="I32" s="203"/>
      <c r="J32" s="206"/>
      <c r="K32" s="206"/>
      <c r="L32" s="205"/>
      <c r="M32" s="205"/>
      <c r="N32" s="206"/>
      <c r="O32" s="206"/>
      <c r="P32" s="203"/>
      <c r="Q32" s="206"/>
      <c r="R32" s="206"/>
      <c r="S32" s="205"/>
      <c r="T32" s="205"/>
      <c r="U32" s="206"/>
      <c r="V32" s="206"/>
      <c r="W32" s="203"/>
      <c r="X32" s="206"/>
      <c r="Y32" s="206"/>
      <c r="Z32" s="205"/>
      <c r="AA32" s="205"/>
      <c r="AB32" s="206"/>
      <c r="AC32" s="206"/>
      <c r="AD32" s="203"/>
      <c r="AE32" s="204"/>
      <c r="AF32" s="204"/>
      <c r="AG32" s="207"/>
      <c r="AH32" s="207"/>
    </row>
    <row r="33" spans="1:34">
      <c r="A33" s="396"/>
      <c r="B33" s="201" t="s">
        <v>50</v>
      </c>
      <c r="C33" s="202"/>
      <c r="D33" s="202"/>
      <c r="E33" s="205"/>
      <c r="F33" s="205"/>
      <c r="G33" s="206"/>
      <c r="H33" s="206"/>
      <c r="I33" s="203"/>
      <c r="J33" s="206"/>
      <c r="K33" s="206"/>
      <c r="L33" s="205"/>
      <c r="M33" s="205"/>
      <c r="N33" s="206"/>
      <c r="O33" s="206"/>
      <c r="P33" s="203"/>
      <c r="Q33" s="206"/>
      <c r="R33" s="206"/>
      <c r="S33" s="205"/>
      <c r="T33" s="205"/>
      <c r="U33" s="206"/>
      <c r="V33" s="206"/>
      <c r="W33" s="203"/>
      <c r="X33" s="206"/>
      <c r="Y33" s="206"/>
      <c r="Z33" s="205"/>
      <c r="AA33" s="205"/>
      <c r="AB33" s="206"/>
      <c r="AC33" s="206"/>
      <c r="AD33" s="203"/>
      <c r="AE33" s="204"/>
      <c r="AF33" s="204"/>
      <c r="AG33" s="207"/>
      <c r="AH33" s="207"/>
    </row>
    <row r="34" spans="1:34">
      <c r="A34" s="396"/>
      <c r="B34" s="201" t="s">
        <v>51</v>
      </c>
      <c r="C34" s="202"/>
      <c r="D34" s="202"/>
      <c r="E34" s="205"/>
      <c r="F34" s="205"/>
      <c r="G34" s="206"/>
      <c r="H34" s="206"/>
      <c r="I34" s="203"/>
      <c r="J34" s="206"/>
      <c r="K34" s="206"/>
      <c r="L34" s="205"/>
      <c r="M34" s="205"/>
      <c r="N34" s="206"/>
      <c r="O34" s="206"/>
      <c r="P34" s="203"/>
      <c r="Q34" s="206"/>
      <c r="R34" s="206"/>
      <c r="S34" s="205"/>
      <c r="T34" s="205"/>
      <c r="U34" s="206"/>
      <c r="V34" s="206"/>
      <c r="W34" s="203"/>
      <c r="X34" s="206"/>
      <c r="Y34" s="206"/>
      <c r="Z34" s="205"/>
      <c r="AA34" s="205"/>
      <c r="AB34" s="206"/>
      <c r="AC34" s="206"/>
      <c r="AD34" s="203"/>
      <c r="AE34" s="204"/>
      <c r="AF34" s="204"/>
      <c r="AG34" s="207"/>
      <c r="AH34" s="207"/>
    </row>
    <row r="35" spans="1:34">
      <c r="A35" s="397"/>
      <c r="B35" s="209" t="s">
        <v>52</v>
      </c>
      <c r="C35" s="210"/>
      <c r="D35" s="210"/>
      <c r="E35" s="213"/>
      <c r="F35" s="213"/>
      <c r="G35" s="210"/>
      <c r="H35" s="210"/>
      <c r="I35" s="211"/>
      <c r="J35" s="210"/>
      <c r="K35" s="210"/>
      <c r="L35" s="213"/>
      <c r="M35" s="213"/>
      <c r="N35" s="210"/>
      <c r="O35" s="210"/>
      <c r="P35" s="211"/>
      <c r="Q35" s="210"/>
      <c r="R35" s="210"/>
      <c r="S35" s="213"/>
      <c r="T35" s="213"/>
      <c r="U35" s="210"/>
      <c r="V35" s="210"/>
      <c r="W35" s="211"/>
      <c r="X35" s="210"/>
      <c r="Y35" s="210"/>
      <c r="Z35" s="213"/>
      <c r="AA35" s="213"/>
      <c r="AB35" s="210"/>
      <c r="AC35" s="210"/>
      <c r="AD35" s="211"/>
      <c r="AE35" s="212"/>
      <c r="AF35" s="212"/>
      <c r="AG35" s="214"/>
      <c r="AH35" s="214"/>
    </row>
  </sheetData>
  <mergeCells count="6">
    <mergeCell ref="A20:A27"/>
    <mergeCell ref="A28:A35"/>
    <mergeCell ref="A1:B1"/>
    <mergeCell ref="A2:AE2"/>
    <mergeCell ref="A4:A11"/>
    <mergeCell ref="A12:A19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FF00"/>
  </sheetPr>
  <dimension ref="A1:AI41"/>
  <sheetViews>
    <sheetView workbookViewId="0">
      <selection sqref="A1:B1"/>
    </sheetView>
  </sheetViews>
  <sheetFormatPr defaultRowHeight="15"/>
  <cols>
    <col min="1" max="1" width="10.42578125" customWidth="1"/>
    <col min="4" max="4" width="7.140625" style="71" customWidth="1"/>
    <col min="5" max="34" width="6.7109375" style="137" customWidth="1"/>
  </cols>
  <sheetData>
    <row r="1" spans="1:35" ht="27.75">
      <c r="A1" s="369" t="s">
        <v>4</v>
      </c>
      <c r="B1" s="370"/>
    </row>
    <row r="2" spans="1:35" s="8" customFormat="1" ht="30">
      <c r="A2" s="388" t="s">
        <v>105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138"/>
      <c r="AG2" s="138"/>
      <c r="AH2" s="138"/>
    </row>
    <row r="3" spans="1:35" s="8" customFormat="1" ht="16.5">
      <c r="A3" s="69" t="s">
        <v>88</v>
      </c>
      <c r="B3" s="139" t="s">
        <v>43</v>
      </c>
      <c r="C3" s="140" t="s">
        <v>89</v>
      </c>
      <c r="D3" s="141" t="s">
        <v>84</v>
      </c>
      <c r="E3" s="216">
        <v>1</v>
      </c>
      <c r="F3" s="217">
        <v>2</v>
      </c>
      <c r="G3" s="217">
        <v>3</v>
      </c>
      <c r="H3" s="217">
        <v>4</v>
      </c>
      <c r="I3" s="217">
        <v>5</v>
      </c>
      <c r="J3" s="217">
        <v>6</v>
      </c>
      <c r="K3" s="217">
        <v>7</v>
      </c>
      <c r="L3" s="216">
        <v>8</v>
      </c>
      <c r="M3" s="217">
        <v>9</v>
      </c>
      <c r="N3" s="217">
        <v>10</v>
      </c>
      <c r="O3" s="217">
        <v>11</v>
      </c>
      <c r="P3" s="217">
        <v>12</v>
      </c>
      <c r="Q3" s="217">
        <v>13</v>
      </c>
      <c r="R3" s="217">
        <v>14</v>
      </c>
      <c r="S3" s="216">
        <v>15</v>
      </c>
      <c r="T3" s="217">
        <v>16</v>
      </c>
      <c r="U3" s="217">
        <v>17</v>
      </c>
      <c r="V3" s="217">
        <v>18</v>
      </c>
      <c r="W3" s="217">
        <v>19</v>
      </c>
      <c r="X3" s="217">
        <v>20</v>
      </c>
      <c r="Y3" s="217">
        <v>21</v>
      </c>
      <c r="Z3" s="216">
        <v>22</v>
      </c>
      <c r="AA3" s="217">
        <v>23</v>
      </c>
      <c r="AB3" s="217">
        <v>24</v>
      </c>
      <c r="AC3" s="217">
        <v>25</v>
      </c>
      <c r="AD3" s="217">
        <v>26</v>
      </c>
      <c r="AE3" s="217">
        <v>27</v>
      </c>
      <c r="AF3" s="217">
        <v>28</v>
      </c>
      <c r="AG3" s="218">
        <v>29</v>
      </c>
      <c r="AH3" s="219">
        <v>30</v>
      </c>
    </row>
    <row r="4" spans="1:35" s="8" customFormat="1" ht="15" customHeight="1">
      <c r="A4" s="395" t="s">
        <v>44</v>
      </c>
      <c r="B4" s="142" t="s">
        <v>45</v>
      </c>
      <c r="C4" s="220">
        <f>'3.6.A廠總計產能'!C4</f>
        <v>328224</v>
      </c>
      <c r="D4" s="220">
        <f>'3.6.A廠總計產能'!D4</f>
        <v>54704</v>
      </c>
      <c r="E4" s="220">
        <f>'3.6.A廠總計產能'!E4</f>
        <v>0</v>
      </c>
      <c r="F4" s="220">
        <f>'3.6.A廠總計產能'!F4</f>
        <v>0</v>
      </c>
      <c r="G4" s="220">
        <f>'3.6.A廠總計產能'!G4</f>
        <v>55608</v>
      </c>
      <c r="H4" s="220">
        <f>'3.6.A廠總計產能'!H4</f>
        <v>55504</v>
      </c>
      <c r="I4" s="220">
        <f>'3.6.A廠總計產能'!I4</f>
        <v>55336</v>
      </c>
      <c r="J4" s="220">
        <f>'3.6.A廠總計產能'!J4</f>
        <v>0</v>
      </c>
      <c r="K4" s="220">
        <f>'3.6.A廠總計產能'!K4</f>
        <v>55168</v>
      </c>
      <c r="L4" s="220">
        <f>'3.6.A廠總計產能'!L4</f>
        <v>55184</v>
      </c>
      <c r="M4" s="220">
        <f>'3.6.A廠總計產能'!M4</f>
        <v>0</v>
      </c>
      <c r="N4" s="220">
        <f>'3.6.A廠總計產能'!N4</f>
        <v>51424</v>
      </c>
      <c r="O4" s="220">
        <f>'3.6.A廠總計產能'!O4</f>
        <v>0</v>
      </c>
      <c r="P4" s="220">
        <f>'3.6.A廠總計產能'!P4</f>
        <v>0</v>
      </c>
      <c r="Q4" s="220">
        <f>'3.6.A廠總計產能'!Q4</f>
        <v>0</v>
      </c>
      <c r="R4" s="220">
        <f>'3.6.A廠總計產能'!R4</f>
        <v>0</v>
      </c>
      <c r="S4" s="220">
        <f>'3.6.A廠總計產能'!S4</f>
        <v>0</v>
      </c>
      <c r="T4" s="220">
        <f>'3.6.A廠總計產能'!T4</f>
        <v>0</v>
      </c>
      <c r="U4" s="220">
        <f>'3.6.A廠總計產能'!U4</f>
        <v>0</v>
      </c>
      <c r="V4" s="220">
        <f>'3.6.A廠總計產能'!V4</f>
        <v>0</v>
      </c>
      <c r="W4" s="220">
        <f>'3.6.A廠總計產能'!W4</f>
        <v>0</v>
      </c>
      <c r="X4" s="220">
        <f>'3.6.A廠總計產能'!X4</f>
        <v>0</v>
      </c>
      <c r="Y4" s="220">
        <f>'3.6.A廠總計產能'!Y4</f>
        <v>0</v>
      </c>
      <c r="Z4" s="220">
        <f>'3.6.A廠總計產能'!Z4</f>
        <v>0</v>
      </c>
      <c r="AA4" s="220">
        <f>'3.6.A廠總計產能'!AA4</f>
        <v>0</v>
      </c>
      <c r="AB4" s="220">
        <f>'3.6.A廠總計產能'!AB4</f>
        <v>0</v>
      </c>
      <c r="AC4" s="220">
        <f>'3.6.A廠總計產能'!AC4</f>
        <v>0</v>
      </c>
      <c r="AD4" s="220">
        <f>'3.6.A廠總計產能'!AD4</f>
        <v>0</v>
      </c>
      <c r="AE4" s="220">
        <f>'3.6.A廠總計產能'!AE4</f>
        <v>0</v>
      </c>
      <c r="AF4" s="220">
        <f>'3.6.A廠總計產能'!AF4</f>
        <v>0</v>
      </c>
      <c r="AG4" s="220">
        <f>'3.6.A廠總計產能'!AG4</f>
        <v>0</v>
      </c>
      <c r="AH4" s="220">
        <f>'3.6.A廠總計產能'!AH4</f>
        <v>0</v>
      </c>
    </row>
    <row r="5" spans="1:35" s="8" customFormat="1" ht="15" customHeight="1">
      <c r="A5" s="396"/>
      <c r="B5" s="142" t="s">
        <v>46</v>
      </c>
      <c r="C5" s="220">
        <f>'3.6.A廠總計產能'!C5</f>
        <v>304692</v>
      </c>
      <c r="D5" s="220">
        <f>'3.6.A廠總計產能'!D5</f>
        <v>50782</v>
      </c>
      <c r="E5" s="220">
        <f>'3.6.A廠總計產能'!E5</f>
        <v>0</v>
      </c>
      <c r="F5" s="220">
        <f>'3.6.A廠總計產能'!F5</f>
        <v>0</v>
      </c>
      <c r="G5" s="220">
        <f>'3.6.A廠總計產能'!G5</f>
        <v>51232</v>
      </c>
      <c r="H5" s="220">
        <f>'3.6.A廠總計產能'!H5</f>
        <v>52352</v>
      </c>
      <c r="I5" s="220">
        <f>'3.6.A廠總計產能'!I5</f>
        <v>51452</v>
      </c>
      <c r="J5" s="220">
        <f>'3.6.A廠總計產能'!J5</f>
        <v>0</v>
      </c>
      <c r="K5" s="220">
        <f>'3.6.A廠總計產能'!K5</f>
        <v>51362</v>
      </c>
      <c r="L5" s="220">
        <f>'3.6.A廠總計產能'!L5</f>
        <v>51042</v>
      </c>
      <c r="M5" s="220">
        <f>'3.6.A廠總計產能'!M5</f>
        <v>0</v>
      </c>
      <c r="N5" s="220">
        <f>'3.6.A廠總計產能'!N5</f>
        <v>47252</v>
      </c>
      <c r="O5" s="220">
        <f>'3.6.A廠總計產能'!O5</f>
        <v>47612</v>
      </c>
      <c r="P5" s="220">
        <f>'3.6.A廠總計產能'!P5</f>
        <v>48272</v>
      </c>
      <c r="Q5" s="220">
        <f>'3.6.A廠總計產能'!Q5</f>
        <v>48112</v>
      </c>
      <c r="R5" s="220">
        <f>'3.6.A廠總計產能'!R5</f>
        <v>47732</v>
      </c>
      <c r="S5" s="220">
        <f>'3.6.A廠總計產能'!S5</f>
        <v>47432</v>
      </c>
      <c r="T5" s="220">
        <f>'3.6.A廠總計產能'!T5</f>
        <v>0</v>
      </c>
      <c r="U5" s="220">
        <f>'3.6.A廠總計產能'!U5</f>
        <v>47832</v>
      </c>
      <c r="V5" s="220">
        <f>'3.6.A廠總計產能'!V5</f>
        <v>47332</v>
      </c>
      <c r="W5" s="220">
        <f>'3.6.A廠總計產能'!W5</f>
        <v>47392</v>
      </c>
      <c r="X5" s="220">
        <f>'3.6.A廠總計產能'!X5</f>
        <v>48112</v>
      </c>
      <c r="Y5" s="220">
        <f>'3.6.A廠總計產能'!Y5</f>
        <v>48532</v>
      </c>
      <c r="Z5" s="220">
        <f>'3.6.A廠總計產能'!Z5</f>
        <v>0</v>
      </c>
      <c r="AA5" s="220">
        <f>'3.6.A廠總計產能'!AA5</f>
        <v>0</v>
      </c>
      <c r="AB5" s="220">
        <f>'3.6.A廠總計產能'!AB5</f>
        <v>48432</v>
      </c>
      <c r="AC5" s="220">
        <f>'3.6.A廠總計產能'!AC5</f>
        <v>48732</v>
      </c>
      <c r="AD5" s="220">
        <f>'3.6.A廠總計產能'!AD5</f>
        <v>49892</v>
      </c>
      <c r="AE5" s="220">
        <f>'3.6.A廠總計產能'!AE5</f>
        <v>50012</v>
      </c>
      <c r="AF5" s="220">
        <f>'3.6.A廠總計產能'!AF5</f>
        <v>50392</v>
      </c>
      <c r="AG5" s="220">
        <f>'3.6.A廠總計產能'!AG5</f>
        <v>0</v>
      </c>
      <c r="AH5" s="220">
        <f>'3.6.A廠總計產能'!AH5</f>
        <v>0</v>
      </c>
    </row>
    <row r="6" spans="1:35" s="8" customFormat="1" ht="15" customHeight="1">
      <c r="A6" s="396"/>
      <c r="B6" s="143" t="s">
        <v>90</v>
      </c>
      <c r="C6" s="221">
        <f>'3.6.A廠總計產能'!C6</f>
        <v>295345</v>
      </c>
      <c r="D6" s="221">
        <f>'3.6.A廠總計產能'!D6</f>
        <v>49224.166666666672</v>
      </c>
      <c r="E6" s="221">
        <f>'3.6.A廠總計產能'!E6</f>
        <v>0</v>
      </c>
      <c r="F6" s="221">
        <f>'3.6.A廠總計產能'!F6</f>
        <v>0</v>
      </c>
      <c r="G6" s="221">
        <f>'3.6.A廠總計產能'!G6</f>
        <v>51156</v>
      </c>
      <c r="H6" s="221">
        <f>'3.6.A廠總計產能'!H6</f>
        <v>50547</v>
      </c>
      <c r="I6" s="221">
        <f>'3.6.A廠總計產能'!I6</f>
        <v>48343</v>
      </c>
      <c r="J6" s="221">
        <f>'3.6.A廠總計產能'!J6</f>
        <v>0</v>
      </c>
      <c r="K6" s="221">
        <f>'3.6.A廠總計產能'!K6</f>
        <v>50398</v>
      </c>
      <c r="L6" s="221">
        <f>'3.6.A廠總計產能'!L6</f>
        <v>49786</v>
      </c>
      <c r="M6" s="221">
        <f>'3.6.A廠總計產能'!M6</f>
        <v>0</v>
      </c>
      <c r="N6" s="221">
        <f>'3.6.A廠總計產能'!N6</f>
        <v>45115</v>
      </c>
      <c r="O6" s="221">
        <f>'3.6.A廠總計產能'!O6</f>
        <v>0</v>
      </c>
      <c r="P6" s="221">
        <f>'3.6.A廠總計產能'!P6</f>
        <v>0</v>
      </c>
      <c r="Q6" s="221">
        <f>'3.6.A廠總計產能'!Q6</f>
        <v>0</v>
      </c>
      <c r="R6" s="221">
        <f>'3.6.A廠總計產能'!R6</f>
        <v>0</v>
      </c>
      <c r="S6" s="221">
        <f>'3.6.A廠總計產能'!S6</f>
        <v>0</v>
      </c>
      <c r="T6" s="221">
        <f>'3.6.A廠總計產能'!T6</f>
        <v>0</v>
      </c>
      <c r="U6" s="221">
        <f>'3.6.A廠總計產能'!U6</f>
        <v>0</v>
      </c>
      <c r="V6" s="221">
        <f>'3.6.A廠總計產能'!V6</f>
        <v>0</v>
      </c>
      <c r="W6" s="221">
        <f>'3.6.A廠總計產能'!W6</f>
        <v>0</v>
      </c>
      <c r="X6" s="221">
        <f>'3.6.A廠總計產能'!X6</f>
        <v>0</v>
      </c>
      <c r="Y6" s="221">
        <f>'3.6.A廠總計產能'!Y6</f>
        <v>0</v>
      </c>
      <c r="Z6" s="221">
        <f>'3.6.A廠總計產能'!Z6</f>
        <v>0</v>
      </c>
      <c r="AA6" s="221">
        <f>'3.6.A廠總計產能'!AA6</f>
        <v>0</v>
      </c>
      <c r="AB6" s="221">
        <f>'3.6.A廠總計產能'!AB6</f>
        <v>0</v>
      </c>
      <c r="AC6" s="221">
        <f>'3.6.A廠總計產能'!AC6</f>
        <v>0</v>
      </c>
      <c r="AD6" s="221">
        <f>'3.6.A廠總計產能'!AD6</f>
        <v>0</v>
      </c>
      <c r="AE6" s="221">
        <f>'3.6.A廠總計產能'!AE6</f>
        <v>0</v>
      </c>
      <c r="AF6" s="221">
        <f>'3.6.A廠總計產能'!AF6</f>
        <v>0</v>
      </c>
      <c r="AG6" s="221">
        <f>'3.6.A廠總計產能'!AG6</f>
        <v>0</v>
      </c>
      <c r="AH6" s="221">
        <f>'3.6.A廠總計產能'!AH6</f>
        <v>0</v>
      </c>
    </row>
    <row r="7" spans="1:35" s="8" customFormat="1" ht="15" customHeight="1">
      <c r="A7" s="396"/>
      <c r="B7" s="143" t="s">
        <v>91</v>
      </c>
      <c r="C7" s="221">
        <f>'3.6.A廠總計產能'!C7</f>
        <v>-9347</v>
      </c>
      <c r="D7" s="221">
        <f>'3.6.A廠總計產能'!D7</f>
        <v>-1557.8333333333335</v>
      </c>
      <c r="E7" s="221">
        <f>'3.6.A廠總計產能'!E7</f>
        <v>0</v>
      </c>
      <c r="F7" s="221">
        <f>'3.6.A廠總計產能'!F7</f>
        <v>0</v>
      </c>
      <c r="G7" s="221">
        <f>'3.6.A廠總計產能'!G7</f>
        <v>-76</v>
      </c>
      <c r="H7" s="221">
        <f>'3.6.A廠總計產能'!H7</f>
        <v>-1805</v>
      </c>
      <c r="I7" s="221">
        <f>'3.6.A廠總計產能'!I7</f>
        <v>-3109</v>
      </c>
      <c r="J7" s="221">
        <f>'3.6.A廠總計產能'!J7</f>
        <v>0</v>
      </c>
      <c r="K7" s="221">
        <f>'3.6.A廠總計產能'!K7</f>
        <v>-964</v>
      </c>
      <c r="L7" s="221">
        <f>'3.6.A廠總計產能'!L7</f>
        <v>-1256</v>
      </c>
      <c r="M7" s="221">
        <f>'3.6.A廠總計產能'!M7</f>
        <v>0</v>
      </c>
      <c r="N7" s="221">
        <f>'3.6.A廠總計產能'!N7</f>
        <v>-2137</v>
      </c>
      <c r="O7" s="221">
        <f>'3.6.A廠總計產能'!O7</f>
        <v>0</v>
      </c>
      <c r="P7" s="221">
        <f>'3.6.A廠總計產能'!P7</f>
        <v>0</v>
      </c>
      <c r="Q7" s="221">
        <f>'3.6.A廠總計產能'!Q7</f>
        <v>0</v>
      </c>
      <c r="R7" s="221">
        <f>'3.6.A廠總計產能'!R7</f>
        <v>0</v>
      </c>
      <c r="S7" s="221">
        <f>'3.6.A廠總計產能'!S7</f>
        <v>0</v>
      </c>
      <c r="T7" s="221">
        <f>'3.6.A廠總計產能'!T7</f>
        <v>0</v>
      </c>
      <c r="U7" s="221">
        <f>'3.6.A廠總計產能'!U7</f>
        <v>0</v>
      </c>
      <c r="V7" s="221">
        <f>'3.6.A廠總計產能'!V7</f>
        <v>0</v>
      </c>
      <c r="W7" s="221">
        <f>'3.6.A廠總計產能'!W7</f>
        <v>0</v>
      </c>
      <c r="X7" s="221">
        <f>'3.6.A廠總計產能'!X7</f>
        <v>0</v>
      </c>
      <c r="Y7" s="221">
        <f>'3.6.A廠總計產能'!Y7</f>
        <v>0</v>
      </c>
      <c r="Z7" s="221">
        <f>'3.6.A廠總計產能'!Z7</f>
        <v>0</v>
      </c>
      <c r="AA7" s="221">
        <f>'3.6.A廠總計產能'!AA7</f>
        <v>0</v>
      </c>
      <c r="AB7" s="221">
        <f>'3.6.A廠總計產能'!AB7</f>
        <v>0</v>
      </c>
      <c r="AC7" s="221">
        <f>'3.6.A廠總計產能'!AC7</f>
        <v>0</v>
      </c>
      <c r="AD7" s="221">
        <f>'3.6.A廠總計產能'!AD7</f>
        <v>0</v>
      </c>
      <c r="AE7" s="221">
        <f>'3.6.A廠總計產能'!AE7</f>
        <v>0</v>
      </c>
      <c r="AF7" s="221">
        <f>'3.6.A廠總計產能'!AF7</f>
        <v>0</v>
      </c>
      <c r="AG7" s="221">
        <f>'3.6.A廠總計產能'!AG7</f>
        <v>0</v>
      </c>
      <c r="AH7" s="221">
        <f>'3.6.A廠總計產能'!AH7</f>
        <v>0</v>
      </c>
    </row>
    <row r="8" spans="1:35" s="8" customFormat="1" ht="15" customHeight="1">
      <c r="A8" s="396"/>
      <c r="B8" s="143" t="s">
        <v>92</v>
      </c>
      <c r="C8" s="221">
        <f>'3.6.A廠總計產能'!C8</f>
        <v>47.55</v>
      </c>
      <c r="D8" s="221">
        <f>'3.6.A廠總計產能'!D8</f>
        <v>7.9250000000000007</v>
      </c>
      <c r="E8" s="221">
        <f>'3.6.A廠總計產能'!E8</f>
        <v>0</v>
      </c>
      <c r="F8" s="221">
        <f>'3.6.A廠總計產能'!F8</f>
        <v>0</v>
      </c>
      <c r="G8" s="221">
        <f>'3.6.A廠總計產能'!G8</f>
        <v>8</v>
      </c>
      <c r="H8" s="221">
        <f>'3.6.A廠總計產能'!H8</f>
        <v>8</v>
      </c>
      <c r="I8" s="221">
        <f>'3.6.A廠總計產能'!I8</f>
        <v>8</v>
      </c>
      <c r="J8" s="221">
        <f>'3.6.A廠總計產能'!J8</f>
        <v>0</v>
      </c>
      <c r="K8" s="221">
        <f>'3.6.A廠總計產能'!K8</f>
        <v>8</v>
      </c>
      <c r="L8" s="221">
        <f>'3.6.A廠總計產能'!L8</f>
        <v>8</v>
      </c>
      <c r="M8" s="221">
        <f>'3.6.A廠總計產能'!M8</f>
        <v>0</v>
      </c>
      <c r="N8" s="221">
        <f>'3.6.A廠總計產能'!N8</f>
        <v>8</v>
      </c>
      <c r="O8" s="221">
        <f>'3.6.A廠總計產能'!O8</f>
        <v>0</v>
      </c>
      <c r="P8" s="221">
        <f>'3.6.A廠總計產能'!P8</f>
        <v>0</v>
      </c>
      <c r="Q8" s="221">
        <f>'3.6.A廠總計產能'!Q8</f>
        <v>0</v>
      </c>
      <c r="R8" s="221">
        <f>'3.6.A廠總計產能'!R8</f>
        <v>0</v>
      </c>
      <c r="S8" s="221">
        <f>'3.6.A廠總計產能'!S8</f>
        <v>0</v>
      </c>
      <c r="T8" s="221">
        <f>'3.6.A廠總計產能'!T8</f>
        <v>0</v>
      </c>
      <c r="U8" s="221">
        <f>'3.6.A廠總計產能'!U8</f>
        <v>0</v>
      </c>
      <c r="V8" s="221">
        <f>'3.6.A廠總計產能'!V8</f>
        <v>0</v>
      </c>
      <c r="W8" s="221">
        <f>'3.6.A廠總計產能'!W8</f>
        <v>0</v>
      </c>
      <c r="X8" s="221">
        <f>'3.6.A廠總計產能'!X8</f>
        <v>0</v>
      </c>
      <c r="Y8" s="221">
        <f>'3.6.A廠總計產能'!Y8</f>
        <v>0</v>
      </c>
      <c r="Z8" s="221">
        <f>'3.6.A廠總計產能'!Z8</f>
        <v>0</v>
      </c>
      <c r="AA8" s="221">
        <f>'3.6.A廠總計產能'!AA8</f>
        <v>0</v>
      </c>
      <c r="AB8" s="221">
        <f>'3.6.A廠總計產能'!AB8</f>
        <v>0</v>
      </c>
      <c r="AC8" s="221">
        <f>'3.6.A廠總計產能'!AC8</f>
        <v>0</v>
      </c>
      <c r="AD8" s="221">
        <f>'3.6.A廠總計產能'!AD8</f>
        <v>0</v>
      </c>
      <c r="AE8" s="221">
        <f>'3.6.A廠總計產能'!AE8</f>
        <v>0</v>
      </c>
      <c r="AF8" s="221">
        <f>'3.6.A廠總計產能'!AF8</f>
        <v>0</v>
      </c>
      <c r="AG8" s="221">
        <f>'3.6.A廠總計產能'!AG8</f>
        <v>0</v>
      </c>
      <c r="AH8" s="221">
        <f>'3.6.A廠總計產能'!AH8</f>
        <v>0</v>
      </c>
    </row>
    <row r="9" spans="1:35" s="8" customFormat="1" ht="15" customHeight="1">
      <c r="A9" s="396"/>
      <c r="B9" s="143" t="s">
        <v>50</v>
      </c>
      <c r="C9" s="221">
        <f>'3.6.A廠總計產能'!C9</f>
        <v>6441</v>
      </c>
      <c r="D9" s="221">
        <f>'3.6.A廠總計產能'!D9</f>
        <v>6441</v>
      </c>
      <c r="E9" s="221">
        <f>'3.6.A廠總計產能'!E9</f>
        <v>0</v>
      </c>
      <c r="F9" s="221">
        <f>'3.6.A廠總計產能'!F9</f>
        <v>0</v>
      </c>
      <c r="G9" s="221">
        <f>'3.6.A廠總計產能'!G9</f>
        <v>6515</v>
      </c>
      <c r="H9" s="221">
        <f>'3.6.A廠總計產能'!H9</f>
        <v>6521</v>
      </c>
      <c r="I9" s="221">
        <f>'3.6.A廠總計產能'!I9</f>
        <v>6420</v>
      </c>
      <c r="J9" s="221">
        <f>'3.6.A廠總計產能'!J9</f>
        <v>0</v>
      </c>
      <c r="K9" s="221">
        <f>'3.6.A廠總計產能'!K9</f>
        <v>6405</v>
      </c>
      <c r="L9" s="221">
        <f>'3.6.A廠總計產能'!L9</f>
        <v>6461</v>
      </c>
      <c r="M9" s="221">
        <f>'3.6.A廠總計產能'!M9</f>
        <v>0</v>
      </c>
      <c r="N9" s="221">
        <f>'3.6.A廠總計產能'!N9</f>
        <v>6128</v>
      </c>
      <c r="O9" s="221">
        <f>'3.6.A廠總計產能'!O9</f>
        <v>0</v>
      </c>
      <c r="P9" s="221">
        <f>'3.6.A廠總計產能'!P9</f>
        <v>0</v>
      </c>
      <c r="Q9" s="221">
        <f>'3.6.A廠總計產能'!Q9</f>
        <v>0</v>
      </c>
      <c r="R9" s="221">
        <f>'3.6.A廠總計產能'!R9</f>
        <v>0</v>
      </c>
      <c r="S9" s="221">
        <f>'3.6.A廠總計產能'!S9</f>
        <v>0</v>
      </c>
      <c r="T9" s="221">
        <f>'3.6.A廠總計產能'!T9</f>
        <v>0</v>
      </c>
      <c r="U9" s="221">
        <f>'3.6.A廠總計產能'!U9</f>
        <v>0</v>
      </c>
      <c r="V9" s="221">
        <f>'3.6.A廠總計產能'!V9</f>
        <v>0</v>
      </c>
      <c r="W9" s="221">
        <f>'3.6.A廠總計產能'!W9</f>
        <v>0</v>
      </c>
      <c r="X9" s="221">
        <f>'3.6.A廠總計產能'!X9</f>
        <v>0</v>
      </c>
      <c r="Y9" s="221">
        <f>'3.6.A廠總計產能'!Y9</f>
        <v>0</v>
      </c>
      <c r="Z9" s="221">
        <f>'3.6.A廠總計產能'!Z9</f>
        <v>0</v>
      </c>
      <c r="AA9" s="221">
        <f>'3.6.A廠總計產能'!AA9</f>
        <v>0</v>
      </c>
      <c r="AB9" s="221">
        <f>'3.6.A廠總計產能'!AB9</f>
        <v>0</v>
      </c>
      <c r="AC9" s="221">
        <f>'3.6.A廠總計產能'!AC9</f>
        <v>0</v>
      </c>
      <c r="AD9" s="221">
        <f>'3.6.A廠總計產能'!AD9</f>
        <v>0</v>
      </c>
      <c r="AE9" s="221">
        <f>'3.6.A廠總計產能'!AE9</f>
        <v>0</v>
      </c>
      <c r="AF9" s="221">
        <f>'3.6.A廠總計產能'!AF9</f>
        <v>0</v>
      </c>
      <c r="AG9" s="221">
        <f>'3.6.A廠總計產能'!AG9</f>
        <v>0</v>
      </c>
      <c r="AH9" s="221">
        <f>'3.6.A廠總計產能'!AH9</f>
        <v>0</v>
      </c>
    </row>
    <row r="10" spans="1:35" s="8" customFormat="1" ht="15" customHeight="1">
      <c r="A10" s="396"/>
      <c r="B10" s="143" t="s">
        <v>51</v>
      </c>
      <c r="C10" s="221">
        <f>'3.6.A廠總計產能'!C10</f>
        <v>6211.0106147722254</v>
      </c>
      <c r="D10" s="221">
        <f>'3.6.A廠總計產能'!D10</f>
        <v>6211.0106147722254</v>
      </c>
      <c r="E10" s="221">
        <f>'3.6.A廠總計產能'!E10</f>
        <v>0</v>
      </c>
      <c r="F10" s="221">
        <f>'3.6.A廠總計產能'!F10</f>
        <v>0</v>
      </c>
      <c r="G10" s="221">
        <f>'3.6.A廠總計產能'!G10</f>
        <v>6394.5</v>
      </c>
      <c r="H10" s="221">
        <f>'3.6.A廠總計產能'!H10</f>
        <v>6318.375</v>
      </c>
      <c r="I10" s="221">
        <f>'3.6.A廠總計產能'!I10</f>
        <v>6042.875</v>
      </c>
      <c r="J10" s="221">
        <f>'3.6.A廠總計產能'!J10</f>
        <v>0</v>
      </c>
      <c r="K10" s="221">
        <f>'3.6.A廠總計產能'!K10</f>
        <v>6299.75</v>
      </c>
      <c r="L10" s="221">
        <f>'3.6.A廠總計產能'!L10</f>
        <v>6223.25</v>
      </c>
      <c r="M10" s="221">
        <f>'3.6.A廠總計產能'!M10</f>
        <v>0</v>
      </c>
      <c r="N10" s="221">
        <f>'3.6.A廠總計產能'!N10</f>
        <v>5639.375</v>
      </c>
      <c r="O10" s="221">
        <f>'3.6.A廠總計產能'!O10</f>
        <v>0</v>
      </c>
      <c r="P10" s="221">
        <f>'3.6.A廠總計產能'!P10</f>
        <v>0</v>
      </c>
      <c r="Q10" s="221">
        <f>'3.6.A廠總計產能'!Q10</f>
        <v>0</v>
      </c>
      <c r="R10" s="221">
        <f>'3.6.A廠總計產能'!R10</f>
        <v>0</v>
      </c>
      <c r="S10" s="221">
        <f>'3.6.A廠總計產能'!S10</f>
        <v>0</v>
      </c>
      <c r="T10" s="221">
        <f>'3.6.A廠總計產能'!T10</f>
        <v>0</v>
      </c>
      <c r="U10" s="221">
        <f>'3.6.A廠總計產能'!U10</f>
        <v>0</v>
      </c>
      <c r="V10" s="221">
        <f>'3.6.A廠總計產能'!V10</f>
        <v>0</v>
      </c>
      <c r="W10" s="221">
        <f>'3.6.A廠總計產能'!W10</f>
        <v>0</v>
      </c>
      <c r="X10" s="221">
        <f>'3.6.A廠總計產能'!X10</f>
        <v>0</v>
      </c>
      <c r="Y10" s="221">
        <f>'3.6.A廠總計產能'!Y10</f>
        <v>0</v>
      </c>
      <c r="Z10" s="221">
        <f>'3.6.A廠總計產能'!Z10</f>
        <v>0</v>
      </c>
      <c r="AA10" s="221">
        <f>'3.6.A廠總計產能'!AA10</f>
        <v>0</v>
      </c>
      <c r="AB10" s="221">
        <f>'3.6.A廠總計產能'!AB10</f>
        <v>0</v>
      </c>
      <c r="AC10" s="221">
        <f>'3.6.A廠總計產能'!AC10</f>
        <v>0</v>
      </c>
      <c r="AD10" s="221">
        <f>'3.6.A廠總計產能'!AD10</f>
        <v>0</v>
      </c>
      <c r="AE10" s="221">
        <f>'3.6.A廠總計產能'!AE10</f>
        <v>0</v>
      </c>
      <c r="AF10" s="221">
        <f>'3.6.A廠總計產能'!AF10</f>
        <v>0</v>
      </c>
      <c r="AG10" s="221">
        <f>'3.6.A廠總計產能'!AG10</f>
        <v>0</v>
      </c>
      <c r="AH10" s="221">
        <f>'3.6.A廠總計產能'!AH10</f>
        <v>0</v>
      </c>
    </row>
    <row r="11" spans="1:35">
      <c r="A11" s="396"/>
      <c r="B11" s="226" t="s">
        <v>109</v>
      </c>
      <c r="C11" s="227">
        <f>SUM(E11:AH11)/COUNTIF(E6:AH6,"&gt;0")</f>
        <v>1739.6666666666667</v>
      </c>
      <c r="D11" s="227">
        <f>SUM(E11:AH11)/COUNTIF(E6:AH6,"&gt;0")</f>
        <v>1739.6666666666667</v>
      </c>
      <c r="E11" s="227">
        <f>'3-1.人員刷卡出勤'!C48+'3-1.人員刷卡出勤'!C45+'3-1.人員刷卡出勤'!C51</f>
        <v>1018</v>
      </c>
      <c r="F11" s="227">
        <f>'3-1.人員刷卡出勤'!D48+'3-1.人員刷卡出勤'!D45+'3-1.人員刷卡出勤'!D51</f>
        <v>0</v>
      </c>
      <c r="G11" s="227">
        <f>'3-1.人員刷卡出勤'!E48+'3-1.人員刷卡出勤'!E45+'3-1.人員刷卡出勤'!E51</f>
        <v>1590</v>
      </c>
      <c r="H11" s="227">
        <f>'3-1.人員刷卡出勤'!F48+'3-1.人員刷卡出勤'!F45+'3-1.人員刷卡出勤'!F51</f>
        <v>1601</v>
      </c>
      <c r="I11" s="227">
        <f>'3-1.人員刷卡出勤'!G48+'3-1.人員刷卡出勤'!G45+'3-1.人員刷卡出勤'!G51</f>
        <v>1544</v>
      </c>
      <c r="J11" s="227">
        <f>'3-1.人員刷卡出勤'!H48+'3-1.人員刷卡出勤'!H45+'3-1.人員刷卡出勤'!H51</f>
        <v>0</v>
      </c>
      <c r="K11" s="227">
        <f>'3-1.人員刷卡出勤'!I48+'3-1.人員刷卡出勤'!I45+'3-1.人員刷卡出勤'!I51</f>
        <v>1570</v>
      </c>
      <c r="L11" s="227">
        <f>'3-1.人員刷卡出勤'!J48+'3-1.人員刷卡出勤'!J45+'3-1.人員刷卡出勤'!J51</f>
        <v>1558</v>
      </c>
      <c r="M11" s="227">
        <f>'3-1.人員刷卡出勤'!K48+'3-1.人員刷卡出勤'!K45+'3-1.人員刷卡出勤'!K51</f>
        <v>0</v>
      </c>
      <c r="N11" s="227">
        <f>'3-1.人員刷卡出勤'!L48+'3-1.人員刷卡出勤'!L45+'3-1.人員刷卡出勤'!L51</f>
        <v>1557</v>
      </c>
      <c r="O11" s="227">
        <f>'3-1.人員刷卡出勤'!M48+'3-1.人員刷卡出勤'!M45+'3-1.人員刷卡出勤'!M51</f>
        <v>0</v>
      </c>
      <c r="P11" s="227">
        <f>'3-1.人員刷卡出勤'!N48+'3-1.人員刷卡出勤'!N45+'3-1.人員刷卡出勤'!N51</f>
        <v>0</v>
      </c>
      <c r="Q11" s="227">
        <f>'3-1.人員刷卡出勤'!O48+'3-1.人員刷卡出勤'!O45+'3-1.人員刷卡出勤'!O51</f>
        <v>0</v>
      </c>
      <c r="R11" s="227">
        <f>'3-1.人員刷卡出勤'!P48+'3-1.人員刷卡出勤'!P45+'3-1.人員刷卡出勤'!P51</f>
        <v>0</v>
      </c>
      <c r="S11" s="227">
        <f>'3-1.人員刷卡出勤'!Q48+'3-1.人員刷卡出勤'!Q45+'3-1.人員刷卡出勤'!Q51</f>
        <v>0</v>
      </c>
      <c r="T11" s="227">
        <f>'3-1.人員刷卡出勤'!R48+'3-1.人員刷卡出勤'!R45+'3-1.人員刷卡出勤'!R51</f>
        <v>0</v>
      </c>
      <c r="U11" s="227">
        <f>'3-1.人員刷卡出勤'!S48+'3-1.人員刷卡出勤'!S45+'3-1.人員刷卡出勤'!S51</f>
        <v>0</v>
      </c>
      <c r="V11" s="227">
        <f>'3-1.人員刷卡出勤'!T48+'3-1.人員刷卡出勤'!T45+'3-1.人員刷卡出勤'!T51</f>
        <v>0</v>
      </c>
      <c r="W11" s="227">
        <f>'3-1.人員刷卡出勤'!U48+'3-1.人員刷卡出勤'!U45+'3-1.人員刷卡出勤'!U51</f>
        <v>0</v>
      </c>
      <c r="X11" s="227">
        <f>'3-1.人員刷卡出勤'!V48+'3-1.人員刷卡出勤'!V45+'3-1.人員刷卡出勤'!V51</f>
        <v>0</v>
      </c>
      <c r="Y11" s="227">
        <f>'3-1.人員刷卡出勤'!W48+'3-1.人員刷卡出勤'!W45+'3-1.人員刷卡出勤'!W51</f>
        <v>0</v>
      </c>
      <c r="Z11" s="227">
        <f>'3-1.人員刷卡出勤'!X48+'3-1.人員刷卡出勤'!X45+'3-1.人員刷卡出勤'!X51</f>
        <v>0</v>
      </c>
      <c r="AA11" s="227">
        <f>'3-1.人員刷卡出勤'!Y48+'3-1.人員刷卡出勤'!Y45+'3-1.人員刷卡出勤'!Y51</f>
        <v>0</v>
      </c>
      <c r="AB11" s="227">
        <f>'3-1.人員刷卡出勤'!Z48+'3-1.人員刷卡出勤'!Z45+'3-1.人員刷卡出勤'!Z51</f>
        <v>0</v>
      </c>
      <c r="AC11" s="227">
        <f>'3-1.人員刷卡出勤'!AA48+'3-1.人員刷卡出勤'!AA45+'3-1.人員刷卡出勤'!AA51</f>
        <v>0</v>
      </c>
      <c r="AD11" s="227">
        <f>'3-1.人員刷卡出勤'!AB48+'3-1.人員刷卡出勤'!AB45+'3-1.人員刷卡出勤'!AB51</f>
        <v>0</v>
      </c>
      <c r="AE11" s="227">
        <f>'3-1.人員刷卡出勤'!AC48+'3-1.人員刷卡出勤'!AC45+'3-1.人員刷卡出勤'!AC51</f>
        <v>0</v>
      </c>
      <c r="AF11" s="227">
        <f>'3-1.人員刷卡出勤'!AD48+'3-1.人員刷卡出勤'!AD45+'3-1.人員刷卡出勤'!AD51</f>
        <v>0</v>
      </c>
      <c r="AG11" s="227">
        <f>'3-1.人員刷卡出勤'!AE48+'3-1.人員刷卡出勤'!AE45+'3-1.人員刷卡出勤'!AE51</f>
        <v>0</v>
      </c>
      <c r="AH11" s="227">
        <f>'3-1.人員刷卡出勤'!AF48+'3-1.人員刷卡出勤'!AF45+'3-1.人員刷卡出勤'!AF51</f>
        <v>0</v>
      </c>
      <c r="AI11" s="8"/>
    </row>
    <row r="12" spans="1:35">
      <c r="A12" s="396"/>
      <c r="B12" s="226" t="s">
        <v>110</v>
      </c>
      <c r="C12" s="227">
        <f>SUM(E12:AH12)/COUNTIF(E6:AH6,"&gt;0")</f>
        <v>438.83333333333331</v>
      </c>
      <c r="D12" s="227">
        <f>SUM(E12:AH12)/COUNTIF(E6:AH6,"&gt;0")</f>
        <v>438.83333333333331</v>
      </c>
      <c r="E12" s="227">
        <f>'3-1.人員刷卡出勤'!C9/2+'3-1.人員刷卡出勤'!C12+'3-1.人員刷卡出勤'!C15++'3-1.人員刷卡出勤'!C24</f>
        <v>198.5</v>
      </c>
      <c r="F12" s="227">
        <f>'3-1.人員刷卡出勤'!D9/2+'3-1.人員刷卡出勤'!D12+'3-1.人員刷卡出勤'!D15++'3-1.人員刷卡出勤'!D24</f>
        <v>33</v>
      </c>
      <c r="G12" s="227">
        <f>'3-1.人員刷卡出勤'!E9/2+'3-1.人員刷卡出勤'!E12+'3-1.人員刷卡出勤'!E15++'3-1.人員刷卡出勤'!E24</f>
        <v>399.5</v>
      </c>
      <c r="H12" s="227">
        <f>'3-1.人員刷卡出勤'!F9/2+'3-1.人員刷卡出勤'!F12+'3-1.人員刷卡出勤'!F15++'3-1.人員刷卡出勤'!F24</f>
        <v>400.5</v>
      </c>
      <c r="I12" s="227">
        <f>'3-1.人員刷卡出勤'!G9/2+'3-1.人員刷卡出勤'!G12+'3-1.人員刷卡出勤'!G15++'3-1.人員刷卡出勤'!G24</f>
        <v>357</v>
      </c>
      <c r="J12" s="227">
        <f>'3-1.人員刷卡出勤'!H9/2+'3-1.人員刷卡出勤'!H12+'3-1.人員刷卡出勤'!H15++'3-1.人員刷卡出勤'!H24</f>
        <v>31</v>
      </c>
      <c r="K12" s="227">
        <f>'3-1.人員刷卡出勤'!I9/2+'3-1.人員刷卡出勤'!I12+'3-1.人員刷卡出勤'!I15++'3-1.人員刷卡出勤'!I24</f>
        <v>392</v>
      </c>
      <c r="L12" s="227">
        <f>'3-1.人員刷卡出勤'!J9/2+'3-1.人員刷卡出勤'!J12+'3-1.人員刷卡出勤'!J15++'3-1.人員刷卡出勤'!J24</f>
        <v>391.5</v>
      </c>
      <c r="M12" s="227">
        <f>'3-1.人員刷卡出勤'!K9/2+'3-1.人員刷卡出勤'!K12+'3-1.人員刷卡出勤'!K15++'3-1.人員刷卡出勤'!K24</f>
        <v>38</v>
      </c>
      <c r="N12" s="227">
        <f>'3-1.人員刷卡出勤'!L9/2+'3-1.人員刷卡出勤'!L12+'3-1.人員刷卡出勤'!L15++'3-1.人員刷卡出勤'!L24</f>
        <v>392</v>
      </c>
      <c r="O12" s="227">
        <f>'3-1.人員刷卡出勤'!M9/2+'3-1.人員刷卡出勤'!M12+'3-1.人員刷卡出勤'!M15++'3-1.人員刷卡出勤'!M24</f>
        <v>0</v>
      </c>
      <c r="P12" s="227">
        <f>'3-1.人員刷卡出勤'!N9/2+'3-1.人員刷卡出勤'!N12+'3-1.人員刷卡出勤'!N15++'3-1.人員刷卡出勤'!N24</f>
        <v>0</v>
      </c>
      <c r="Q12" s="227">
        <f>'3-1.人員刷卡出勤'!O9/2+'3-1.人員刷卡出勤'!O12+'3-1.人員刷卡出勤'!O15++'3-1.人員刷卡出勤'!O24</f>
        <v>0</v>
      </c>
      <c r="R12" s="227">
        <f>'3-1.人員刷卡出勤'!P9/2+'3-1.人員刷卡出勤'!P12+'3-1.人員刷卡出勤'!P15++'3-1.人員刷卡出勤'!P24</f>
        <v>0</v>
      </c>
      <c r="S12" s="227">
        <f>'3-1.人員刷卡出勤'!Q9/2+'3-1.人員刷卡出勤'!Q12+'3-1.人員刷卡出勤'!Q15++'3-1.人員刷卡出勤'!Q24</f>
        <v>0</v>
      </c>
      <c r="T12" s="227">
        <f>'3-1.人員刷卡出勤'!R9/2+'3-1.人員刷卡出勤'!R12+'3-1.人員刷卡出勤'!R15++'3-1.人員刷卡出勤'!R24</f>
        <v>0</v>
      </c>
      <c r="U12" s="227">
        <f>'3-1.人員刷卡出勤'!S9/2+'3-1.人員刷卡出勤'!S12+'3-1.人員刷卡出勤'!S15++'3-1.人員刷卡出勤'!S24</f>
        <v>0</v>
      </c>
      <c r="V12" s="227">
        <f>'3-1.人員刷卡出勤'!T9/2+'3-1.人員刷卡出勤'!T12+'3-1.人員刷卡出勤'!T15++'3-1.人員刷卡出勤'!T24</f>
        <v>0</v>
      </c>
      <c r="W12" s="227">
        <f>'3-1.人員刷卡出勤'!U9/2+'3-1.人員刷卡出勤'!U12+'3-1.人員刷卡出勤'!U15++'3-1.人員刷卡出勤'!U24</f>
        <v>0</v>
      </c>
      <c r="X12" s="227">
        <f>'3-1.人員刷卡出勤'!V9/2+'3-1.人員刷卡出勤'!V12+'3-1.人員刷卡出勤'!V15++'3-1.人員刷卡出勤'!V24</f>
        <v>0</v>
      </c>
      <c r="Y12" s="227">
        <f>'3-1.人員刷卡出勤'!W9/2+'3-1.人員刷卡出勤'!W12+'3-1.人員刷卡出勤'!W15++'3-1.人員刷卡出勤'!W24</f>
        <v>0</v>
      </c>
      <c r="Z12" s="227">
        <f>'3-1.人員刷卡出勤'!X9/2+'3-1.人員刷卡出勤'!X12+'3-1.人員刷卡出勤'!X15++'3-1.人員刷卡出勤'!X24</f>
        <v>0</v>
      </c>
      <c r="AA12" s="227">
        <f>'3-1.人員刷卡出勤'!Y9/2+'3-1.人員刷卡出勤'!Y12+'3-1.人員刷卡出勤'!Y15++'3-1.人員刷卡出勤'!Y24</f>
        <v>0</v>
      </c>
      <c r="AB12" s="227">
        <f>'3-1.人員刷卡出勤'!Z9/2+'3-1.人員刷卡出勤'!Z12+'3-1.人員刷卡出勤'!Z15++'3-1.人員刷卡出勤'!Z24</f>
        <v>0</v>
      </c>
      <c r="AC12" s="227">
        <f>'3-1.人員刷卡出勤'!AA9/2+'3-1.人員刷卡出勤'!AA12+'3-1.人員刷卡出勤'!AA15++'3-1.人員刷卡出勤'!AA24</f>
        <v>0</v>
      </c>
      <c r="AD12" s="227">
        <f>'3-1.人員刷卡出勤'!AB9/2+'3-1.人員刷卡出勤'!AB12+'3-1.人員刷卡出勤'!AB15++'3-1.人員刷卡出勤'!AB24</f>
        <v>0</v>
      </c>
      <c r="AE12" s="227">
        <f>'3-1.人員刷卡出勤'!AC9/2+'3-1.人員刷卡出勤'!AC12+'3-1.人員刷卡出勤'!AC15++'3-1.人員刷卡出勤'!AC24</f>
        <v>0</v>
      </c>
      <c r="AF12" s="227">
        <f>'3-1.人員刷卡出勤'!AD9/2+'3-1.人員刷卡出勤'!AD12+'3-1.人員刷卡出勤'!AD15++'3-1.人員刷卡出勤'!AD24</f>
        <v>0</v>
      </c>
      <c r="AG12" s="227">
        <f>'3-1.人員刷卡出勤'!AE9/2+'3-1.人員刷卡出勤'!AE12+'3-1.人員刷卡出勤'!AE15++'3-1.人員刷卡出勤'!AE24</f>
        <v>0</v>
      </c>
      <c r="AH12" s="227">
        <f>'3-1.人員刷卡出勤'!AF9/2+'3-1.人員刷卡出勤'!AF12+'3-1.人員刷卡出勤'!AF15++'3-1.人員刷卡出勤'!AF24</f>
        <v>0</v>
      </c>
      <c r="AI12" s="8"/>
    </row>
    <row r="13" spans="1:35" s="8" customFormat="1" ht="15" customHeight="1">
      <c r="A13" s="397"/>
      <c r="B13" s="223" t="s">
        <v>52</v>
      </c>
      <c r="C13" s="224">
        <f>C10/(C9+C11+C12)</f>
        <v>0.72057667089416155</v>
      </c>
      <c r="D13" s="224">
        <f t="shared" ref="D13" si="0">D10/(D9+D11+D12)</f>
        <v>0.72057667089416155</v>
      </c>
      <c r="E13" s="224">
        <f>IF(E10&gt;0,E10/(E9+E11+E12),0)</f>
        <v>0</v>
      </c>
      <c r="F13" s="224">
        <f t="shared" ref="F13:AH13" si="1">IF(F10&gt;0,F10/(F9+F11+F12),0)</f>
        <v>0</v>
      </c>
      <c r="G13" s="224">
        <f t="shared" si="1"/>
        <v>0.75189605502969015</v>
      </c>
      <c r="H13" s="224">
        <f t="shared" si="1"/>
        <v>0.7413757700205339</v>
      </c>
      <c r="I13" s="224">
        <f t="shared" si="1"/>
        <v>0.72621980531186159</v>
      </c>
      <c r="J13" s="224">
        <f t="shared" si="1"/>
        <v>0</v>
      </c>
      <c r="K13" s="224">
        <f t="shared" si="1"/>
        <v>0.75292817019242264</v>
      </c>
      <c r="L13" s="224">
        <f t="shared" si="1"/>
        <v>0.73993817252244221</v>
      </c>
      <c r="M13" s="224">
        <f t="shared" si="1"/>
        <v>0</v>
      </c>
      <c r="N13" s="224">
        <f t="shared" si="1"/>
        <v>0.69820168379348768</v>
      </c>
      <c r="O13" s="224">
        <f t="shared" si="1"/>
        <v>0</v>
      </c>
      <c r="P13" s="224">
        <f t="shared" si="1"/>
        <v>0</v>
      </c>
      <c r="Q13" s="224">
        <f t="shared" si="1"/>
        <v>0</v>
      </c>
      <c r="R13" s="224">
        <f t="shared" si="1"/>
        <v>0</v>
      </c>
      <c r="S13" s="224">
        <f t="shared" si="1"/>
        <v>0</v>
      </c>
      <c r="T13" s="224">
        <f t="shared" si="1"/>
        <v>0</v>
      </c>
      <c r="U13" s="224">
        <f t="shared" si="1"/>
        <v>0</v>
      </c>
      <c r="V13" s="224">
        <f t="shared" si="1"/>
        <v>0</v>
      </c>
      <c r="W13" s="224">
        <f t="shared" si="1"/>
        <v>0</v>
      </c>
      <c r="X13" s="224">
        <f t="shared" si="1"/>
        <v>0</v>
      </c>
      <c r="Y13" s="224">
        <f t="shared" si="1"/>
        <v>0</v>
      </c>
      <c r="Z13" s="224">
        <f t="shared" si="1"/>
        <v>0</v>
      </c>
      <c r="AA13" s="224">
        <f t="shared" si="1"/>
        <v>0</v>
      </c>
      <c r="AB13" s="224">
        <f t="shared" si="1"/>
        <v>0</v>
      </c>
      <c r="AC13" s="224">
        <f t="shared" si="1"/>
        <v>0</v>
      </c>
      <c r="AD13" s="224">
        <f t="shared" si="1"/>
        <v>0</v>
      </c>
      <c r="AE13" s="224">
        <f t="shared" si="1"/>
        <v>0</v>
      </c>
      <c r="AF13" s="224">
        <f t="shared" si="1"/>
        <v>0</v>
      </c>
      <c r="AG13" s="224">
        <f t="shared" si="1"/>
        <v>0</v>
      </c>
      <c r="AH13" s="224">
        <f t="shared" si="1"/>
        <v>0</v>
      </c>
    </row>
    <row r="14" spans="1:35">
      <c r="A14" s="395" t="s">
        <v>93</v>
      </c>
      <c r="B14" s="142" t="s">
        <v>45</v>
      </c>
      <c r="C14" s="220">
        <f>'3.6.A廠總計產能'!C12</f>
        <v>170576</v>
      </c>
      <c r="D14" s="220">
        <f>'3.6.A廠總計產能'!D12</f>
        <v>28429.333333333332</v>
      </c>
      <c r="E14" s="220">
        <f>'3.6.A廠總計產能'!E12</f>
        <v>0</v>
      </c>
      <c r="F14" s="220">
        <f>'3.6.A廠總計產能'!F12</f>
        <v>0</v>
      </c>
      <c r="G14" s="220">
        <f>'3.6.A廠總計產能'!G12</f>
        <v>28872</v>
      </c>
      <c r="H14" s="220">
        <f>'3.6.A廠總計產能'!H12</f>
        <v>28928</v>
      </c>
      <c r="I14" s="220">
        <f>'3.6.A廠總計產能'!I12</f>
        <v>28776</v>
      </c>
      <c r="J14" s="220">
        <f>'3.6.A廠總計產能'!J12</f>
        <v>0</v>
      </c>
      <c r="K14" s="220">
        <f>'3.6.A廠總計產能'!K12</f>
        <v>28624</v>
      </c>
      <c r="L14" s="220">
        <f>'3.6.A廠總計產能'!L12</f>
        <v>28656</v>
      </c>
      <c r="M14" s="220">
        <f>'3.6.A廠總計產能'!M12</f>
        <v>0</v>
      </c>
      <c r="N14" s="220">
        <f>'3.6.A廠總計產能'!N12</f>
        <v>26720</v>
      </c>
      <c r="O14" s="220">
        <f>'3.6.A廠總計產能'!O12</f>
        <v>0</v>
      </c>
      <c r="P14" s="220">
        <f>'3.6.A廠總計產能'!P12</f>
        <v>0</v>
      </c>
      <c r="Q14" s="220">
        <f>'3.6.A廠總計產能'!Q12</f>
        <v>0</v>
      </c>
      <c r="R14" s="220">
        <f>'3.6.A廠總計產能'!R12</f>
        <v>0</v>
      </c>
      <c r="S14" s="220">
        <f>'3.6.A廠總計產能'!S12</f>
        <v>0</v>
      </c>
      <c r="T14" s="220">
        <f>'3.6.A廠總計產能'!T12</f>
        <v>0</v>
      </c>
      <c r="U14" s="220">
        <f>'3.6.A廠總計產能'!U12</f>
        <v>0</v>
      </c>
      <c r="V14" s="220">
        <f>'3.6.A廠總計產能'!V12</f>
        <v>0</v>
      </c>
      <c r="W14" s="220">
        <f>'3.6.A廠總計產能'!W12</f>
        <v>0</v>
      </c>
      <c r="X14" s="220">
        <f>'3.6.A廠總計產能'!X12</f>
        <v>0</v>
      </c>
      <c r="Y14" s="220">
        <f>'3.6.A廠總計產能'!Y12</f>
        <v>0</v>
      </c>
      <c r="Z14" s="220">
        <f>'3.6.A廠總計產能'!Z12</f>
        <v>0</v>
      </c>
      <c r="AA14" s="220">
        <f>'3.6.A廠總計產能'!AA12</f>
        <v>0</v>
      </c>
      <c r="AB14" s="220">
        <f>'3.6.A廠總計產能'!AB12</f>
        <v>0</v>
      </c>
      <c r="AC14" s="220">
        <f>'3.6.A廠總計產能'!AC12</f>
        <v>0</v>
      </c>
      <c r="AD14" s="220">
        <f>'3.6.A廠總計產能'!AD12</f>
        <v>0</v>
      </c>
      <c r="AE14" s="220">
        <f>'3.6.A廠總計產能'!AE12</f>
        <v>0</v>
      </c>
      <c r="AF14" s="220">
        <f>'3.6.A廠總計產能'!AF12</f>
        <v>0</v>
      </c>
      <c r="AG14" s="220">
        <f>'3.6.A廠總計產能'!AG12</f>
        <v>0</v>
      </c>
      <c r="AH14" s="220">
        <f>'3.6.A廠總計產能'!AH12</f>
        <v>0</v>
      </c>
      <c r="AI14" s="8"/>
    </row>
    <row r="15" spans="1:35">
      <c r="A15" s="396"/>
      <c r="B15" s="142" t="s">
        <v>46</v>
      </c>
      <c r="C15" s="220">
        <f>'3.6.A廠總計產能'!C13</f>
        <v>158952</v>
      </c>
      <c r="D15" s="220">
        <f>'3.6.A廠總計產能'!D13</f>
        <v>26492</v>
      </c>
      <c r="E15" s="220">
        <f>'3.6.A廠總計產能'!E13</f>
        <v>0</v>
      </c>
      <c r="F15" s="220">
        <f>'3.6.A廠總計產能'!F13</f>
        <v>0</v>
      </c>
      <c r="G15" s="220">
        <f>'3.6.A廠總計產能'!G13</f>
        <v>26992</v>
      </c>
      <c r="H15" s="220">
        <f>'3.6.A廠總計產能'!H13</f>
        <v>26992</v>
      </c>
      <c r="I15" s="220">
        <f>'3.6.A廠總計產能'!I13</f>
        <v>26992</v>
      </c>
      <c r="J15" s="220">
        <f>'3.6.A廠總計產能'!J13</f>
        <v>0</v>
      </c>
      <c r="K15" s="220">
        <f>'3.6.A廠總計產能'!K13</f>
        <v>26992</v>
      </c>
      <c r="L15" s="220">
        <f>'3.6.A廠總計產能'!L13</f>
        <v>26332</v>
      </c>
      <c r="M15" s="220">
        <f>'3.6.A廠總計產能'!M13</f>
        <v>0</v>
      </c>
      <c r="N15" s="220">
        <f>'3.6.A廠總計產能'!N13</f>
        <v>24652</v>
      </c>
      <c r="O15" s="220">
        <f>'3.6.A廠總計產能'!O13</f>
        <v>24932</v>
      </c>
      <c r="P15" s="220">
        <f>'3.6.A廠總計產能'!P13</f>
        <v>25232</v>
      </c>
      <c r="Q15" s="220">
        <f>'3.6.A廠總計產能'!Q13</f>
        <v>24952</v>
      </c>
      <c r="R15" s="220">
        <f>'3.6.A廠總計產能'!R13</f>
        <v>24572</v>
      </c>
      <c r="S15" s="220">
        <f>'3.6.A廠總計產能'!S13</f>
        <v>24632</v>
      </c>
      <c r="T15" s="220">
        <f>'3.6.A廠總計產能'!T13</f>
        <v>0</v>
      </c>
      <c r="U15" s="220">
        <f>'3.6.A廠總計產能'!U13</f>
        <v>25232</v>
      </c>
      <c r="V15" s="220">
        <f>'3.6.A廠總計產能'!V13</f>
        <v>25232</v>
      </c>
      <c r="W15" s="220">
        <f>'3.6.A廠總計產能'!W13</f>
        <v>25232</v>
      </c>
      <c r="X15" s="220">
        <f>'3.6.A廠總計產能'!X13</f>
        <v>25112</v>
      </c>
      <c r="Y15" s="220">
        <f>'3.6.A廠總計產能'!Y13</f>
        <v>25112</v>
      </c>
      <c r="Z15" s="220">
        <f>'3.6.A廠總計產能'!Z13</f>
        <v>0</v>
      </c>
      <c r="AA15" s="220">
        <f>'3.6.A廠總計產能'!AA13</f>
        <v>0</v>
      </c>
      <c r="AB15" s="220">
        <f>'3.6.A廠總計產能'!AB13</f>
        <v>25132</v>
      </c>
      <c r="AC15" s="220">
        <f>'3.6.A廠總計產能'!AC13</f>
        <v>24952</v>
      </c>
      <c r="AD15" s="220">
        <f>'3.6.A廠總計產能'!AD13</f>
        <v>25632</v>
      </c>
      <c r="AE15" s="220">
        <f>'3.6.A廠總計產能'!AE13</f>
        <v>25972</v>
      </c>
      <c r="AF15" s="220">
        <f>'3.6.A廠總計產能'!AF13</f>
        <v>26352</v>
      </c>
      <c r="AG15" s="220">
        <f>'3.6.A廠總計產能'!AG13</f>
        <v>0</v>
      </c>
      <c r="AH15" s="220">
        <f>'3.6.A廠總計產能'!AH13</f>
        <v>0</v>
      </c>
      <c r="AI15" s="8"/>
    </row>
    <row r="16" spans="1:35">
      <c r="A16" s="396"/>
      <c r="B16" s="143" t="s">
        <v>47</v>
      </c>
      <c r="C16" s="221">
        <f>'3.6.A廠總計產能'!C14</f>
        <v>153270</v>
      </c>
      <c r="D16" s="221">
        <f>'3.6.A廠總計產能'!D14</f>
        <v>25545</v>
      </c>
      <c r="E16" s="221">
        <f>'3.6.A廠總計產能'!E14</f>
        <v>0</v>
      </c>
      <c r="F16" s="221">
        <f>'3.6.A廠總計產能'!F14</f>
        <v>0</v>
      </c>
      <c r="G16" s="221">
        <f>'3.6.A廠總計產能'!G14</f>
        <v>26908</v>
      </c>
      <c r="H16" s="221">
        <f>'3.6.A廠總計產能'!H14</f>
        <v>25457</v>
      </c>
      <c r="I16" s="221">
        <f>'3.6.A廠總計產能'!I14</f>
        <v>25758</v>
      </c>
      <c r="J16" s="221">
        <f>'3.6.A廠總計產能'!J14</f>
        <v>0</v>
      </c>
      <c r="K16" s="221">
        <f>'3.6.A廠總計產能'!K14</f>
        <v>26588</v>
      </c>
      <c r="L16" s="221">
        <f>'3.6.A廠總計產能'!L14</f>
        <v>25624</v>
      </c>
      <c r="M16" s="221">
        <f>'3.6.A廠總計產能'!M14</f>
        <v>0</v>
      </c>
      <c r="N16" s="221">
        <f>'3.6.A廠總計產能'!N14</f>
        <v>22935</v>
      </c>
      <c r="O16" s="221">
        <f>'3.6.A廠總計產能'!O14</f>
        <v>0</v>
      </c>
      <c r="P16" s="221">
        <f>'3.6.A廠總計產能'!P14</f>
        <v>0</v>
      </c>
      <c r="Q16" s="221">
        <f>'3.6.A廠總計產能'!Q14</f>
        <v>0</v>
      </c>
      <c r="R16" s="221">
        <f>'3.6.A廠總計產能'!R14</f>
        <v>0</v>
      </c>
      <c r="S16" s="221">
        <f>'3.6.A廠總計產能'!S14</f>
        <v>0</v>
      </c>
      <c r="T16" s="221">
        <f>'3.6.A廠總計產能'!T14</f>
        <v>0</v>
      </c>
      <c r="U16" s="221">
        <f>'3.6.A廠總計產能'!U14</f>
        <v>0</v>
      </c>
      <c r="V16" s="221">
        <f>'3.6.A廠總計產能'!V14</f>
        <v>0</v>
      </c>
      <c r="W16" s="221">
        <f>'3.6.A廠總計產能'!W14</f>
        <v>0</v>
      </c>
      <c r="X16" s="221">
        <f>'3.6.A廠總計產能'!X14</f>
        <v>0</v>
      </c>
      <c r="Y16" s="221">
        <f>'3.6.A廠總計產能'!Y14</f>
        <v>0</v>
      </c>
      <c r="Z16" s="221">
        <f>'3.6.A廠總計產能'!Z14</f>
        <v>0</v>
      </c>
      <c r="AA16" s="221">
        <f>'3.6.A廠總計產能'!AA14</f>
        <v>0</v>
      </c>
      <c r="AB16" s="221">
        <f>'3.6.A廠總計產能'!AB14</f>
        <v>0</v>
      </c>
      <c r="AC16" s="221">
        <f>'3.6.A廠總計產能'!AC14</f>
        <v>0</v>
      </c>
      <c r="AD16" s="221">
        <f>'3.6.A廠總計產能'!AD14</f>
        <v>0</v>
      </c>
      <c r="AE16" s="221">
        <f>'3.6.A廠總計產能'!AE14</f>
        <v>0</v>
      </c>
      <c r="AF16" s="221">
        <f>'3.6.A廠總計產能'!AF14</f>
        <v>0</v>
      </c>
      <c r="AG16" s="221">
        <f>'3.6.A廠總計產能'!AG14</f>
        <v>0</v>
      </c>
      <c r="AH16" s="221">
        <f>'3.6.A廠總計產能'!AH14</f>
        <v>0</v>
      </c>
      <c r="AI16" s="8"/>
    </row>
    <row r="17" spans="1:35">
      <c r="A17" s="396"/>
      <c r="B17" s="143" t="s">
        <v>48</v>
      </c>
      <c r="C17" s="221">
        <f>'3.6.A廠總計產能'!C15</f>
        <v>-5682</v>
      </c>
      <c r="D17" s="221">
        <f>'3.6.A廠總計產能'!D15</f>
        <v>-947</v>
      </c>
      <c r="E17" s="221">
        <f>'3.6.A廠總計產能'!E15</f>
        <v>0</v>
      </c>
      <c r="F17" s="221">
        <f>'3.6.A廠總計產能'!F15</f>
        <v>0</v>
      </c>
      <c r="G17" s="221">
        <f>'3.6.A廠總計產能'!G15</f>
        <v>-84</v>
      </c>
      <c r="H17" s="221">
        <f>'3.6.A廠總計產能'!H15</f>
        <v>-1535</v>
      </c>
      <c r="I17" s="221">
        <f>'3.6.A廠總計產能'!I15</f>
        <v>-1234</v>
      </c>
      <c r="J17" s="221">
        <f>'3.6.A廠總計產能'!J15</f>
        <v>0</v>
      </c>
      <c r="K17" s="221">
        <f>'3.6.A廠總計產能'!K15</f>
        <v>-404</v>
      </c>
      <c r="L17" s="221">
        <f>'3.6.A廠總計產能'!L15</f>
        <v>-708</v>
      </c>
      <c r="M17" s="221">
        <f>'3.6.A廠總計產能'!M15</f>
        <v>0</v>
      </c>
      <c r="N17" s="221">
        <f>'3.6.A廠總計產能'!N15</f>
        <v>-1717</v>
      </c>
      <c r="O17" s="221">
        <f>'3.6.A廠總計產能'!O15</f>
        <v>0</v>
      </c>
      <c r="P17" s="221">
        <f>'3.6.A廠總計產能'!P15</f>
        <v>0</v>
      </c>
      <c r="Q17" s="221">
        <f>'3.6.A廠總計產能'!Q15</f>
        <v>0</v>
      </c>
      <c r="R17" s="221">
        <f>'3.6.A廠總計產能'!R15</f>
        <v>0</v>
      </c>
      <c r="S17" s="221">
        <f>'3.6.A廠總計產能'!S15</f>
        <v>0</v>
      </c>
      <c r="T17" s="221">
        <f>'3.6.A廠總計產能'!T15</f>
        <v>0</v>
      </c>
      <c r="U17" s="221">
        <f>'3.6.A廠總計產能'!U15</f>
        <v>0</v>
      </c>
      <c r="V17" s="221">
        <f>'3.6.A廠總計產能'!V15</f>
        <v>0</v>
      </c>
      <c r="W17" s="221">
        <f>'3.6.A廠總計產能'!W15</f>
        <v>0</v>
      </c>
      <c r="X17" s="221">
        <f>'3.6.A廠總計產能'!X15</f>
        <v>0</v>
      </c>
      <c r="Y17" s="221">
        <f>'3.6.A廠總計產能'!Y15</f>
        <v>0</v>
      </c>
      <c r="Z17" s="221">
        <f>'3.6.A廠總計產能'!Z15</f>
        <v>0</v>
      </c>
      <c r="AA17" s="221">
        <f>'3.6.A廠總計產能'!AA15</f>
        <v>0</v>
      </c>
      <c r="AB17" s="221">
        <f>'3.6.A廠總計產能'!AB15</f>
        <v>0</v>
      </c>
      <c r="AC17" s="221">
        <f>'3.6.A廠總計產能'!AC15</f>
        <v>0</v>
      </c>
      <c r="AD17" s="221">
        <f>'3.6.A廠總計產能'!AD15</f>
        <v>0</v>
      </c>
      <c r="AE17" s="221">
        <f>'3.6.A廠總計產能'!AE15</f>
        <v>0</v>
      </c>
      <c r="AF17" s="221">
        <f>'3.6.A廠總計產能'!AF15</f>
        <v>0</v>
      </c>
      <c r="AG17" s="221">
        <f>'3.6.A廠總計產能'!AG15</f>
        <v>0</v>
      </c>
      <c r="AH17" s="221">
        <f>'3.6.A廠總計產能'!AH15</f>
        <v>0</v>
      </c>
      <c r="AI17" s="8"/>
    </row>
    <row r="18" spans="1:35">
      <c r="A18" s="396"/>
      <c r="B18" s="143" t="s">
        <v>49</v>
      </c>
      <c r="C18" s="221">
        <f>'3.6.A廠總計產能'!C16</f>
        <v>47.6</v>
      </c>
      <c r="D18" s="221">
        <f>'3.6.A廠總計產能'!D16</f>
        <v>7.9333333333333336</v>
      </c>
      <c r="E18" s="221">
        <f>'3.6.A廠總計產能'!E16</f>
        <v>0</v>
      </c>
      <c r="F18" s="221">
        <f>'3.6.A廠總計產能'!F16</f>
        <v>0</v>
      </c>
      <c r="G18" s="221">
        <f>'3.6.A廠總計產能'!G16</f>
        <v>8</v>
      </c>
      <c r="H18" s="221">
        <f>'3.6.A廠總計產能'!H16</f>
        <v>8</v>
      </c>
      <c r="I18" s="221">
        <f>'3.6.A廠總計產能'!I16</f>
        <v>8</v>
      </c>
      <c r="J18" s="221">
        <f>'3.6.A廠總計產能'!J16</f>
        <v>0</v>
      </c>
      <c r="K18" s="221">
        <f>'3.6.A廠總計產能'!K16</f>
        <v>8</v>
      </c>
      <c r="L18" s="221">
        <f>'3.6.A廠總計產能'!L16</f>
        <v>8</v>
      </c>
      <c r="M18" s="221">
        <f>'3.6.A廠總計產能'!M16</f>
        <v>0</v>
      </c>
      <c r="N18" s="221">
        <f>'3.6.A廠總計產能'!N16</f>
        <v>8</v>
      </c>
      <c r="O18" s="221">
        <f>'3.6.A廠總計產能'!O16</f>
        <v>0</v>
      </c>
      <c r="P18" s="221">
        <f>'3.6.A廠總計產能'!P16</f>
        <v>0</v>
      </c>
      <c r="Q18" s="221">
        <f>'3.6.A廠總計產能'!Q16</f>
        <v>0</v>
      </c>
      <c r="R18" s="221">
        <f>'3.6.A廠總計產能'!R16</f>
        <v>0</v>
      </c>
      <c r="S18" s="221">
        <f>'3.6.A廠總計產能'!S16</f>
        <v>0</v>
      </c>
      <c r="T18" s="221">
        <f>'3.6.A廠總計產能'!T16</f>
        <v>0</v>
      </c>
      <c r="U18" s="221">
        <f>'3.6.A廠總計產能'!U16</f>
        <v>0</v>
      </c>
      <c r="V18" s="221">
        <f>'3.6.A廠總計產能'!V16</f>
        <v>0</v>
      </c>
      <c r="W18" s="221">
        <f>'3.6.A廠總計產能'!W16</f>
        <v>0</v>
      </c>
      <c r="X18" s="221">
        <f>'3.6.A廠總計產能'!X16</f>
        <v>0</v>
      </c>
      <c r="Y18" s="221">
        <f>'3.6.A廠總計產能'!Y16</f>
        <v>0</v>
      </c>
      <c r="Z18" s="221">
        <f>'3.6.A廠總計產能'!Z16</f>
        <v>0</v>
      </c>
      <c r="AA18" s="221">
        <f>'3.6.A廠總計產能'!AA16</f>
        <v>0</v>
      </c>
      <c r="AB18" s="221">
        <f>'3.6.A廠總計產能'!AB16</f>
        <v>0</v>
      </c>
      <c r="AC18" s="221">
        <f>'3.6.A廠總計產能'!AC16</f>
        <v>0</v>
      </c>
      <c r="AD18" s="221">
        <f>'3.6.A廠總計產能'!AD16</f>
        <v>0</v>
      </c>
      <c r="AE18" s="221">
        <f>'3.6.A廠總計產能'!AE16</f>
        <v>0</v>
      </c>
      <c r="AF18" s="221">
        <f>'3.6.A廠總計產能'!AF16</f>
        <v>0</v>
      </c>
      <c r="AG18" s="221">
        <f>'3.6.A廠總計產能'!AG16</f>
        <v>0</v>
      </c>
      <c r="AH18" s="221">
        <f>'3.6.A廠總計產能'!AH16</f>
        <v>0</v>
      </c>
      <c r="AI18" s="8"/>
    </row>
    <row r="19" spans="1:35">
      <c r="A19" s="396"/>
      <c r="B19" s="143" t="s">
        <v>50</v>
      </c>
      <c r="C19" s="221">
        <f>'3.6.A廠總計產能'!C17</f>
        <v>3482</v>
      </c>
      <c r="D19" s="221">
        <f>'3.6.A廠總計產能'!D17</f>
        <v>3482</v>
      </c>
      <c r="E19" s="221">
        <f>'3.6.A廠總計產能'!E17</f>
        <v>0</v>
      </c>
      <c r="F19" s="221">
        <f>'3.6.A廠總計產能'!F17</f>
        <v>0</v>
      </c>
      <c r="G19" s="221">
        <f>'3.6.A廠總計產能'!G17</f>
        <v>3523</v>
      </c>
      <c r="H19" s="221">
        <f>'3.6.A廠總計產能'!H17</f>
        <v>3524</v>
      </c>
      <c r="I19" s="221">
        <f>'3.6.A廠總計產能'!I17</f>
        <v>3481</v>
      </c>
      <c r="J19" s="221">
        <f>'3.6.A廠總計產能'!J17</f>
        <v>0</v>
      </c>
      <c r="K19" s="221">
        <f>'3.6.A廠總計產能'!K17</f>
        <v>3469</v>
      </c>
      <c r="L19" s="221">
        <f>'3.6.A廠總計產能'!L17</f>
        <v>3484</v>
      </c>
      <c r="M19" s="221">
        <f>'3.6.A廠總計產能'!M17</f>
        <v>0</v>
      </c>
      <c r="N19" s="221">
        <f>'3.6.A廠總計產能'!N17</f>
        <v>3327</v>
      </c>
      <c r="O19" s="221">
        <f>'3.6.A廠總計產能'!O17</f>
        <v>0</v>
      </c>
      <c r="P19" s="221">
        <f>'3.6.A廠總計產能'!P17</f>
        <v>0</v>
      </c>
      <c r="Q19" s="221">
        <f>'3.6.A廠總計產能'!Q17</f>
        <v>0</v>
      </c>
      <c r="R19" s="221">
        <f>'3.6.A廠總計產能'!R17</f>
        <v>0</v>
      </c>
      <c r="S19" s="221">
        <f>'3.6.A廠總計產能'!S17</f>
        <v>0</v>
      </c>
      <c r="T19" s="221">
        <f>'3.6.A廠總計產能'!T17</f>
        <v>0</v>
      </c>
      <c r="U19" s="221">
        <f>'3.6.A廠總計產能'!U17</f>
        <v>0</v>
      </c>
      <c r="V19" s="221">
        <f>'3.6.A廠總計產能'!V17</f>
        <v>0</v>
      </c>
      <c r="W19" s="221">
        <f>'3.6.A廠總計產能'!W17</f>
        <v>0</v>
      </c>
      <c r="X19" s="221">
        <f>'3.6.A廠總計產能'!X17</f>
        <v>0</v>
      </c>
      <c r="Y19" s="221">
        <f>'3.6.A廠總計產能'!Y17</f>
        <v>0</v>
      </c>
      <c r="Z19" s="221">
        <f>'3.6.A廠總計產能'!Z17</f>
        <v>0</v>
      </c>
      <c r="AA19" s="221">
        <f>'3.6.A廠總計產能'!AA17</f>
        <v>0</v>
      </c>
      <c r="AB19" s="221">
        <f>'3.6.A廠總計產能'!AB17</f>
        <v>0</v>
      </c>
      <c r="AC19" s="221">
        <f>'3.6.A廠總計產能'!AC17</f>
        <v>0</v>
      </c>
      <c r="AD19" s="221">
        <f>'3.6.A廠總計產能'!AD17</f>
        <v>0</v>
      </c>
      <c r="AE19" s="221">
        <f>'3.6.A廠總計產能'!AE17</f>
        <v>0</v>
      </c>
      <c r="AF19" s="221">
        <f>'3.6.A廠總計產能'!AF17</f>
        <v>0</v>
      </c>
      <c r="AG19" s="221">
        <f>'3.6.A廠總計產能'!AG17</f>
        <v>0</v>
      </c>
      <c r="AH19" s="221">
        <f>'3.6.A廠總計產能'!AH17</f>
        <v>0</v>
      </c>
      <c r="AI19" s="8"/>
    </row>
    <row r="20" spans="1:35">
      <c r="A20" s="396"/>
      <c r="B20" s="143" t="s">
        <v>51</v>
      </c>
      <c r="C20" s="221">
        <f>'3.6.A廠總計產能'!C18</f>
        <v>3219.9579831932774</v>
      </c>
      <c r="D20" s="221">
        <f>'3.6.A廠總計產能'!D18</f>
        <v>3219.9579831932774</v>
      </c>
      <c r="E20" s="221">
        <f>'3.6.A廠總計產能'!E18</f>
        <v>0</v>
      </c>
      <c r="F20" s="221">
        <f>'3.6.A廠總計產能'!F18</f>
        <v>0</v>
      </c>
      <c r="G20" s="221">
        <f>'3.6.A廠總計產能'!G18</f>
        <v>3363.5</v>
      </c>
      <c r="H20" s="221">
        <f>'3.6.A廠總計產能'!H18</f>
        <v>3182.125</v>
      </c>
      <c r="I20" s="221">
        <f>'3.6.A廠總計產能'!I18</f>
        <v>3219.75</v>
      </c>
      <c r="J20" s="221">
        <f>'3.6.A廠總計產能'!J18</f>
        <v>0</v>
      </c>
      <c r="K20" s="221">
        <f>'3.6.A廠總計產能'!K18</f>
        <v>3323.5</v>
      </c>
      <c r="L20" s="221">
        <f>'3.6.A廠總計產能'!L18</f>
        <v>3203</v>
      </c>
      <c r="M20" s="221">
        <f>'3.6.A廠總計產能'!M18</f>
        <v>0</v>
      </c>
      <c r="N20" s="221">
        <f>'3.6.A廠總計產能'!N18</f>
        <v>2866.875</v>
      </c>
      <c r="O20" s="221">
        <f>'3.6.A廠總計產能'!O18</f>
        <v>0</v>
      </c>
      <c r="P20" s="221">
        <f>'3.6.A廠總計產能'!P18</f>
        <v>0</v>
      </c>
      <c r="Q20" s="221">
        <f>'3.6.A廠總計產能'!Q18</f>
        <v>0</v>
      </c>
      <c r="R20" s="221">
        <f>'3.6.A廠總計產能'!R18</f>
        <v>0</v>
      </c>
      <c r="S20" s="221">
        <f>'3.6.A廠總計產能'!S18</f>
        <v>0</v>
      </c>
      <c r="T20" s="221">
        <f>'3.6.A廠總計產能'!T18</f>
        <v>0</v>
      </c>
      <c r="U20" s="221">
        <f>'3.6.A廠總計產能'!U18</f>
        <v>0</v>
      </c>
      <c r="V20" s="221">
        <f>'3.6.A廠總計產能'!V18</f>
        <v>0</v>
      </c>
      <c r="W20" s="221">
        <f>'3.6.A廠總計產能'!W18</f>
        <v>0</v>
      </c>
      <c r="X20" s="221">
        <f>'3.6.A廠總計產能'!X18</f>
        <v>0</v>
      </c>
      <c r="Y20" s="221">
        <f>'3.6.A廠總計產能'!Y18</f>
        <v>0</v>
      </c>
      <c r="Z20" s="221">
        <f>'3.6.A廠總計產能'!Z18</f>
        <v>0</v>
      </c>
      <c r="AA20" s="221">
        <f>'3.6.A廠總計產能'!AA18</f>
        <v>0</v>
      </c>
      <c r="AB20" s="221">
        <f>'3.6.A廠總計產能'!AB18</f>
        <v>0</v>
      </c>
      <c r="AC20" s="221">
        <f>'3.6.A廠總計產能'!AC18</f>
        <v>0</v>
      </c>
      <c r="AD20" s="221">
        <f>'3.6.A廠總計產能'!AD18</f>
        <v>0</v>
      </c>
      <c r="AE20" s="221">
        <f>'3.6.A廠總計產能'!AE18</f>
        <v>0</v>
      </c>
      <c r="AF20" s="221">
        <f>'3.6.A廠總計產能'!AF18</f>
        <v>0</v>
      </c>
      <c r="AG20" s="221">
        <f>'3.6.A廠總計產能'!AG18</f>
        <v>0</v>
      </c>
      <c r="AH20" s="221">
        <f>'3.6.A廠總計產能'!AH18</f>
        <v>0</v>
      </c>
      <c r="AI20" s="8"/>
    </row>
    <row r="21" spans="1:35">
      <c r="A21" s="396"/>
      <c r="B21" s="151" t="s">
        <v>106</v>
      </c>
      <c r="C21" s="226">
        <f>SUM(E21:AH21)/COUNTIF(E16:AH16,"&gt;0")</f>
        <v>667.5</v>
      </c>
      <c r="D21" s="226">
        <f>SUM(E21:AH21)/COUNTIF(E16:AH16,"&gt;0")</f>
        <v>667.5</v>
      </c>
      <c r="E21" s="226">
        <f>'3-1.人員刷卡出勤'!C51/2+'3-1.人員刷卡出勤'!C54</f>
        <v>118.5</v>
      </c>
      <c r="F21" s="226">
        <f>'3-1.人員刷卡出勤'!D51/2+'3-1.人員刷卡出勤'!D54</f>
        <v>0</v>
      </c>
      <c r="G21" s="226">
        <f>'3-1.人員刷卡出勤'!E51/2+'3-1.人員刷卡出勤'!E54</f>
        <v>658.5</v>
      </c>
      <c r="H21" s="226">
        <f>'3-1.人員刷卡出勤'!F51/2+'3-1.人員刷卡出勤'!F54</f>
        <v>659.5</v>
      </c>
      <c r="I21" s="226">
        <f>'3-1.人員刷卡出勤'!G51/2+'3-1.人員刷卡出勤'!G54</f>
        <v>643</v>
      </c>
      <c r="J21" s="226">
        <f>'3-1.人員刷卡出勤'!H51/2+'3-1.人員刷卡出勤'!H54</f>
        <v>0</v>
      </c>
      <c r="K21" s="226">
        <f>'3-1.人員刷卡出勤'!I51/2+'3-1.人員刷卡出勤'!I54</f>
        <v>644.5</v>
      </c>
      <c r="L21" s="226">
        <f>'3-1.人員刷卡出勤'!J51/2+'3-1.人員刷卡出勤'!J54</f>
        <v>644</v>
      </c>
      <c r="M21" s="226">
        <f>'3-1.人員刷卡出勤'!K51/2+'3-1.人員刷卡出勤'!K54</f>
        <v>0</v>
      </c>
      <c r="N21" s="226">
        <f>'3-1.人員刷卡出勤'!L51/2+'3-1.人員刷卡出勤'!L54</f>
        <v>637</v>
      </c>
      <c r="O21" s="226">
        <f>'3-1.人員刷卡出勤'!M51/2+'3-1.人員刷卡出勤'!M54</f>
        <v>0</v>
      </c>
      <c r="P21" s="226">
        <f>'3-1.人員刷卡出勤'!N51/2+'3-1.人員刷卡出勤'!N54</f>
        <v>0</v>
      </c>
      <c r="Q21" s="226">
        <f>'3-1.人員刷卡出勤'!O51/2+'3-1.人員刷卡出勤'!O54</f>
        <v>0</v>
      </c>
      <c r="R21" s="226">
        <f>'3-1.人員刷卡出勤'!P51/2+'3-1.人員刷卡出勤'!P54</f>
        <v>0</v>
      </c>
      <c r="S21" s="226">
        <f>'3-1.人員刷卡出勤'!Q51/2+'3-1.人員刷卡出勤'!Q54</f>
        <v>0</v>
      </c>
      <c r="T21" s="226">
        <f>'3-1.人員刷卡出勤'!R51/2+'3-1.人員刷卡出勤'!R54</f>
        <v>0</v>
      </c>
      <c r="U21" s="226">
        <f>'3-1.人員刷卡出勤'!S51/2+'3-1.人員刷卡出勤'!S54</f>
        <v>0</v>
      </c>
      <c r="V21" s="226">
        <f>'3-1.人員刷卡出勤'!T51/2+'3-1.人員刷卡出勤'!T54</f>
        <v>0</v>
      </c>
      <c r="W21" s="226">
        <f>'3-1.人員刷卡出勤'!U51/2+'3-1.人員刷卡出勤'!U54</f>
        <v>0</v>
      </c>
      <c r="X21" s="226">
        <f>'3-1.人員刷卡出勤'!V51/2+'3-1.人員刷卡出勤'!V54</f>
        <v>0</v>
      </c>
      <c r="Y21" s="226">
        <f>'3-1.人員刷卡出勤'!W51/2+'3-1.人員刷卡出勤'!W54</f>
        <v>0</v>
      </c>
      <c r="Z21" s="226">
        <f>'3-1.人員刷卡出勤'!X51/2+'3-1.人員刷卡出勤'!X54</f>
        <v>0</v>
      </c>
      <c r="AA21" s="226">
        <f>'3-1.人員刷卡出勤'!Y51/2+'3-1.人員刷卡出勤'!Y54</f>
        <v>0</v>
      </c>
      <c r="AB21" s="226">
        <f>'3-1.人員刷卡出勤'!Z51/2+'3-1.人員刷卡出勤'!Z54</f>
        <v>0</v>
      </c>
      <c r="AC21" s="226">
        <f>'3-1.人員刷卡出勤'!AA51/2+'3-1.人員刷卡出勤'!AA54</f>
        <v>0</v>
      </c>
      <c r="AD21" s="226">
        <f>'3-1.人員刷卡出勤'!AB51/2+'3-1.人員刷卡出勤'!AB54</f>
        <v>0</v>
      </c>
      <c r="AE21" s="226">
        <f>'3-1.人員刷卡出勤'!AC51/2+'3-1.人員刷卡出勤'!AC54</f>
        <v>0</v>
      </c>
      <c r="AF21" s="226">
        <f>'3-1.人員刷卡出勤'!AD51/2+'3-1.人員刷卡出勤'!AD54</f>
        <v>0</v>
      </c>
      <c r="AG21" s="226">
        <f>'3-1.人員刷卡出勤'!AE51/2+'3-1.人員刷卡出勤'!AE54</f>
        <v>0</v>
      </c>
      <c r="AH21" s="226">
        <f>'3-1.人員刷卡出勤'!AF51/2+'3-1.人員刷卡出勤'!AF54</f>
        <v>0</v>
      </c>
      <c r="AI21" s="8"/>
    </row>
    <row r="22" spans="1:35">
      <c r="A22" s="396"/>
      <c r="B22" s="151" t="s">
        <v>107</v>
      </c>
      <c r="C22" s="226">
        <f>SUM(E22:AH22)/COUNTIF(E16:AH16,"&gt;0")</f>
        <v>219.41666666666666</v>
      </c>
      <c r="D22" s="226">
        <f>SUM(E22:AH22)/COUNTIF(E16:AH16,"&gt;0")</f>
        <v>219.41666666666666</v>
      </c>
      <c r="E22" s="226">
        <f>'3-1.人員刷卡出勤'!C9/4+'3-1.人員刷卡出勤'!C12/2+'3-1.人員刷卡出勤'!C15/2++'3-1.人員刷卡出勤'!C24/2</f>
        <v>99.25</v>
      </c>
      <c r="F22" s="226">
        <f>'3-1.人員刷卡出勤'!D9/4+'3-1.人員刷卡出勤'!D12/2+'3-1.人員刷卡出勤'!D15/2++'3-1.人員刷卡出勤'!D24/2</f>
        <v>16.5</v>
      </c>
      <c r="G22" s="226">
        <f>'3-1.人員刷卡出勤'!E9/4+'3-1.人員刷卡出勤'!E12/2+'3-1.人員刷卡出勤'!E15/2++'3-1.人員刷卡出勤'!E24/2</f>
        <v>199.75</v>
      </c>
      <c r="H22" s="226">
        <f>'3-1.人員刷卡出勤'!F9/4+'3-1.人員刷卡出勤'!F12/2+'3-1.人員刷卡出勤'!F15/2++'3-1.人員刷卡出勤'!F24/2</f>
        <v>200.25</v>
      </c>
      <c r="I22" s="226">
        <f>'3-1.人員刷卡出勤'!G9/4+'3-1.人員刷卡出勤'!G12/2+'3-1.人員刷卡出勤'!G15/2++'3-1.人員刷卡出勤'!G24/2</f>
        <v>178.5</v>
      </c>
      <c r="J22" s="226">
        <f>'3-1.人員刷卡出勤'!H9/4+'3-1.人員刷卡出勤'!H12/2+'3-1.人員刷卡出勤'!H15/2++'3-1.人員刷卡出勤'!H24/2</f>
        <v>15.5</v>
      </c>
      <c r="K22" s="226">
        <f>'3-1.人員刷卡出勤'!I9/4+'3-1.人員刷卡出勤'!I12/2+'3-1.人員刷卡出勤'!I15/2++'3-1.人員刷卡出勤'!I24/2</f>
        <v>196</v>
      </c>
      <c r="L22" s="226">
        <f>'3-1.人員刷卡出勤'!J9/4+'3-1.人員刷卡出勤'!J12/2+'3-1.人員刷卡出勤'!J15/2++'3-1.人員刷卡出勤'!J24/2</f>
        <v>195.75</v>
      </c>
      <c r="M22" s="226">
        <f>'3-1.人員刷卡出勤'!K9/4+'3-1.人員刷卡出勤'!K12/2+'3-1.人員刷卡出勤'!K15/2++'3-1.人員刷卡出勤'!K24/2</f>
        <v>19</v>
      </c>
      <c r="N22" s="226">
        <f>'3-1.人員刷卡出勤'!L9/4+'3-1.人員刷卡出勤'!L12/2+'3-1.人員刷卡出勤'!L15/2++'3-1.人員刷卡出勤'!L24/2</f>
        <v>196</v>
      </c>
      <c r="O22" s="226">
        <f>'3-1.人員刷卡出勤'!M9/4+'3-1.人員刷卡出勤'!M12/2+'3-1.人員刷卡出勤'!M15/2++'3-1.人員刷卡出勤'!M24/2</f>
        <v>0</v>
      </c>
      <c r="P22" s="226">
        <f>'3-1.人員刷卡出勤'!N9/4+'3-1.人員刷卡出勤'!N12/2+'3-1.人員刷卡出勤'!N15/2++'3-1.人員刷卡出勤'!N24/2</f>
        <v>0</v>
      </c>
      <c r="Q22" s="226">
        <f>'3-1.人員刷卡出勤'!O9/4+'3-1.人員刷卡出勤'!O12/2+'3-1.人員刷卡出勤'!O15/2++'3-1.人員刷卡出勤'!O24/2</f>
        <v>0</v>
      </c>
      <c r="R22" s="226">
        <f>'3-1.人員刷卡出勤'!P9/4+'3-1.人員刷卡出勤'!P12/2+'3-1.人員刷卡出勤'!P15/2++'3-1.人員刷卡出勤'!P24/2</f>
        <v>0</v>
      </c>
      <c r="S22" s="226">
        <f>'3-1.人員刷卡出勤'!Q9/4+'3-1.人員刷卡出勤'!Q12/2+'3-1.人員刷卡出勤'!Q15/2++'3-1.人員刷卡出勤'!Q24/2</f>
        <v>0</v>
      </c>
      <c r="T22" s="226">
        <f>'3-1.人員刷卡出勤'!R9/4+'3-1.人員刷卡出勤'!R12/2+'3-1.人員刷卡出勤'!R15/2++'3-1.人員刷卡出勤'!R24/2</f>
        <v>0</v>
      </c>
      <c r="U22" s="226">
        <f>'3-1.人員刷卡出勤'!S9/4+'3-1.人員刷卡出勤'!S12/2+'3-1.人員刷卡出勤'!S15/2++'3-1.人員刷卡出勤'!S24/2</f>
        <v>0</v>
      </c>
      <c r="V22" s="226">
        <f>'3-1.人員刷卡出勤'!T9/4+'3-1.人員刷卡出勤'!T12/2+'3-1.人員刷卡出勤'!T15/2++'3-1.人員刷卡出勤'!T24/2</f>
        <v>0</v>
      </c>
      <c r="W22" s="226">
        <f>'3-1.人員刷卡出勤'!U9/4+'3-1.人員刷卡出勤'!U12/2+'3-1.人員刷卡出勤'!U15/2++'3-1.人員刷卡出勤'!U24/2</f>
        <v>0</v>
      </c>
      <c r="X22" s="226">
        <f>'3-1.人員刷卡出勤'!V9/4+'3-1.人員刷卡出勤'!V12/2+'3-1.人員刷卡出勤'!V15/2++'3-1.人員刷卡出勤'!V24/2</f>
        <v>0</v>
      </c>
      <c r="Y22" s="226">
        <f>'3-1.人員刷卡出勤'!W9/4+'3-1.人員刷卡出勤'!W12/2+'3-1.人員刷卡出勤'!W15/2++'3-1.人員刷卡出勤'!W24/2</f>
        <v>0</v>
      </c>
      <c r="Z22" s="226">
        <f>'3-1.人員刷卡出勤'!X9/4+'3-1.人員刷卡出勤'!X12/2+'3-1.人員刷卡出勤'!X15/2++'3-1.人員刷卡出勤'!X24/2</f>
        <v>0</v>
      </c>
      <c r="AA22" s="226">
        <f>'3-1.人員刷卡出勤'!Y9/4+'3-1.人員刷卡出勤'!Y12/2+'3-1.人員刷卡出勤'!Y15/2++'3-1.人員刷卡出勤'!Y24/2</f>
        <v>0</v>
      </c>
      <c r="AB22" s="226">
        <f>'3-1.人員刷卡出勤'!Z9/4+'3-1.人員刷卡出勤'!Z12/2+'3-1.人員刷卡出勤'!Z15/2++'3-1.人員刷卡出勤'!Z24/2</f>
        <v>0</v>
      </c>
      <c r="AC22" s="226">
        <f>'3-1.人員刷卡出勤'!AA9/4+'3-1.人員刷卡出勤'!AA12/2+'3-1.人員刷卡出勤'!AA15/2++'3-1.人員刷卡出勤'!AA24/2</f>
        <v>0</v>
      </c>
      <c r="AD22" s="226">
        <f>'3-1.人員刷卡出勤'!AB9/4+'3-1.人員刷卡出勤'!AB12/2+'3-1.人員刷卡出勤'!AB15/2++'3-1.人員刷卡出勤'!AB24/2</f>
        <v>0</v>
      </c>
      <c r="AE22" s="226">
        <f>'3-1.人員刷卡出勤'!AC9/4+'3-1.人員刷卡出勤'!AC12/2+'3-1.人員刷卡出勤'!AC15/2++'3-1.人員刷卡出勤'!AC24/2</f>
        <v>0</v>
      </c>
      <c r="AF22" s="226">
        <f>'3-1.人員刷卡出勤'!AD9/4+'3-1.人員刷卡出勤'!AD12/2+'3-1.人員刷卡出勤'!AD15/2++'3-1.人員刷卡出勤'!AD24/2</f>
        <v>0</v>
      </c>
      <c r="AG22" s="226">
        <f>'3-1.人員刷卡出勤'!AE9/4+'3-1.人員刷卡出勤'!AE12/2+'3-1.人員刷卡出勤'!AE15/2++'3-1.人員刷卡出勤'!AE24/2</f>
        <v>0</v>
      </c>
      <c r="AH22" s="226">
        <f>'3-1.人員刷卡出勤'!AF9/4+'3-1.人員刷卡出勤'!AF12/2+'3-1.人員刷卡出勤'!AF15/2++'3-1.人員刷卡出勤'!AF24/2</f>
        <v>0</v>
      </c>
      <c r="AI22" s="8"/>
    </row>
    <row r="23" spans="1:35">
      <c r="A23" s="397"/>
      <c r="B23" s="223" t="s">
        <v>52</v>
      </c>
      <c r="C23" s="224">
        <f>C20/(C19+C21+C22)</f>
        <v>0.73701519824364026</v>
      </c>
      <c r="D23" s="224">
        <f t="shared" ref="D23" si="2">D20/(D19+D21+D22)</f>
        <v>0.73701519824364026</v>
      </c>
      <c r="E23" s="224">
        <f>IF(E20&gt;0,E20/(E19+E21+E22),0)</f>
        <v>0</v>
      </c>
      <c r="F23" s="224">
        <f t="shared" ref="F23:AH23" si="3">IF(F20&gt;0,F20/(F19+F21+F22),0)</f>
        <v>0</v>
      </c>
      <c r="G23" s="224">
        <f t="shared" si="3"/>
        <v>0.76770328102710417</v>
      </c>
      <c r="H23" s="224">
        <f t="shared" si="3"/>
        <v>0.72589107499287142</v>
      </c>
      <c r="I23" s="224">
        <f t="shared" si="3"/>
        <v>0.74834398605461938</v>
      </c>
      <c r="J23" s="224">
        <f t="shared" si="3"/>
        <v>0</v>
      </c>
      <c r="K23" s="224">
        <f t="shared" si="3"/>
        <v>0.77120315581854049</v>
      </c>
      <c r="L23" s="224">
        <f t="shared" si="3"/>
        <v>0.74079213645562303</v>
      </c>
      <c r="M23" s="224">
        <f t="shared" si="3"/>
        <v>0</v>
      </c>
      <c r="N23" s="224">
        <f t="shared" si="3"/>
        <v>0.68915264423076927</v>
      </c>
      <c r="O23" s="224">
        <f t="shared" si="3"/>
        <v>0</v>
      </c>
      <c r="P23" s="224">
        <f t="shared" si="3"/>
        <v>0</v>
      </c>
      <c r="Q23" s="224">
        <f t="shared" si="3"/>
        <v>0</v>
      </c>
      <c r="R23" s="224">
        <f t="shared" si="3"/>
        <v>0</v>
      </c>
      <c r="S23" s="224">
        <f t="shared" si="3"/>
        <v>0</v>
      </c>
      <c r="T23" s="224">
        <f t="shared" si="3"/>
        <v>0</v>
      </c>
      <c r="U23" s="224">
        <f t="shared" si="3"/>
        <v>0</v>
      </c>
      <c r="V23" s="224">
        <f t="shared" si="3"/>
        <v>0</v>
      </c>
      <c r="W23" s="224">
        <f t="shared" si="3"/>
        <v>0</v>
      </c>
      <c r="X23" s="224">
        <f t="shared" si="3"/>
        <v>0</v>
      </c>
      <c r="Y23" s="224">
        <f t="shared" si="3"/>
        <v>0</v>
      </c>
      <c r="Z23" s="224">
        <f t="shared" si="3"/>
        <v>0</v>
      </c>
      <c r="AA23" s="224">
        <f t="shared" si="3"/>
        <v>0</v>
      </c>
      <c r="AB23" s="224">
        <f t="shared" si="3"/>
        <v>0</v>
      </c>
      <c r="AC23" s="224">
        <f t="shared" si="3"/>
        <v>0</v>
      </c>
      <c r="AD23" s="224">
        <f t="shared" si="3"/>
        <v>0</v>
      </c>
      <c r="AE23" s="224">
        <f t="shared" si="3"/>
        <v>0</v>
      </c>
      <c r="AF23" s="224">
        <f t="shared" si="3"/>
        <v>0</v>
      </c>
      <c r="AG23" s="224">
        <f t="shared" si="3"/>
        <v>0</v>
      </c>
      <c r="AH23" s="224">
        <f t="shared" si="3"/>
        <v>0</v>
      </c>
      <c r="AI23" s="8"/>
    </row>
    <row r="24" spans="1:35">
      <c r="A24" s="395" t="s">
        <v>86</v>
      </c>
      <c r="B24" s="142" t="s">
        <v>94</v>
      </c>
      <c r="C24" s="220">
        <f>'3.6.A廠總計產能'!C20</f>
        <v>157648</v>
      </c>
      <c r="D24" s="220">
        <f>'3.6.A廠總計產能'!D20</f>
        <v>26274.666666666668</v>
      </c>
      <c r="E24" s="220">
        <f>'3.6.A廠總計產能'!E20</f>
        <v>0</v>
      </c>
      <c r="F24" s="220">
        <f>'3.6.A廠總計產能'!F20</f>
        <v>0</v>
      </c>
      <c r="G24" s="220">
        <f>'3.6.A廠總計產能'!G20</f>
        <v>26736</v>
      </c>
      <c r="H24" s="220">
        <f>'3.6.A廠總計產能'!H20</f>
        <v>26576</v>
      </c>
      <c r="I24" s="220">
        <f>'3.6.A廠總計產能'!I20</f>
        <v>26560</v>
      </c>
      <c r="J24" s="220">
        <f>'3.6.A廠總計產能'!J20</f>
        <v>0</v>
      </c>
      <c r="K24" s="220">
        <f>'3.6.A廠總計產能'!K20</f>
        <v>26544</v>
      </c>
      <c r="L24" s="220">
        <f>'3.6.A廠總計產能'!L20</f>
        <v>26528</v>
      </c>
      <c r="M24" s="220">
        <f>'3.6.A廠總計產能'!M20</f>
        <v>0</v>
      </c>
      <c r="N24" s="220">
        <f>'3.6.A廠總計產能'!N20</f>
        <v>24704</v>
      </c>
      <c r="O24" s="220">
        <f>'3.6.A廠總計產能'!O20</f>
        <v>0</v>
      </c>
      <c r="P24" s="220">
        <f>'3.6.A廠總計產能'!P20</f>
        <v>0</v>
      </c>
      <c r="Q24" s="220">
        <f>'3.6.A廠總計產能'!Q20</f>
        <v>0</v>
      </c>
      <c r="R24" s="220">
        <f>'3.6.A廠總計產能'!R20</f>
        <v>0</v>
      </c>
      <c r="S24" s="220">
        <f>'3.6.A廠總計產能'!S20</f>
        <v>0</v>
      </c>
      <c r="T24" s="220">
        <f>'3.6.A廠總計產能'!T20</f>
        <v>0</v>
      </c>
      <c r="U24" s="220">
        <f>'3.6.A廠總計產能'!U20</f>
        <v>0</v>
      </c>
      <c r="V24" s="220">
        <f>'3.6.A廠總計產能'!V20</f>
        <v>0</v>
      </c>
      <c r="W24" s="220">
        <f>'3.6.A廠總計產能'!W20</f>
        <v>0</v>
      </c>
      <c r="X24" s="220">
        <f>'3.6.A廠總計產能'!X20</f>
        <v>0</v>
      </c>
      <c r="Y24" s="220">
        <f>'3.6.A廠總計產能'!Y20</f>
        <v>0</v>
      </c>
      <c r="Z24" s="220">
        <f>'3.6.A廠總計產能'!Z20</f>
        <v>0</v>
      </c>
      <c r="AA24" s="220">
        <f>'3.6.A廠總計產能'!AA20</f>
        <v>0</v>
      </c>
      <c r="AB24" s="220">
        <f>'3.6.A廠總計產能'!AB20</f>
        <v>0</v>
      </c>
      <c r="AC24" s="220">
        <f>'3.6.A廠總計產能'!AC20</f>
        <v>0</v>
      </c>
      <c r="AD24" s="220">
        <f>'3.6.A廠總計產能'!AD20</f>
        <v>0</v>
      </c>
      <c r="AE24" s="220">
        <f>'3.6.A廠總計產能'!AE20</f>
        <v>0</v>
      </c>
      <c r="AF24" s="220">
        <f>'3.6.A廠總計產能'!AF20</f>
        <v>0</v>
      </c>
      <c r="AG24" s="220">
        <f>'3.6.A廠總計產能'!AG20</f>
        <v>0</v>
      </c>
      <c r="AH24" s="220">
        <f>'3.6.A廠總計產能'!AH20</f>
        <v>0</v>
      </c>
      <c r="AI24" s="8"/>
    </row>
    <row r="25" spans="1:35">
      <c r="A25" s="396"/>
      <c r="B25" s="142" t="s">
        <v>46</v>
      </c>
      <c r="C25" s="220">
        <f>'3.6.A廠總計產能'!C21</f>
        <v>145740</v>
      </c>
      <c r="D25" s="220">
        <f>'3.6.A廠總計產能'!D21</f>
        <v>24290</v>
      </c>
      <c r="E25" s="220">
        <f>'3.6.A廠總計產能'!E21</f>
        <v>0</v>
      </c>
      <c r="F25" s="220">
        <f>'3.6.A廠總計產能'!F21</f>
        <v>0</v>
      </c>
      <c r="G25" s="220">
        <f>'3.6.A廠總計產能'!G21</f>
        <v>24240</v>
      </c>
      <c r="H25" s="220">
        <f>'3.6.A廠總計產能'!H21</f>
        <v>25360</v>
      </c>
      <c r="I25" s="220">
        <f>'3.6.A廠總計產能'!I21</f>
        <v>24460</v>
      </c>
      <c r="J25" s="220">
        <f>'3.6.A廠總計產能'!J21</f>
        <v>0</v>
      </c>
      <c r="K25" s="220">
        <f>'3.6.A廠總計產能'!K21</f>
        <v>24370</v>
      </c>
      <c r="L25" s="220">
        <f>'3.6.A廠總計產能'!L21</f>
        <v>24710</v>
      </c>
      <c r="M25" s="220">
        <f>'3.6.A廠總計產能'!M21</f>
        <v>0</v>
      </c>
      <c r="N25" s="220">
        <f>'3.6.A廠總計產能'!N21</f>
        <v>22600</v>
      </c>
      <c r="O25" s="220">
        <f>'3.6.A廠總計產能'!O21</f>
        <v>22680</v>
      </c>
      <c r="P25" s="220">
        <f>'3.6.A廠總計產能'!P21</f>
        <v>23040</v>
      </c>
      <c r="Q25" s="220">
        <f>'3.6.A廠總計產能'!Q21</f>
        <v>23160</v>
      </c>
      <c r="R25" s="220">
        <f>'3.6.A廠總計產能'!R21</f>
        <v>23160</v>
      </c>
      <c r="S25" s="220">
        <f>'3.6.A廠總計產能'!S21</f>
        <v>22800</v>
      </c>
      <c r="T25" s="220">
        <f>'3.6.A廠總計產能'!T21</f>
        <v>0</v>
      </c>
      <c r="U25" s="220">
        <f>'3.6.A廠總計產能'!U21</f>
        <v>22600</v>
      </c>
      <c r="V25" s="220">
        <f>'3.6.A廠總計產能'!V21</f>
        <v>22100</v>
      </c>
      <c r="W25" s="220">
        <f>'3.6.A廠總計產能'!W21</f>
        <v>22160</v>
      </c>
      <c r="X25" s="220">
        <f>'3.6.A廠總計產能'!X21</f>
        <v>23000</v>
      </c>
      <c r="Y25" s="220">
        <f>'3.6.A廠總計產能'!Y21</f>
        <v>23420</v>
      </c>
      <c r="Z25" s="220">
        <f>'3.6.A廠總計產能'!Z21</f>
        <v>0</v>
      </c>
      <c r="AA25" s="220">
        <f>'3.6.A廠總計產能'!AA21</f>
        <v>0</v>
      </c>
      <c r="AB25" s="220">
        <f>'3.6.A廠總計產能'!AB21</f>
        <v>23300</v>
      </c>
      <c r="AC25" s="220">
        <f>'3.6.A廠總計產能'!AC21</f>
        <v>23780</v>
      </c>
      <c r="AD25" s="220">
        <f>'3.6.A廠總計產能'!AD21</f>
        <v>24260</v>
      </c>
      <c r="AE25" s="220">
        <f>'3.6.A廠總計產能'!AE21</f>
        <v>24040</v>
      </c>
      <c r="AF25" s="220">
        <f>'3.6.A廠總計產能'!AF21</f>
        <v>24040</v>
      </c>
      <c r="AG25" s="220">
        <f>'3.6.A廠總計產能'!AG21</f>
        <v>0</v>
      </c>
      <c r="AH25" s="220">
        <f>'3.6.A廠總計產能'!AH21</f>
        <v>0</v>
      </c>
      <c r="AI25" s="8"/>
    </row>
    <row r="26" spans="1:35">
      <c r="A26" s="396"/>
      <c r="B26" s="143" t="s">
        <v>47</v>
      </c>
      <c r="C26" s="221">
        <f>'3.6.A廠總計產能'!C22</f>
        <v>142075</v>
      </c>
      <c r="D26" s="221">
        <f>'3.6.A廠總計產能'!D22</f>
        <v>23679.166666666668</v>
      </c>
      <c r="E26" s="221">
        <f>'3.6.A廠總計產能'!E22</f>
        <v>0</v>
      </c>
      <c r="F26" s="221">
        <f>'3.6.A廠總計產能'!F22</f>
        <v>0</v>
      </c>
      <c r="G26" s="221">
        <f>'3.6.A廠總計產能'!G22</f>
        <v>24248</v>
      </c>
      <c r="H26" s="221">
        <f>'3.6.A廠總計產能'!H22</f>
        <v>25090</v>
      </c>
      <c r="I26" s="221">
        <f>'3.6.A廠總計產能'!I22</f>
        <v>22585</v>
      </c>
      <c r="J26" s="221">
        <f>'3.6.A廠總計產能'!J22</f>
        <v>0</v>
      </c>
      <c r="K26" s="221">
        <f>'3.6.A廠總計產能'!K22</f>
        <v>23810</v>
      </c>
      <c r="L26" s="221">
        <f>'3.6.A廠總計產能'!L22</f>
        <v>24162</v>
      </c>
      <c r="M26" s="221">
        <f>'3.6.A廠總計產能'!M22</f>
        <v>0</v>
      </c>
      <c r="N26" s="221">
        <f>'3.6.A廠總計產能'!N22</f>
        <v>22180</v>
      </c>
      <c r="O26" s="221">
        <f>'3.6.A廠總計產能'!O22</f>
        <v>0</v>
      </c>
      <c r="P26" s="221">
        <f>'3.6.A廠總計產能'!P22</f>
        <v>0</v>
      </c>
      <c r="Q26" s="221">
        <f>'3.6.A廠總計產能'!Q22</f>
        <v>0</v>
      </c>
      <c r="R26" s="221">
        <f>'3.6.A廠總計產能'!R22</f>
        <v>0</v>
      </c>
      <c r="S26" s="221">
        <f>'3.6.A廠總計產能'!S22</f>
        <v>0</v>
      </c>
      <c r="T26" s="221">
        <f>'3.6.A廠總計產能'!T22</f>
        <v>0</v>
      </c>
      <c r="U26" s="221">
        <f>'3.6.A廠總計產能'!U22</f>
        <v>0</v>
      </c>
      <c r="V26" s="221">
        <f>'3.6.A廠總計產能'!V22</f>
        <v>0</v>
      </c>
      <c r="W26" s="221">
        <f>'3.6.A廠總計產能'!W22</f>
        <v>0</v>
      </c>
      <c r="X26" s="221">
        <f>'3.6.A廠總計產能'!X22</f>
        <v>0</v>
      </c>
      <c r="Y26" s="221">
        <f>'3.6.A廠總計產能'!Y22</f>
        <v>0</v>
      </c>
      <c r="Z26" s="221">
        <f>'3.6.A廠總計產能'!Z22</f>
        <v>0</v>
      </c>
      <c r="AA26" s="221">
        <f>'3.6.A廠總計產能'!AA22</f>
        <v>0</v>
      </c>
      <c r="AB26" s="221">
        <f>'3.6.A廠總計產能'!AB22</f>
        <v>0</v>
      </c>
      <c r="AC26" s="221">
        <f>'3.6.A廠總計產能'!AC22</f>
        <v>0</v>
      </c>
      <c r="AD26" s="221">
        <f>'3.6.A廠總計產能'!AD22</f>
        <v>0</v>
      </c>
      <c r="AE26" s="221">
        <f>'3.6.A廠總計產能'!AE22</f>
        <v>0</v>
      </c>
      <c r="AF26" s="221">
        <f>'3.6.A廠總計產能'!AF22</f>
        <v>0</v>
      </c>
      <c r="AG26" s="221">
        <f>'3.6.A廠總計產能'!AG22</f>
        <v>0</v>
      </c>
      <c r="AH26" s="221">
        <f>'3.6.A廠總計產能'!AH22</f>
        <v>0</v>
      </c>
      <c r="AI26" s="8"/>
    </row>
    <row r="27" spans="1:35">
      <c r="A27" s="396"/>
      <c r="B27" s="143" t="s">
        <v>48</v>
      </c>
      <c r="C27" s="221">
        <f>'3.6.A廠總計產能'!C23</f>
        <v>-3665</v>
      </c>
      <c r="D27" s="221">
        <f>'3.6.A廠總計產能'!D23</f>
        <v>-610.83333333333337</v>
      </c>
      <c r="E27" s="221">
        <f>'3.6.A廠總計產能'!E23</f>
        <v>0</v>
      </c>
      <c r="F27" s="221">
        <f>'3.6.A廠總計產能'!F23</f>
        <v>0</v>
      </c>
      <c r="G27" s="221">
        <f>'3.6.A廠總計產能'!G23</f>
        <v>8</v>
      </c>
      <c r="H27" s="221">
        <f>'3.6.A廠總計產能'!H23</f>
        <v>-270</v>
      </c>
      <c r="I27" s="221">
        <f>'3.6.A廠總計產能'!I23</f>
        <v>-1875</v>
      </c>
      <c r="J27" s="221">
        <f>'3.6.A廠總計產能'!J23</f>
        <v>0</v>
      </c>
      <c r="K27" s="221">
        <f>'3.6.A廠總計產能'!K23</f>
        <v>-560</v>
      </c>
      <c r="L27" s="221">
        <f>'3.6.A廠總計產能'!L23</f>
        <v>-548</v>
      </c>
      <c r="M27" s="221">
        <f>'3.6.A廠總計產能'!M23</f>
        <v>0</v>
      </c>
      <c r="N27" s="221">
        <f>'3.6.A廠總計產能'!N23</f>
        <v>-420</v>
      </c>
      <c r="O27" s="221">
        <f>'3.6.A廠總計產能'!O23</f>
        <v>0</v>
      </c>
      <c r="P27" s="221">
        <f>'3.6.A廠總計產能'!P23</f>
        <v>0</v>
      </c>
      <c r="Q27" s="221">
        <f>'3.6.A廠總計產能'!Q23</f>
        <v>0</v>
      </c>
      <c r="R27" s="221">
        <f>'3.6.A廠總計產能'!R23</f>
        <v>0</v>
      </c>
      <c r="S27" s="221">
        <f>'3.6.A廠總計產能'!S23</f>
        <v>0</v>
      </c>
      <c r="T27" s="221">
        <f>'3.6.A廠總計產能'!T23</f>
        <v>0</v>
      </c>
      <c r="U27" s="221">
        <f>'3.6.A廠總計產能'!U23</f>
        <v>0</v>
      </c>
      <c r="V27" s="221">
        <f>'3.6.A廠總計產能'!V23</f>
        <v>0</v>
      </c>
      <c r="W27" s="221">
        <f>'3.6.A廠總計產能'!W23</f>
        <v>0</v>
      </c>
      <c r="X27" s="221">
        <f>'3.6.A廠總計產能'!X23</f>
        <v>0</v>
      </c>
      <c r="Y27" s="221">
        <f>'3.6.A廠總計產能'!Y23</f>
        <v>0</v>
      </c>
      <c r="Z27" s="221">
        <f>'3.6.A廠總計產能'!Z23</f>
        <v>0</v>
      </c>
      <c r="AA27" s="221">
        <f>'3.6.A廠總計產能'!AA23</f>
        <v>0</v>
      </c>
      <c r="AB27" s="221">
        <f>'3.6.A廠總計產能'!AB23</f>
        <v>0</v>
      </c>
      <c r="AC27" s="221">
        <f>'3.6.A廠總計產能'!AC23</f>
        <v>0</v>
      </c>
      <c r="AD27" s="221">
        <f>'3.6.A廠總計產能'!AD23</f>
        <v>0</v>
      </c>
      <c r="AE27" s="221">
        <f>'3.6.A廠總計產能'!AE23</f>
        <v>0</v>
      </c>
      <c r="AF27" s="221">
        <f>'3.6.A廠總計產能'!AF23</f>
        <v>0</v>
      </c>
      <c r="AG27" s="221">
        <f>'3.6.A廠總計產能'!AG23</f>
        <v>0</v>
      </c>
      <c r="AH27" s="221">
        <f>'3.6.A廠總計產能'!AH23</f>
        <v>0</v>
      </c>
      <c r="AI27" s="8"/>
    </row>
    <row r="28" spans="1:35">
      <c r="A28" s="396"/>
      <c r="B28" s="143" t="s">
        <v>49</v>
      </c>
      <c r="C28" s="221">
        <f>'3.6.A廠總計產能'!C24</f>
        <v>47.5</v>
      </c>
      <c r="D28" s="221">
        <f>'3.6.A廠總計產能'!D24</f>
        <v>7.916666666666667</v>
      </c>
      <c r="E28" s="221">
        <f>'3.6.A廠總計產能'!E24</f>
        <v>0</v>
      </c>
      <c r="F28" s="221">
        <f>'3.6.A廠總計產能'!F24</f>
        <v>0</v>
      </c>
      <c r="G28" s="221">
        <f>'3.6.A廠總計產能'!G24</f>
        <v>8</v>
      </c>
      <c r="H28" s="221">
        <f>'3.6.A廠總計產能'!H24</f>
        <v>8</v>
      </c>
      <c r="I28" s="221">
        <f>'3.6.A廠總計產能'!I24</f>
        <v>8</v>
      </c>
      <c r="J28" s="221">
        <f>'3.6.A廠總計產能'!J24</f>
        <v>0</v>
      </c>
      <c r="K28" s="221">
        <f>'3.6.A廠總計產能'!K24</f>
        <v>8</v>
      </c>
      <c r="L28" s="221">
        <f>'3.6.A廠總計產能'!L24</f>
        <v>8</v>
      </c>
      <c r="M28" s="221">
        <f>'3.6.A廠總計產能'!M24</f>
        <v>0</v>
      </c>
      <c r="N28" s="221">
        <f>'3.6.A廠總計產能'!N24</f>
        <v>8</v>
      </c>
      <c r="O28" s="221">
        <f>'3.6.A廠總計產能'!O24</f>
        <v>0</v>
      </c>
      <c r="P28" s="221">
        <f>'3.6.A廠總計產能'!P24</f>
        <v>0</v>
      </c>
      <c r="Q28" s="221">
        <f>'3.6.A廠總計產能'!Q24</f>
        <v>0</v>
      </c>
      <c r="R28" s="221">
        <f>'3.6.A廠總計產能'!R24</f>
        <v>0</v>
      </c>
      <c r="S28" s="221">
        <f>'3.6.A廠總計產能'!S24</f>
        <v>0</v>
      </c>
      <c r="T28" s="221">
        <f>'3.6.A廠總計產能'!T24</f>
        <v>0</v>
      </c>
      <c r="U28" s="221">
        <f>'3.6.A廠總計產能'!U24</f>
        <v>0</v>
      </c>
      <c r="V28" s="221">
        <f>'3.6.A廠總計產能'!V24</f>
        <v>0</v>
      </c>
      <c r="W28" s="221">
        <f>'3.6.A廠總計產能'!W24</f>
        <v>0</v>
      </c>
      <c r="X28" s="221">
        <f>'3.6.A廠總計產能'!X24</f>
        <v>0</v>
      </c>
      <c r="Y28" s="221">
        <f>'3.6.A廠總計產能'!Y24</f>
        <v>0</v>
      </c>
      <c r="Z28" s="221">
        <f>'3.6.A廠總計產能'!Z24</f>
        <v>0</v>
      </c>
      <c r="AA28" s="221">
        <f>'3.6.A廠總計產能'!AA24</f>
        <v>0</v>
      </c>
      <c r="AB28" s="221">
        <f>'3.6.A廠總計產能'!AB24</f>
        <v>0</v>
      </c>
      <c r="AC28" s="221">
        <f>'3.6.A廠總計產能'!AC24</f>
        <v>0</v>
      </c>
      <c r="AD28" s="221">
        <f>'3.6.A廠總計產能'!AD24</f>
        <v>0</v>
      </c>
      <c r="AE28" s="221">
        <f>'3.6.A廠總計產能'!AE24</f>
        <v>0</v>
      </c>
      <c r="AF28" s="221">
        <f>'3.6.A廠總計產能'!AF24</f>
        <v>0</v>
      </c>
      <c r="AG28" s="221">
        <f>'3.6.A廠總計產能'!AG24</f>
        <v>0</v>
      </c>
      <c r="AH28" s="221">
        <f>'3.6.A廠總計產能'!AH24</f>
        <v>0</v>
      </c>
      <c r="AI28" s="8"/>
    </row>
    <row r="29" spans="1:35">
      <c r="A29" s="396"/>
      <c r="B29" s="143" t="s">
        <v>50</v>
      </c>
      <c r="C29" s="221">
        <f>'3.6.A廠總計產能'!C25</f>
        <v>2959</v>
      </c>
      <c r="D29" s="221">
        <f>'3.6.A廠總計產能'!D25</f>
        <v>2959</v>
      </c>
      <c r="E29" s="221">
        <f>'3.6.A廠總計產能'!E25</f>
        <v>0</v>
      </c>
      <c r="F29" s="221">
        <f>'3.6.A廠總計產能'!F25</f>
        <v>0</v>
      </c>
      <c r="G29" s="221">
        <f>'3.6.A廠總計產能'!G25</f>
        <v>2992</v>
      </c>
      <c r="H29" s="221">
        <f>'3.6.A廠總計產能'!H25</f>
        <v>2997</v>
      </c>
      <c r="I29" s="221">
        <f>'3.6.A廠總計產能'!I25</f>
        <v>2939</v>
      </c>
      <c r="J29" s="221">
        <f>'3.6.A廠總計產能'!J25</f>
        <v>0</v>
      </c>
      <c r="K29" s="221">
        <f>'3.6.A廠總計產能'!K25</f>
        <v>2936</v>
      </c>
      <c r="L29" s="221">
        <f>'3.6.A廠總計產能'!L25</f>
        <v>2977</v>
      </c>
      <c r="M29" s="221">
        <f>'3.6.A廠總計產能'!M25</f>
        <v>0</v>
      </c>
      <c r="N29" s="221">
        <f>'3.6.A廠總計產能'!N25</f>
        <v>2801</v>
      </c>
      <c r="O29" s="221">
        <f>'3.6.A廠總計產能'!O25</f>
        <v>0</v>
      </c>
      <c r="P29" s="221">
        <f>'3.6.A廠總計產能'!P25</f>
        <v>0</v>
      </c>
      <c r="Q29" s="221">
        <f>'3.6.A廠總計產能'!Q25</f>
        <v>0</v>
      </c>
      <c r="R29" s="221">
        <f>'3.6.A廠總計產能'!R25</f>
        <v>0</v>
      </c>
      <c r="S29" s="221">
        <f>'3.6.A廠總計產能'!S25</f>
        <v>0</v>
      </c>
      <c r="T29" s="221">
        <f>'3.6.A廠總計產能'!T25</f>
        <v>0</v>
      </c>
      <c r="U29" s="221">
        <f>'3.6.A廠總計產能'!U25</f>
        <v>0</v>
      </c>
      <c r="V29" s="221">
        <f>'3.6.A廠總計產能'!V25</f>
        <v>0</v>
      </c>
      <c r="W29" s="221">
        <f>'3.6.A廠總計產能'!W25</f>
        <v>0</v>
      </c>
      <c r="X29" s="221">
        <f>'3.6.A廠總計產能'!X25</f>
        <v>0</v>
      </c>
      <c r="Y29" s="221">
        <f>'3.6.A廠總計產能'!Y25</f>
        <v>0</v>
      </c>
      <c r="Z29" s="221">
        <f>'3.6.A廠總計產能'!Z25</f>
        <v>0</v>
      </c>
      <c r="AA29" s="221">
        <f>'3.6.A廠總計產能'!AA25</f>
        <v>0</v>
      </c>
      <c r="AB29" s="221">
        <f>'3.6.A廠總計產能'!AB25</f>
        <v>0</v>
      </c>
      <c r="AC29" s="221">
        <f>'3.6.A廠總計產能'!AC25</f>
        <v>0</v>
      </c>
      <c r="AD29" s="221">
        <f>'3.6.A廠總計產能'!AD25</f>
        <v>0</v>
      </c>
      <c r="AE29" s="221">
        <f>'3.6.A廠總計產能'!AE25</f>
        <v>0</v>
      </c>
      <c r="AF29" s="221">
        <f>'3.6.A廠總計產能'!AF25</f>
        <v>0</v>
      </c>
      <c r="AG29" s="221">
        <f>'3.6.A廠總計產能'!AG25</f>
        <v>0</v>
      </c>
      <c r="AH29" s="221">
        <f>'3.6.A廠總計產能'!AH25</f>
        <v>0</v>
      </c>
      <c r="AI29" s="8"/>
    </row>
    <row r="30" spans="1:35">
      <c r="A30" s="396"/>
      <c r="B30" s="201" t="s">
        <v>108</v>
      </c>
      <c r="C30" s="225">
        <f>'3.6.A廠總計產能'!C26</f>
        <v>2991.0526315789475</v>
      </c>
      <c r="D30" s="225">
        <f>'3.6.A廠總計產能'!D26</f>
        <v>2991.0526315789475</v>
      </c>
      <c r="E30" s="225">
        <f>'3.6.A廠總計產能'!E26</f>
        <v>0</v>
      </c>
      <c r="F30" s="225">
        <f>'3.6.A廠總計產能'!F26</f>
        <v>0</v>
      </c>
      <c r="G30" s="225">
        <f>'3.6.A廠總計產能'!G26</f>
        <v>3031</v>
      </c>
      <c r="H30" s="225">
        <f>'3.6.A廠總計產能'!H26</f>
        <v>3136.25</v>
      </c>
      <c r="I30" s="225">
        <f>'3.6.A廠總計產能'!I26</f>
        <v>2823.125</v>
      </c>
      <c r="J30" s="225">
        <f>'3.6.A廠總計產能'!J26</f>
        <v>0</v>
      </c>
      <c r="K30" s="225">
        <f>'3.6.A廠總計產能'!K26</f>
        <v>2976.25</v>
      </c>
      <c r="L30" s="225">
        <f>'3.6.A廠總計產能'!L26</f>
        <v>3020.25</v>
      </c>
      <c r="M30" s="225">
        <f>'3.6.A廠總計產能'!M26</f>
        <v>0</v>
      </c>
      <c r="N30" s="225">
        <f>'3.6.A廠總計產能'!N26</f>
        <v>2772.5</v>
      </c>
      <c r="O30" s="225">
        <f>'3.6.A廠總計產能'!O26</f>
        <v>0</v>
      </c>
      <c r="P30" s="225">
        <f>'3.6.A廠總計產能'!P26</f>
        <v>0</v>
      </c>
      <c r="Q30" s="225">
        <f>'3.6.A廠總計產能'!Q26</f>
        <v>0</v>
      </c>
      <c r="R30" s="225">
        <f>'3.6.A廠總計產能'!R26</f>
        <v>0</v>
      </c>
      <c r="S30" s="225">
        <f>'3.6.A廠總計產能'!S26</f>
        <v>0</v>
      </c>
      <c r="T30" s="225">
        <f>'3.6.A廠總計產能'!T26</f>
        <v>0</v>
      </c>
      <c r="U30" s="225">
        <f>'3.6.A廠總計產能'!U26</f>
        <v>0</v>
      </c>
      <c r="V30" s="225">
        <f>'3.6.A廠總計產能'!V26</f>
        <v>0</v>
      </c>
      <c r="W30" s="225">
        <f>'3.6.A廠總計產能'!W26</f>
        <v>0</v>
      </c>
      <c r="X30" s="225">
        <f>'3.6.A廠總計產能'!X26</f>
        <v>0</v>
      </c>
      <c r="Y30" s="225">
        <f>'3.6.A廠總計產能'!Y26</f>
        <v>0</v>
      </c>
      <c r="Z30" s="225">
        <f>'3.6.A廠總計產能'!Z26</f>
        <v>0</v>
      </c>
      <c r="AA30" s="225">
        <f>'3.6.A廠總計產能'!AA26</f>
        <v>0</v>
      </c>
      <c r="AB30" s="225">
        <f>'3.6.A廠總計產能'!AB26</f>
        <v>0</v>
      </c>
      <c r="AC30" s="225">
        <f>'3.6.A廠總計產能'!AC26</f>
        <v>0</v>
      </c>
      <c r="AD30" s="225">
        <f>'3.6.A廠總計產能'!AD26</f>
        <v>0</v>
      </c>
      <c r="AE30" s="225">
        <f>'3.6.A廠總計產能'!AE26</f>
        <v>0</v>
      </c>
      <c r="AF30" s="225">
        <f>'3.6.A廠總計產能'!AF26</f>
        <v>0</v>
      </c>
      <c r="AG30" s="225">
        <f>'3.6.A廠總計產能'!AG26</f>
        <v>0</v>
      </c>
      <c r="AH30" s="225">
        <f>'3.6.A廠總計產能'!AH26</f>
        <v>0</v>
      </c>
      <c r="AI30" s="8"/>
    </row>
    <row r="31" spans="1:35">
      <c r="A31" s="396"/>
      <c r="B31" s="151" t="s">
        <v>97</v>
      </c>
      <c r="C31" s="226">
        <f>SUM(E31:AH31)/COUNTIF(E26:AH26,"&gt;0")</f>
        <v>582.5</v>
      </c>
      <c r="D31" s="226">
        <f>SUM(E31:AH31)/COUNTIF(E26:AH26,"&gt;0")</f>
        <v>582.5</v>
      </c>
      <c r="E31" s="226">
        <f>'3-1.人員刷卡出勤'!C51/2+'3-1.人員刷卡出勤'!C48</f>
        <v>118.5</v>
      </c>
      <c r="F31" s="226">
        <f>'3-1.人員刷卡出勤'!D51/2+'3-1.人員刷卡出勤'!D48</f>
        <v>0</v>
      </c>
      <c r="G31" s="226">
        <f>'3-1.人員刷卡出勤'!E51/2+'3-1.人員刷卡出勤'!E48</f>
        <v>573.5</v>
      </c>
      <c r="H31" s="226">
        <f>'3-1.人員刷卡出勤'!F51/2+'3-1.人員刷卡出勤'!F48</f>
        <v>571.5</v>
      </c>
      <c r="I31" s="226">
        <f>'3-1.人員刷卡出勤'!G51/2+'3-1.人員刷卡出勤'!G48</f>
        <v>562</v>
      </c>
      <c r="J31" s="226">
        <f>'3-1.人員刷卡出勤'!H51/2+'3-1.人員刷卡出勤'!H48</f>
        <v>0</v>
      </c>
      <c r="K31" s="226">
        <f>'3-1.人員刷卡出勤'!I51/2+'3-1.人員刷卡出勤'!I48</f>
        <v>561.5</v>
      </c>
      <c r="L31" s="226">
        <f>'3-1.人員刷卡出勤'!J51/2+'3-1.人員刷卡出勤'!J48</f>
        <v>553</v>
      </c>
      <c r="M31" s="226">
        <f>'3-1.人員刷卡出勤'!K51/2+'3-1.人員刷卡出勤'!K48</f>
        <v>0</v>
      </c>
      <c r="N31" s="226">
        <f>'3-1.人員刷卡出勤'!L51/2+'3-1.人員刷卡出勤'!L48</f>
        <v>555</v>
      </c>
      <c r="O31" s="226">
        <f>'3-1.人員刷卡出勤'!M51/2+'3-1.人員刷卡出勤'!M48</f>
        <v>0</v>
      </c>
      <c r="P31" s="226">
        <f>'3-1.人員刷卡出勤'!N51/2+'3-1.人員刷卡出勤'!N48</f>
        <v>0</v>
      </c>
      <c r="Q31" s="226">
        <f>'3-1.人員刷卡出勤'!O51/2+'3-1.人員刷卡出勤'!O48</f>
        <v>0</v>
      </c>
      <c r="R31" s="226">
        <f>'3-1.人員刷卡出勤'!P51/2+'3-1.人員刷卡出勤'!P48</f>
        <v>0</v>
      </c>
      <c r="S31" s="226">
        <f>'3-1.人員刷卡出勤'!Q51/2+'3-1.人員刷卡出勤'!Q48</f>
        <v>0</v>
      </c>
      <c r="T31" s="226">
        <f>'3-1.人員刷卡出勤'!R51/2+'3-1.人員刷卡出勤'!R48</f>
        <v>0</v>
      </c>
      <c r="U31" s="226">
        <f>'3-1.人員刷卡出勤'!S51/2+'3-1.人員刷卡出勤'!S48</f>
        <v>0</v>
      </c>
      <c r="V31" s="226">
        <f>'3-1.人員刷卡出勤'!T51/2+'3-1.人員刷卡出勤'!T48</f>
        <v>0</v>
      </c>
      <c r="W31" s="226">
        <f>'3-1.人員刷卡出勤'!U51/2+'3-1.人員刷卡出勤'!U48</f>
        <v>0</v>
      </c>
      <c r="X31" s="226">
        <f>'3-1.人員刷卡出勤'!V51/2+'3-1.人員刷卡出勤'!V48</f>
        <v>0</v>
      </c>
      <c r="Y31" s="226">
        <f>'3-1.人員刷卡出勤'!W51/2+'3-1.人員刷卡出勤'!W48</f>
        <v>0</v>
      </c>
      <c r="Z31" s="226">
        <f>'3-1.人員刷卡出勤'!X51/2+'3-1.人員刷卡出勤'!X48</f>
        <v>0</v>
      </c>
      <c r="AA31" s="226">
        <f>'3-1.人員刷卡出勤'!Y51/2+'3-1.人員刷卡出勤'!Y48</f>
        <v>0</v>
      </c>
      <c r="AB31" s="226">
        <f>'3-1.人員刷卡出勤'!Z51/2+'3-1.人員刷卡出勤'!Z48</f>
        <v>0</v>
      </c>
      <c r="AC31" s="226">
        <f>'3-1.人員刷卡出勤'!AA51/2+'3-1.人員刷卡出勤'!AA48</f>
        <v>0</v>
      </c>
      <c r="AD31" s="226">
        <f>'3-1.人員刷卡出勤'!AB51/2+'3-1.人員刷卡出勤'!AB48</f>
        <v>0</v>
      </c>
      <c r="AE31" s="226">
        <f>'3-1.人員刷卡出勤'!AC51/2+'3-1.人員刷卡出勤'!AC48</f>
        <v>0</v>
      </c>
      <c r="AF31" s="226">
        <f>'3-1.人員刷卡出勤'!AD51/2+'3-1.人員刷卡出勤'!AD48</f>
        <v>0</v>
      </c>
      <c r="AG31" s="226">
        <f>'3-1.人員刷卡出勤'!AE51/2+'3-1.人員刷卡出勤'!AE48</f>
        <v>0</v>
      </c>
      <c r="AH31" s="226">
        <f>'3-1.人員刷卡出勤'!AF51/2+'3-1.人員刷卡出勤'!AF48</f>
        <v>0</v>
      </c>
      <c r="AI31" s="8"/>
    </row>
    <row r="32" spans="1:35">
      <c r="A32" s="396"/>
      <c r="B32" s="151" t="s">
        <v>98</v>
      </c>
      <c r="C32" s="226">
        <f>SUM(E32:AH32)/COUNTIF(E26:AH26,"&gt;0")</f>
        <v>219.41666666666666</v>
      </c>
      <c r="D32" s="226">
        <f>SUM(E32:AH32)/COUNTIF(E26:AH26,"&gt;0")</f>
        <v>219.41666666666666</v>
      </c>
      <c r="E32" s="226">
        <f>'3-1.人員刷卡出勤'!C9/4+'3-1.人員刷卡出勤'!C12/2+'3-1.人員刷卡出勤'!C15/2++'3-1.人員刷卡出勤'!C24/2</f>
        <v>99.25</v>
      </c>
      <c r="F32" s="226">
        <f>'3-1.人員刷卡出勤'!D9/4+'3-1.人員刷卡出勤'!D12/2+'3-1.人員刷卡出勤'!D15/2++'3-1.人員刷卡出勤'!D24/2</f>
        <v>16.5</v>
      </c>
      <c r="G32" s="226">
        <f>'3-1.人員刷卡出勤'!E9/4+'3-1.人員刷卡出勤'!E12/2+'3-1.人員刷卡出勤'!E15/2++'3-1.人員刷卡出勤'!E24/2</f>
        <v>199.75</v>
      </c>
      <c r="H32" s="226">
        <f>'3-1.人員刷卡出勤'!F9/4+'3-1.人員刷卡出勤'!F12/2+'3-1.人員刷卡出勤'!F15/2++'3-1.人員刷卡出勤'!F24/2</f>
        <v>200.25</v>
      </c>
      <c r="I32" s="226">
        <f>'3-1.人員刷卡出勤'!G9/4+'3-1.人員刷卡出勤'!G12/2+'3-1.人員刷卡出勤'!G15/2++'3-1.人員刷卡出勤'!G24/2</f>
        <v>178.5</v>
      </c>
      <c r="J32" s="226">
        <f>'3-1.人員刷卡出勤'!H9/4+'3-1.人員刷卡出勤'!H12/2+'3-1.人員刷卡出勤'!H15/2++'3-1.人員刷卡出勤'!H24/2</f>
        <v>15.5</v>
      </c>
      <c r="K32" s="226">
        <f>'3-1.人員刷卡出勤'!I9/4+'3-1.人員刷卡出勤'!I12/2+'3-1.人員刷卡出勤'!I15/2++'3-1.人員刷卡出勤'!I24/2</f>
        <v>196</v>
      </c>
      <c r="L32" s="226">
        <f>'3-1.人員刷卡出勤'!J9/4+'3-1.人員刷卡出勤'!J12/2+'3-1.人員刷卡出勤'!J15/2++'3-1.人員刷卡出勤'!J24/2</f>
        <v>195.75</v>
      </c>
      <c r="M32" s="226">
        <f>'3-1.人員刷卡出勤'!K9/4+'3-1.人員刷卡出勤'!K12/2+'3-1.人員刷卡出勤'!K15/2++'3-1.人員刷卡出勤'!K24/2</f>
        <v>19</v>
      </c>
      <c r="N32" s="226">
        <f>'3-1.人員刷卡出勤'!L9/4+'3-1.人員刷卡出勤'!L12/2+'3-1.人員刷卡出勤'!L15/2++'3-1.人員刷卡出勤'!L24/2</f>
        <v>196</v>
      </c>
      <c r="O32" s="226">
        <f>'3-1.人員刷卡出勤'!M9/4+'3-1.人員刷卡出勤'!M12/2+'3-1.人員刷卡出勤'!M15/2++'3-1.人員刷卡出勤'!M24/2</f>
        <v>0</v>
      </c>
      <c r="P32" s="226">
        <f>'3-1.人員刷卡出勤'!N9/4+'3-1.人員刷卡出勤'!N12/2+'3-1.人員刷卡出勤'!N15/2++'3-1.人員刷卡出勤'!N24/2</f>
        <v>0</v>
      </c>
      <c r="Q32" s="226">
        <f>'3-1.人員刷卡出勤'!O9/4+'3-1.人員刷卡出勤'!O12/2+'3-1.人員刷卡出勤'!O15/2++'3-1.人員刷卡出勤'!O24/2</f>
        <v>0</v>
      </c>
      <c r="R32" s="226">
        <f>'3-1.人員刷卡出勤'!P9/4+'3-1.人員刷卡出勤'!P12/2+'3-1.人員刷卡出勤'!P15/2++'3-1.人員刷卡出勤'!P24/2</f>
        <v>0</v>
      </c>
      <c r="S32" s="226">
        <f>'3-1.人員刷卡出勤'!Q9/4+'3-1.人員刷卡出勤'!Q12/2+'3-1.人員刷卡出勤'!Q15/2++'3-1.人員刷卡出勤'!Q24/2</f>
        <v>0</v>
      </c>
      <c r="T32" s="226">
        <f>'3-1.人員刷卡出勤'!R9/4+'3-1.人員刷卡出勤'!R12/2+'3-1.人員刷卡出勤'!R15/2++'3-1.人員刷卡出勤'!R24/2</f>
        <v>0</v>
      </c>
      <c r="U32" s="226">
        <f>'3-1.人員刷卡出勤'!S9/4+'3-1.人員刷卡出勤'!S12/2+'3-1.人員刷卡出勤'!S15/2++'3-1.人員刷卡出勤'!S24/2</f>
        <v>0</v>
      </c>
      <c r="V32" s="226">
        <f>'3-1.人員刷卡出勤'!T9/4+'3-1.人員刷卡出勤'!T12/2+'3-1.人員刷卡出勤'!T15/2++'3-1.人員刷卡出勤'!T24/2</f>
        <v>0</v>
      </c>
      <c r="W32" s="226">
        <f>'3-1.人員刷卡出勤'!U9/4+'3-1.人員刷卡出勤'!U12/2+'3-1.人員刷卡出勤'!U15/2++'3-1.人員刷卡出勤'!U24/2</f>
        <v>0</v>
      </c>
      <c r="X32" s="226">
        <f>'3-1.人員刷卡出勤'!V9/4+'3-1.人員刷卡出勤'!V12/2+'3-1.人員刷卡出勤'!V15/2++'3-1.人員刷卡出勤'!V24/2</f>
        <v>0</v>
      </c>
      <c r="Y32" s="226">
        <f>'3-1.人員刷卡出勤'!W9/4+'3-1.人員刷卡出勤'!W12/2+'3-1.人員刷卡出勤'!W15/2++'3-1.人員刷卡出勤'!W24/2</f>
        <v>0</v>
      </c>
      <c r="Z32" s="226">
        <f>'3-1.人員刷卡出勤'!X9/4+'3-1.人員刷卡出勤'!X12/2+'3-1.人員刷卡出勤'!X15/2++'3-1.人員刷卡出勤'!X24/2</f>
        <v>0</v>
      </c>
      <c r="AA32" s="226">
        <f>'3-1.人員刷卡出勤'!Y9/4+'3-1.人員刷卡出勤'!Y12/2+'3-1.人員刷卡出勤'!Y15/2++'3-1.人員刷卡出勤'!Y24/2</f>
        <v>0</v>
      </c>
      <c r="AB32" s="226">
        <f>'3-1.人員刷卡出勤'!Z9/4+'3-1.人員刷卡出勤'!Z12/2+'3-1.人員刷卡出勤'!Z15/2++'3-1.人員刷卡出勤'!Z24/2</f>
        <v>0</v>
      </c>
      <c r="AC32" s="226">
        <f>'3-1.人員刷卡出勤'!AA9/4+'3-1.人員刷卡出勤'!AA12/2+'3-1.人員刷卡出勤'!AA15/2++'3-1.人員刷卡出勤'!AA24/2</f>
        <v>0</v>
      </c>
      <c r="AD32" s="226">
        <f>'3-1.人員刷卡出勤'!AB9/4+'3-1.人員刷卡出勤'!AB12/2+'3-1.人員刷卡出勤'!AB15/2++'3-1.人員刷卡出勤'!AB24/2</f>
        <v>0</v>
      </c>
      <c r="AE32" s="226">
        <f>'3-1.人員刷卡出勤'!AC9/4+'3-1.人員刷卡出勤'!AC12/2+'3-1.人員刷卡出勤'!AC15/2++'3-1.人員刷卡出勤'!AC24/2</f>
        <v>0</v>
      </c>
      <c r="AF32" s="226">
        <f>'3-1.人員刷卡出勤'!AD9/4+'3-1.人員刷卡出勤'!AD12/2+'3-1.人員刷卡出勤'!AD15/2++'3-1.人員刷卡出勤'!AD24/2</f>
        <v>0</v>
      </c>
      <c r="AG32" s="226">
        <f>'3-1.人員刷卡出勤'!AE9/4+'3-1.人員刷卡出勤'!AE12/2+'3-1.人員刷卡出勤'!AE15/2++'3-1.人員刷卡出勤'!AE24/2</f>
        <v>0</v>
      </c>
      <c r="AH32" s="226">
        <f>'3-1.人員刷卡出勤'!AF9/4+'3-1.人員刷卡出勤'!AF12/2+'3-1.人員刷卡出勤'!AF15/2++'3-1.人員刷卡出勤'!AF24/2</f>
        <v>0</v>
      </c>
      <c r="AI32" s="8"/>
    </row>
    <row r="33" spans="1:35">
      <c r="A33" s="397"/>
      <c r="B33" s="222" t="s">
        <v>52</v>
      </c>
      <c r="C33" s="224">
        <f>C30/(C29+C31+C32)</f>
        <v>0.79529883182174943</v>
      </c>
      <c r="D33" s="224">
        <f t="shared" ref="D33" si="4">D30/(D29+D31+D32)</f>
        <v>0.79529883182174943</v>
      </c>
      <c r="E33" s="224">
        <f>IF(E30&gt;0,E30/(E29+E31+E32),0)</f>
        <v>0</v>
      </c>
      <c r="F33" s="224">
        <f t="shared" ref="F33:AH33" si="5">IF(F30&gt;0,F30/(F29+F31+F32),0)</f>
        <v>0</v>
      </c>
      <c r="G33" s="224">
        <f t="shared" si="5"/>
        <v>0.8049930283513711</v>
      </c>
      <c r="H33" s="224">
        <f t="shared" si="5"/>
        <v>0.83217247097844116</v>
      </c>
      <c r="I33" s="224">
        <f t="shared" si="5"/>
        <v>0.76725777958961816</v>
      </c>
      <c r="J33" s="224">
        <f t="shared" si="5"/>
        <v>0</v>
      </c>
      <c r="K33" s="224">
        <f t="shared" si="5"/>
        <v>0.80580749966156762</v>
      </c>
      <c r="L33" s="224">
        <f t="shared" si="5"/>
        <v>0.81064215258672745</v>
      </c>
      <c r="M33" s="224">
        <f t="shared" si="5"/>
        <v>0</v>
      </c>
      <c r="N33" s="224">
        <f t="shared" si="5"/>
        <v>0.7805461711711712</v>
      </c>
      <c r="O33" s="224">
        <f t="shared" si="5"/>
        <v>0</v>
      </c>
      <c r="P33" s="224">
        <f t="shared" si="5"/>
        <v>0</v>
      </c>
      <c r="Q33" s="224">
        <f t="shared" si="5"/>
        <v>0</v>
      </c>
      <c r="R33" s="224">
        <f t="shared" si="5"/>
        <v>0</v>
      </c>
      <c r="S33" s="224">
        <f t="shared" si="5"/>
        <v>0</v>
      </c>
      <c r="T33" s="224">
        <f t="shared" si="5"/>
        <v>0</v>
      </c>
      <c r="U33" s="224">
        <f t="shared" si="5"/>
        <v>0</v>
      </c>
      <c r="V33" s="224">
        <f t="shared" si="5"/>
        <v>0</v>
      </c>
      <c r="W33" s="224">
        <f t="shared" si="5"/>
        <v>0</v>
      </c>
      <c r="X33" s="224">
        <f t="shared" si="5"/>
        <v>0</v>
      </c>
      <c r="Y33" s="224">
        <f t="shared" si="5"/>
        <v>0</v>
      </c>
      <c r="Z33" s="224">
        <f t="shared" si="5"/>
        <v>0</v>
      </c>
      <c r="AA33" s="224">
        <f t="shared" si="5"/>
        <v>0</v>
      </c>
      <c r="AB33" s="224">
        <f t="shared" si="5"/>
        <v>0</v>
      </c>
      <c r="AC33" s="224">
        <f t="shared" si="5"/>
        <v>0</v>
      </c>
      <c r="AD33" s="224">
        <f t="shared" si="5"/>
        <v>0</v>
      </c>
      <c r="AE33" s="224">
        <f t="shared" si="5"/>
        <v>0</v>
      </c>
      <c r="AF33" s="224">
        <f t="shared" si="5"/>
        <v>0</v>
      </c>
      <c r="AG33" s="224">
        <f t="shared" si="5"/>
        <v>0</v>
      </c>
      <c r="AH33" s="224">
        <f t="shared" si="5"/>
        <v>0</v>
      </c>
      <c r="AI33" s="8"/>
    </row>
    <row r="34" spans="1:35">
      <c r="A34" s="395" t="s">
        <v>87</v>
      </c>
      <c r="B34" s="142" t="s">
        <v>95</v>
      </c>
      <c r="C34" s="220">
        <f>'3.6.A廠總計產能'!C28</f>
        <v>0</v>
      </c>
      <c r="D34" s="220">
        <f>'3.6.A廠總計產能'!D28</f>
        <v>0</v>
      </c>
      <c r="E34" s="220">
        <f>'3.6.A廠總計產能'!E28</f>
        <v>0</v>
      </c>
      <c r="F34" s="220">
        <f>'3.6.A廠總計產能'!F28</f>
        <v>0</v>
      </c>
      <c r="G34" s="220">
        <f>'3.6.A廠總計產能'!G28</f>
        <v>0</v>
      </c>
      <c r="H34" s="220">
        <f>'3.6.A廠總計產能'!H28</f>
        <v>0</v>
      </c>
      <c r="I34" s="220">
        <f>'3.6.A廠總計產能'!I28</f>
        <v>0</v>
      </c>
      <c r="J34" s="220">
        <f>'3.6.A廠總計產能'!J28</f>
        <v>0</v>
      </c>
      <c r="K34" s="220">
        <f>'3.6.A廠總計產能'!K28</f>
        <v>0</v>
      </c>
      <c r="L34" s="220">
        <f>'3.6.A廠總計產能'!L28</f>
        <v>0</v>
      </c>
      <c r="M34" s="220">
        <f>'3.6.A廠總計產能'!M28</f>
        <v>0</v>
      </c>
      <c r="N34" s="220">
        <f>'3.6.A廠總計產能'!N28</f>
        <v>0</v>
      </c>
      <c r="O34" s="220">
        <f>'3.6.A廠總計產能'!O28</f>
        <v>0</v>
      </c>
      <c r="P34" s="220">
        <f>'3.6.A廠總計產能'!P28</f>
        <v>0</v>
      </c>
      <c r="Q34" s="220">
        <f>'3.6.A廠總計產能'!Q28</f>
        <v>0</v>
      </c>
      <c r="R34" s="220">
        <f>'3.6.A廠總計產能'!R28</f>
        <v>0</v>
      </c>
      <c r="S34" s="220">
        <f>'3.6.A廠總計產能'!S28</f>
        <v>0</v>
      </c>
      <c r="T34" s="220">
        <f>'3.6.A廠總計產能'!T28</f>
        <v>0</v>
      </c>
      <c r="U34" s="220">
        <f>'3.6.A廠總計產能'!U28</f>
        <v>0</v>
      </c>
      <c r="V34" s="220">
        <f>'3.6.A廠總計產能'!V28</f>
        <v>0</v>
      </c>
      <c r="W34" s="220">
        <f>'3.6.A廠總計產能'!W28</f>
        <v>0</v>
      </c>
      <c r="X34" s="220">
        <f>'3.6.A廠總計產能'!X28</f>
        <v>0</v>
      </c>
      <c r="Y34" s="220">
        <f>'3.6.A廠總計產能'!Y28</f>
        <v>0</v>
      </c>
      <c r="Z34" s="220">
        <f>'3.6.A廠總計產能'!Z28</f>
        <v>0</v>
      </c>
      <c r="AA34" s="220">
        <f>'3.6.A廠總計產能'!AA28</f>
        <v>0</v>
      </c>
      <c r="AB34" s="220">
        <f>'3.6.A廠總計產能'!AB28</f>
        <v>0</v>
      </c>
      <c r="AC34" s="220">
        <f>'3.6.A廠總計產能'!AC28</f>
        <v>0</v>
      </c>
      <c r="AD34" s="220">
        <f>'3.6.A廠總計產能'!AD28</f>
        <v>0</v>
      </c>
      <c r="AE34" s="220">
        <f>'3.6.A廠總計產能'!AE28</f>
        <v>0</v>
      </c>
      <c r="AF34" s="220">
        <f>'3.6.A廠總計產能'!AF28</f>
        <v>0</v>
      </c>
      <c r="AG34" s="220">
        <f>'3.6.A廠總計產能'!AG28</f>
        <v>0</v>
      </c>
      <c r="AH34" s="220">
        <f>'3.6.A廠總計產能'!AH28</f>
        <v>0</v>
      </c>
      <c r="AI34" s="8"/>
    </row>
    <row r="35" spans="1:35">
      <c r="A35" s="396"/>
      <c r="B35" s="142" t="s">
        <v>46</v>
      </c>
      <c r="C35" s="220">
        <f>'3.6.A廠總計產能'!C29</f>
        <v>0</v>
      </c>
      <c r="D35" s="220">
        <f>'3.6.A廠總計產能'!D29</f>
        <v>0</v>
      </c>
      <c r="E35" s="220">
        <f>'3.6.A廠總計產能'!E29</f>
        <v>0</v>
      </c>
      <c r="F35" s="220">
        <f>'3.6.A廠總計產能'!F29</f>
        <v>0</v>
      </c>
      <c r="G35" s="220">
        <f>'3.6.A廠總計產能'!G29</f>
        <v>0</v>
      </c>
      <c r="H35" s="220">
        <f>'3.6.A廠總計產能'!H29</f>
        <v>0</v>
      </c>
      <c r="I35" s="220">
        <f>'3.6.A廠總計產能'!I29</f>
        <v>0</v>
      </c>
      <c r="J35" s="220">
        <f>'3.6.A廠總計產能'!J29</f>
        <v>0</v>
      </c>
      <c r="K35" s="220">
        <f>'3.6.A廠總計產能'!K29</f>
        <v>0</v>
      </c>
      <c r="L35" s="220">
        <f>'3.6.A廠總計產能'!L29</f>
        <v>0</v>
      </c>
      <c r="M35" s="220">
        <f>'3.6.A廠總計產能'!M29</f>
        <v>0</v>
      </c>
      <c r="N35" s="220">
        <f>'3.6.A廠總計產能'!N29</f>
        <v>0</v>
      </c>
      <c r="O35" s="220">
        <f>'3.6.A廠總計產能'!O29</f>
        <v>0</v>
      </c>
      <c r="P35" s="220">
        <f>'3.6.A廠總計產能'!P29</f>
        <v>0</v>
      </c>
      <c r="Q35" s="220">
        <f>'3.6.A廠總計產能'!Q29</f>
        <v>0</v>
      </c>
      <c r="R35" s="220">
        <f>'3.6.A廠總計產能'!R29</f>
        <v>0</v>
      </c>
      <c r="S35" s="220">
        <f>'3.6.A廠總計產能'!S29</f>
        <v>0</v>
      </c>
      <c r="T35" s="220">
        <f>'3.6.A廠總計產能'!T29</f>
        <v>0</v>
      </c>
      <c r="U35" s="220">
        <f>'3.6.A廠總計產能'!U29</f>
        <v>0</v>
      </c>
      <c r="V35" s="220">
        <f>'3.6.A廠總計產能'!V29</f>
        <v>0</v>
      </c>
      <c r="W35" s="220">
        <f>'3.6.A廠總計產能'!W29</f>
        <v>0</v>
      </c>
      <c r="X35" s="220">
        <f>'3.6.A廠總計產能'!X29</f>
        <v>0</v>
      </c>
      <c r="Y35" s="220">
        <f>'3.6.A廠總計產能'!Y29</f>
        <v>0</v>
      </c>
      <c r="Z35" s="220">
        <f>'3.6.A廠總計產能'!Z29</f>
        <v>0</v>
      </c>
      <c r="AA35" s="220">
        <f>'3.6.A廠總計產能'!AA29</f>
        <v>0</v>
      </c>
      <c r="AB35" s="220">
        <f>'3.6.A廠總計產能'!AB29</f>
        <v>0</v>
      </c>
      <c r="AC35" s="220">
        <f>'3.6.A廠總計產能'!AC29</f>
        <v>0</v>
      </c>
      <c r="AD35" s="220">
        <f>'3.6.A廠總計產能'!AD29</f>
        <v>0</v>
      </c>
      <c r="AE35" s="220">
        <f>'3.6.A廠總計產能'!AE29</f>
        <v>0</v>
      </c>
      <c r="AF35" s="220">
        <f>'3.6.A廠總計產能'!AF29</f>
        <v>0</v>
      </c>
      <c r="AG35" s="220">
        <f>'3.6.A廠總計產能'!AG29</f>
        <v>0</v>
      </c>
      <c r="AH35" s="220">
        <f>'3.6.A廠總計產能'!AH29</f>
        <v>0</v>
      </c>
      <c r="AI35" s="8"/>
    </row>
    <row r="36" spans="1:35">
      <c r="A36" s="396"/>
      <c r="B36" s="143" t="s">
        <v>47</v>
      </c>
      <c r="C36" s="221">
        <f>'3.6.A廠總計產能'!C30</f>
        <v>0</v>
      </c>
      <c r="D36" s="221">
        <f>'3.6.A廠總計產能'!D30</f>
        <v>0</v>
      </c>
      <c r="E36" s="221">
        <f>'3.6.A廠總計產能'!E30</f>
        <v>0</v>
      </c>
      <c r="F36" s="221">
        <f>'3.6.A廠總計產能'!F30</f>
        <v>0</v>
      </c>
      <c r="G36" s="221">
        <f>'3.6.A廠總計產能'!G30</f>
        <v>0</v>
      </c>
      <c r="H36" s="221">
        <f>'3.6.A廠總計產能'!H30</f>
        <v>0</v>
      </c>
      <c r="I36" s="221">
        <f>'3.6.A廠總計產能'!I30</f>
        <v>0</v>
      </c>
      <c r="J36" s="221">
        <f>'3.6.A廠總計產能'!J30</f>
        <v>0</v>
      </c>
      <c r="K36" s="221">
        <f>'3.6.A廠總計產能'!K30</f>
        <v>0</v>
      </c>
      <c r="L36" s="221">
        <f>'3.6.A廠總計產能'!L30</f>
        <v>0</v>
      </c>
      <c r="M36" s="221">
        <f>'3.6.A廠總計產能'!M30</f>
        <v>0</v>
      </c>
      <c r="N36" s="221">
        <f>'3.6.A廠總計產能'!N30</f>
        <v>0</v>
      </c>
      <c r="O36" s="221">
        <f>'3.6.A廠總計產能'!O30</f>
        <v>0</v>
      </c>
      <c r="P36" s="221">
        <f>'3.6.A廠總計產能'!P30</f>
        <v>0</v>
      </c>
      <c r="Q36" s="221">
        <f>'3.6.A廠總計產能'!Q30</f>
        <v>0</v>
      </c>
      <c r="R36" s="221">
        <f>'3.6.A廠總計產能'!R30</f>
        <v>0</v>
      </c>
      <c r="S36" s="221">
        <f>'3.6.A廠總計產能'!S30</f>
        <v>0</v>
      </c>
      <c r="T36" s="221">
        <f>'3.6.A廠總計產能'!T30</f>
        <v>0</v>
      </c>
      <c r="U36" s="221">
        <f>'3.6.A廠總計產能'!U30</f>
        <v>0</v>
      </c>
      <c r="V36" s="221">
        <f>'3.6.A廠總計產能'!V30</f>
        <v>0</v>
      </c>
      <c r="W36" s="221">
        <f>'3.6.A廠總計產能'!W30</f>
        <v>0</v>
      </c>
      <c r="X36" s="221">
        <f>'3.6.A廠總計產能'!X30</f>
        <v>0</v>
      </c>
      <c r="Y36" s="221">
        <f>'3.6.A廠總計產能'!Y30</f>
        <v>0</v>
      </c>
      <c r="Z36" s="221">
        <f>'3.6.A廠總計產能'!Z30</f>
        <v>0</v>
      </c>
      <c r="AA36" s="221">
        <f>'3.6.A廠總計產能'!AA30</f>
        <v>0</v>
      </c>
      <c r="AB36" s="221">
        <f>'3.6.A廠總計產能'!AB30</f>
        <v>0</v>
      </c>
      <c r="AC36" s="221">
        <f>'3.6.A廠總計產能'!AC30</f>
        <v>0</v>
      </c>
      <c r="AD36" s="221">
        <f>'3.6.A廠總計產能'!AD30</f>
        <v>0</v>
      </c>
      <c r="AE36" s="221">
        <f>'3.6.A廠總計產能'!AE30</f>
        <v>0</v>
      </c>
      <c r="AF36" s="221">
        <f>'3.6.A廠總計產能'!AF30</f>
        <v>0</v>
      </c>
      <c r="AG36" s="221">
        <f>'3.6.A廠總計產能'!AG30</f>
        <v>0</v>
      </c>
      <c r="AH36" s="221">
        <f>'3.6.A廠總計產能'!AH30</f>
        <v>0</v>
      </c>
      <c r="AI36" s="8"/>
    </row>
    <row r="37" spans="1:35">
      <c r="A37" s="396"/>
      <c r="B37" s="143" t="s">
        <v>48</v>
      </c>
      <c r="C37" s="221">
        <f>'3.6.A廠總計產能'!C31</f>
        <v>0</v>
      </c>
      <c r="D37" s="221">
        <f>'3.6.A廠總計產能'!D31</f>
        <v>0</v>
      </c>
      <c r="E37" s="221">
        <f>'3.6.A廠總計產能'!E31</f>
        <v>0</v>
      </c>
      <c r="F37" s="221">
        <f>'3.6.A廠總計產能'!F31</f>
        <v>0</v>
      </c>
      <c r="G37" s="221">
        <f>'3.6.A廠總計產能'!G31</f>
        <v>0</v>
      </c>
      <c r="H37" s="221">
        <f>'3.6.A廠總計產能'!H31</f>
        <v>0</v>
      </c>
      <c r="I37" s="221">
        <f>'3.6.A廠總計產能'!I31</f>
        <v>0</v>
      </c>
      <c r="J37" s="221">
        <f>'3.6.A廠總計產能'!J31</f>
        <v>0</v>
      </c>
      <c r="K37" s="221">
        <f>'3.6.A廠總計產能'!K31</f>
        <v>0</v>
      </c>
      <c r="L37" s="221">
        <f>'3.6.A廠總計產能'!L31</f>
        <v>0</v>
      </c>
      <c r="M37" s="221">
        <f>'3.6.A廠總計產能'!M31</f>
        <v>0</v>
      </c>
      <c r="N37" s="221">
        <f>'3.6.A廠總計產能'!N31</f>
        <v>0</v>
      </c>
      <c r="O37" s="221">
        <f>'3.6.A廠總計產能'!O31</f>
        <v>0</v>
      </c>
      <c r="P37" s="221">
        <f>'3.6.A廠總計產能'!P31</f>
        <v>0</v>
      </c>
      <c r="Q37" s="221">
        <f>'3.6.A廠總計產能'!Q31</f>
        <v>0</v>
      </c>
      <c r="R37" s="221">
        <f>'3.6.A廠總計產能'!R31</f>
        <v>0</v>
      </c>
      <c r="S37" s="221">
        <f>'3.6.A廠總計產能'!S31</f>
        <v>0</v>
      </c>
      <c r="T37" s="221">
        <f>'3.6.A廠總計產能'!T31</f>
        <v>0</v>
      </c>
      <c r="U37" s="221">
        <f>'3.6.A廠總計產能'!U31</f>
        <v>0</v>
      </c>
      <c r="V37" s="221">
        <f>'3.6.A廠總計產能'!V31</f>
        <v>0</v>
      </c>
      <c r="W37" s="221">
        <f>'3.6.A廠總計產能'!W31</f>
        <v>0</v>
      </c>
      <c r="X37" s="221">
        <f>'3.6.A廠總計產能'!X31</f>
        <v>0</v>
      </c>
      <c r="Y37" s="221">
        <f>'3.6.A廠總計產能'!Y31</f>
        <v>0</v>
      </c>
      <c r="Z37" s="221">
        <f>'3.6.A廠總計產能'!Z31</f>
        <v>0</v>
      </c>
      <c r="AA37" s="221">
        <f>'3.6.A廠總計產能'!AA31</f>
        <v>0</v>
      </c>
      <c r="AB37" s="221">
        <f>'3.6.A廠總計產能'!AB31</f>
        <v>0</v>
      </c>
      <c r="AC37" s="221">
        <f>'3.6.A廠總計產能'!AC31</f>
        <v>0</v>
      </c>
      <c r="AD37" s="221">
        <f>'3.6.A廠總計產能'!AD31</f>
        <v>0</v>
      </c>
      <c r="AE37" s="221">
        <f>'3.6.A廠總計產能'!AE31</f>
        <v>0</v>
      </c>
      <c r="AF37" s="221">
        <f>'3.6.A廠總計產能'!AF31</f>
        <v>0</v>
      </c>
      <c r="AG37" s="221">
        <f>'3.6.A廠總計產能'!AG31</f>
        <v>0</v>
      </c>
      <c r="AH37" s="221">
        <f>'3.6.A廠總計產能'!AH31</f>
        <v>0</v>
      </c>
      <c r="AI37" s="8"/>
    </row>
    <row r="38" spans="1:35">
      <c r="A38" s="396"/>
      <c r="B38" s="143" t="s">
        <v>49</v>
      </c>
      <c r="C38" s="221">
        <f>'3.6.A廠總計產能'!C32</f>
        <v>0</v>
      </c>
      <c r="D38" s="221">
        <f>'3.6.A廠總計產能'!D32</f>
        <v>0</v>
      </c>
      <c r="E38" s="221">
        <f>'3.6.A廠總計產能'!E32</f>
        <v>0</v>
      </c>
      <c r="F38" s="221">
        <f>'3.6.A廠總計產能'!F32</f>
        <v>0</v>
      </c>
      <c r="G38" s="221">
        <f>'3.6.A廠總計產能'!G32</f>
        <v>0</v>
      </c>
      <c r="H38" s="221">
        <f>'3.6.A廠總計產能'!H32</f>
        <v>0</v>
      </c>
      <c r="I38" s="221">
        <f>'3.6.A廠總計產能'!I32</f>
        <v>0</v>
      </c>
      <c r="J38" s="221">
        <f>'3.6.A廠總計產能'!J32</f>
        <v>0</v>
      </c>
      <c r="K38" s="221">
        <f>'3.6.A廠總計產能'!K32</f>
        <v>0</v>
      </c>
      <c r="L38" s="221">
        <f>'3.6.A廠總計產能'!L32</f>
        <v>0</v>
      </c>
      <c r="M38" s="221">
        <f>'3.6.A廠總計產能'!M32</f>
        <v>0</v>
      </c>
      <c r="N38" s="221">
        <f>'3.6.A廠總計產能'!N32</f>
        <v>0</v>
      </c>
      <c r="O38" s="221">
        <f>'3.6.A廠總計產能'!O32</f>
        <v>0</v>
      </c>
      <c r="P38" s="221">
        <f>'3.6.A廠總計產能'!P32</f>
        <v>0</v>
      </c>
      <c r="Q38" s="221">
        <f>'3.6.A廠總計產能'!Q32</f>
        <v>0</v>
      </c>
      <c r="R38" s="221">
        <f>'3.6.A廠總計產能'!R32</f>
        <v>0</v>
      </c>
      <c r="S38" s="221">
        <f>'3.6.A廠總計產能'!S32</f>
        <v>0</v>
      </c>
      <c r="T38" s="221">
        <f>'3.6.A廠總計產能'!T32</f>
        <v>0</v>
      </c>
      <c r="U38" s="221">
        <f>'3.6.A廠總計產能'!U32</f>
        <v>0</v>
      </c>
      <c r="V38" s="221">
        <f>'3.6.A廠總計產能'!V32</f>
        <v>0</v>
      </c>
      <c r="W38" s="221">
        <f>'3.6.A廠總計產能'!W32</f>
        <v>0</v>
      </c>
      <c r="X38" s="221">
        <f>'3.6.A廠總計產能'!X32</f>
        <v>0</v>
      </c>
      <c r="Y38" s="221">
        <f>'3.6.A廠總計產能'!Y32</f>
        <v>0</v>
      </c>
      <c r="Z38" s="221">
        <f>'3.6.A廠總計產能'!Z32</f>
        <v>0</v>
      </c>
      <c r="AA38" s="221">
        <f>'3.6.A廠總計產能'!AA32</f>
        <v>0</v>
      </c>
      <c r="AB38" s="221">
        <f>'3.6.A廠總計產能'!AB32</f>
        <v>0</v>
      </c>
      <c r="AC38" s="221">
        <f>'3.6.A廠總計產能'!AC32</f>
        <v>0</v>
      </c>
      <c r="AD38" s="221">
        <f>'3.6.A廠總計產能'!AD32</f>
        <v>0</v>
      </c>
      <c r="AE38" s="221">
        <f>'3.6.A廠總計產能'!AE32</f>
        <v>0</v>
      </c>
      <c r="AF38" s="221">
        <f>'3.6.A廠總計產能'!AF32</f>
        <v>0</v>
      </c>
      <c r="AG38" s="221">
        <f>'3.6.A廠總計產能'!AG32</f>
        <v>0</v>
      </c>
      <c r="AH38" s="221">
        <f>'3.6.A廠總計產能'!AH32</f>
        <v>0</v>
      </c>
      <c r="AI38" s="8"/>
    </row>
    <row r="39" spans="1:35">
      <c r="A39" s="396"/>
      <c r="B39" s="143" t="s">
        <v>50</v>
      </c>
      <c r="C39" s="221">
        <f>'3.6.A廠總計產能'!C33</f>
        <v>0</v>
      </c>
      <c r="D39" s="221">
        <f>'3.6.A廠總計產能'!D33</f>
        <v>0</v>
      </c>
      <c r="E39" s="221">
        <f>'3.6.A廠總計產能'!E33</f>
        <v>0</v>
      </c>
      <c r="F39" s="221">
        <f>'3.6.A廠總計產能'!F33</f>
        <v>0</v>
      </c>
      <c r="G39" s="221">
        <f>'3.6.A廠總計產能'!G33</f>
        <v>0</v>
      </c>
      <c r="H39" s="221">
        <f>'3.6.A廠總計產能'!H33</f>
        <v>0</v>
      </c>
      <c r="I39" s="221">
        <f>'3.6.A廠總計產能'!I33</f>
        <v>0</v>
      </c>
      <c r="J39" s="221">
        <f>'3.6.A廠總計產能'!J33</f>
        <v>0</v>
      </c>
      <c r="K39" s="221">
        <f>'3.6.A廠總計產能'!K33</f>
        <v>0</v>
      </c>
      <c r="L39" s="221">
        <f>'3.6.A廠總計產能'!L33</f>
        <v>0</v>
      </c>
      <c r="M39" s="221">
        <f>'3.6.A廠總計產能'!M33</f>
        <v>0</v>
      </c>
      <c r="N39" s="221">
        <f>'3.6.A廠總計產能'!N33</f>
        <v>0</v>
      </c>
      <c r="O39" s="221">
        <f>'3.6.A廠總計產能'!O33</f>
        <v>0</v>
      </c>
      <c r="P39" s="221">
        <f>'3.6.A廠總計產能'!P33</f>
        <v>0</v>
      </c>
      <c r="Q39" s="221">
        <f>'3.6.A廠總計產能'!Q33</f>
        <v>0</v>
      </c>
      <c r="R39" s="221">
        <f>'3.6.A廠總計產能'!R33</f>
        <v>0</v>
      </c>
      <c r="S39" s="221">
        <f>'3.6.A廠總計產能'!S33</f>
        <v>0</v>
      </c>
      <c r="T39" s="221">
        <f>'3.6.A廠總計產能'!T33</f>
        <v>0</v>
      </c>
      <c r="U39" s="221">
        <f>'3.6.A廠總計產能'!U33</f>
        <v>0</v>
      </c>
      <c r="V39" s="221">
        <f>'3.6.A廠總計產能'!V33</f>
        <v>0</v>
      </c>
      <c r="W39" s="221">
        <f>'3.6.A廠總計產能'!W33</f>
        <v>0</v>
      </c>
      <c r="X39" s="221">
        <f>'3.6.A廠總計產能'!X33</f>
        <v>0</v>
      </c>
      <c r="Y39" s="221">
        <f>'3.6.A廠總計產能'!Y33</f>
        <v>0</v>
      </c>
      <c r="Z39" s="221">
        <f>'3.6.A廠總計產能'!Z33</f>
        <v>0</v>
      </c>
      <c r="AA39" s="221">
        <f>'3.6.A廠總計產能'!AA33</f>
        <v>0</v>
      </c>
      <c r="AB39" s="221">
        <f>'3.6.A廠總計產能'!AB33</f>
        <v>0</v>
      </c>
      <c r="AC39" s="221">
        <f>'3.6.A廠總計產能'!AC33</f>
        <v>0</v>
      </c>
      <c r="AD39" s="221">
        <f>'3.6.A廠總計產能'!AD33</f>
        <v>0</v>
      </c>
      <c r="AE39" s="221">
        <f>'3.6.A廠總計產能'!AE33</f>
        <v>0</v>
      </c>
      <c r="AF39" s="221">
        <f>'3.6.A廠總計產能'!AF33</f>
        <v>0</v>
      </c>
      <c r="AG39" s="221">
        <f>'3.6.A廠總計產能'!AG33</f>
        <v>0</v>
      </c>
      <c r="AH39" s="221">
        <f>'3.6.A廠總計產能'!AH33</f>
        <v>0</v>
      </c>
      <c r="AI39" s="8"/>
    </row>
    <row r="40" spans="1:35">
      <c r="A40" s="396"/>
      <c r="B40" s="143" t="s">
        <v>51</v>
      </c>
      <c r="C40" s="221">
        <f>'3.6.A廠總計產能'!C34</f>
        <v>0</v>
      </c>
      <c r="D40" s="221">
        <f>'3.6.A廠總計產能'!D34</f>
        <v>0</v>
      </c>
      <c r="E40" s="221">
        <f>'3.6.A廠總計產能'!E34</f>
        <v>0</v>
      </c>
      <c r="F40" s="221">
        <f>'3.6.A廠總計產能'!F34</f>
        <v>0</v>
      </c>
      <c r="G40" s="221">
        <f>'3.6.A廠總計產能'!G34</f>
        <v>0</v>
      </c>
      <c r="H40" s="221">
        <f>'3.6.A廠總計產能'!H34</f>
        <v>0</v>
      </c>
      <c r="I40" s="221">
        <f>'3.6.A廠總計產能'!I34</f>
        <v>0</v>
      </c>
      <c r="J40" s="221">
        <f>'3.6.A廠總計產能'!J34</f>
        <v>0</v>
      </c>
      <c r="K40" s="221">
        <f>'3.6.A廠總計產能'!K34</f>
        <v>0</v>
      </c>
      <c r="L40" s="221">
        <f>'3.6.A廠總計產能'!L34</f>
        <v>0</v>
      </c>
      <c r="M40" s="221">
        <f>'3.6.A廠總計產能'!M34</f>
        <v>0</v>
      </c>
      <c r="N40" s="221">
        <f>'3.6.A廠總計產能'!N34</f>
        <v>0</v>
      </c>
      <c r="O40" s="221">
        <f>'3.6.A廠總計產能'!O34</f>
        <v>0</v>
      </c>
      <c r="P40" s="221">
        <f>'3.6.A廠總計產能'!P34</f>
        <v>0</v>
      </c>
      <c r="Q40" s="221">
        <f>'3.6.A廠總計產能'!Q34</f>
        <v>0</v>
      </c>
      <c r="R40" s="221">
        <f>'3.6.A廠總計產能'!R34</f>
        <v>0</v>
      </c>
      <c r="S40" s="221">
        <f>'3.6.A廠總計產能'!S34</f>
        <v>0</v>
      </c>
      <c r="T40" s="221">
        <f>'3.6.A廠總計產能'!T34</f>
        <v>0</v>
      </c>
      <c r="U40" s="221">
        <f>'3.6.A廠總計產能'!U34</f>
        <v>0</v>
      </c>
      <c r="V40" s="221">
        <f>'3.6.A廠總計產能'!V34</f>
        <v>0</v>
      </c>
      <c r="W40" s="221">
        <f>'3.6.A廠總計產能'!W34</f>
        <v>0</v>
      </c>
      <c r="X40" s="221">
        <f>'3.6.A廠總計產能'!X34</f>
        <v>0</v>
      </c>
      <c r="Y40" s="221">
        <f>'3.6.A廠總計產能'!Y34</f>
        <v>0</v>
      </c>
      <c r="Z40" s="221">
        <f>'3.6.A廠總計產能'!Z34</f>
        <v>0</v>
      </c>
      <c r="AA40" s="221">
        <f>'3.6.A廠總計產能'!AA34</f>
        <v>0</v>
      </c>
      <c r="AB40" s="221">
        <f>'3.6.A廠總計產能'!AB34</f>
        <v>0</v>
      </c>
      <c r="AC40" s="221">
        <f>'3.6.A廠總計產能'!AC34</f>
        <v>0</v>
      </c>
      <c r="AD40" s="221">
        <f>'3.6.A廠總計產能'!AD34</f>
        <v>0</v>
      </c>
      <c r="AE40" s="221">
        <f>'3.6.A廠總計產能'!AE34</f>
        <v>0</v>
      </c>
      <c r="AF40" s="221">
        <f>'3.6.A廠總計產能'!AF34</f>
        <v>0</v>
      </c>
      <c r="AG40" s="221">
        <f>'3.6.A廠總計產能'!AG34</f>
        <v>0</v>
      </c>
      <c r="AH40" s="221">
        <f>'3.6.A廠總計產能'!AH34</f>
        <v>0</v>
      </c>
      <c r="AI40" s="8"/>
    </row>
    <row r="41" spans="1:35">
      <c r="A41" s="397"/>
      <c r="B41" s="222" t="s">
        <v>52</v>
      </c>
      <c r="C41" s="228">
        <f>'3.6.A廠總計產能'!C35</f>
        <v>0</v>
      </c>
      <c r="D41" s="228">
        <f>'3.6.A廠總計產能'!D35</f>
        <v>0</v>
      </c>
      <c r="E41" s="228">
        <f>'3.6.A廠總計產能'!E35</f>
        <v>0</v>
      </c>
      <c r="F41" s="228">
        <f>'3.6.A廠總計產能'!F35</f>
        <v>0</v>
      </c>
      <c r="G41" s="228">
        <f>'3.6.A廠總計產能'!G35</f>
        <v>0</v>
      </c>
      <c r="H41" s="228">
        <f>'3.6.A廠總計產能'!H35</f>
        <v>0</v>
      </c>
      <c r="I41" s="228">
        <f>'3.6.A廠總計產能'!I35</f>
        <v>0</v>
      </c>
      <c r="J41" s="228">
        <f>'3.6.A廠總計產能'!J35</f>
        <v>0</v>
      </c>
      <c r="K41" s="228">
        <f>'3.6.A廠總計產能'!K35</f>
        <v>0</v>
      </c>
      <c r="L41" s="228">
        <f>'3.6.A廠總計產能'!L35</f>
        <v>0</v>
      </c>
      <c r="M41" s="228">
        <f>'3.6.A廠總計產能'!M35</f>
        <v>0</v>
      </c>
      <c r="N41" s="228">
        <f>'3.6.A廠總計產能'!N35</f>
        <v>0</v>
      </c>
      <c r="O41" s="228">
        <f>'3.6.A廠總計產能'!O35</f>
        <v>0</v>
      </c>
      <c r="P41" s="228">
        <f>'3.6.A廠總計產能'!P35</f>
        <v>0</v>
      </c>
      <c r="Q41" s="228">
        <f>'3.6.A廠總計產能'!Q35</f>
        <v>0</v>
      </c>
      <c r="R41" s="228">
        <f>'3.6.A廠總計產能'!R35</f>
        <v>0</v>
      </c>
      <c r="S41" s="228">
        <f>'3.6.A廠總計產能'!S35</f>
        <v>0</v>
      </c>
      <c r="T41" s="228">
        <f>'3.6.A廠總計產能'!T35</f>
        <v>0</v>
      </c>
      <c r="U41" s="228">
        <f>'3.6.A廠總計產能'!U35</f>
        <v>0</v>
      </c>
      <c r="V41" s="228">
        <f>'3.6.A廠總計產能'!V35</f>
        <v>0</v>
      </c>
      <c r="W41" s="228">
        <f>'3.6.A廠總計產能'!W35</f>
        <v>0</v>
      </c>
      <c r="X41" s="228">
        <f>'3.6.A廠總計產能'!X35</f>
        <v>0</v>
      </c>
      <c r="Y41" s="228">
        <f>'3.6.A廠總計產能'!Y35</f>
        <v>0</v>
      </c>
      <c r="Z41" s="228">
        <f>'3.6.A廠總計產能'!Z35</f>
        <v>0</v>
      </c>
      <c r="AA41" s="228">
        <f>'3.6.A廠總計產能'!AA35</f>
        <v>0</v>
      </c>
      <c r="AB41" s="228">
        <f>'3.6.A廠總計產能'!AB35</f>
        <v>0</v>
      </c>
      <c r="AC41" s="228">
        <f>'3.6.A廠總計產能'!AC35</f>
        <v>0</v>
      </c>
      <c r="AD41" s="228">
        <f>'3.6.A廠總計產能'!AD35</f>
        <v>0</v>
      </c>
      <c r="AE41" s="228">
        <f>'3.6.A廠總計產能'!AE35</f>
        <v>0</v>
      </c>
      <c r="AF41" s="228">
        <f>'3.6.A廠總計產能'!AF35</f>
        <v>0</v>
      </c>
      <c r="AG41" s="228">
        <f>'3.6.A廠總計產能'!AG35</f>
        <v>0</v>
      </c>
      <c r="AH41" s="228">
        <f>'3.6.A廠總計產能'!AH35</f>
        <v>0</v>
      </c>
      <c r="AI41" s="8"/>
    </row>
  </sheetData>
  <mergeCells count="6">
    <mergeCell ref="A14:A23"/>
    <mergeCell ref="A24:A33"/>
    <mergeCell ref="A34:A41"/>
    <mergeCell ref="A1:B1"/>
    <mergeCell ref="A2:AE2"/>
    <mergeCell ref="A4:A13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37"/>
  <sheetViews>
    <sheetView workbookViewId="0">
      <selection sqref="A1:B1"/>
    </sheetView>
  </sheetViews>
  <sheetFormatPr defaultRowHeight="15"/>
  <cols>
    <col min="3" max="3" width="10.140625" customWidth="1"/>
  </cols>
  <sheetData>
    <row r="1" spans="1:34" ht="27.75">
      <c r="A1" s="369" t="s">
        <v>4</v>
      </c>
      <c r="B1" s="370"/>
      <c r="C1" s="78"/>
      <c r="D1" s="79"/>
      <c r="E1" s="79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</row>
    <row r="2" spans="1:34" ht="21">
      <c r="A2" s="81" t="s">
        <v>252</v>
      </c>
      <c r="B2" s="81"/>
      <c r="C2" s="82"/>
      <c r="D2" s="81"/>
      <c r="E2" s="81"/>
      <c r="F2" s="81"/>
      <c r="G2" s="82"/>
      <c r="H2" s="82"/>
      <c r="I2" s="82"/>
      <c r="J2" s="81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</row>
    <row r="3" spans="1:34" ht="16.5">
      <c r="A3" s="79"/>
      <c r="B3" s="83"/>
      <c r="C3" s="78"/>
      <c r="D3" s="84" t="s">
        <v>66</v>
      </c>
      <c r="E3" s="79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</row>
    <row r="4" spans="1:34">
      <c r="A4" s="85" t="s">
        <v>67</v>
      </c>
      <c r="B4" s="85" t="s">
        <v>68</v>
      </c>
      <c r="C4" s="85" t="s">
        <v>2</v>
      </c>
      <c r="D4" s="85" t="s">
        <v>69</v>
      </c>
      <c r="E4" s="86">
        <v>1</v>
      </c>
      <c r="F4" s="86">
        <v>2</v>
      </c>
      <c r="G4" s="86">
        <v>3</v>
      </c>
      <c r="H4" s="86">
        <v>4</v>
      </c>
      <c r="I4" s="86">
        <v>5</v>
      </c>
      <c r="J4" s="85">
        <v>6</v>
      </c>
      <c r="K4" s="85">
        <v>7</v>
      </c>
      <c r="L4" s="85">
        <v>8</v>
      </c>
      <c r="M4" s="85">
        <v>9</v>
      </c>
      <c r="N4" s="85">
        <v>10</v>
      </c>
      <c r="O4" s="85">
        <v>11</v>
      </c>
      <c r="P4" s="85">
        <v>12</v>
      </c>
      <c r="Q4" s="85">
        <v>13</v>
      </c>
      <c r="R4" s="85">
        <v>14</v>
      </c>
      <c r="S4" s="85">
        <v>15</v>
      </c>
      <c r="T4" s="85">
        <v>16</v>
      </c>
      <c r="U4" s="85">
        <v>17</v>
      </c>
      <c r="V4" s="85">
        <v>18</v>
      </c>
      <c r="W4" s="85">
        <v>19</v>
      </c>
      <c r="X4" s="85">
        <v>20</v>
      </c>
      <c r="Y4" s="85">
        <v>21</v>
      </c>
      <c r="Z4" s="85">
        <v>22</v>
      </c>
      <c r="AA4" s="85">
        <v>23</v>
      </c>
      <c r="AB4" s="85">
        <v>24</v>
      </c>
      <c r="AC4" s="85">
        <v>25</v>
      </c>
      <c r="AD4" s="85">
        <v>26</v>
      </c>
      <c r="AE4" s="85">
        <v>27</v>
      </c>
      <c r="AF4" s="85">
        <v>28</v>
      </c>
      <c r="AG4" s="85">
        <v>29</v>
      </c>
      <c r="AH4" s="85">
        <v>30</v>
      </c>
    </row>
    <row r="5" spans="1:34">
      <c r="A5" s="400" t="s">
        <v>70</v>
      </c>
      <c r="B5" s="408">
        <v>20</v>
      </c>
      <c r="C5" s="87" t="s">
        <v>3</v>
      </c>
      <c r="D5" s="89">
        <f t="shared" ref="D5:D11" si="0">SUM(E5:AH5)/COUNTIF(E5:AH5,"&gt;0")</f>
        <v>25545</v>
      </c>
      <c r="E5" s="102">
        <f>'3.7.A廠人員分攤POH產能'!E16</f>
        <v>0</v>
      </c>
      <c r="F5" s="102">
        <f>'3.7.A廠人員分攤POH產能'!F16</f>
        <v>0</v>
      </c>
      <c r="G5" s="102">
        <f>'3.7.A廠人員分攤POH產能'!G16</f>
        <v>26908</v>
      </c>
      <c r="H5" s="102">
        <f>'3.7.A廠人員分攤POH產能'!H16</f>
        <v>25457</v>
      </c>
      <c r="I5" s="102">
        <f>'3.7.A廠人員分攤POH產能'!I16</f>
        <v>25758</v>
      </c>
      <c r="J5" s="102">
        <f>'3.7.A廠人員分攤POH產能'!J16</f>
        <v>0</v>
      </c>
      <c r="K5" s="102">
        <f>'3.7.A廠人員分攤POH產能'!K16</f>
        <v>26588</v>
      </c>
      <c r="L5" s="102">
        <f>'3.7.A廠人員分攤POH產能'!L16</f>
        <v>25624</v>
      </c>
      <c r="M5" s="102">
        <f>'3.7.A廠人員分攤POH產能'!M16</f>
        <v>0</v>
      </c>
      <c r="N5" s="102">
        <f>'3.7.A廠人員分攤POH產能'!N16</f>
        <v>22935</v>
      </c>
      <c r="O5" s="102">
        <f>'3.7.A廠人員分攤POH產能'!O16</f>
        <v>0</v>
      </c>
      <c r="P5" s="102">
        <f>'3.7.A廠人員分攤POH產能'!P16</f>
        <v>0</v>
      </c>
      <c r="Q5" s="102">
        <f>'3.7.A廠人員分攤POH產能'!Q16</f>
        <v>0</v>
      </c>
      <c r="R5" s="102">
        <f>'3.7.A廠人員分攤POH產能'!R16</f>
        <v>0</v>
      </c>
      <c r="S5" s="102">
        <f>'3.7.A廠人員分攤POH產能'!S16</f>
        <v>0</v>
      </c>
      <c r="T5" s="102">
        <f>'3.7.A廠人員分攤POH產能'!T16</f>
        <v>0</v>
      </c>
      <c r="U5" s="102">
        <f>'3.7.A廠人員分攤POH產能'!U16</f>
        <v>0</v>
      </c>
      <c r="V5" s="102">
        <f>'3.7.A廠人員分攤POH產能'!V16</f>
        <v>0</v>
      </c>
      <c r="W5" s="102">
        <f>'3.7.A廠人員分攤POH產能'!W16</f>
        <v>0</v>
      </c>
      <c r="X5" s="102">
        <f>'3.7.A廠人員分攤POH產能'!X16</f>
        <v>0</v>
      </c>
      <c r="Y5" s="102">
        <f>'3.7.A廠人員分攤POH產能'!Y16</f>
        <v>0</v>
      </c>
      <c r="Z5" s="102">
        <f>'3.7.A廠人員分攤POH產能'!Z16</f>
        <v>0</v>
      </c>
      <c r="AA5" s="102">
        <f>'3.7.A廠人員分攤POH產能'!AA16</f>
        <v>0</v>
      </c>
      <c r="AB5" s="102">
        <f>'3.7.A廠人員分攤POH產能'!AB16</f>
        <v>0</v>
      </c>
      <c r="AC5" s="102">
        <f>'3.7.A廠人員分攤POH產能'!AC16</f>
        <v>0</v>
      </c>
      <c r="AD5" s="102">
        <f>'3.7.A廠人員分攤POH產能'!AD16</f>
        <v>0</v>
      </c>
      <c r="AE5" s="102">
        <f>'3.7.A廠人員分攤POH產能'!AE16</f>
        <v>0</v>
      </c>
      <c r="AF5" s="102">
        <f>'3.7.A廠人員分攤POH產能'!AF16</f>
        <v>0</v>
      </c>
      <c r="AG5" s="102">
        <f>'3.7.A廠人員分攤POH產能'!AG16</f>
        <v>0</v>
      </c>
      <c r="AH5" s="102">
        <f>'3.7.A廠人員分攤POH產能'!AH16</f>
        <v>0</v>
      </c>
    </row>
    <row r="6" spans="1:34">
      <c r="A6" s="401"/>
      <c r="B6" s="409"/>
      <c r="C6" s="90" t="s">
        <v>71</v>
      </c>
      <c r="D6" s="134">
        <f t="shared" si="0"/>
        <v>1277.25</v>
      </c>
      <c r="E6" s="103">
        <f>E5/$B5</f>
        <v>0</v>
      </c>
      <c r="F6" s="103">
        <f>F5/$B5</f>
        <v>0</v>
      </c>
      <c r="G6" s="103">
        <f t="shared" ref="G6:J6" si="1">G5/$B5</f>
        <v>1345.4</v>
      </c>
      <c r="H6" s="103">
        <f t="shared" si="1"/>
        <v>1272.8499999999999</v>
      </c>
      <c r="I6" s="103">
        <f t="shared" si="1"/>
        <v>1287.9000000000001</v>
      </c>
      <c r="J6" s="103">
        <f t="shared" si="1"/>
        <v>0</v>
      </c>
      <c r="K6" s="103">
        <f t="shared" ref="K6" si="2">K5/$B5</f>
        <v>1329.4</v>
      </c>
      <c r="L6" s="103">
        <f t="shared" ref="L6" si="3">L5/$B5</f>
        <v>1281.2</v>
      </c>
      <c r="M6" s="103">
        <f t="shared" ref="M6" si="4">M5/$B5</f>
        <v>0</v>
      </c>
      <c r="N6" s="103">
        <f t="shared" ref="N6" si="5">N5/$B5</f>
        <v>1146.75</v>
      </c>
      <c r="O6" s="103">
        <f t="shared" ref="O6" si="6">O5/$B5</f>
        <v>0</v>
      </c>
      <c r="P6" s="103">
        <f t="shared" ref="P6" si="7">P5/$B5</f>
        <v>0</v>
      </c>
      <c r="Q6" s="103">
        <f t="shared" ref="Q6" si="8">Q5/$B5</f>
        <v>0</v>
      </c>
      <c r="R6" s="103">
        <f t="shared" ref="R6" si="9">R5/$B5</f>
        <v>0</v>
      </c>
      <c r="S6" s="103">
        <f t="shared" ref="S6" si="10">S5/$B5</f>
        <v>0</v>
      </c>
      <c r="T6" s="103">
        <f t="shared" ref="T6" si="11">T5/$B5</f>
        <v>0</v>
      </c>
      <c r="U6" s="103">
        <f t="shared" ref="U6" si="12">U5/$B5</f>
        <v>0</v>
      </c>
      <c r="V6" s="103">
        <f t="shared" ref="V6" si="13">V5/$B5</f>
        <v>0</v>
      </c>
      <c r="W6" s="103">
        <f t="shared" ref="W6" si="14">W5/$B5</f>
        <v>0</v>
      </c>
      <c r="X6" s="103">
        <f t="shared" ref="X6" si="15">X5/$B5</f>
        <v>0</v>
      </c>
      <c r="Y6" s="103">
        <f t="shared" ref="Y6" si="16">Y5/$B5</f>
        <v>0</v>
      </c>
      <c r="Z6" s="103">
        <f t="shared" ref="Z6" si="17">Z5/$B5</f>
        <v>0</v>
      </c>
      <c r="AA6" s="103">
        <f t="shared" ref="AA6" si="18">AA5/$B5</f>
        <v>0</v>
      </c>
      <c r="AB6" s="103">
        <f t="shared" ref="AB6" si="19">AB5/$B5</f>
        <v>0</v>
      </c>
      <c r="AC6" s="103">
        <f t="shared" ref="AC6" si="20">AC5/$B5</f>
        <v>0</v>
      </c>
      <c r="AD6" s="103">
        <f t="shared" ref="AD6" si="21">AD5/$B5</f>
        <v>0</v>
      </c>
      <c r="AE6" s="103">
        <f t="shared" ref="AE6" si="22">AE5/$B5</f>
        <v>0</v>
      </c>
      <c r="AF6" s="103">
        <f t="shared" ref="AF6" si="23">AF5/$B5</f>
        <v>0</v>
      </c>
      <c r="AG6" s="103">
        <f t="shared" ref="AG6" si="24">AG5/$B5</f>
        <v>0</v>
      </c>
      <c r="AH6" s="103">
        <f t="shared" ref="AH6" si="25">AH5/$B5</f>
        <v>0</v>
      </c>
    </row>
    <row r="7" spans="1:34">
      <c r="A7" s="401"/>
      <c r="B7" s="409"/>
      <c r="C7" s="93" t="s">
        <v>72</v>
      </c>
      <c r="D7" s="133">
        <f t="shared" si="0"/>
        <v>3193.125</v>
      </c>
      <c r="E7" s="104">
        <f>'3.7.A廠人員分攤POH產能'!E20</f>
        <v>0</v>
      </c>
      <c r="F7" s="104">
        <f>'3.7.A廠人員分攤POH產能'!F20</f>
        <v>0</v>
      </c>
      <c r="G7" s="104">
        <f>'3.7.A廠人員分攤POH產能'!G20</f>
        <v>3363.5</v>
      </c>
      <c r="H7" s="104">
        <f>'3.7.A廠人員分攤POH產能'!H20</f>
        <v>3182.125</v>
      </c>
      <c r="I7" s="104">
        <f>'3.7.A廠人員分攤POH產能'!I20</f>
        <v>3219.75</v>
      </c>
      <c r="J7" s="104">
        <f>'3.7.A廠人員分攤POH產能'!J20</f>
        <v>0</v>
      </c>
      <c r="K7" s="104">
        <f>'3.7.A廠人員分攤POH產能'!K20</f>
        <v>3323.5</v>
      </c>
      <c r="L7" s="104">
        <f>'3.7.A廠人員分攤POH產能'!L20</f>
        <v>3203</v>
      </c>
      <c r="M7" s="104">
        <f>'3.7.A廠人員分攤POH產能'!M20</f>
        <v>0</v>
      </c>
      <c r="N7" s="104">
        <f>'3.7.A廠人員分攤POH產能'!N20</f>
        <v>2866.875</v>
      </c>
      <c r="O7" s="104">
        <f>'3.7.A廠人員分攤POH產能'!O20</f>
        <v>0</v>
      </c>
      <c r="P7" s="104">
        <f>'3.7.A廠人員分攤POH產能'!P20</f>
        <v>0</v>
      </c>
      <c r="Q7" s="104">
        <f>'3.7.A廠人員分攤POH產能'!Q20</f>
        <v>0</v>
      </c>
      <c r="R7" s="104">
        <f>'3.7.A廠人員分攤POH產能'!R20</f>
        <v>0</v>
      </c>
      <c r="S7" s="104">
        <f>'3.7.A廠人員分攤POH產能'!S20</f>
        <v>0</v>
      </c>
      <c r="T7" s="104">
        <f>'3.7.A廠人員分攤POH產能'!T20</f>
        <v>0</v>
      </c>
      <c r="U7" s="104">
        <f>'3.7.A廠人員分攤POH產能'!U20</f>
        <v>0</v>
      </c>
      <c r="V7" s="104">
        <f>'3.7.A廠人員分攤POH產能'!V20</f>
        <v>0</v>
      </c>
      <c r="W7" s="104">
        <f>'3.7.A廠人員分攤POH產能'!W20</f>
        <v>0</v>
      </c>
      <c r="X7" s="104">
        <f>'3.7.A廠人員分攤POH產能'!X20</f>
        <v>0</v>
      </c>
      <c r="Y7" s="104">
        <f>'3.7.A廠人員分攤POH產能'!Y20</f>
        <v>0</v>
      </c>
      <c r="Z7" s="104">
        <f>'3.7.A廠人員分攤POH產能'!Z20</f>
        <v>0</v>
      </c>
      <c r="AA7" s="104">
        <f>'3.7.A廠人員分攤POH產能'!AA20</f>
        <v>0</v>
      </c>
      <c r="AB7" s="104">
        <f>'3.7.A廠人員分攤POH產能'!AB20</f>
        <v>0</v>
      </c>
      <c r="AC7" s="104">
        <f>'3.7.A廠人員分攤POH產能'!AC20</f>
        <v>0</v>
      </c>
      <c r="AD7" s="104">
        <f>'3.7.A廠人員分攤POH產能'!AD20</f>
        <v>0</v>
      </c>
      <c r="AE7" s="104">
        <f>'3.7.A廠人員分攤POH產能'!AE20</f>
        <v>0</v>
      </c>
      <c r="AF7" s="104">
        <f>'3.7.A廠人員分攤POH產能'!AF20</f>
        <v>0</v>
      </c>
      <c r="AG7" s="104">
        <f>'3.7.A廠人員分攤POH產能'!AG20</f>
        <v>0</v>
      </c>
      <c r="AH7" s="104">
        <f>'3.7.A廠人員分攤POH產能'!AH20</f>
        <v>0</v>
      </c>
    </row>
    <row r="8" spans="1:34">
      <c r="A8" s="402"/>
      <c r="B8" s="410"/>
      <c r="C8" s="97" t="s">
        <v>73</v>
      </c>
      <c r="D8" s="132">
        <f t="shared" si="0"/>
        <v>0.74051437976325474</v>
      </c>
      <c r="E8" s="131">
        <f>'3.7.A廠人員分攤POH產能'!E23</f>
        <v>0</v>
      </c>
      <c r="F8" s="131">
        <f>'3.7.A廠人員分攤POH產能'!F23</f>
        <v>0</v>
      </c>
      <c r="G8" s="131">
        <f>'3.7.A廠人員分攤POH產能'!G23</f>
        <v>0.76770328102710417</v>
      </c>
      <c r="H8" s="131">
        <f>'3.7.A廠人員分攤POH產能'!H23</f>
        <v>0.72589107499287142</v>
      </c>
      <c r="I8" s="131">
        <f>'3.7.A廠人員分攤POH產能'!I23</f>
        <v>0.74834398605461938</v>
      </c>
      <c r="J8" s="131">
        <f>'3.7.A廠人員分攤POH產能'!J23</f>
        <v>0</v>
      </c>
      <c r="K8" s="131">
        <f>'3.7.A廠人員分攤POH產能'!K23</f>
        <v>0.77120315581854049</v>
      </c>
      <c r="L8" s="131">
        <f>'3.7.A廠人員分攤POH產能'!L23</f>
        <v>0.74079213645562303</v>
      </c>
      <c r="M8" s="131">
        <f>'3.7.A廠人員分攤POH產能'!M23</f>
        <v>0</v>
      </c>
      <c r="N8" s="131">
        <f>'3.7.A廠人員分攤POH產能'!N23</f>
        <v>0.68915264423076927</v>
      </c>
      <c r="O8" s="131">
        <f>'3.7.A廠人員分攤POH產能'!O23</f>
        <v>0</v>
      </c>
      <c r="P8" s="131">
        <f>'3.7.A廠人員分攤POH產能'!P23</f>
        <v>0</v>
      </c>
      <c r="Q8" s="131">
        <f>'3.7.A廠人員分攤POH產能'!Q23</f>
        <v>0</v>
      </c>
      <c r="R8" s="131">
        <f>'3.7.A廠人員分攤POH產能'!R23</f>
        <v>0</v>
      </c>
      <c r="S8" s="131">
        <f>'3.7.A廠人員分攤POH產能'!S23</f>
        <v>0</v>
      </c>
      <c r="T8" s="131">
        <f>'3.7.A廠人員分攤POH產能'!T23</f>
        <v>0</v>
      </c>
      <c r="U8" s="131">
        <f>'3.7.A廠人員分攤POH產能'!U23</f>
        <v>0</v>
      </c>
      <c r="V8" s="131">
        <f>'3.7.A廠人員分攤POH產能'!V23</f>
        <v>0</v>
      </c>
      <c r="W8" s="131">
        <f>'3.7.A廠人員分攤POH產能'!W23</f>
        <v>0</v>
      </c>
      <c r="X8" s="131">
        <f>'3.7.A廠人員分攤POH產能'!X23</f>
        <v>0</v>
      </c>
      <c r="Y8" s="131">
        <f>'3.7.A廠人員分攤POH產能'!Y23</f>
        <v>0</v>
      </c>
      <c r="Z8" s="131">
        <f>'3.7.A廠人員分攤POH產能'!Z23</f>
        <v>0</v>
      </c>
      <c r="AA8" s="131">
        <f>'3.7.A廠人員分攤POH產能'!AA23</f>
        <v>0</v>
      </c>
      <c r="AB8" s="131">
        <f>'3.7.A廠人員分攤POH產能'!AB23</f>
        <v>0</v>
      </c>
      <c r="AC8" s="131">
        <f>'3.7.A廠人員分攤POH產能'!AC23</f>
        <v>0</v>
      </c>
      <c r="AD8" s="131">
        <f>'3.7.A廠人員分攤POH產能'!AD23</f>
        <v>0</v>
      </c>
      <c r="AE8" s="131">
        <f>'3.7.A廠人員分攤POH產能'!AE23</f>
        <v>0</v>
      </c>
      <c r="AF8" s="131">
        <f>'3.7.A廠人員分攤POH產能'!AF23</f>
        <v>0</v>
      </c>
      <c r="AG8" s="131">
        <f>'3.7.A廠人員分攤POH產能'!AG23</f>
        <v>0</v>
      </c>
      <c r="AH8" s="131">
        <f>'3.7.A廠人員分攤POH產能'!AH23</f>
        <v>0</v>
      </c>
    </row>
    <row r="9" spans="1:34">
      <c r="A9" s="400" t="s">
        <v>74</v>
      </c>
      <c r="B9" s="400">
        <v>17</v>
      </c>
      <c r="C9" s="87" t="s">
        <v>3</v>
      </c>
      <c r="D9" s="89">
        <f t="shared" si="0"/>
        <v>23679.166666666668</v>
      </c>
      <c r="E9" s="102">
        <f>'3.7.A廠人員分攤POH產能'!E26</f>
        <v>0</v>
      </c>
      <c r="F9" s="102">
        <f>'3.7.A廠人員分攤POH產能'!F26</f>
        <v>0</v>
      </c>
      <c r="G9" s="102">
        <f>'3.7.A廠人員分攤POH產能'!G26</f>
        <v>24248</v>
      </c>
      <c r="H9" s="102">
        <f>'3.7.A廠人員分攤POH產能'!H26</f>
        <v>25090</v>
      </c>
      <c r="I9" s="102">
        <f>'3.7.A廠人員分攤POH產能'!I26</f>
        <v>22585</v>
      </c>
      <c r="J9" s="102">
        <f>'3.7.A廠人員分攤POH產能'!J26</f>
        <v>0</v>
      </c>
      <c r="K9" s="102">
        <f>'3.7.A廠人員分攤POH產能'!K26</f>
        <v>23810</v>
      </c>
      <c r="L9" s="102">
        <f>'3.7.A廠人員分攤POH產能'!L26</f>
        <v>24162</v>
      </c>
      <c r="M9" s="102">
        <f>'3.7.A廠人員分攤POH產能'!M26</f>
        <v>0</v>
      </c>
      <c r="N9" s="102">
        <f>'3.7.A廠人員分攤POH產能'!N26</f>
        <v>22180</v>
      </c>
      <c r="O9" s="102">
        <f>'3.7.A廠人員分攤POH產能'!O26</f>
        <v>0</v>
      </c>
      <c r="P9" s="102">
        <f>'3.7.A廠人員分攤POH產能'!P26</f>
        <v>0</v>
      </c>
      <c r="Q9" s="102">
        <f>'3.7.A廠人員分攤POH產能'!Q26</f>
        <v>0</v>
      </c>
      <c r="R9" s="102">
        <f>'3.7.A廠人員分攤POH產能'!R26</f>
        <v>0</v>
      </c>
      <c r="S9" s="102">
        <f>'3.7.A廠人員分攤POH產能'!S26</f>
        <v>0</v>
      </c>
      <c r="T9" s="102">
        <f>'3.7.A廠人員分攤POH產能'!T26</f>
        <v>0</v>
      </c>
      <c r="U9" s="102">
        <f>'3.7.A廠人員分攤POH產能'!U26</f>
        <v>0</v>
      </c>
      <c r="V9" s="102">
        <f>'3.7.A廠人員分攤POH產能'!V26</f>
        <v>0</v>
      </c>
      <c r="W9" s="102">
        <f>'3.7.A廠人員分攤POH產能'!W26</f>
        <v>0</v>
      </c>
      <c r="X9" s="102">
        <f>'3.7.A廠人員分攤POH產能'!X26</f>
        <v>0</v>
      </c>
      <c r="Y9" s="102">
        <f>'3.7.A廠人員分攤POH產能'!Y26</f>
        <v>0</v>
      </c>
      <c r="Z9" s="102">
        <f>'3.7.A廠人員分攤POH產能'!Z26</f>
        <v>0</v>
      </c>
      <c r="AA9" s="102">
        <f>'3.7.A廠人員分攤POH產能'!AA26</f>
        <v>0</v>
      </c>
      <c r="AB9" s="102">
        <f>'3.7.A廠人員分攤POH產能'!AB26</f>
        <v>0</v>
      </c>
      <c r="AC9" s="102">
        <f>'3.7.A廠人員分攤POH產能'!AC26</f>
        <v>0</v>
      </c>
      <c r="AD9" s="102">
        <f>'3.7.A廠人員分攤POH產能'!AD26</f>
        <v>0</v>
      </c>
      <c r="AE9" s="102">
        <f>'3.7.A廠人員分攤POH產能'!AE26</f>
        <v>0</v>
      </c>
      <c r="AF9" s="102">
        <f>'3.7.A廠人員分攤POH產能'!AF26</f>
        <v>0</v>
      </c>
      <c r="AG9" s="102">
        <f>'3.7.A廠人員分攤POH產能'!AG26</f>
        <v>0</v>
      </c>
      <c r="AH9" s="102">
        <f>'3.7.A廠人員分攤POH產能'!AH26</f>
        <v>0</v>
      </c>
    </row>
    <row r="10" spans="1:34">
      <c r="A10" s="401"/>
      <c r="B10" s="401"/>
      <c r="C10" s="90" t="s">
        <v>71</v>
      </c>
      <c r="D10" s="134">
        <f t="shared" si="0"/>
        <v>1392.892156862745</v>
      </c>
      <c r="E10" s="103">
        <f>E9/$B9</f>
        <v>0</v>
      </c>
      <c r="F10" s="103">
        <f t="shared" ref="F10:H10" si="26">F9/$B9</f>
        <v>0</v>
      </c>
      <c r="G10" s="103">
        <f t="shared" si="26"/>
        <v>1426.3529411764705</v>
      </c>
      <c r="H10" s="103">
        <f t="shared" si="26"/>
        <v>1475.8823529411766</v>
      </c>
      <c r="I10" s="103">
        <f t="shared" ref="I10" si="27">I9/$B9</f>
        <v>1328.5294117647059</v>
      </c>
      <c r="J10" s="103">
        <f t="shared" ref="J10" si="28">J9/$B9</f>
        <v>0</v>
      </c>
      <c r="K10" s="103">
        <f t="shared" ref="K10" si="29">K9/$B9</f>
        <v>1400.5882352941176</v>
      </c>
      <c r="L10" s="103">
        <f t="shared" ref="L10" si="30">L9/$B9</f>
        <v>1421.2941176470588</v>
      </c>
      <c r="M10" s="103">
        <f t="shared" ref="M10" si="31">M9/$B9</f>
        <v>0</v>
      </c>
      <c r="N10" s="103">
        <f t="shared" ref="N10" si="32">N9/$B9</f>
        <v>1304.7058823529412</v>
      </c>
      <c r="O10" s="103">
        <f t="shared" ref="O10" si="33">O9/$B9</f>
        <v>0</v>
      </c>
      <c r="P10" s="103">
        <f t="shared" ref="P10" si="34">P9/$B9</f>
        <v>0</v>
      </c>
      <c r="Q10" s="103">
        <f t="shared" ref="Q10" si="35">Q9/$B9</f>
        <v>0</v>
      </c>
      <c r="R10" s="103">
        <f t="shared" ref="R10" si="36">R9/$B9</f>
        <v>0</v>
      </c>
      <c r="S10" s="103">
        <f t="shared" ref="S10" si="37">S9/$B9</f>
        <v>0</v>
      </c>
      <c r="T10" s="103">
        <f t="shared" ref="T10" si="38">T9/$B9</f>
        <v>0</v>
      </c>
      <c r="U10" s="103">
        <f t="shared" ref="U10" si="39">U9/$B9</f>
        <v>0</v>
      </c>
      <c r="V10" s="103">
        <f t="shared" ref="V10" si="40">V9/$B9</f>
        <v>0</v>
      </c>
      <c r="W10" s="103">
        <f t="shared" ref="W10" si="41">W9/$B9</f>
        <v>0</v>
      </c>
      <c r="X10" s="103">
        <f t="shared" ref="X10" si="42">X9/$B9</f>
        <v>0</v>
      </c>
      <c r="Y10" s="103">
        <f t="shared" ref="Y10" si="43">Y9/$B9</f>
        <v>0</v>
      </c>
      <c r="Z10" s="103">
        <f t="shared" ref="Z10" si="44">Z9/$B9</f>
        <v>0</v>
      </c>
      <c r="AA10" s="103">
        <f t="shared" ref="AA10" si="45">AA9/$B9</f>
        <v>0</v>
      </c>
      <c r="AB10" s="103">
        <f t="shared" ref="AB10" si="46">AB9/$B9</f>
        <v>0</v>
      </c>
      <c r="AC10" s="103">
        <f t="shared" ref="AC10" si="47">AC9/$B9</f>
        <v>0</v>
      </c>
      <c r="AD10" s="103">
        <f t="shared" ref="AD10" si="48">AD9/$B9</f>
        <v>0</v>
      </c>
      <c r="AE10" s="103">
        <f t="shared" ref="AE10" si="49">AE9/$B9</f>
        <v>0</v>
      </c>
      <c r="AF10" s="103">
        <f t="shared" ref="AF10" si="50">AF9/$B9</f>
        <v>0</v>
      </c>
      <c r="AG10" s="103">
        <f t="shared" ref="AG10" si="51">AG9/$B9</f>
        <v>0</v>
      </c>
      <c r="AH10" s="103">
        <f t="shared" ref="AH10" si="52">AH9/$B9</f>
        <v>0</v>
      </c>
    </row>
    <row r="11" spans="1:34">
      <c r="A11" s="401"/>
      <c r="B11" s="401"/>
      <c r="C11" s="93" t="s">
        <v>72</v>
      </c>
      <c r="D11" s="133">
        <f t="shared" si="0"/>
        <v>2959.8958333333335</v>
      </c>
      <c r="E11" s="104">
        <f>'3.7.A廠人員分攤POH產能'!E30</f>
        <v>0</v>
      </c>
      <c r="F11" s="104">
        <f>'3.7.A廠人員分攤POH產能'!F30</f>
        <v>0</v>
      </c>
      <c r="G11" s="104">
        <f>'3.7.A廠人員分攤POH產能'!G30</f>
        <v>3031</v>
      </c>
      <c r="H11" s="104">
        <f>'3.7.A廠人員分攤POH產能'!H30</f>
        <v>3136.25</v>
      </c>
      <c r="I11" s="104">
        <f>'3.7.A廠人員分攤POH產能'!I30</f>
        <v>2823.125</v>
      </c>
      <c r="J11" s="104">
        <f>'3.7.A廠人員分攤POH產能'!J30</f>
        <v>0</v>
      </c>
      <c r="K11" s="104">
        <f>'3.7.A廠人員分攤POH產能'!K30</f>
        <v>2976.25</v>
      </c>
      <c r="L11" s="104">
        <f>'3.7.A廠人員分攤POH產能'!L30</f>
        <v>3020.25</v>
      </c>
      <c r="M11" s="104">
        <f>'3.7.A廠人員分攤POH產能'!M30</f>
        <v>0</v>
      </c>
      <c r="N11" s="104">
        <f>'3.7.A廠人員分攤POH產能'!N30</f>
        <v>2772.5</v>
      </c>
      <c r="O11" s="104">
        <f>'3.7.A廠人員分攤POH產能'!O30</f>
        <v>0</v>
      </c>
      <c r="P11" s="104">
        <f>'3.7.A廠人員分攤POH產能'!P30</f>
        <v>0</v>
      </c>
      <c r="Q11" s="104">
        <f>'3.7.A廠人員分攤POH產能'!Q30</f>
        <v>0</v>
      </c>
      <c r="R11" s="104">
        <f>'3.7.A廠人員分攤POH產能'!R30</f>
        <v>0</v>
      </c>
      <c r="S11" s="104">
        <f>'3.7.A廠人員分攤POH產能'!S30</f>
        <v>0</v>
      </c>
      <c r="T11" s="104">
        <f>'3.7.A廠人員分攤POH產能'!T30</f>
        <v>0</v>
      </c>
      <c r="U11" s="104">
        <f>'3.7.A廠人員分攤POH產能'!U30</f>
        <v>0</v>
      </c>
      <c r="V11" s="104">
        <f>'3.7.A廠人員分攤POH產能'!V30</f>
        <v>0</v>
      </c>
      <c r="W11" s="104">
        <f>'3.7.A廠人員分攤POH產能'!W30</f>
        <v>0</v>
      </c>
      <c r="X11" s="104">
        <f>'3.7.A廠人員分攤POH產能'!X30</f>
        <v>0</v>
      </c>
      <c r="Y11" s="104">
        <f>'3.7.A廠人員分攤POH產能'!Y30</f>
        <v>0</v>
      </c>
      <c r="Z11" s="104">
        <f>'3.7.A廠人員分攤POH產能'!Z30</f>
        <v>0</v>
      </c>
      <c r="AA11" s="104">
        <f>'3.7.A廠人員分攤POH產能'!AA30</f>
        <v>0</v>
      </c>
      <c r="AB11" s="104">
        <f>'3.7.A廠人員分攤POH產能'!AB30</f>
        <v>0</v>
      </c>
      <c r="AC11" s="104">
        <f>'3.7.A廠人員分攤POH產能'!AC30</f>
        <v>0</v>
      </c>
      <c r="AD11" s="104">
        <f>'3.7.A廠人員分攤POH產能'!AD30</f>
        <v>0</v>
      </c>
      <c r="AE11" s="104">
        <f>'3.7.A廠人員分攤POH產能'!AE30</f>
        <v>0</v>
      </c>
      <c r="AF11" s="104">
        <f>'3.7.A廠人員分攤POH產能'!AF30</f>
        <v>0</v>
      </c>
      <c r="AG11" s="104">
        <f>'3.7.A廠人員分攤POH產能'!AG30</f>
        <v>0</v>
      </c>
      <c r="AH11" s="104">
        <f>'3.7.A廠人員分攤POH產能'!AH30</f>
        <v>0</v>
      </c>
    </row>
    <row r="12" spans="1:34">
      <c r="A12" s="402"/>
      <c r="B12" s="402"/>
      <c r="C12" s="97" t="s">
        <v>73</v>
      </c>
      <c r="D12" s="132">
        <f>SUM(E12:EH12)/COUNTIF(E12:EH12,"&gt;0")</f>
        <v>0.80023651705648291</v>
      </c>
      <c r="E12" s="131">
        <f>'3.7.A廠人員分攤POH產能'!E33</f>
        <v>0</v>
      </c>
      <c r="F12" s="131">
        <f>'3.7.A廠人員分攤POH產能'!F33</f>
        <v>0</v>
      </c>
      <c r="G12" s="131">
        <f>'3.7.A廠人員分攤POH產能'!G33</f>
        <v>0.8049930283513711</v>
      </c>
      <c r="H12" s="131">
        <f>'3.7.A廠人員分攤POH產能'!H33</f>
        <v>0.83217247097844116</v>
      </c>
      <c r="I12" s="131">
        <f>'3.7.A廠人員分攤POH產能'!I33</f>
        <v>0.76725777958961816</v>
      </c>
      <c r="J12" s="131">
        <f>'3.7.A廠人員分攤POH產能'!J33</f>
        <v>0</v>
      </c>
      <c r="K12" s="131">
        <f>'3.7.A廠人員分攤POH產能'!K33</f>
        <v>0.80580749966156762</v>
      </c>
      <c r="L12" s="131">
        <f>'3.7.A廠人員分攤POH產能'!L33</f>
        <v>0.81064215258672745</v>
      </c>
      <c r="M12" s="131">
        <f>'3.7.A廠人員分攤POH產能'!M33</f>
        <v>0</v>
      </c>
      <c r="N12" s="131">
        <f>'3.7.A廠人員分攤POH產能'!N33</f>
        <v>0.7805461711711712</v>
      </c>
      <c r="O12" s="131">
        <f>'3.7.A廠人員分攤POH產能'!O33</f>
        <v>0</v>
      </c>
      <c r="P12" s="131">
        <f>'3.7.A廠人員分攤POH產能'!P33</f>
        <v>0</v>
      </c>
      <c r="Q12" s="131">
        <f>'3.7.A廠人員分攤POH產能'!Q33</f>
        <v>0</v>
      </c>
      <c r="R12" s="131">
        <f>'3.7.A廠人員分攤POH產能'!R33</f>
        <v>0</v>
      </c>
      <c r="S12" s="131">
        <f>'3.7.A廠人員分攤POH產能'!S33</f>
        <v>0</v>
      </c>
      <c r="T12" s="131">
        <f>'3.7.A廠人員分攤POH產能'!T33</f>
        <v>0</v>
      </c>
      <c r="U12" s="131">
        <f>'3.7.A廠人員分攤POH產能'!U33</f>
        <v>0</v>
      </c>
      <c r="V12" s="131">
        <f>'3.7.A廠人員分攤POH產能'!V33</f>
        <v>0</v>
      </c>
      <c r="W12" s="131">
        <f>'3.7.A廠人員分攤POH產能'!W33</f>
        <v>0</v>
      </c>
      <c r="X12" s="131">
        <f>'3.7.A廠人員分攤POH產能'!X33</f>
        <v>0</v>
      </c>
      <c r="Y12" s="131">
        <f>'3.7.A廠人員分攤POH產能'!Y33</f>
        <v>0</v>
      </c>
      <c r="Z12" s="131">
        <f>'3.7.A廠人員分攤POH產能'!Z33</f>
        <v>0</v>
      </c>
      <c r="AA12" s="131">
        <f>'3.7.A廠人員分攤POH產能'!AA33</f>
        <v>0</v>
      </c>
      <c r="AB12" s="131">
        <f>'3.7.A廠人員分攤POH產能'!AB33</f>
        <v>0</v>
      </c>
      <c r="AC12" s="131">
        <f>'3.7.A廠人員分攤POH產能'!AC33</f>
        <v>0</v>
      </c>
      <c r="AD12" s="131">
        <f>'3.7.A廠人員分攤POH產能'!AD33</f>
        <v>0</v>
      </c>
      <c r="AE12" s="131">
        <f>'3.7.A廠人員分攤POH產能'!AE33</f>
        <v>0</v>
      </c>
      <c r="AF12" s="131">
        <f>'3.7.A廠人員分攤POH產能'!AF33</f>
        <v>0</v>
      </c>
      <c r="AG12" s="131">
        <f>'3.7.A廠人員分攤POH產能'!AG33</f>
        <v>0</v>
      </c>
      <c r="AH12" s="131">
        <f>'3.7.A廠人員分攤POH產能'!AH33</f>
        <v>0</v>
      </c>
    </row>
    <row r="13" spans="1:34">
      <c r="A13" s="400" t="s">
        <v>75</v>
      </c>
      <c r="B13" s="400">
        <v>1</v>
      </c>
      <c r="C13" s="87" t="s">
        <v>3</v>
      </c>
      <c r="D13" s="89">
        <f>AVERAGE(E13:AH13)</f>
        <v>0</v>
      </c>
      <c r="E13" s="102">
        <f>'3.7.A廠人員分攤POH產能'!E36</f>
        <v>0</v>
      </c>
      <c r="F13" s="102">
        <f>'3.7.A廠人員分攤POH產能'!F36</f>
        <v>0</v>
      </c>
      <c r="G13" s="102">
        <f>'3.7.A廠人員分攤POH產能'!G36</f>
        <v>0</v>
      </c>
      <c r="H13" s="102">
        <f>'3.7.A廠人員分攤POH產能'!H36</f>
        <v>0</v>
      </c>
      <c r="I13" s="102">
        <f>'3.7.A廠人員分攤POH產能'!I36</f>
        <v>0</v>
      </c>
      <c r="J13" s="102">
        <f>'3.7.A廠人員分攤POH產能'!J36</f>
        <v>0</v>
      </c>
      <c r="K13" s="102">
        <f>'3.7.A廠人員分攤POH產能'!K36</f>
        <v>0</v>
      </c>
      <c r="L13" s="102">
        <f>'3.7.A廠人員分攤POH產能'!L36</f>
        <v>0</v>
      </c>
      <c r="M13" s="102">
        <f>'3.7.A廠人員分攤POH產能'!M36</f>
        <v>0</v>
      </c>
      <c r="N13" s="102">
        <f>'3.7.A廠人員分攤POH產能'!N36</f>
        <v>0</v>
      </c>
      <c r="O13" s="102">
        <f>'3.7.A廠人員分攤POH產能'!O36</f>
        <v>0</v>
      </c>
      <c r="P13" s="102">
        <f>'3.7.A廠人員分攤POH產能'!P36</f>
        <v>0</v>
      </c>
      <c r="Q13" s="102">
        <f>'3.7.A廠人員分攤POH產能'!Q36</f>
        <v>0</v>
      </c>
      <c r="R13" s="102">
        <f>'3.7.A廠人員分攤POH產能'!R36</f>
        <v>0</v>
      </c>
      <c r="S13" s="102">
        <f>'3.7.A廠人員分攤POH產能'!S36</f>
        <v>0</v>
      </c>
      <c r="T13" s="102">
        <f>'3.7.A廠人員分攤POH產能'!T36</f>
        <v>0</v>
      </c>
      <c r="U13" s="102">
        <f>'3.7.A廠人員分攤POH產能'!U36</f>
        <v>0</v>
      </c>
      <c r="V13" s="102">
        <f>'3.7.A廠人員分攤POH產能'!V36</f>
        <v>0</v>
      </c>
      <c r="W13" s="102">
        <f>'3.7.A廠人員分攤POH產能'!W36</f>
        <v>0</v>
      </c>
      <c r="X13" s="102">
        <f>'3.7.A廠人員分攤POH產能'!X36</f>
        <v>0</v>
      </c>
      <c r="Y13" s="102">
        <f>'3.7.A廠人員分攤POH產能'!Y36</f>
        <v>0</v>
      </c>
      <c r="Z13" s="102">
        <f>'3.7.A廠人員分攤POH產能'!Z36</f>
        <v>0</v>
      </c>
      <c r="AA13" s="102">
        <f>'3.7.A廠人員分攤POH產能'!AA36</f>
        <v>0</v>
      </c>
      <c r="AB13" s="102">
        <f>'3.7.A廠人員分攤POH產能'!AB36</f>
        <v>0</v>
      </c>
      <c r="AC13" s="102">
        <f>'3.7.A廠人員分攤POH產能'!AC36</f>
        <v>0</v>
      </c>
      <c r="AD13" s="102">
        <f>'3.7.A廠人員分攤POH產能'!AD36</f>
        <v>0</v>
      </c>
      <c r="AE13" s="102">
        <f>'3.7.A廠人員分攤POH產能'!AE36</f>
        <v>0</v>
      </c>
      <c r="AF13" s="102">
        <f>'3.7.A廠人員分攤POH產能'!AF36</f>
        <v>0</v>
      </c>
      <c r="AG13" s="102">
        <f>'3.7.A廠人員分攤POH產能'!AG36</f>
        <v>0</v>
      </c>
      <c r="AH13" s="102">
        <f>'3.7.A廠人員分攤POH產能'!AH36</f>
        <v>0</v>
      </c>
    </row>
    <row r="14" spans="1:34">
      <c r="A14" s="401"/>
      <c r="B14" s="401"/>
      <c r="C14" s="90" t="s">
        <v>71</v>
      </c>
      <c r="D14" s="134" t="e">
        <f>SUM(E14:AH14)/COUNTIF(E14:AH14,"&gt;0")</f>
        <v>#DIV/0!</v>
      </c>
      <c r="E14" s="103">
        <f>E13/$B13</f>
        <v>0</v>
      </c>
      <c r="F14" s="103">
        <f t="shared" ref="F14:AH14" si="53">F13/$B13</f>
        <v>0</v>
      </c>
      <c r="G14" s="103">
        <f t="shared" si="53"/>
        <v>0</v>
      </c>
      <c r="H14" s="103">
        <f t="shared" si="53"/>
        <v>0</v>
      </c>
      <c r="I14" s="103">
        <f t="shared" si="53"/>
        <v>0</v>
      </c>
      <c r="J14" s="103">
        <f t="shared" si="53"/>
        <v>0</v>
      </c>
      <c r="K14" s="103">
        <f t="shared" si="53"/>
        <v>0</v>
      </c>
      <c r="L14" s="103">
        <f t="shared" si="53"/>
        <v>0</v>
      </c>
      <c r="M14" s="103">
        <f t="shared" si="53"/>
        <v>0</v>
      </c>
      <c r="N14" s="103">
        <f t="shared" si="53"/>
        <v>0</v>
      </c>
      <c r="O14" s="103">
        <f t="shared" si="53"/>
        <v>0</v>
      </c>
      <c r="P14" s="103">
        <f t="shared" si="53"/>
        <v>0</v>
      </c>
      <c r="Q14" s="103">
        <f t="shared" si="53"/>
        <v>0</v>
      </c>
      <c r="R14" s="103">
        <f t="shared" si="53"/>
        <v>0</v>
      </c>
      <c r="S14" s="103">
        <f t="shared" si="53"/>
        <v>0</v>
      </c>
      <c r="T14" s="103">
        <f t="shared" si="53"/>
        <v>0</v>
      </c>
      <c r="U14" s="103">
        <f t="shared" si="53"/>
        <v>0</v>
      </c>
      <c r="V14" s="103">
        <f t="shared" si="53"/>
        <v>0</v>
      </c>
      <c r="W14" s="103">
        <f t="shared" si="53"/>
        <v>0</v>
      </c>
      <c r="X14" s="103">
        <f t="shared" si="53"/>
        <v>0</v>
      </c>
      <c r="Y14" s="103">
        <f t="shared" si="53"/>
        <v>0</v>
      </c>
      <c r="Z14" s="103">
        <f t="shared" si="53"/>
        <v>0</v>
      </c>
      <c r="AA14" s="103">
        <f t="shared" si="53"/>
        <v>0</v>
      </c>
      <c r="AB14" s="103">
        <f t="shared" si="53"/>
        <v>0</v>
      </c>
      <c r="AC14" s="103">
        <f t="shared" si="53"/>
        <v>0</v>
      </c>
      <c r="AD14" s="103">
        <f t="shared" si="53"/>
        <v>0</v>
      </c>
      <c r="AE14" s="103">
        <f t="shared" si="53"/>
        <v>0</v>
      </c>
      <c r="AF14" s="103">
        <f t="shared" si="53"/>
        <v>0</v>
      </c>
      <c r="AG14" s="103">
        <f t="shared" si="53"/>
        <v>0</v>
      </c>
      <c r="AH14" s="103">
        <f t="shared" si="53"/>
        <v>0</v>
      </c>
    </row>
    <row r="15" spans="1:34">
      <c r="A15" s="401"/>
      <c r="B15" s="401"/>
      <c r="C15" s="93" t="s">
        <v>72</v>
      </c>
      <c r="D15" s="133" t="e">
        <f>SUM(E15:AH15)/COUNTIF(E15:AH15,"&gt;0")</f>
        <v>#DIV/0!</v>
      </c>
      <c r="E15" s="104">
        <f>'3.7.A廠人員分攤POH產能'!E40</f>
        <v>0</v>
      </c>
      <c r="F15" s="104">
        <f>'3.7.A廠人員分攤POH產能'!F40</f>
        <v>0</v>
      </c>
      <c r="G15" s="104">
        <f>'3.7.A廠人員分攤POH產能'!G40</f>
        <v>0</v>
      </c>
      <c r="H15" s="104">
        <f>'3.7.A廠人員分攤POH產能'!H40</f>
        <v>0</v>
      </c>
      <c r="I15" s="104">
        <f>'3.7.A廠人員分攤POH產能'!I40</f>
        <v>0</v>
      </c>
      <c r="J15" s="104">
        <f>'3.7.A廠人員分攤POH產能'!J40</f>
        <v>0</v>
      </c>
      <c r="K15" s="104">
        <f>'3.7.A廠人員分攤POH產能'!K40</f>
        <v>0</v>
      </c>
      <c r="L15" s="104">
        <f>'3.7.A廠人員分攤POH產能'!L40</f>
        <v>0</v>
      </c>
      <c r="M15" s="104">
        <f>'3.7.A廠人員分攤POH產能'!M40</f>
        <v>0</v>
      </c>
      <c r="N15" s="104">
        <f>'3.7.A廠人員分攤POH產能'!N40</f>
        <v>0</v>
      </c>
      <c r="O15" s="104">
        <f>'3.7.A廠人員分攤POH產能'!O40</f>
        <v>0</v>
      </c>
      <c r="P15" s="104">
        <f>'3.7.A廠人員分攤POH產能'!P40</f>
        <v>0</v>
      </c>
      <c r="Q15" s="104">
        <f>'3.7.A廠人員分攤POH產能'!Q40</f>
        <v>0</v>
      </c>
      <c r="R15" s="104">
        <f>'3.7.A廠人員分攤POH產能'!R40</f>
        <v>0</v>
      </c>
      <c r="S15" s="104">
        <f>'3.7.A廠人員分攤POH產能'!S40</f>
        <v>0</v>
      </c>
      <c r="T15" s="104">
        <f>'3.7.A廠人員分攤POH產能'!T40</f>
        <v>0</v>
      </c>
      <c r="U15" s="104">
        <f>'3.7.A廠人員分攤POH產能'!U40</f>
        <v>0</v>
      </c>
      <c r="V15" s="104">
        <f>'3.7.A廠人員分攤POH產能'!V40</f>
        <v>0</v>
      </c>
      <c r="W15" s="104">
        <f>'3.7.A廠人員分攤POH產能'!W40</f>
        <v>0</v>
      </c>
      <c r="X15" s="104">
        <f>'3.7.A廠人員分攤POH產能'!X40</f>
        <v>0</v>
      </c>
      <c r="Y15" s="104">
        <f>'3.7.A廠人員分攤POH產能'!Y40</f>
        <v>0</v>
      </c>
      <c r="Z15" s="104">
        <f>'3.7.A廠人員分攤POH產能'!Z40</f>
        <v>0</v>
      </c>
      <c r="AA15" s="104">
        <f>'3.7.A廠人員分攤POH產能'!AA40</f>
        <v>0</v>
      </c>
      <c r="AB15" s="104">
        <f>'3.7.A廠人員分攤POH產能'!AB40</f>
        <v>0</v>
      </c>
      <c r="AC15" s="104">
        <f>'3.7.A廠人員分攤POH產能'!AC40</f>
        <v>0</v>
      </c>
      <c r="AD15" s="104">
        <f>'3.7.A廠人員分攤POH產能'!AD40</f>
        <v>0</v>
      </c>
      <c r="AE15" s="104">
        <f>'3.7.A廠人員分攤POH產能'!AE40</f>
        <v>0</v>
      </c>
      <c r="AF15" s="104">
        <f>'3.7.A廠人員分攤POH產能'!AF40</f>
        <v>0</v>
      </c>
      <c r="AG15" s="104">
        <f>'3.7.A廠人員分攤POH產能'!AG40</f>
        <v>0</v>
      </c>
      <c r="AH15" s="104">
        <f>'3.7.A廠人員分攤POH產能'!AH40</f>
        <v>0</v>
      </c>
    </row>
    <row r="16" spans="1:34">
      <c r="A16" s="401"/>
      <c r="B16" s="401"/>
      <c r="C16" s="93" t="s">
        <v>73</v>
      </c>
      <c r="D16" s="132" t="e">
        <f>SUM(E16:EH16)/COUNTIF(E16:EH16,"&gt;0")</f>
        <v>#DIV/0!</v>
      </c>
      <c r="E16" s="131">
        <f>'3.7.A廠人員分攤POH產能'!E41</f>
        <v>0</v>
      </c>
      <c r="F16" s="131">
        <f>'3.7.A廠人員分攤POH產能'!F41</f>
        <v>0</v>
      </c>
      <c r="G16" s="131">
        <f>'3.7.A廠人員分攤POH產能'!G41</f>
        <v>0</v>
      </c>
      <c r="H16" s="131">
        <f>'3.7.A廠人員分攤POH產能'!H41</f>
        <v>0</v>
      </c>
      <c r="I16" s="131">
        <f>'3.7.A廠人員分攤POH產能'!I41</f>
        <v>0</v>
      </c>
      <c r="J16" s="131">
        <f>'3.7.A廠人員分攤POH產能'!J41</f>
        <v>0</v>
      </c>
      <c r="K16" s="131">
        <f>'3.7.A廠人員分攤POH產能'!K41</f>
        <v>0</v>
      </c>
      <c r="L16" s="131">
        <f>'3.7.A廠人員分攤POH產能'!L41</f>
        <v>0</v>
      </c>
      <c r="M16" s="131">
        <f>'3.7.A廠人員分攤POH產能'!M41</f>
        <v>0</v>
      </c>
      <c r="N16" s="131">
        <f>'3.7.A廠人員分攤POH產能'!N41</f>
        <v>0</v>
      </c>
      <c r="O16" s="131">
        <f>'3.7.A廠人員分攤POH產能'!O41</f>
        <v>0</v>
      </c>
      <c r="P16" s="131">
        <f>'3.7.A廠人員分攤POH產能'!P41</f>
        <v>0</v>
      </c>
      <c r="Q16" s="131">
        <f>'3.7.A廠人員分攤POH產能'!Q41</f>
        <v>0</v>
      </c>
      <c r="R16" s="131">
        <f>'3.7.A廠人員分攤POH產能'!R41</f>
        <v>0</v>
      </c>
      <c r="S16" s="131">
        <f>'3.7.A廠人員分攤POH產能'!S41</f>
        <v>0</v>
      </c>
      <c r="T16" s="131">
        <f>'3.7.A廠人員分攤POH產能'!T41</f>
        <v>0</v>
      </c>
      <c r="U16" s="131">
        <f>'3.7.A廠人員分攤POH產能'!U41</f>
        <v>0</v>
      </c>
      <c r="V16" s="131">
        <f>'3.7.A廠人員分攤POH產能'!V41</f>
        <v>0</v>
      </c>
      <c r="W16" s="131">
        <f>'3.7.A廠人員分攤POH產能'!W41</f>
        <v>0</v>
      </c>
      <c r="X16" s="131">
        <f>'3.7.A廠人員分攤POH產能'!X41</f>
        <v>0</v>
      </c>
      <c r="Y16" s="131">
        <f>'3.7.A廠人員分攤POH產能'!Y41</f>
        <v>0</v>
      </c>
      <c r="Z16" s="131">
        <f>'3.7.A廠人員分攤POH產能'!Z41</f>
        <v>0</v>
      </c>
      <c r="AA16" s="131">
        <f>'3.7.A廠人員分攤POH產能'!AA41</f>
        <v>0</v>
      </c>
      <c r="AB16" s="131">
        <f>'3.7.A廠人員分攤POH產能'!AB41</f>
        <v>0</v>
      </c>
      <c r="AC16" s="131">
        <f>'3.7.A廠人員分攤POH產能'!AC41</f>
        <v>0</v>
      </c>
      <c r="AD16" s="131">
        <f>'3.7.A廠人員分攤POH產能'!AD41</f>
        <v>0</v>
      </c>
      <c r="AE16" s="131">
        <f>'3.7.A廠人員分攤POH產能'!AE41</f>
        <v>0</v>
      </c>
      <c r="AF16" s="131">
        <f>'3.7.A廠人員分攤POH產能'!AF41</f>
        <v>0</v>
      </c>
      <c r="AG16" s="131">
        <f>'3.7.A廠人員分攤POH產能'!AG41</f>
        <v>0</v>
      </c>
      <c r="AH16" s="131">
        <f>'3.7.A廠人員分攤POH產能'!AH41</f>
        <v>0</v>
      </c>
    </row>
    <row r="17" spans="1:34">
      <c r="A17" s="407" t="s">
        <v>76</v>
      </c>
      <c r="B17" s="407">
        <f>B5+B9+B13</f>
        <v>38</v>
      </c>
      <c r="C17" s="111" t="s">
        <v>3</v>
      </c>
      <c r="D17" s="112">
        <f>AVERAGE(E17:AH17)</f>
        <v>9844.8333333333339</v>
      </c>
      <c r="E17" s="102">
        <f>'3.7.A廠人員分攤POH產能'!E6</f>
        <v>0</v>
      </c>
      <c r="F17" s="102">
        <f>'3.7.A廠人員分攤POH產能'!F6</f>
        <v>0</v>
      </c>
      <c r="G17" s="102">
        <f>'3.7.A廠人員分攤POH產能'!G6</f>
        <v>51156</v>
      </c>
      <c r="H17" s="102">
        <f>'3.7.A廠人員分攤POH產能'!H6</f>
        <v>50547</v>
      </c>
      <c r="I17" s="102">
        <f>'3.7.A廠人員分攤POH產能'!I6</f>
        <v>48343</v>
      </c>
      <c r="J17" s="102">
        <f>'3.7.A廠人員分攤POH產能'!J6</f>
        <v>0</v>
      </c>
      <c r="K17" s="102">
        <f>'3.7.A廠人員分攤POH產能'!K6</f>
        <v>50398</v>
      </c>
      <c r="L17" s="102">
        <f>'3.7.A廠人員分攤POH產能'!L6</f>
        <v>49786</v>
      </c>
      <c r="M17" s="102">
        <f>'3.7.A廠人員分攤POH產能'!M6</f>
        <v>0</v>
      </c>
      <c r="N17" s="102">
        <f>'3.7.A廠人員分攤POH產能'!N6</f>
        <v>45115</v>
      </c>
      <c r="O17" s="102">
        <f>'3.7.A廠人員分攤POH產能'!O6</f>
        <v>0</v>
      </c>
      <c r="P17" s="102">
        <f>'3.7.A廠人員分攤POH產能'!P6</f>
        <v>0</v>
      </c>
      <c r="Q17" s="102">
        <f>'3.7.A廠人員分攤POH產能'!Q6</f>
        <v>0</v>
      </c>
      <c r="R17" s="102">
        <f>'3.7.A廠人員分攤POH產能'!R6</f>
        <v>0</v>
      </c>
      <c r="S17" s="102">
        <f>'3.7.A廠人員分攤POH產能'!S6</f>
        <v>0</v>
      </c>
      <c r="T17" s="102">
        <f>'3.7.A廠人員分攤POH產能'!T6</f>
        <v>0</v>
      </c>
      <c r="U17" s="102">
        <f>'3.7.A廠人員分攤POH產能'!U6</f>
        <v>0</v>
      </c>
      <c r="V17" s="102">
        <f>'3.7.A廠人員分攤POH產能'!V6</f>
        <v>0</v>
      </c>
      <c r="W17" s="102">
        <f>'3.7.A廠人員分攤POH產能'!W6</f>
        <v>0</v>
      </c>
      <c r="X17" s="102">
        <f>'3.7.A廠人員分攤POH產能'!X6</f>
        <v>0</v>
      </c>
      <c r="Y17" s="102">
        <f>'3.7.A廠人員分攤POH產能'!Y6</f>
        <v>0</v>
      </c>
      <c r="Z17" s="102">
        <f>'3.7.A廠人員分攤POH產能'!Z6</f>
        <v>0</v>
      </c>
      <c r="AA17" s="102">
        <f>'3.7.A廠人員分攤POH產能'!AA6</f>
        <v>0</v>
      </c>
      <c r="AB17" s="102">
        <f>'3.7.A廠人員分攤POH產能'!AB6</f>
        <v>0</v>
      </c>
      <c r="AC17" s="102">
        <f>'3.7.A廠人員分攤POH產能'!AC6</f>
        <v>0</v>
      </c>
      <c r="AD17" s="102">
        <f>'3.7.A廠人員分攤POH產能'!AD6</f>
        <v>0</v>
      </c>
      <c r="AE17" s="102">
        <f>'3.7.A廠人員分攤POH產能'!AE6</f>
        <v>0</v>
      </c>
      <c r="AF17" s="102">
        <f>'3.7.A廠人員分攤POH產能'!AF6</f>
        <v>0</v>
      </c>
      <c r="AG17" s="102">
        <f>'3.7.A廠人員分攤POH產能'!AG6</f>
        <v>0</v>
      </c>
      <c r="AH17" s="102">
        <f>'3.7.A廠人員分攤POH產能'!AH6</f>
        <v>0</v>
      </c>
    </row>
    <row r="18" spans="1:34">
      <c r="A18" s="407"/>
      <c r="B18" s="407"/>
      <c r="C18" s="115" t="s">
        <v>71</v>
      </c>
      <c r="D18" s="134">
        <f>SUM(E18:AH18)/COUNTIF(E18:AH18,"&gt;0")</f>
        <v>1295.3728070175439</v>
      </c>
      <c r="E18" s="103">
        <f>E17/$B17</f>
        <v>0</v>
      </c>
      <c r="F18" s="103">
        <f t="shared" ref="F18:AH18" si="54">F17/$B17</f>
        <v>0</v>
      </c>
      <c r="G18" s="103">
        <f t="shared" si="54"/>
        <v>1346.2105263157894</v>
      </c>
      <c r="H18" s="103">
        <f t="shared" si="54"/>
        <v>1330.1842105263158</v>
      </c>
      <c r="I18" s="103">
        <f t="shared" si="54"/>
        <v>1272.1842105263158</v>
      </c>
      <c r="J18" s="103">
        <f t="shared" si="54"/>
        <v>0</v>
      </c>
      <c r="K18" s="103">
        <f t="shared" si="54"/>
        <v>1326.2631578947369</v>
      </c>
      <c r="L18" s="103">
        <f t="shared" si="54"/>
        <v>1310.1578947368421</v>
      </c>
      <c r="M18" s="103">
        <f t="shared" si="54"/>
        <v>0</v>
      </c>
      <c r="N18" s="103">
        <f t="shared" si="54"/>
        <v>1187.2368421052631</v>
      </c>
      <c r="O18" s="103">
        <f t="shared" si="54"/>
        <v>0</v>
      </c>
      <c r="P18" s="103">
        <f t="shared" si="54"/>
        <v>0</v>
      </c>
      <c r="Q18" s="103">
        <f t="shared" si="54"/>
        <v>0</v>
      </c>
      <c r="R18" s="103">
        <f t="shared" si="54"/>
        <v>0</v>
      </c>
      <c r="S18" s="103">
        <f t="shared" si="54"/>
        <v>0</v>
      </c>
      <c r="T18" s="103">
        <f t="shared" si="54"/>
        <v>0</v>
      </c>
      <c r="U18" s="103">
        <f t="shared" si="54"/>
        <v>0</v>
      </c>
      <c r="V18" s="103">
        <f t="shared" si="54"/>
        <v>0</v>
      </c>
      <c r="W18" s="103">
        <f t="shared" si="54"/>
        <v>0</v>
      </c>
      <c r="X18" s="103">
        <f t="shared" si="54"/>
        <v>0</v>
      </c>
      <c r="Y18" s="103">
        <f t="shared" si="54"/>
        <v>0</v>
      </c>
      <c r="Z18" s="103">
        <f t="shared" si="54"/>
        <v>0</v>
      </c>
      <c r="AA18" s="103">
        <f t="shared" si="54"/>
        <v>0</v>
      </c>
      <c r="AB18" s="103">
        <f t="shared" si="54"/>
        <v>0</v>
      </c>
      <c r="AC18" s="103">
        <f t="shared" si="54"/>
        <v>0</v>
      </c>
      <c r="AD18" s="103">
        <f t="shared" si="54"/>
        <v>0</v>
      </c>
      <c r="AE18" s="103">
        <f t="shared" si="54"/>
        <v>0</v>
      </c>
      <c r="AF18" s="103">
        <f t="shared" si="54"/>
        <v>0</v>
      </c>
      <c r="AG18" s="103">
        <f t="shared" si="54"/>
        <v>0</v>
      </c>
      <c r="AH18" s="103">
        <f t="shared" si="54"/>
        <v>0</v>
      </c>
    </row>
    <row r="19" spans="1:34">
      <c r="A19" s="407"/>
      <c r="B19" s="407"/>
      <c r="C19" s="118" t="s">
        <v>72</v>
      </c>
      <c r="D19" s="133">
        <f>SUM(E19:AH19)/COUNTIF(E19:AH19,"&gt;0")</f>
        <v>6153.020833333333</v>
      </c>
      <c r="E19" s="104">
        <f>'3.7.A廠人員分攤POH產能'!E10</f>
        <v>0</v>
      </c>
      <c r="F19" s="104">
        <f>'3.7.A廠人員分攤POH產能'!F10</f>
        <v>0</v>
      </c>
      <c r="G19" s="104">
        <f>'3.7.A廠人員分攤POH產能'!G10</f>
        <v>6394.5</v>
      </c>
      <c r="H19" s="104">
        <f>'3.7.A廠人員分攤POH產能'!H10</f>
        <v>6318.375</v>
      </c>
      <c r="I19" s="104">
        <f>'3.7.A廠人員分攤POH產能'!I10</f>
        <v>6042.875</v>
      </c>
      <c r="J19" s="104">
        <f>'3.7.A廠人員分攤POH產能'!J10</f>
        <v>0</v>
      </c>
      <c r="K19" s="104">
        <f>'3.7.A廠人員分攤POH產能'!K10</f>
        <v>6299.75</v>
      </c>
      <c r="L19" s="104">
        <f>'3.7.A廠人員分攤POH產能'!L10</f>
        <v>6223.25</v>
      </c>
      <c r="M19" s="104">
        <f>'3.7.A廠人員分攤POH產能'!M10</f>
        <v>0</v>
      </c>
      <c r="N19" s="104">
        <f>'3.7.A廠人員分攤POH產能'!N10</f>
        <v>5639.375</v>
      </c>
      <c r="O19" s="104">
        <f>'3.7.A廠人員分攤POH產能'!O10</f>
        <v>0</v>
      </c>
      <c r="P19" s="104">
        <f>'3.7.A廠人員分攤POH產能'!P10</f>
        <v>0</v>
      </c>
      <c r="Q19" s="104">
        <f>'3.7.A廠人員分攤POH產能'!Q10</f>
        <v>0</v>
      </c>
      <c r="R19" s="104">
        <f>'3.7.A廠人員分攤POH產能'!R10</f>
        <v>0</v>
      </c>
      <c r="S19" s="104">
        <f>'3.7.A廠人員分攤POH產能'!S10</f>
        <v>0</v>
      </c>
      <c r="T19" s="104">
        <f>'3.7.A廠人員分攤POH產能'!T10</f>
        <v>0</v>
      </c>
      <c r="U19" s="104">
        <f>'3.7.A廠人員分攤POH產能'!U10</f>
        <v>0</v>
      </c>
      <c r="V19" s="104">
        <f>'3.7.A廠人員分攤POH產能'!V10</f>
        <v>0</v>
      </c>
      <c r="W19" s="104">
        <f>'3.7.A廠人員分攤POH產能'!W10</f>
        <v>0</v>
      </c>
      <c r="X19" s="104">
        <f>'3.7.A廠人員分攤POH產能'!X10</f>
        <v>0</v>
      </c>
      <c r="Y19" s="104">
        <f>'3.7.A廠人員分攤POH產能'!Y10</f>
        <v>0</v>
      </c>
      <c r="Z19" s="104">
        <f>'3.7.A廠人員分攤POH產能'!Z10</f>
        <v>0</v>
      </c>
      <c r="AA19" s="104">
        <f>'3.7.A廠人員分攤POH產能'!AA10</f>
        <v>0</v>
      </c>
      <c r="AB19" s="104">
        <f>'3.7.A廠人員分攤POH產能'!AB10</f>
        <v>0</v>
      </c>
      <c r="AC19" s="104">
        <f>'3.7.A廠人員分攤POH產能'!AC10</f>
        <v>0</v>
      </c>
      <c r="AD19" s="104">
        <f>'3.7.A廠人員分攤POH產能'!AD10</f>
        <v>0</v>
      </c>
      <c r="AE19" s="104">
        <f>'3.7.A廠人員分攤POH產能'!AE10</f>
        <v>0</v>
      </c>
      <c r="AF19" s="104">
        <f>'3.7.A廠人員分攤POH產能'!AF10</f>
        <v>0</v>
      </c>
      <c r="AG19" s="104">
        <f>'3.7.A廠人員分攤POH產能'!AG10</f>
        <v>0</v>
      </c>
      <c r="AH19" s="104">
        <f>'3.7.A廠人員分攤POH產能'!AH10</f>
        <v>0</v>
      </c>
    </row>
    <row r="20" spans="1:34">
      <c r="A20" s="407"/>
      <c r="B20" s="407"/>
      <c r="C20" s="118" t="s">
        <v>73</v>
      </c>
      <c r="D20" s="132">
        <f>SUM(E20:EH20)/COUNTIF(E20:EH20,"&gt;0")</f>
        <v>0.73509327614507303</v>
      </c>
      <c r="E20" s="131">
        <f>'3.7.A廠人員分攤POH產能'!E13</f>
        <v>0</v>
      </c>
      <c r="F20" s="131">
        <f>'3.7.A廠人員分攤POH產能'!F13</f>
        <v>0</v>
      </c>
      <c r="G20" s="131">
        <f>'3.7.A廠人員分攤POH產能'!G13</f>
        <v>0.75189605502969015</v>
      </c>
      <c r="H20" s="131">
        <f>'3.7.A廠人員分攤POH產能'!H13</f>
        <v>0.7413757700205339</v>
      </c>
      <c r="I20" s="131">
        <f>'3.7.A廠人員分攤POH產能'!I13</f>
        <v>0.72621980531186159</v>
      </c>
      <c r="J20" s="131">
        <f>'3.7.A廠人員分攤POH產能'!J13</f>
        <v>0</v>
      </c>
      <c r="K20" s="131">
        <f>'3.7.A廠人員分攤POH產能'!K13</f>
        <v>0.75292817019242264</v>
      </c>
      <c r="L20" s="131">
        <f>'3.7.A廠人員分攤POH產能'!L13</f>
        <v>0.73993817252244221</v>
      </c>
      <c r="M20" s="131">
        <f>'3.7.A廠人員分攤POH產能'!M13</f>
        <v>0</v>
      </c>
      <c r="N20" s="131">
        <f>'3.7.A廠人員分攤POH產能'!N13</f>
        <v>0.69820168379348768</v>
      </c>
      <c r="O20" s="131">
        <f>'3.7.A廠人員分攤POH產能'!O13</f>
        <v>0</v>
      </c>
      <c r="P20" s="131">
        <f>'3.7.A廠人員分攤POH產能'!P13</f>
        <v>0</v>
      </c>
      <c r="Q20" s="131">
        <f>'3.7.A廠人員分攤POH產能'!Q13</f>
        <v>0</v>
      </c>
      <c r="R20" s="131">
        <f>'3.7.A廠人員分攤POH產能'!R13</f>
        <v>0</v>
      </c>
      <c r="S20" s="131">
        <f>'3.7.A廠人員分攤POH產能'!S13</f>
        <v>0</v>
      </c>
      <c r="T20" s="131">
        <f>'3.7.A廠人員分攤POH產能'!T13</f>
        <v>0</v>
      </c>
      <c r="U20" s="131">
        <f>'3.7.A廠人員分攤POH產能'!U13</f>
        <v>0</v>
      </c>
      <c r="V20" s="131">
        <f>'3.7.A廠人員分攤POH產能'!V13</f>
        <v>0</v>
      </c>
      <c r="W20" s="131">
        <f>'3.7.A廠人員分攤POH產能'!W13</f>
        <v>0</v>
      </c>
      <c r="X20" s="131">
        <f>'3.7.A廠人員分攤POH產能'!X13</f>
        <v>0</v>
      </c>
      <c r="Y20" s="131">
        <f>'3.7.A廠人員分攤POH產能'!Y13</f>
        <v>0</v>
      </c>
      <c r="Z20" s="131">
        <f>'3.7.A廠人員分攤POH產能'!Z13</f>
        <v>0</v>
      </c>
      <c r="AA20" s="131">
        <f>'3.7.A廠人員分攤POH產能'!AA13</f>
        <v>0</v>
      </c>
      <c r="AB20" s="131">
        <f>'3.7.A廠人員分攤POH產能'!AB13</f>
        <v>0</v>
      </c>
      <c r="AC20" s="131">
        <f>'3.7.A廠人員分攤POH產能'!AC13</f>
        <v>0</v>
      </c>
      <c r="AD20" s="131">
        <f>'3.7.A廠人員分攤POH產能'!AD13</f>
        <v>0</v>
      </c>
      <c r="AE20" s="131">
        <f>'3.7.A廠人員分攤POH產能'!AE13</f>
        <v>0</v>
      </c>
      <c r="AF20" s="131">
        <f>'3.7.A廠人員分攤POH產能'!AF13</f>
        <v>0</v>
      </c>
      <c r="AG20" s="131">
        <f>'3.7.A廠人員分攤POH產能'!AG13</f>
        <v>0</v>
      </c>
      <c r="AH20" s="131">
        <f>'3.7.A廠人員分攤POH產能'!AH13</f>
        <v>0</v>
      </c>
    </row>
    <row r="21" spans="1:34">
      <c r="A21" s="108"/>
      <c r="B21" s="108"/>
      <c r="C21" s="109"/>
      <c r="D21" s="110"/>
      <c r="E21" s="128"/>
      <c r="F21" s="128"/>
      <c r="G21" s="128"/>
      <c r="H21" s="128"/>
      <c r="I21" s="128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</row>
    <row r="22" spans="1:34">
      <c r="A22" s="406" t="s">
        <v>77</v>
      </c>
      <c r="B22" s="406">
        <v>17</v>
      </c>
      <c r="C22" s="111" t="s">
        <v>3</v>
      </c>
      <c r="D22" s="112" t="e">
        <f>AVERAGE(E22:AH22)</f>
        <v>#DIV/0!</v>
      </c>
      <c r="E22" s="129"/>
      <c r="F22" s="129"/>
      <c r="G22" s="129"/>
      <c r="H22" s="129"/>
      <c r="I22" s="129"/>
      <c r="J22" s="124"/>
      <c r="K22" s="124"/>
      <c r="L22" s="124"/>
      <c r="M22" s="124"/>
      <c r="N22" s="124"/>
      <c r="O22" s="124"/>
      <c r="P22" s="113"/>
      <c r="Q22" s="124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</row>
    <row r="23" spans="1:34">
      <c r="A23" s="406"/>
      <c r="B23" s="406"/>
      <c r="C23" s="115" t="s">
        <v>71</v>
      </c>
      <c r="D23" s="116" t="e">
        <f>AVERAGE(E23:AH23)</f>
        <v>#DIV/0!</v>
      </c>
      <c r="E23" s="125"/>
      <c r="F23" s="125"/>
      <c r="G23" s="125"/>
      <c r="H23" s="125"/>
      <c r="I23" s="125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</row>
    <row r="24" spans="1:34">
      <c r="A24" s="406"/>
      <c r="B24" s="406"/>
      <c r="C24" s="118" t="s">
        <v>72</v>
      </c>
      <c r="D24" s="119" t="e">
        <f>AVERAGE(E24:AH24)</f>
        <v>#DIV/0!</v>
      </c>
      <c r="E24" s="126"/>
      <c r="F24" s="126"/>
      <c r="G24" s="126"/>
      <c r="H24" s="126"/>
      <c r="I24" s="126"/>
      <c r="J24" s="120"/>
      <c r="K24" s="120"/>
      <c r="L24" s="120"/>
      <c r="M24" s="120"/>
      <c r="N24" s="120"/>
      <c r="O24" s="120"/>
      <c r="P24" s="114"/>
      <c r="Q24" s="120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</row>
    <row r="25" spans="1:34">
      <c r="A25" s="406"/>
      <c r="B25" s="406"/>
      <c r="C25" s="118" t="s">
        <v>73</v>
      </c>
      <c r="D25" s="121">
        <f>'[1]3-4.B1廠人均時產'!AI323</f>
        <v>0.41638229435391699</v>
      </c>
      <c r="E25" s="127"/>
      <c r="F25" s="127"/>
      <c r="G25" s="127"/>
      <c r="H25" s="127"/>
      <c r="I25" s="127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</row>
    <row r="26" spans="1:34">
      <c r="A26" s="406" t="s">
        <v>78</v>
      </c>
      <c r="B26" s="406">
        <v>18</v>
      </c>
      <c r="C26" s="111" t="s">
        <v>3</v>
      </c>
      <c r="D26" s="112" t="e">
        <f>AVERAGE(E26:AH26)</f>
        <v>#DIV/0!</v>
      </c>
      <c r="E26" s="129"/>
      <c r="F26" s="129"/>
      <c r="G26" s="129"/>
      <c r="H26" s="129"/>
      <c r="I26" s="129"/>
      <c r="J26" s="124"/>
      <c r="K26" s="124"/>
      <c r="L26" s="124"/>
      <c r="M26" s="124"/>
      <c r="N26" s="124"/>
      <c r="O26" s="124"/>
      <c r="P26" s="113"/>
      <c r="Q26" s="124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</row>
    <row r="27" spans="1:34">
      <c r="A27" s="406"/>
      <c r="B27" s="406"/>
      <c r="C27" s="115" t="s">
        <v>71</v>
      </c>
      <c r="D27" s="116" t="e">
        <f>AVERAGE(E27:AH27)</f>
        <v>#DIV/0!</v>
      </c>
      <c r="E27" s="125"/>
      <c r="F27" s="125"/>
      <c r="G27" s="125"/>
      <c r="H27" s="125"/>
      <c r="I27" s="125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</row>
    <row r="28" spans="1:34">
      <c r="A28" s="406"/>
      <c r="B28" s="406"/>
      <c r="C28" s="118" t="s">
        <v>72</v>
      </c>
      <c r="D28" s="119" t="e">
        <f>AVERAGE(E28:AH28)</f>
        <v>#DIV/0!</v>
      </c>
      <c r="E28" s="126"/>
      <c r="F28" s="126"/>
      <c r="G28" s="126"/>
      <c r="H28" s="126"/>
      <c r="I28" s="126"/>
      <c r="J28" s="120"/>
      <c r="K28" s="120"/>
      <c r="L28" s="120"/>
      <c r="M28" s="120"/>
      <c r="N28" s="120"/>
      <c r="O28" s="120"/>
      <c r="P28" s="114"/>
      <c r="Q28" s="120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</row>
    <row r="29" spans="1:34">
      <c r="A29" s="406"/>
      <c r="B29" s="406"/>
      <c r="C29" s="118" t="s">
        <v>73</v>
      </c>
      <c r="D29" s="121">
        <f>'[1]3-5.B7廠人均時產'!AI334</f>
        <v>1.1685485768054575</v>
      </c>
      <c r="E29" s="127"/>
      <c r="F29" s="127"/>
      <c r="G29" s="127"/>
      <c r="H29" s="127"/>
      <c r="I29" s="127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</row>
    <row r="30" spans="1:34">
      <c r="A30" s="398" t="s">
        <v>79</v>
      </c>
      <c r="B30" s="398">
        <f>B22+B26</f>
        <v>35</v>
      </c>
      <c r="C30" s="122" t="s">
        <v>3</v>
      </c>
      <c r="D30" s="106" t="e">
        <f>AVERAGE(E30:AH30)</f>
        <v>#DIV/0!</v>
      </c>
      <c r="E30" s="130"/>
      <c r="F30" s="130"/>
      <c r="G30" s="130"/>
      <c r="H30" s="130"/>
      <c r="I30" s="130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07"/>
      <c r="AE30" s="107"/>
      <c r="AF30" s="107"/>
      <c r="AG30" s="99"/>
      <c r="AH30" s="99"/>
    </row>
    <row r="31" spans="1:34">
      <c r="A31" s="398"/>
      <c r="B31" s="398"/>
      <c r="C31" s="90" t="s">
        <v>71</v>
      </c>
      <c r="D31" s="92" t="e">
        <f>AVERAGE(E31:AH31)</f>
        <v>#DIV/0!</v>
      </c>
      <c r="E31" s="103"/>
      <c r="F31" s="103"/>
      <c r="G31" s="103"/>
      <c r="H31" s="103"/>
      <c r="I31" s="103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9"/>
      <c r="AH31" s="99"/>
    </row>
    <row r="32" spans="1:34">
      <c r="A32" s="398"/>
      <c r="B32" s="398"/>
      <c r="C32" s="93" t="s">
        <v>72</v>
      </c>
      <c r="D32" s="96" t="e">
        <f>AVERAGE(E32:AH32)</f>
        <v>#DIV/0!</v>
      </c>
      <c r="E32" s="104"/>
      <c r="F32" s="104"/>
      <c r="G32" s="104"/>
      <c r="H32" s="104"/>
      <c r="I32" s="10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9"/>
      <c r="AE32" s="99"/>
      <c r="AF32" s="99"/>
      <c r="AG32" s="99"/>
      <c r="AH32" s="99"/>
    </row>
    <row r="33" spans="1:34">
      <c r="A33" s="399"/>
      <c r="B33" s="399"/>
      <c r="C33" s="97" t="s">
        <v>73</v>
      </c>
      <c r="D33" s="98">
        <f>'[1]3-6.總計產能  '!AI74</f>
        <v>0.46327545191067326</v>
      </c>
      <c r="E33" s="105"/>
      <c r="F33" s="105"/>
      <c r="G33" s="105"/>
      <c r="H33" s="105"/>
      <c r="I33" s="105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</row>
    <row r="34" spans="1:34">
      <c r="A34" s="400" t="s">
        <v>80</v>
      </c>
      <c r="B34" s="403">
        <f>B17+B30</f>
        <v>73</v>
      </c>
      <c r="C34" s="87" t="s">
        <v>3</v>
      </c>
      <c r="D34" s="89" t="e">
        <f>AVERAGE(E34:AH34)</f>
        <v>#DIV/0!</v>
      </c>
      <c r="E34" s="102"/>
      <c r="F34" s="102"/>
      <c r="G34" s="102"/>
      <c r="H34" s="102"/>
      <c r="I34" s="102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</row>
    <row r="35" spans="1:34">
      <c r="A35" s="401"/>
      <c r="B35" s="404"/>
      <c r="C35" s="90" t="s">
        <v>71</v>
      </c>
      <c r="D35" s="92" t="e">
        <f>AVERAGE(E35:AH35)</f>
        <v>#DIV/0!</v>
      </c>
      <c r="E35" s="103"/>
      <c r="F35" s="103"/>
      <c r="G35" s="103"/>
      <c r="H35" s="103"/>
      <c r="I35" s="103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</row>
    <row r="36" spans="1:34">
      <c r="A36" s="401"/>
      <c r="B36" s="404"/>
      <c r="C36" s="93" t="s">
        <v>81</v>
      </c>
      <c r="D36" s="100" t="e">
        <f>AVERAGE(E36:AH36)</f>
        <v>#DIV/0!</v>
      </c>
      <c r="E36" s="104"/>
      <c r="F36" s="104"/>
      <c r="G36" s="104"/>
      <c r="H36" s="104"/>
      <c r="I36" s="104"/>
      <c r="J36" s="94"/>
      <c r="K36" s="94"/>
      <c r="L36" s="94"/>
      <c r="M36" s="94"/>
      <c r="N36" s="94"/>
      <c r="O36" s="94"/>
      <c r="P36" s="95"/>
      <c r="Q36" s="94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spans="1:34">
      <c r="A37" s="402"/>
      <c r="B37" s="405"/>
      <c r="C37" s="97" t="s">
        <v>73</v>
      </c>
      <c r="D37" s="98">
        <f>'[1]3-6.總計產能  '!AI77</f>
        <v>0.5866614180263775</v>
      </c>
      <c r="E37" s="105"/>
      <c r="F37" s="105"/>
      <c r="G37" s="105"/>
      <c r="H37" s="105"/>
      <c r="I37" s="105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</row>
  </sheetData>
  <mergeCells count="17">
    <mergeCell ref="A1:B1"/>
    <mergeCell ref="A17:A20"/>
    <mergeCell ref="B17:B20"/>
    <mergeCell ref="A22:A25"/>
    <mergeCell ref="B22:B25"/>
    <mergeCell ref="A5:A8"/>
    <mergeCell ref="B5:B8"/>
    <mergeCell ref="A9:A12"/>
    <mergeCell ref="B9:B12"/>
    <mergeCell ref="A13:A16"/>
    <mergeCell ref="B13:B16"/>
    <mergeCell ref="A30:A33"/>
    <mergeCell ref="B30:B33"/>
    <mergeCell ref="A34:A37"/>
    <mergeCell ref="B34:B37"/>
    <mergeCell ref="A26:A29"/>
    <mergeCell ref="B26:B29"/>
  </mergeCells>
  <phoneticPr fontId="37" type="noConversion"/>
  <hyperlinks>
    <hyperlink ref="A1" location="'目   錄'!A1" display="回到首頁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目   錄</vt:lpstr>
      <vt:lpstr>1.月份產能總表</vt:lpstr>
      <vt:lpstr>2.1年度品牌報表</vt:lpstr>
      <vt:lpstr>2.2月份預計出貨數量</vt:lpstr>
      <vt:lpstr>3-1.人員刷卡出勤</vt:lpstr>
      <vt:lpstr>3.2.A1廠人均時產能-針車</vt:lpstr>
      <vt:lpstr>3.3.A2廠人均時產能-針車</vt:lpstr>
      <vt:lpstr>3.4 A1廠人均時產能-成型</vt:lpstr>
      <vt:lpstr>3.5.A2廠人均時產能-成型</vt:lpstr>
      <vt:lpstr>3.6.A廠總計產能</vt:lpstr>
      <vt:lpstr>3.7.A廠人員分攤POH產能</vt:lpstr>
      <vt:lpstr>5.1 全廠線均產能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2016-07-20T01:34:33Z</cp:lastPrinted>
  <dcterms:created xsi:type="dcterms:W3CDTF">2006-09-16T00:00:00Z</dcterms:created>
  <dcterms:modified xsi:type="dcterms:W3CDTF">2017-04-11T07:55:02Z</dcterms:modified>
</cp:coreProperties>
</file>