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5480" windowHeight="7455" tabRatio="414"/>
  </bookViews>
  <sheets>
    <sheet name="產線級別數量統計表" sheetId="6" r:id="rId1"/>
    <sheet name="A1厂" sheetId="4" r:id="rId2"/>
    <sheet name="A2厂" sheetId="7" r:id="rId3"/>
  </sheets>
  <definedNames>
    <definedName name="_xlnm._FilterDatabase" localSheetId="1" hidden="1">A1厂!$A$2:$M$606</definedName>
    <definedName name="_xlnm._FilterDatabase" localSheetId="2" hidden="1">A2厂!$A$1:$P$357</definedName>
  </definedNames>
  <calcPr calcId="145621"/>
</workbook>
</file>

<file path=xl/calcChain.xml><?xml version="1.0" encoding="utf-8"?>
<calcChain xmlns="http://schemas.openxmlformats.org/spreadsheetml/2006/main">
  <c r="AL35" i="6" l="1"/>
  <c r="Q110" i="7"/>
  <c r="Q109" i="7"/>
  <c r="R109" i="7" s="1"/>
  <c r="N390" i="4"/>
  <c r="O390" i="4" s="1"/>
  <c r="N387" i="4"/>
  <c r="O387" i="4" s="1"/>
  <c r="N386" i="4"/>
  <c r="O386" i="4" s="1"/>
  <c r="N385" i="4"/>
  <c r="O385" i="4" s="1"/>
  <c r="N384" i="4"/>
  <c r="O384" i="4" s="1"/>
  <c r="N388" i="4"/>
  <c r="O388" i="4" s="1"/>
  <c r="N382" i="4"/>
  <c r="O382" i="4" s="1"/>
  <c r="N389" i="4"/>
  <c r="O389" i="4" s="1"/>
  <c r="N381" i="4"/>
  <c r="O381" i="4" s="1"/>
  <c r="N380" i="4"/>
  <c r="O380" i="4" s="1"/>
  <c r="N379" i="4"/>
  <c r="O379" i="4" s="1"/>
  <c r="N378" i="4"/>
  <c r="O378" i="4" s="1"/>
  <c r="N217" i="4"/>
  <c r="N214" i="4"/>
  <c r="N235" i="4"/>
  <c r="N218" i="4"/>
  <c r="N216" i="4"/>
  <c r="N215" i="4"/>
  <c r="N213" i="4"/>
  <c r="O213" i="4" s="1"/>
  <c r="N212" i="4"/>
  <c r="O212" i="4" s="1"/>
  <c r="AM5" i="6"/>
  <c r="AM6" i="6"/>
  <c r="AM35" i="6" s="1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4" i="6"/>
  <c r="Q333" i="7"/>
  <c r="R333" i="7" s="1"/>
  <c r="Q334" i="7"/>
  <c r="R334" i="7" s="1"/>
  <c r="Q335" i="7"/>
  <c r="R335" i="7" s="1"/>
  <c r="Q336" i="7"/>
  <c r="R336" i="7" s="1"/>
  <c r="Q337" i="7"/>
  <c r="R337" i="7" s="1"/>
  <c r="Q338" i="7"/>
  <c r="R338" i="7" s="1"/>
  <c r="Q339" i="7"/>
  <c r="R339" i="7" s="1"/>
  <c r="Q340" i="7"/>
  <c r="R340" i="7" s="1"/>
  <c r="Q341" i="7"/>
  <c r="R341" i="7" s="1"/>
  <c r="Q342" i="7"/>
  <c r="R342" i="7" s="1"/>
  <c r="Q343" i="7"/>
  <c r="R343" i="7" s="1"/>
  <c r="Q344" i="7"/>
  <c r="R344" i="7" s="1"/>
  <c r="Q345" i="7"/>
  <c r="R345" i="7" s="1"/>
  <c r="Q346" i="7"/>
  <c r="R346" i="7" s="1"/>
  <c r="Q347" i="7"/>
  <c r="R347" i="7" s="1"/>
  <c r="Q348" i="7"/>
  <c r="R348" i="7" s="1"/>
  <c r="Q349" i="7"/>
  <c r="R349" i="7" s="1"/>
  <c r="Q350" i="7"/>
  <c r="R350" i="7" s="1"/>
  <c r="Q351" i="7"/>
  <c r="R351" i="7" s="1"/>
  <c r="Q352" i="7"/>
  <c r="R352" i="7" s="1"/>
  <c r="Q353" i="7"/>
  <c r="R353" i="7" s="1"/>
  <c r="Q332" i="7"/>
  <c r="R332" i="7" s="1"/>
  <c r="Q330" i="7"/>
  <c r="R330" i="7" s="1"/>
  <c r="Q329" i="7"/>
  <c r="R329" i="7" s="1"/>
  <c r="Q328" i="7"/>
  <c r="R328" i="7" s="1"/>
  <c r="Q327" i="7"/>
  <c r="R327" i="7" s="1"/>
  <c r="Q326" i="7"/>
  <c r="R326" i="7" s="1"/>
  <c r="Q325" i="7"/>
  <c r="R325" i="7" s="1"/>
  <c r="Q323" i="7"/>
  <c r="R323" i="7" s="1"/>
  <c r="Q322" i="7"/>
  <c r="R322" i="7" s="1"/>
  <c r="Q319" i="7"/>
  <c r="R319" i="7" s="1"/>
  <c r="Q318" i="7"/>
  <c r="R318" i="7" s="1"/>
  <c r="Q317" i="7"/>
  <c r="R317" i="7" s="1"/>
  <c r="Q316" i="7"/>
  <c r="R316" i="7" s="1"/>
  <c r="Q311" i="7"/>
  <c r="R311" i="7" s="1"/>
  <c r="Q310" i="7"/>
  <c r="R310" i="7" s="1"/>
  <c r="Q309" i="7"/>
  <c r="R309" i="7" s="1"/>
  <c r="Q308" i="7"/>
  <c r="R308" i="7" s="1"/>
  <c r="Q303" i="7"/>
  <c r="R303" i="7" s="1"/>
  <c r="Q302" i="7"/>
  <c r="R302" i="7" s="1"/>
  <c r="Q301" i="7"/>
  <c r="R301" i="7" s="1"/>
  <c r="Q300" i="7"/>
  <c r="R300" i="7" s="1"/>
  <c r="Q299" i="7"/>
  <c r="R299" i="7" s="1"/>
  <c r="Q298" i="7"/>
  <c r="R298" i="7" s="1"/>
  <c r="Q297" i="7"/>
  <c r="R297" i="7" s="1"/>
  <c r="Q296" i="7"/>
  <c r="R296" i="7" s="1"/>
  <c r="Q295" i="7"/>
  <c r="R295" i="7" s="1"/>
  <c r="Q294" i="7"/>
  <c r="R294" i="7" s="1"/>
  <c r="Q293" i="7"/>
  <c r="R293" i="7" s="1"/>
  <c r="Q292" i="7"/>
  <c r="R292" i="7" s="1"/>
  <c r="Q291" i="7"/>
  <c r="R291" i="7" s="1"/>
  <c r="Q315" i="7"/>
  <c r="R315" i="7" s="1"/>
  <c r="Q314" i="7"/>
  <c r="R314" i="7" s="1"/>
  <c r="Q313" i="7"/>
  <c r="R313" i="7" s="1"/>
  <c r="Q312" i="7"/>
  <c r="R312" i="7" s="1"/>
  <c r="Q307" i="7"/>
  <c r="R307" i="7" s="1"/>
  <c r="Q306" i="7"/>
  <c r="R306" i="7" s="1"/>
  <c r="Q305" i="7"/>
  <c r="R305" i="7" s="1"/>
  <c r="Q304" i="7"/>
  <c r="R304" i="7" s="1"/>
  <c r="AG31" i="6"/>
  <c r="Q253" i="7"/>
  <c r="R253" i="7" s="1"/>
  <c r="Q254" i="7"/>
  <c r="R254" i="7" s="1"/>
  <c r="Q255" i="7"/>
  <c r="R255" i="7" s="1"/>
  <c r="Q256" i="7"/>
  <c r="R256" i="7" s="1"/>
  <c r="Q257" i="7"/>
  <c r="R257" i="7" s="1"/>
  <c r="Q258" i="7"/>
  <c r="R258" i="7" s="1"/>
  <c r="Q259" i="7"/>
  <c r="R259" i="7" s="1"/>
  <c r="Q260" i="7"/>
  <c r="R260" i="7" s="1"/>
  <c r="Q261" i="7"/>
  <c r="R261" i="7" s="1"/>
  <c r="Q262" i="7"/>
  <c r="R262" i="7" s="1"/>
  <c r="Q263" i="7"/>
  <c r="R263" i="7" s="1"/>
  <c r="Q264" i="7"/>
  <c r="R264" i="7" s="1"/>
  <c r="Q265" i="7"/>
  <c r="R265" i="7" s="1"/>
  <c r="Q266" i="7"/>
  <c r="R266" i="7" s="1"/>
  <c r="Q267" i="7"/>
  <c r="R267" i="7" s="1"/>
  <c r="Q268" i="7"/>
  <c r="R268" i="7" s="1"/>
  <c r="Q269" i="7"/>
  <c r="R269" i="7" s="1"/>
  <c r="Q270" i="7"/>
  <c r="R270" i="7" s="1"/>
  <c r="Q271" i="7"/>
  <c r="R271" i="7" s="1"/>
  <c r="Q272" i="7"/>
  <c r="R272" i="7" s="1"/>
  <c r="Q273" i="7"/>
  <c r="R273" i="7" s="1"/>
  <c r="Q274" i="7"/>
  <c r="R274" i="7" s="1"/>
  <c r="Q275" i="7"/>
  <c r="R275" i="7" s="1"/>
  <c r="Q276" i="7"/>
  <c r="R276" i="7" s="1"/>
  <c r="Q277" i="7"/>
  <c r="R277" i="7" s="1"/>
  <c r="Q278" i="7"/>
  <c r="R278" i="7" s="1"/>
  <c r="Q279" i="7"/>
  <c r="R279" i="7" s="1"/>
  <c r="Q280" i="7"/>
  <c r="R280" i="7" s="1"/>
  <c r="Q281" i="7"/>
  <c r="R281" i="7" s="1"/>
  <c r="Q282" i="7"/>
  <c r="R282" i="7" s="1"/>
  <c r="Q283" i="7"/>
  <c r="R283" i="7" s="1"/>
  <c r="Q284" i="7"/>
  <c r="R284" i="7" s="1"/>
  <c r="Q285" i="7"/>
  <c r="R285" i="7" s="1"/>
  <c r="Q286" i="7"/>
  <c r="R286" i="7" s="1"/>
  <c r="Q287" i="7"/>
  <c r="R287" i="7" s="1"/>
  <c r="Q288" i="7"/>
  <c r="R288" i="7" s="1"/>
  <c r="Q289" i="7"/>
  <c r="R289" i="7" s="1"/>
  <c r="Q252" i="7"/>
  <c r="R252" i="7" s="1"/>
  <c r="Q156" i="7"/>
  <c r="R156" i="7" s="1"/>
  <c r="Q157" i="7"/>
  <c r="R157" i="7" s="1"/>
  <c r="Q158" i="7"/>
  <c r="R158" i="7" s="1"/>
  <c r="Q159" i="7"/>
  <c r="R159" i="7" s="1"/>
  <c r="Q160" i="7"/>
  <c r="R160" i="7" s="1"/>
  <c r="Q161" i="7"/>
  <c r="R161" i="7" s="1"/>
  <c r="Q162" i="7"/>
  <c r="R162" i="7" s="1"/>
  <c r="Q163" i="7"/>
  <c r="R163" i="7" s="1"/>
  <c r="Q164" i="7"/>
  <c r="R164" i="7" s="1"/>
  <c r="Q165" i="7"/>
  <c r="R165" i="7" s="1"/>
  <c r="Q166" i="7"/>
  <c r="R166" i="7" s="1"/>
  <c r="Q167" i="7"/>
  <c r="R167" i="7" s="1"/>
  <c r="Q168" i="7"/>
  <c r="R168" i="7" s="1"/>
  <c r="Q169" i="7"/>
  <c r="R169" i="7" s="1"/>
  <c r="Q170" i="7"/>
  <c r="R170" i="7" s="1"/>
  <c r="Q171" i="7"/>
  <c r="R171" i="7" s="1"/>
  <c r="Q172" i="7"/>
  <c r="R172" i="7" s="1"/>
  <c r="Q173" i="7"/>
  <c r="R173" i="7" s="1"/>
  <c r="Q174" i="7"/>
  <c r="R174" i="7" s="1"/>
  <c r="Q175" i="7"/>
  <c r="R175" i="7" s="1"/>
  <c r="Q176" i="7"/>
  <c r="R176" i="7" s="1"/>
  <c r="Q177" i="7"/>
  <c r="R177" i="7" s="1"/>
  <c r="Q178" i="7"/>
  <c r="R178" i="7" s="1"/>
  <c r="Q179" i="7"/>
  <c r="R179" i="7" s="1"/>
  <c r="Q155" i="7"/>
  <c r="R155" i="7" s="1"/>
  <c r="AC28" i="6"/>
  <c r="R110" i="7"/>
  <c r="Q111" i="7"/>
  <c r="R111" i="7" s="1"/>
  <c r="Q112" i="7"/>
  <c r="R112" i="7" s="1"/>
  <c r="Q113" i="7"/>
  <c r="R113" i="7" s="1"/>
  <c r="Q114" i="7"/>
  <c r="R114" i="7" s="1"/>
  <c r="Q115" i="7"/>
  <c r="R115" i="7" s="1"/>
  <c r="Q116" i="7"/>
  <c r="R116" i="7" s="1"/>
  <c r="Q117" i="7"/>
  <c r="R117" i="7" s="1"/>
  <c r="Q118" i="7"/>
  <c r="R118" i="7" s="1"/>
  <c r="Q119" i="7"/>
  <c r="R119" i="7" s="1"/>
  <c r="Q120" i="7"/>
  <c r="R120" i="7" s="1"/>
  <c r="Q121" i="7"/>
  <c r="R121" i="7" s="1"/>
  <c r="Q122" i="7"/>
  <c r="R122" i="7" s="1"/>
  <c r="Q123" i="7"/>
  <c r="R123" i="7" s="1"/>
  <c r="Q124" i="7"/>
  <c r="R124" i="7" s="1"/>
  <c r="Q125" i="7"/>
  <c r="R125" i="7" s="1"/>
  <c r="Q126" i="7"/>
  <c r="R126" i="7" s="1"/>
  <c r="Q127" i="7"/>
  <c r="R127" i="7" s="1"/>
  <c r="Q128" i="7"/>
  <c r="R128" i="7" s="1"/>
  <c r="Q129" i="7"/>
  <c r="R129" i="7" s="1"/>
  <c r="Q130" i="7"/>
  <c r="R130" i="7" s="1"/>
  <c r="Q131" i="7"/>
  <c r="R131" i="7" s="1"/>
  <c r="Q132" i="7"/>
  <c r="R132" i="7" s="1"/>
  <c r="Q133" i="7"/>
  <c r="R133" i="7" s="1"/>
  <c r="Q134" i="7"/>
  <c r="R134" i="7" s="1"/>
  <c r="Q135" i="7"/>
  <c r="R135" i="7" s="1"/>
  <c r="Q136" i="7"/>
  <c r="R136" i="7" s="1"/>
  <c r="Q137" i="7"/>
  <c r="R137" i="7" s="1"/>
  <c r="AF26" i="6"/>
  <c r="Q100" i="7"/>
  <c r="R100" i="7" s="1"/>
  <c r="Q101" i="7"/>
  <c r="R101" i="7" s="1"/>
  <c r="Q102" i="7"/>
  <c r="R102" i="7" s="1"/>
  <c r="Q103" i="7"/>
  <c r="R103" i="7" s="1"/>
  <c r="Q104" i="7"/>
  <c r="R104" i="7" s="1"/>
  <c r="Q105" i="7"/>
  <c r="R105" i="7" s="1"/>
  <c r="Q106" i="7"/>
  <c r="R106" i="7" s="1"/>
  <c r="Q107" i="7"/>
  <c r="R107" i="7" s="1"/>
  <c r="Q99" i="7"/>
  <c r="R99" i="7" s="1"/>
  <c r="Q21" i="7"/>
  <c r="R21" i="7" s="1"/>
  <c r="Q79" i="7"/>
  <c r="R79" i="7" s="1"/>
  <c r="Q78" i="7"/>
  <c r="R78" i="7" s="1"/>
  <c r="Q77" i="7"/>
  <c r="R77" i="7" s="1"/>
  <c r="Q72" i="7"/>
  <c r="R72" i="7" s="1"/>
  <c r="Q71" i="7"/>
  <c r="R71" i="7" s="1"/>
  <c r="Q70" i="7"/>
  <c r="R70" i="7" s="1"/>
  <c r="Q69" i="7"/>
  <c r="R69" i="7" s="1"/>
  <c r="Q52" i="7"/>
  <c r="R52" i="7" s="1"/>
  <c r="Q51" i="7"/>
  <c r="R51" i="7" s="1"/>
  <c r="Q50" i="7"/>
  <c r="R50" i="7" s="1"/>
  <c r="Q49" i="7"/>
  <c r="R49" i="7" s="1"/>
  <c r="Q48" i="7"/>
  <c r="R48" i="7" s="1"/>
  <c r="Q47" i="7"/>
  <c r="R47" i="7" s="1"/>
  <c r="Q46" i="7"/>
  <c r="R46" i="7" s="1"/>
  <c r="Q45" i="7"/>
  <c r="R45" i="7" s="1"/>
  <c r="Q27" i="7"/>
  <c r="R27" i="7" s="1"/>
  <c r="Q26" i="7"/>
  <c r="R26" i="7" s="1"/>
  <c r="Q25" i="7"/>
  <c r="R25" i="7" s="1"/>
  <c r="Q24" i="7"/>
  <c r="R24" i="7" s="1"/>
  <c r="Q23" i="7"/>
  <c r="R23" i="7" s="1"/>
  <c r="Q22" i="7"/>
  <c r="R22" i="7" s="1"/>
  <c r="Q97" i="7"/>
  <c r="R97" i="7" s="1"/>
  <c r="Q96" i="7"/>
  <c r="R96" i="7" s="1"/>
  <c r="Q95" i="7"/>
  <c r="R95" i="7" s="1"/>
  <c r="Q94" i="7"/>
  <c r="R94" i="7" s="1"/>
  <c r="Q93" i="7"/>
  <c r="R93" i="7" s="1"/>
  <c r="Q92" i="7"/>
  <c r="R92" i="7" s="1"/>
  <c r="Q91" i="7"/>
  <c r="R91" i="7" s="1"/>
  <c r="Q90" i="7"/>
  <c r="R90" i="7" s="1"/>
  <c r="Q89" i="7"/>
  <c r="R89" i="7" s="1"/>
  <c r="Q88" i="7"/>
  <c r="R88" i="7" s="1"/>
  <c r="Q87" i="7"/>
  <c r="R87" i="7" s="1"/>
  <c r="Q86" i="7"/>
  <c r="R86" i="7" s="1"/>
  <c r="Q85" i="7"/>
  <c r="R85" i="7" s="1"/>
  <c r="Q84" i="7"/>
  <c r="R84" i="7" s="1"/>
  <c r="Q83" i="7"/>
  <c r="R83" i="7" s="1"/>
  <c r="Q82" i="7"/>
  <c r="R82" i="7" s="1"/>
  <c r="Q81" i="7"/>
  <c r="R81" i="7" s="1"/>
  <c r="Q80" i="7"/>
  <c r="R80" i="7" s="1"/>
  <c r="Q74" i="7"/>
  <c r="R74" i="7" s="1"/>
  <c r="Q73" i="7"/>
  <c r="R73" i="7" s="1"/>
  <c r="Q68" i="7"/>
  <c r="R68" i="7" s="1"/>
  <c r="Q67" i="7"/>
  <c r="R67" i="7" s="1"/>
  <c r="Q66" i="7"/>
  <c r="R66" i="7" s="1"/>
  <c r="Q65" i="7"/>
  <c r="R65" i="7" s="1"/>
  <c r="Q64" i="7"/>
  <c r="R64" i="7" s="1"/>
  <c r="Q63" i="7"/>
  <c r="R63" i="7" s="1"/>
  <c r="Q62" i="7"/>
  <c r="R62" i="7" s="1"/>
  <c r="Q61" i="7"/>
  <c r="R61" i="7" s="1"/>
  <c r="Q60" i="7"/>
  <c r="R60" i="7" s="1"/>
  <c r="Q59" i="7"/>
  <c r="R59" i="7" s="1"/>
  <c r="Q58" i="7"/>
  <c r="R58" i="7" s="1"/>
  <c r="Q57" i="7"/>
  <c r="R57" i="7" s="1"/>
  <c r="Q56" i="7"/>
  <c r="R56" i="7" s="1"/>
  <c r="Q55" i="7"/>
  <c r="R55" i="7" s="1"/>
  <c r="Q54" i="7"/>
  <c r="R54" i="7" s="1"/>
  <c r="Q53" i="7"/>
  <c r="R53" i="7" s="1"/>
  <c r="Q44" i="7"/>
  <c r="R44" i="7" s="1"/>
  <c r="Q43" i="7"/>
  <c r="R43" i="7" s="1"/>
  <c r="Q42" i="7"/>
  <c r="R42" i="7" s="1"/>
  <c r="Q41" i="7"/>
  <c r="R41" i="7" s="1"/>
  <c r="Q40" i="7"/>
  <c r="R40" i="7" s="1"/>
  <c r="Q39" i="7"/>
  <c r="R39" i="7" s="1"/>
  <c r="Q38" i="7"/>
  <c r="R38" i="7" s="1"/>
  <c r="Q37" i="7"/>
  <c r="R37" i="7" s="1"/>
  <c r="Q36" i="7"/>
  <c r="R36" i="7" s="1"/>
  <c r="Q35" i="7"/>
  <c r="R35" i="7" s="1"/>
  <c r="Q34" i="7"/>
  <c r="R34" i="7" s="1"/>
  <c r="Q33" i="7"/>
  <c r="R33" i="7" s="1"/>
  <c r="Q32" i="7"/>
  <c r="R32" i="7" s="1"/>
  <c r="Q31" i="7"/>
  <c r="R31" i="7" s="1"/>
  <c r="Q30" i="7"/>
  <c r="R30" i="7" s="1"/>
  <c r="Q29" i="7"/>
  <c r="R29" i="7" s="1"/>
  <c r="Q28" i="7"/>
  <c r="R28" i="7" s="1"/>
  <c r="Q20" i="7"/>
  <c r="R20" i="7" s="1"/>
  <c r="Q19" i="7"/>
  <c r="R19" i="7" s="1"/>
  <c r="Q17" i="7"/>
  <c r="R17" i="7" s="1"/>
  <c r="Q16" i="7"/>
  <c r="R16" i="7" s="1"/>
  <c r="Q15" i="7"/>
  <c r="R15" i="7" s="1"/>
  <c r="Q14" i="7"/>
  <c r="R14" i="7" s="1"/>
  <c r="Q13" i="7"/>
  <c r="R13" i="7" s="1"/>
  <c r="Q12" i="7"/>
  <c r="R12" i="7" s="1"/>
  <c r="Q11" i="7"/>
  <c r="R11" i="7" s="1"/>
  <c r="Q10" i="7"/>
  <c r="R10" i="7" s="1"/>
  <c r="Q9" i="7"/>
  <c r="R9" i="7" s="1"/>
  <c r="Q4" i="7"/>
  <c r="R4" i="7" s="1"/>
  <c r="Q3" i="7"/>
  <c r="R3" i="7" s="1"/>
  <c r="Q2" i="7"/>
  <c r="R2" i="7" s="1"/>
  <c r="AC23" i="6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568" i="4"/>
  <c r="N543" i="4"/>
  <c r="O543" i="4" s="1"/>
  <c r="N544" i="4"/>
  <c r="O544" i="4" s="1"/>
  <c r="N545" i="4"/>
  <c r="O545" i="4" s="1"/>
  <c r="N546" i="4"/>
  <c r="O546" i="4" s="1"/>
  <c r="N547" i="4"/>
  <c r="O547" i="4" s="1"/>
  <c r="N548" i="4"/>
  <c r="O548" i="4" s="1"/>
  <c r="N549" i="4"/>
  <c r="O549" i="4" s="1"/>
  <c r="N550" i="4"/>
  <c r="O550" i="4" s="1"/>
  <c r="N551" i="4"/>
  <c r="O551" i="4" s="1"/>
  <c r="N552" i="4"/>
  <c r="O552" i="4" s="1"/>
  <c r="N553" i="4"/>
  <c r="O553" i="4" s="1"/>
  <c r="N554" i="4"/>
  <c r="O554" i="4" s="1"/>
  <c r="N555" i="4"/>
  <c r="O555" i="4" s="1"/>
  <c r="N556" i="4"/>
  <c r="O556" i="4" s="1"/>
  <c r="N557" i="4"/>
  <c r="O557" i="4" s="1"/>
  <c r="N558" i="4"/>
  <c r="O558" i="4" s="1"/>
  <c r="N559" i="4"/>
  <c r="O559" i="4" s="1"/>
  <c r="N560" i="4"/>
  <c r="O560" i="4" s="1"/>
  <c r="N561" i="4"/>
  <c r="O561" i="4" s="1"/>
  <c r="N562" i="4"/>
  <c r="O562" i="4" s="1"/>
  <c r="N563" i="4"/>
  <c r="O563" i="4" s="1"/>
  <c r="N564" i="4"/>
  <c r="O564" i="4" s="1"/>
  <c r="N565" i="4"/>
  <c r="O565" i="4" s="1"/>
  <c r="N542" i="4"/>
  <c r="O542" i="4" s="1"/>
  <c r="N535" i="4"/>
  <c r="O535" i="4" s="1"/>
  <c r="N534" i="4"/>
  <c r="O534" i="4" s="1"/>
  <c r="N533" i="4"/>
  <c r="O533" i="4" s="1"/>
  <c r="N532" i="4"/>
  <c r="O532" i="4" s="1"/>
  <c r="N531" i="4"/>
  <c r="O531" i="4" s="1"/>
  <c r="N530" i="4"/>
  <c r="O530" i="4" s="1"/>
  <c r="N529" i="4"/>
  <c r="O529" i="4" s="1"/>
  <c r="N527" i="4"/>
  <c r="O527" i="4" s="1"/>
  <c r="N526" i="4"/>
  <c r="O526" i="4" s="1"/>
  <c r="N525" i="4"/>
  <c r="O525" i="4" s="1"/>
  <c r="N523" i="4"/>
  <c r="O523" i="4" s="1"/>
  <c r="N521" i="4"/>
  <c r="O521" i="4" s="1"/>
  <c r="N520" i="4"/>
  <c r="O520" i="4" s="1"/>
  <c r="N519" i="4"/>
  <c r="O519" i="4" s="1"/>
  <c r="N517" i="4"/>
  <c r="O517" i="4" s="1"/>
  <c r="N516" i="4"/>
  <c r="O516" i="4" s="1"/>
  <c r="N515" i="4"/>
  <c r="O515" i="4" s="1"/>
  <c r="N514" i="4"/>
  <c r="O514" i="4" s="1"/>
  <c r="N513" i="4"/>
  <c r="O513" i="4" s="1"/>
  <c r="N512" i="4"/>
  <c r="O512" i="4" s="1"/>
  <c r="N511" i="4"/>
  <c r="O511" i="4" s="1"/>
  <c r="N510" i="4"/>
  <c r="O510" i="4" s="1"/>
  <c r="N509" i="4"/>
  <c r="O509" i="4" s="1"/>
  <c r="N508" i="4"/>
  <c r="O508" i="4" s="1"/>
  <c r="N507" i="4"/>
  <c r="O507" i="4" s="1"/>
  <c r="N506" i="4"/>
  <c r="O506" i="4" s="1"/>
  <c r="N505" i="4"/>
  <c r="O505" i="4" s="1"/>
  <c r="N504" i="4"/>
  <c r="O504" i="4" s="1"/>
  <c r="N503" i="4"/>
  <c r="O503" i="4" s="1"/>
  <c r="N502" i="4"/>
  <c r="O502" i="4" s="1"/>
  <c r="N501" i="4"/>
  <c r="O501" i="4" s="1"/>
  <c r="N500" i="4"/>
  <c r="O500" i="4" s="1"/>
  <c r="N499" i="4"/>
  <c r="O499" i="4" s="1"/>
  <c r="N498" i="4"/>
  <c r="O498" i="4" s="1"/>
  <c r="N497" i="4"/>
  <c r="O497" i="4" s="1"/>
  <c r="N496" i="4"/>
  <c r="O496" i="4" s="1"/>
  <c r="N495" i="4"/>
  <c r="O495" i="4" s="1"/>
  <c r="N494" i="4"/>
  <c r="O494" i="4" s="1"/>
  <c r="N493" i="4"/>
  <c r="O493" i="4" s="1"/>
  <c r="N492" i="4"/>
  <c r="O492" i="4" s="1"/>
  <c r="N491" i="4"/>
  <c r="O491" i="4" s="1"/>
  <c r="N490" i="4"/>
  <c r="O490" i="4" s="1"/>
  <c r="N528" i="4"/>
  <c r="O528" i="4" s="1"/>
  <c r="N524" i="4"/>
  <c r="O524" i="4" s="1"/>
  <c r="N522" i="4"/>
  <c r="O522" i="4" s="1"/>
  <c r="N518" i="4"/>
  <c r="O518" i="4" s="1"/>
  <c r="N489" i="4"/>
  <c r="O489" i="4" s="1"/>
  <c r="N488" i="4"/>
  <c r="O488" i="4" s="1"/>
  <c r="N487" i="4"/>
  <c r="O487" i="4" s="1"/>
  <c r="N486" i="4"/>
  <c r="O486" i="4" s="1"/>
  <c r="N485" i="4"/>
  <c r="O485" i="4" s="1"/>
  <c r="N484" i="4"/>
  <c r="O484" i="4" s="1"/>
  <c r="N483" i="4"/>
  <c r="O483" i="4" s="1"/>
  <c r="N482" i="4"/>
  <c r="O482" i="4" s="1"/>
  <c r="N481" i="4"/>
  <c r="O481" i="4" s="1"/>
  <c r="N480" i="4"/>
  <c r="O480" i="4" s="1"/>
  <c r="N479" i="4"/>
  <c r="O479" i="4" s="1"/>
  <c r="N459" i="4"/>
  <c r="O459" i="4" s="1"/>
  <c r="N460" i="4"/>
  <c r="O460" i="4" s="1"/>
  <c r="N461" i="4"/>
  <c r="O461" i="4" s="1"/>
  <c r="N462" i="4"/>
  <c r="O462" i="4" s="1"/>
  <c r="N463" i="4"/>
  <c r="O463" i="4" s="1"/>
  <c r="N464" i="4"/>
  <c r="O464" i="4" s="1"/>
  <c r="N465" i="4"/>
  <c r="O465" i="4" s="1"/>
  <c r="N466" i="4"/>
  <c r="O466" i="4" s="1"/>
  <c r="N467" i="4"/>
  <c r="O467" i="4" s="1"/>
  <c r="N468" i="4"/>
  <c r="O468" i="4" s="1"/>
  <c r="N469" i="4"/>
  <c r="O469" i="4" s="1"/>
  <c r="N470" i="4"/>
  <c r="O470" i="4" s="1"/>
  <c r="N471" i="4"/>
  <c r="O471" i="4" s="1"/>
  <c r="N472" i="4"/>
  <c r="O472" i="4" s="1"/>
  <c r="N473" i="4"/>
  <c r="O473" i="4" s="1"/>
  <c r="N474" i="4"/>
  <c r="O474" i="4" s="1"/>
  <c r="N475" i="4"/>
  <c r="O475" i="4" s="1"/>
  <c r="N476" i="4"/>
  <c r="O476" i="4" s="1"/>
  <c r="N477" i="4"/>
  <c r="O477" i="4" s="1"/>
  <c r="N458" i="4"/>
  <c r="O458" i="4" s="1"/>
  <c r="N448" i="4"/>
  <c r="O448" i="4" s="1"/>
  <c r="N449" i="4"/>
  <c r="O449" i="4" s="1"/>
  <c r="N450" i="4"/>
  <c r="O450" i="4" s="1"/>
  <c r="N451" i="4"/>
  <c r="O451" i="4" s="1"/>
  <c r="N452" i="4"/>
  <c r="O452" i="4" s="1"/>
  <c r="N453" i="4"/>
  <c r="O453" i="4" s="1"/>
  <c r="N454" i="4"/>
  <c r="O454" i="4" s="1"/>
  <c r="N455" i="4"/>
  <c r="O455" i="4" s="1"/>
  <c r="N456" i="4"/>
  <c r="O456" i="4" s="1"/>
  <c r="N457" i="4"/>
  <c r="O457" i="4" s="1"/>
  <c r="N447" i="4"/>
  <c r="O447" i="4" s="1"/>
  <c r="N438" i="4"/>
  <c r="O438" i="4" s="1"/>
  <c r="N439" i="4"/>
  <c r="O439" i="4" s="1"/>
  <c r="N440" i="4"/>
  <c r="O440" i="4" s="1"/>
  <c r="N441" i="4"/>
  <c r="O441" i="4" s="1"/>
  <c r="N442" i="4"/>
  <c r="O442" i="4" s="1"/>
  <c r="N443" i="4"/>
  <c r="O443" i="4" s="1"/>
  <c r="N444" i="4"/>
  <c r="O444" i="4" s="1"/>
  <c r="N445" i="4"/>
  <c r="O445" i="4" s="1"/>
  <c r="N446" i="4"/>
  <c r="O446" i="4" s="1"/>
  <c r="N437" i="4"/>
  <c r="O437" i="4" s="1"/>
  <c r="N434" i="4"/>
  <c r="O434" i="4" s="1"/>
  <c r="N435" i="4"/>
  <c r="O435" i="4" s="1"/>
  <c r="N433" i="4"/>
  <c r="O433" i="4" s="1"/>
  <c r="N402" i="4"/>
  <c r="O402" i="4" s="1"/>
  <c r="N403" i="4"/>
  <c r="O403" i="4" s="1"/>
  <c r="N404" i="4"/>
  <c r="O404" i="4" s="1"/>
  <c r="N405" i="4"/>
  <c r="O405" i="4" s="1"/>
  <c r="N406" i="4"/>
  <c r="O406" i="4" s="1"/>
  <c r="N407" i="4"/>
  <c r="O407" i="4" s="1"/>
  <c r="N408" i="4"/>
  <c r="O408" i="4" s="1"/>
  <c r="N409" i="4"/>
  <c r="O409" i="4" s="1"/>
  <c r="N410" i="4"/>
  <c r="O410" i="4" s="1"/>
  <c r="N411" i="4"/>
  <c r="O411" i="4" s="1"/>
  <c r="N412" i="4"/>
  <c r="O412" i="4" s="1"/>
  <c r="N413" i="4"/>
  <c r="O413" i="4" s="1"/>
  <c r="N414" i="4"/>
  <c r="O414" i="4" s="1"/>
  <c r="N415" i="4"/>
  <c r="O415" i="4" s="1"/>
  <c r="N416" i="4"/>
  <c r="O416" i="4" s="1"/>
  <c r="N417" i="4"/>
  <c r="O417" i="4" s="1"/>
  <c r="N418" i="4"/>
  <c r="O418" i="4" s="1"/>
  <c r="N419" i="4"/>
  <c r="O419" i="4" s="1"/>
  <c r="N420" i="4"/>
  <c r="O420" i="4" s="1"/>
  <c r="N421" i="4"/>
  <c r="O421" i="4" s="1"/>
  <c r="N422" i="4"/>
  <c r="O422" i="4" s="1"/>
  <c r="N423" i="4"/>
  <c r="O423" i="4" s="1"/>
  <c r="N424" i="4"/>
  <c r="O424" i="4" s="1"/>
  <c r="N425" i="4"/>
  <c r="O425" i="4" s="1"/>
  <c r="N426" i="4"/>
  <c r="O426" i="4" s="1"/>
  <c r="N427" i="4"/>
  <c r="O427" i="4" s="1"/>
  <c r="N428" i="4"/>
  <c r="O428" i="4" s="1"/>
  <c r="N429" i="4"/>
  <c r="O429" i="4" s="1"/>
  <c r="N430" i="4"/>
  <c r="O430" i="4" s="1"/>
  <c r="N431" i="4"/>
  <c r="O431" i="4" s="1"/>
  <c r="N432" i="4"/>
  <c r="O432" i="4" s="1"/>
  <c r="N401" i="4"/>
  <c r="O401" i="4" s="1"/>
  <c r="AD18" i="6"/>
  <c r="N393" i="4"/>
  <c r="O393" i="4" s="1"/>
  <c r="N394" i="4"/>
  <c r="O394" i="4" s="1"/>
  <c r="N395" i="4"/>
  <c r="O395" i="4" s="1"/>
  <c r="N396" i="4"/>
  <c r="O396" i="4" s="1"/>
  <c r="N397" i="4"/>
  <c r="O397" i="4" s="1"/>
  <c r="N398" i="4"/>
  <c r="O398" i="4" s="1"/>
  <c r="N399" i="4"/>
  <c r="O399" i="4" s="1"/>
  <c r="N392" i="4"/>
  <c r="O392" i="4" s="1"/>
  <c r="N372" i="4" l="1"/>
  <c r="O372" i="4" s="1"/>
  <c r="N363" i="4"/>
  <c r="O363" i="4" s="1"/>
  <c r="N362" i="4"/>
  <c r="O362" i="4" s="1"/>
  <c r="N361" i="4"/>
  <c r="O361" i="4" s="1"/>
  <c r="N360" i="4"/>
  <c r="O360" i="4" s="1"/>
  <c r="N359" i="4"/>
  <c r="O359" i="4" s="1"/>
  <c r="N358" i="4"/>
  <c r="O358" i="4" s="1"/>
  <c r="N357" i="4"/>
  <c r="O357" i="4" s="1"/>
  <c r="N356" i="4"/>
  <c r="O356" i="4" s="1"/>
  <c r="N355" i="4"/>
  <c r="O355" i="4" s="1"/>
  <c r="N354" i="4"/>
  <c r="O354" i="4" s="1"/>
  <c r="N373" i="4"/>
  <c r="O373" i="4" s="1"/>
  <c r="N371" i="4"/>
  <c r="O371" i="4" s="1"/>
  <c r="N370" i="4"/>
  <c r="O370" i="4" s="1"/>
  <c r="N369" i="4"/>
  <c r="O369" i="4" s="1"/>
  <c r="N368" i="4"/>
  <c r="O368" i="4" s="1"/>
  <c r="N367" i="4"/>
  <c r="O367" i="4" s="1"/>
  <c r="N366" i="4"/>
  <c r="O366" i="4" s="1"/>
  <c r="N365" i="4"/>
  <c r="O365" i="4" s="1"/>
  <c r="N364" i="4"/>
  <c r="O364" i="4" s="1"/>
  <c r="N344" i="4"/>
  <c r="O344" i="4" s="1"/>
  <c r="N343" i="4"/>
  <c r="O343" i="4" s="1"/>
  <c r="N342" i="4"/>
  <c r="O342" i="4" s="1"/>
  <c r="N341" i="4"/>
  <c r="O341" i="4" s="1"/>
  <c r="N340" i="4"/>
  <c r="O340" i="4" s="1"/>
  <c r="N336" i="4"/>
  <c r="O336" i="4" s="1"/>
  <c r="N346" i="4"/>
  <c r="O346" i="4" s="1"/>
  <c r="N347" i="4"/>
  <c r="O347" i="4" s="1"/>
  <c r="N348" i="4"/>
  <c r="O348" i="4" s="1"/>
  <c r="N349" i="4"/>
  <c r="O349" i="4" s="1"/>
  <c r="N350" i="4"/>
  <c r="O350" i="4" s="1"/>
  <c r="N351" i="4"/>
  <c r="O351" i="4" s="1"/>
  <c r="N345" i="4"/>
  <c r="O345" i="4" s="1"/>
  <c r="N307" i="4"/>
  <c r="O307" i="4" s="1"/>
  <c r="N308" i="4"/>
  <c r="O308" i="4" s="1"/>
  <c r="N309" i="4"/>
  <c r="O309" i="4" s="1"/>
  <c r="N310" i="4"/>
  <c r="O310" i="4" s="1"/>
  <c r="N311" i="4"/>
  <c r="O311" i="4" s="1"/>
  <c r="N312" i="4"/>
  <c r="O312" i="4" s="1"/>
  <c r="N313" i="4"/>
  <c r="O313" i="4" s="1"/>
  <c r="N314" i="4"/>
  <c r="O314" i="4" s="1"/>
  <c r="N315" i="4"/>
  <c r="O315" i="4" s="1"/>
  <c r="N316" i="4"/>
  <c r="O316" i="4" s="1"/>
  <c r="N317" i="4"/>
  <c r="O317" i="4" s="1"/>
  <c r="N318" i="4"/>
  <c r="O318" i="4" s="1"/>
  <c r="N319" i="4"/>
  <c r="O319" i="4" s="1"/>
  <c r="N320" i="4"/>
  <c r="O320" i="4" s="1"/>
  <c r="N321" i="4"/>
  <c r="O321" i="4" s="1"/>
  <c r="N322" i="4"/>
  <c r="O322" i="4" s="1"/>
  <c r="N323" i="4"/>
  <c r="O323" i="4" s="1"/>
  <c r="N324" i="4"/>
  <c r="O324" i="4" s="1"/>
  <c r="N325" i="4"/>
  <c r="O325" i="4" s="1"/>
  <c r="N326" i="4"/>
  <c r="O326" i="4" s="1"/>
  <c r="N327" i="4"/>
  <c r="O327" i="4" s="1"/>
  <c r="N328" i="4"/>
  <c r="O328" i="4" s="1"/>
  <c r="N329" i="4"/>
  <c r="O329" i="4" s="1"/>
  <c r="N330" i="4"/>
  <c r="O330" i="4" s="1"/>
  <c r="N331" i="4"/>
  <c r="O331" i="4" s="1"/>
  <c r="N332" i="4"/>
  <c r="O332" i="4" s="1"/>
  <c r="N333" i="4"/>
  <c r="O333" i="4" s="1"/>
  <c r="N334" i="4"/>
  <c r="O334" i="4" s="1"/>
  <c r="N306" i="4"/>
  <c r="O306" i="4" s="1"/>
  <c r="N291" i="4"/>
  <c r="O291" i="4" s="1"/>
  <c r="N292" i="4"/>
  <c r="O292" i="4" s="1"/>
  <c r="N293" i="4"/>
  <c r="O293" i="4" s="1"/>
  <c r="N290" i="4"/>
  <c r="O290" i="4" s="1"/>
  <c r="N295" i="4"/>
  <c r="O295" i="4" s="1"/>
  <c r="N296" i="4"/>
  <c r="O296" i="4" s="1"/>
  <c r="N297" i="4"/>
  <c r="O297" i="4" s="1"/>
  <c r="N298" i="4"/>
  <c r="O298" i="4" s="1"/>
  <c r="N299" i="4"/>
  <c r="O299" i="4" s="1"/>
  <c r="N300" i="4"/>
  <c r="O300" i="4" s="1"/>
  <c r="N301" i="4"/>
  <c r="O301" i="4" s="1"/>
  <c r="N302" i="4"/>
  <c r="O302" i="4" s="1"/>
  <c r="N303" i="4"/>
  <c r="O303" i="4" s="1"/>
  <c r="N294" i="4"/>
  <c r="O294" i="4" s="1"/>
  <c r="N285" i="4"/>
  <c r="O285" i="4" s="1"/>
  <c r="N284" i="4"/>
  <c r="O284" i="4" s="1"/>
  <c r="N282" i="4"/>
  <c r="O282" i="4" s="1"/>
  <c r="N281" i="4"/>
  <c r="O281" i="4" s="1"/>
  <c r="N280" i="4"/>
  <c r="O280" i="4" s="1"/>
  <c r="N279" i="4"/>
  <c r="O279" i="4" s="1"/>
  <c r="N278" i="4"/>
  <c r="O278" i="4" s="1"/>
  <c r="N277" i="4"/>
  <c r="O277" i="4" s="1"/>
  <c r="N276" i="4"/>
  <c r="O276" i="4" s="1"/>
  <c r="N275" i="4"/>
  <c r="O275" i="4" s="1"/>
  <c r="N274" i="4"/>
  <c r="O274" i="4" s="1"/>
  <c r="N273" i="4"/>
  <c r="O273" i="4" s="1"/>
  <c r="N272" i="4"/>
  <c r="O272" i="4" s="1"/>
  <c r="N271" i="4"/>
  <c r="O271" i="4" s="1"/>
  <c r="N270" i="4"/>
  <c r="O270" i="4" s="1"/>
  <c r="N269" i="4"/>
  <c r="O269" i="4" s="1"/>
  <c r="N268" i="4"/>
  <c r="O268" i="4" s="1"/>
  <c r="N267" i="4"/>
  <c r="O267" i="4" s="1"/>
  <c r="N266" i="4"/>
  <c r="O266" i="4" s="1"/>
  <c r="N265" i="4"/>
  <c r="O265" i="4" s="1"/>
  <c r="N264" i="4"/>
  <c r="O264" i="4" s="1"/>
  <c r="N263" i="4"/>
  <c r="O263" i="4" s="1"/>
  <c r="N262" i="4"/>
  <c r="O262" i="4" s="1"/>
  <c r="N261" i="4"/>
  <c r="O261" i="4" s="1"/>
  <c r="N260" i="4"/>
  <c r="O260" i="4" s="1"/>
  <c r="N259" i="4"/>
  <c r="O259" i="4" s="1"/>
  <c r="N258" i="4"/>
  <c r="O258" i="4" s="1"/>
  <c r="N257" i="4"/>
  <c r="O257" i="4" s="1"/>
  <c r="N256" i="4"/>
  <c r="O256" i="4" s="1"/>
  <c r="N255" i="4"/>
  <c r="O255" i="4" s="1"/>
  <c r="N254" i="4"/>
  <c r="O254" i="4" s="1"/>
  <c r="N253" i="4"/>
  <c r="O253" i="4" s="1"/>
  <c r="N252" i="4"/>
  <c r="O252" i="4" s="1"/>
  <c r="N251" i="4"/>
  <c r="O251" i="4" s="1"/>
  <c r="N250" i="4"/>
  <c r="O250" i="4" s="1"/>
  <c r="N249" i="4"/>
  <c r="O249" i="4" s="1"/>
  <c r="N248" i="4"/>
  <c r="O248" i="4" s="1"/>
  <c r="N247" i="4"/>
  <c r="O247" i="4" s="1"/>
  <c r="N246" i="4"/>
  <c r="O246" i="4" s="1"/>
  <c r="N245" i="4"/>
  <c r="O245" i="4" s="1"/>
  <c r="N244" i="4"/>
  <c r="O244" i="4" s="1"/>
  <c r="N243" i="4"/>
  <c r="O243" i="4" s="1"/>
  <c r="N242" i="4"/>
  <c r="O242" i="4" s="1"/>
  <c r="N241" i="4"/>
  <c r="O241" i="4" s="1"/>
  <c r="N240" i="4"/>
  <c r="O240" i="4" s="1"/>
  <c r="N288" i="4"/>
  <c r="O288" i="4" s="1"/>
  <c r="N287" i="4"/>
  <c r="O287" i="4" s="1"/>
  <c r="N286" i="4"/>
  <c r="O286" i="4" s="1"/>
  <c r="N283" i="4"/>
  <c r="O283" i="4" s="1"/>
  <c r="N234" i="4"/>
  <c r="N233" i="4"/>
  <c r="N232" i="4"/>
  <c r="N231" i="4"/>
  <c r="N230" i="4"/>
  <c r="N229" i="4"/>
  <c r="N228" i="4"/>
  <c r="N227" i="4"/>
  <c r="O227" i="4" s="1"/>
  <c r="N226" i="4"/>
  <c r="O226" i="4" s="1"/>
  <c r="N225" i="4"/>
  <c r="O225" i="4" s="1"/>
  <c r="N224" i="4"/>
  <c r="N223" i="4"/>
  <c r="N222" i="4"/>
  <c r="N221" i="4"/>
  <c r="N220" i="4"/>
  <c r="N219" i="4"/>
  <c r="N207" i="4"/>
  <c r="O207" i="4" s="1"/>
  <c r="N208" i="4"/>
  <c r="O208" i="4" s="1"/>
  <c r="N206" i="4"/>
  <c r="O206" i="4" s="1"/>
  <c r="N205" i="4"/>
  <c r="O205" i="4" s="1"/>
  <c r="N204" i="4"/>
  <c r="O204" i="4" s="1"/>
  <c r="N203" i="4"/>
  <c r="O203" i="4" s="1"/>
  <c r="N202" i="4"/>
  <c r="O202" i="4" s="1"/>
  <c r="N201" i="4"/>
  <c r="O201" i="4" s="1"/>
  <c r="N200" i="4"/>
  <c r="O200" i="4" s="1"/>
  <c r="N199" i="4"/>
  <c r="O199" i="4" s="1"/>
  <c r="N198" i="4"/>
  <c r="O198" i="4" s="1"/>
  <c r="N191" i="4"/>
  <c r="O191" i="4" s="1"/>
  <c r="N190" i="4"/>
  <c r="O190" i="4" s="1"/>
  <c r="N189" i="4"/>
  <c r="O189" i="4" s="1"/>
  <c r="N188" i="4"/>
  <c r="O188" i="4" s="1"/>
  <c r="N210" i="4"/>
  <c r="O210" i="4" s="1"/>
  <c r="N209" i="4"/>
  <c r="O209" i="4" s="1"/>
  <c r="N172" i="4"/>
  <c r="O172" i="4" s="1"/>
  <c r="N173" i="4"/>
  <c r="O173" i="4" s="1"/>
  <c r="N174" i="4"/>
  <c r="O174" i="4" s="1"/>
  <c r="N175" i="4"/>
  <c r="O175" i="4" s="1"/>
  <c r="N176" i="4"/>
  <c r="O176" i="4" s="1"/>
  <c r="N177" i="4"/>
  <c r="O177" i="4" s="1"/>
  <c r="N178" i="4"/>
  <c r="O178" i="4" s="1"/>
  <c r="N179" i="4"/>
  <c r="O179" i="4" s="1"/>
  <c r="N180" i="4"/>
  <c r="O180" i="4" s="1"/>
  <c r="N181" i="4"/>
  <c r="O181" i="4" s="1"/>
  <c r="N182" i="4"/>
  <c r="O182" i="4" s="1"/>
  <c r="N183" i="4"/>
  <c r="O183" i="4" s="1"/>
  <c r="N184" i="4"/>
  <c r="O184" i="4" s="1"/>
  <c r="N185" i="4"/>
  <c r="O185" i="4" s="1"/>
  <c r="N186" i="4"/>
  <c r="O186" i="4" s="1"/>
  <c r="N171" i="4"/>
  <c r="O171" i="4" s="1"/>
  <c r="N156" i="4"/>
  <c r="O156" i="4" s="1"/>
  <c r="N157" i="4"/>
  <c r="O157" i="4" s="1"/>
  <c r="N158" i="4"/>
  <c r="O158" i="4" s="1"/>
  <c r="N159" i="4"/>
  <c r="O159" i="4" s="1"/>
  <c r="N160" i="4"/>
  <c r="O160" i="4" s="1"/>
  <c r="N161" i="4"/>
  <c r="O161" i="4" s="1"/>
  <c r="N162" i="4"/>
  <c r="O162" i="4" s="1"/>
  <c r="N163" i="4"/>
  <c r="O163" i="4" s="1"/>
  <c r="N164" i="4"/>
  <c r="O164" i="4" s="1"/>
  <c r="N165" i="4"/>
  <c r="O165" i="4" s="1"/>
  <c r="N166" i="4"/>
  <c r="O166" i="4" s="1"/>
  <c r="N167" i="4"/>
  <c r="O167" i="4" s="1"/>
  <c r="N168" i="4"/>
  <c r="O168" i="4" s="1"/>
  <c r="N169" i="4"/>
  <c r="O169" i="4" s="1"/>
  <c r="N170" i="4"/>
  <c r="O170" i="4" s="1"/>
  <c r="N155" i="4"/>
  <c r="O155" i="4" s="1"/>
  <c r="N125" i="4"/>
  <c r="O125" i="4" s="1"/>
  <c r="N126" i="4"/>
  <c r="O126" i="4" s="1"/>
  <c r="N127" i="4"/>
  <c r="O127" i="4" s="1"/>
  <c r="N128" i="4"/>
  <c r="O128" i="4" s="1"/>
  <c r="N129" i="4"/>
  <c r="O129" i="4" s="1"/>
  <c r="N130" i="4"/>
  <c r="O130" i="4" s="1"/>
  <c r="N124" i="4"/>
  <c r="O124" i="4" s="1"/>
  <c r="N153" i="4"/>
  <c r="N152" i="4"/>
  <c r="N151" i="4"/>
  <c r="N150" i="4"/>
  <c r="O150" i="4" s="1"/>
  <c r="N149" i="4"/>
  <c r="O149" i="4" s="1"/>
  <c r="N148" i="4"/>
  <c r="O148" i="4" s="1"/>
  <c r="N147" i="4"/>
  <c r="O147" i="4" s="1"/>
  <c r="N146" i="4"/>
  <c r="O146" i="4" s="1"/>
  <c r="N145" i="4"/>
  <c r="O145" i="4" s="1"/>
  <c r="N144" i="4"/>
  <c r="O144" i="4" s="1"/>
  <c r="N143" i="4"/>
  <c r="O143" i="4" s="1"/>
  <c r="N142" i="4"/>
  <c r="O142" i="4" s="1"/>
  <c r="N141" i="4"/>
  <c r="O141" i="4" s="1"/>
  <c r="N140" i="4"/>
  <c r="O140" i="4" s="1"/>
  <c r="N139" i="4"/>
  <c r="O139" i="4" s="1"/>
  <c r="N138" i="4"/>
  <c r="O138" i="4" s="1"/>
  <c r="N137" i="4"/>
  <c r="O137" i="4" s="1"/>
  <c r="N136" i="4"/>
  <c r="O136" i="4" s="1"/>
  <c r="N135" i="4"/>
  <c r="O135" i="4" s="1"/>
  <c r="N134" i="4"/>
  <c r="O134" i="4" s="1"/>
  <c r="N133" i="4"/>
  <c r="O133" i="4" s="1"/>
  <c r="N132" i="4"/>
  <c r="O132" i="4" s="1"/>
  <c r="N131" i="4"/>
  <c r="O131" i="4" s="1"/>
  <c r="N123" i="4"/>
  <c r="O123" i="4" s="1"/>
  <c r="N122" i="4"/>
  <c r="O122" i="4" s="1"/>
  <c r="N98" i="4"/>
  <c r="O98" i="4" s="1"/>
  <c r="N99" i="4"/>
  <c r="O99" i="4" s="1"/>
  <c r="N100" i="4"/>
  <c r="O100" i="4" s="1"/>
  <c r="N101" i="4"/>
  <c r="O101" i="4" s="1"/>
  <c r="N102" i="4"/>
  <c r="O102" i="4" s="1"/>
  <c r="N103" i="4"/>
  <c r="O103" i="4" s="1"/>
  <c r="N104" i="4"/>
  <c r="O104" i="4" s="1"/>
  <c r="N105" i="4"/>
  <c r="O105" i="4" s="1"/>
  <c r="N106" i="4"/>
  <c r="O106" i="4" s="1"/>
  <c r="N107" i="4"/>
  <c r="O107" i="4" s="1"/>
  <c r="N108" i="4"/>
  <c r="O108" i="4" s="1"/>
  <c r="N109" i="4"/>
  <c r="O109" i="4" s="1"/>
  <c r="N110" i="4"/>
  <c r="O110" i="4" s="1"/>
  <c r="N111" i="4"/>
  <c r="O111" i="4" s="1"/>
  <c r="N112" i="4"/>
  <c r="O112" i="4" s="1"/>
  <c r="N113" i="4"/>
  <c r="O113" i="4" s="1"/>
  <c r="N114" i="4"/>
  <c r="O114" i="4" s="1"/>
  <c r="N115" i="4"/>
  <c r="O115" i="4" s="1"/>
  <c r="N116" i="4"/>
  <c r="O116" i="4" s="1"/>
  <c r="N117" i="4"/>
  <c r="O117" i="4" s="1"/>
  <c r="N118" i="4"/>
  <c r="O118" i="4" s="1"/>
  <c r="N119" i="4"/>
  <c r="O119" i="4" s="1"/>
  <c r="N120" i="4"/>
  <c r="O120" i="4" s="1"/>
  <c r="N97" i="4"/>
  <c r="O97" i="4" s="1"/>
  <c r="N88" i="4"/>
  <c r="O88" i="4" s="1"/>
  <c r="N89" i="4"/>
  <c r="O89" i="4" s="1"/>
  <c r="N90" i="4"/>
  <c r="O90" i="4" s="1"/>
  <c r="N91" i="4"/>
  <c r="O91" i="4" s="1"/>
  <c r="N92" i="4"/>
  <c r="O92" i="4" s="1"/>
  <c r="N93" i="4"/>
  <c r="O93" i="4" s="1"/>
  <c r="N94" i="4"/>
  <c r="O94" i="4" s="1"/>
  <c r="N87" i="4"/>
  <c r="O87" i="4" s="1"/>
  <c r="N75" i="4"/>
  <c r="O75" i="4" s="1"/>
  <c r="N76" i="4"/>
  <c r="O76" i="4" s="1"/>
  <c r="N77" i="4"/>
  <c r="O77" i="4" s="1"/>
  <c r="N78" i="4"/>
  <c r="O78" i="4" s="1"/>
  <c r="N79" i="4"/>
  <c r="O79" i="4" s="1"/>
  <c r="N80" i="4"/>
  <c r="O80" i="4" s="1"/>
  <c r="N81" i="4"/>
  <c r="O81" i="4" s="1"/>
  <c r="N82" i="4"/>
  <c r="O82" i="4" s="1"/>
  <c r="N83" i="4"/>
  <c r="O83" i="4" s="1"/>
  <c r="N84" i="4"/>
  <c r="O84" i="4" s="1"/>
  <c r="N85" i="4"/>
  <c r="O85" i="4" s="1"/>
  <c r="N86" i="4"/>
  <c r="O86" i="4" s="1"/>
  <c r="N74" i="4"/>
  <c r="O74" i="4" s="1"/>
  <c r="N72" i="4"/>
  <c r="O72" i="4" s="1"/>
  <c r="N71" i="4"/>
  <c r="O71" i="4" s="1"/>
  <c r="N70" i="4"/>
  <c r="O70" i="4" s="1"/>
  <c r="N69" i="4"/>
  <c r="O69" i="4" s="1"/>
  <c r="N68" i="4"/>
  <c r="O68" i="4" s="1"/>
  <c r="N42" i="4"/>
  <c r="O42" i="4" s="1"/>
  <c r="N43" i="4"/>
  <c r="O43" i="4" s="1"/>
  <c r="N44" i="4"/>
  <c r="O44" i="4" s="1"/>
  <c r="N45" i="4"/>
  <c r="O45" i="4" s="1"/>
  <c r="N46" i="4"/>
  <c r="O46" i="4" s="1"/>
  <c r="N47" i="4"/>
  <c r="O47" i="4" s="1"/>
  <c r="N48" i="4"/>
  <c r="O48" i="4" s="1"/>
  <c r="N49" i="4"/>
  <c r="O49" i="4" s="1"/>
  <c r="N50" i="4"/>
  <c r="O50" i="4" s="1"/>
  <c r="N51" i="4"/>
  <c r="O51" i="4" s="1"/>
  <c r="N52" i="4"/>
  <c r="O52" i="4" s="1"/>
  <c r="N53" i="4"/>
  <c r="O53" i="4" s="1"/>
  <c r="N54" i="4"/>
  <c r="O54" i="4" s="1"/>
  <c r="N55" i="4"/>
  <c r="O55" i="4" s="1"/>
  <c r="N56" i="4"/>
  <c r="O56" i="4" s="1"/>
  <c r="N57" i="4"/>
  <c r="O57" i="4" s="1"/>
  <c r="N58" i="4"/>
  <c r="O58" i="4" s="1"/>
  <c r="N59" i="4"/>
  <c r="O59" i="4" s="1"/>
  <c r="N60" i="4"/>
  <c r="O60" i="4" s="1"/>
  <c r="N61" i="4"/>
  <c r="O61" i="4" s="1"/>
  <c r="N62" i="4"/>
  <c r="O62" i="4" s="1"/>
  <c r="N63" i="4"/>
  <c r="O63" i="4" s="1"/>
  <c r="N64" i="4"/>
  <c r="O64" i="4" s="1"/>
  <c r="N65" i="4"/>
  <c r="O65" i="4" s="1"/>
  <c r="N66" i="4"/>
  <c r="O66" i="4" s="1"/>
  <c r="N67" i="4"/>
  <c r="O67" i="4" s="1"/>
  <c r="N41" i="4"/>
  <c r="O41" i="4" s="1"/>
  <c r="N38" i="4"/>
  <c r="O38" i="4" s="1"/>
  <c r="N37" i="4"/>
  <c r="O37" i="4" s="1"/>
  <c r="N36" i="4"/>
  <c r="O36" i="4" s="1"/>
  <c r="N35" i="4"/>
  <c r="O35" i="4" s="1"/>
  <c r="N34" i="4"/>
  <c r="O34" i="4" s="1"/>
  <c r="N33" i="4"/>
  <c r="O33" i="4" s="1"/>
  <c r="N32" i="4"/>
  <c r="O32" i="4" s="1"/>
  <c r="N31" i="4"/>
  <c r="O31" i="4" s="1"/>
  <c r="N30" i="4"/>
  <c r="O30" i="4" s="1"/>
  <c r="N29" i="4"/>
  <c r="O29" i="4" s="1"/>
  <c r="N28" i="4"/>
  <c r="O28" i="4" s="1"/>
  <c r="N25" i="4"/>
  <c r="O25" i="4" s="1"/>
  <c r="N21" i="4"/>
  <c r="O21" i="4" s="1"/>
  <c r="N20" i="4"/>
  <c r="O20" i="4" s="1"/>
  <c r="N19" i="4"/>
  <c r="O19" i="4" s="1"/>
  <c r="N18" i="4"/>
  <c r="O18" i="4" s="1"/>
  <c r="N17" i="4"/>
  <c r="O17" i="4" s="1"/>
  <c r="N16" i="4"/>
  <c r="O16" i="4" s="1"/>
  <c r="N15" i="4"/>
  <c r="O15" i="4" s="1"/>
  <c r="N14" i="4"/>
  <c r="O14" i="4" s="1"/>
  <c r="N13" i="4"/>
  <c r="O13" i="4" s="1"/>
  <c r="N12" i="4"/>
  <c r="O12" i="4" s="1"/>
  <c r="N11" i="4"/>
  <c r="O11" i="4" s="1"/>
  <c r="N10" i="4"/>
  <c r="O10" i="4" s="1"/>
  <c r="N9" i="4"/>
  <c r="O9" i="4" s="1"/>
  <c r="N8" i="4"/>
  <c r="O8" i="4" s="1"/>
  <c r="N7" i="4"/>
  <c r="O7" i="4" s="1"/>
  <c r="N6" i="4"/>
  <c r="O6" i="4" s="1"/>
  <c r="N5" i="4"/>
  <c r="O5" i="4" s="1"/>
  <c r="N4" i="4"/>
  <c r="O4" i="4" s="1"/>
  <c r="N3" i="4"/>
  <c r="O3" i="4" s="1"/>
  <c r="N27" i="4"/>
  <c r="O27" i="4" s="1"/>
  <c r="N26" i="4"/>
  <c r="O26" i="4" s="1"/>
  <c r="N24" i="4"/>
  <c r="O24" i="4" s="1"/>
  <c r="N23" i="4"/>
  <c r="O23" i="4" s="1"/>
  <c r="N22" i="4"/>
  <c r="O22" i="4" s="1"/>
  <c r="K13" i="6" l="1"/>
  <c r="K14" i="6"/>
  <c r="K15" i="6"/>
  <c r="K5" i="6"/>
  <c r="K6" i="6"/>
  <c r="K7" i="6"/>
  <c r="K8" i="6"/>
  <c r="K9" i="6"/>
  <c r="K10" i="6"/>
  <c r="K11" i="6"/>
  <c r="K12" i="6"/>
  <c r="Y11" i="6" l="1"/>
  <c r="AG11" i="6" s="1"/>
  <c r="AN11" i="6"/>
  <c r="V11" i="6"/>
  <c r="AD11" i="6" s="1"/>
  <c r="AN9" i="6"/>
  <c r="AA9" i="6"/>
  <c r="AI9" i="6" s="1"/>
  <c r="Y9" i="6"/>
  <c r="AG9" i="6" s="1"/>
  <c r="AN7" i="6"/>
  <c r="Y7" i="6"/>
  <c r="AG7" i="6" s="1"/>
  <c r="V7" i="6"/>
  <c r="AD7" i="6" s="1"/>
  <c r="AN5" i="6"/>
  <c r="X5" i="6"/>
  <c r="AF5" i="6" s="1"/>
  <c r="Y5" i="6"/>
  <c r="AG5" i="6" s="1"/>
  <c r="AN14" i="6"/>
  <c r="X14" i="6"/>
  <c r="AF14" i="6" s="1"/>
  <c r="Z14" i="6"/>
  <c r="AH14" i="6" s="1"/>
  <c r="AN12" i="6"/>
  <c r="AA12" i="6"/>
  <c r="AI12" i="6" s="1"/>
  <c r="X12" i="6"/>
  <c r="AF12" i="6" s="1"/>
  <c r="Y12" i="6"/>
  <c r="AG12" i="6" s="1"/>
  <c r="W12" i="6"/>
  <c r="AE12" i="6" s="1"/>
  <c r="AN10" i="6"/>
  <c r="Y10" i="6"/>
  <c r="AG10" i="6" s="1"/>
  <c r="V10" i="6"/>
  <c r="AD10" i="6" s="1"/>
  <c r="Z10" i="6"/>
  <c r="AH10" i="6" s="1"/>
  <c r="X10" i="6"/>
  <c r="AF10" i="6" s="1"/>
  <c r="AN8" i="6"/>
  <c r="Z8" i="6"/>
  <c r="AH8" i="6" s="1"/>
  <c r="Y8" i="6"/>
  <c r="AG8" i="6" s="1"/>
  <c r="AN6" i="6"/>
  <c r="AA6" i="6"/>
  <c r="AI6" i="6" s="1"/>
  <c r="Y6" i="6"/>
  <c r="AG6" i="6" s="1"/>
  <c r="AN15" i="6"/>
  <c r="W15" i="6"/>
  <c r="AE15" i="6" s="1"/>
  <c r="X15" i="6"/>
  <c r="AF15" i="6" s="1"/>
  <c r="V15" i="6"/>
  <c r="AD15" i="6" s="1"/>
  <c r="AN13" i="6"/>
  <c r="AA13" i="6"/>
  <c r="AI13" i="6" s="1"/>
  <c r="Y13" i="6"/>
  <c r="AG13" i="6" s="1"/>
  <c r="F356" i="7"/>
  <c r="F331" i="7"/>
  <c r="F319" i="7"/>
  <c r="F320" i="7" s="1"/>
  <c r="F252" i="7"/>
  <c r="F290" i="7" s="1"/>
  <c r="F181" i="7"/>
  <c r="F251" i="7" s="1"/>
  <c r="F179" i="7"/>
  <c r="F180" i="7" s="1"/>
  <c r="F153" i="7"/>
  <c r="F139" i="7"/>
  <c r="F108" i="7"/>
  <c r="F97" i="7"/>
  <c r="F98" i="7" s="1"/>
  <c r="F17" i="7"/>
  <c r="F18" i="7" s="1"/>
  <c r="F357" i="7" l="1"/>
  <c r="F568" i="4" l="1"/>
  <c r="F535" i="4" l="1"/>
  <c r="F477" i="4"/>
  <c r="F478" i="4"/>
  <c r="F409" i="4"/>
  <c r="F436" i="4"/>
  <c r="F400" i="4" l="1"/>
  <c r="F391" i="4" l="1"/>
  <c r="F353" i="4"/>
  <c r="F377" i="4"/>
  <c r="F352" i="4" l="1"/>
  <c r="F305" i="4" l="1"/>
  <c r="F335" i="4"/>
  <c r="F304" i="4"/>
  <c r="F237" i="4" l="1"/>
  <c r="F289" i="4"/>
  <c r="F236" i="4" l="1"/>
  <c r="G236" i="4" s="1"/>
  <c r="F210" i="4"/>
  <c r="F211" i="4"/>
  <c r="F155" i="4"/>
  <c r="F154" i="4"/>
  <c r="F74" i="4" l="1"/>
  <c r="F95" i="4"/>
  <c r="F72" i="4" l="1"/>
  <c r="F73" i="4"/>
  <c r="F40" i="4"/>
  <c r="L217" i="4" l="1"/>
  <c r="O217" i="4" s="1"/>
  <c r="L220" i="4"/>
  <c r="O220" i="4" s="1"/>
  <c r="L219" i="4"/>
  <c r="O219" i="4" s="1"/>
  <c r="L221" i="4"/>
  <c r="O221" i="4" s="1"/>
  <c r="L222" i="4"/>
  <c r="O222" i="4" s="1"/>
  <c r="L223" i="4"/>
  <c r="O223" i="4" s="1"/>
  <c r="L224" i="4"/>
  <c r="O224" i="4" s="1"/>
  <c r="L228" i="4"/>
  <c r="O228" i="4" s="1"/>
  <c r="L229" i="4"/>
  <c r="O229" i="4" s="1"/>
  <c r="L230" i="4"/>
  <c r="O230" i="4" s="1"/>
  <c r="L231" i="4"/>
  <c r="O231" i="4" s="1"/>
  <c r="L232" i="4"/>
  <c r="O232" i="4" s="1"/>
  <c r="L233" i="4"/>
  <c r="O233" i="4" s="1"/>
  <c r="L234" i="4"/>
  <c r="O234" i="4" s="1"/>
  <c r="L214" i="4"/>
  <c r="O214" i="4" s="1"/>
  <c r="L215" i="4"/>
  <c r="O215" i="4" s="1"/>
  <c r="L216" i="4"/>
  <c r="O216" i="4" s="1"/>
  <c r="L235" i="4"/>
  <c r="O235" i="4" s="1"/>
  <c r="L218" i="4"/>
  <c r="O218" i="4" s="1"/>
  <c r="L568" i="4"/>
  <c r="O568" i="4" s="1"/>
  <c r="F566" i="4"/>
  <c r="F567" i="4" s="1"/>
  <c r="F481" i="4"/>
  <c r="F536" i="4" s="1"/>
  <c r="F186" i="4"/>
  <c r="F187" i="4" s="1"/>
  <c r="F120" i="4"/>
  <c r="L571" i="4"/>
  <c r="O571" i="4" s="1"/>
  <c r="L595" i="4"/>
  <c r="O595" i="4" s="1"/>
  <c r="L575" i="4"/>
  <c r="O575" i="4" s="1"/>
  <c r="L574" i="4"/>
  <c r="O574" i="4" s="1"/>
  <c r="L601" i="4"/>
  <c r="O601" i="4" s="1"/>
  <c r="L600" i="4"/>
  <c r="O600" i="4" s="1"/>
  <c r="L589" i="4"/>
  <c r="O589" i="4" s="1"/>
  <c r="L586" i="4"/>
  <c r="O586" i="4" s="1"/>
  <c r="L582" i="4"/>
  <c r="O582" i="4" s="1"/>
  <c r="L579" i="4"/>
  <c r="O579" i="4" s="1"/>
  <c r="L576" i="4"/>
  <c r="O576" i="4" s="1"/>
  <c r="L573" i="4"/>
  <c r="O573" i="4" s="1"/>
  <c r="L596" i="4"/>
  <c r="O596" i="4" s="1"/>
  <c r="L602" i="4"/>
  <c r="O602" i="4" s="1"/>
  <c r="L588" i="4"/>
  <c r="O588" i="4" s="1"/>
  <c r="L587" i="4"/>
  <c r="O587" i="4" s="1"/>
  <c r="L599" i="4"/>
  <c r="O599" i="4" s="1"/>
  <c r="L581" i="4"/>
  <c r="O581" i="4" s="1"/>
  <c r="L597" i="4"/>
  <c r="O597" i="4" s="1"/>
  <c r="L570" i="4"/>
  <c r="O570" i="4" s="1"/>
  <c r="L572" i="4"/>
  <c r="O572" i="4" s="1"/>
  <c r="L577" i="4"/>
  <c r="O577" i="4" s="1"/>
  <c r="L569" i="4"/>
  <c r="O569" i="4" s="1"/>
  <c r="L584" i="4"/>
  <c r="O584" i="4" s="1"/>
  <c r="L583" i="4"/>
  <c r="O583" i="4" s="1"/>
  <c r="L592" i="4"/>
  <c r="O592" i="4" s="1"/>
  <c r="L594" i="4"/>
  <c r="O594" i="4" s="1"/>
  <c r="L603" i="4"/>
  <c r="O603" i="4" s="1"/>
  <c r="L585" i="4"/>
  <c r="O585" i="4" s="1"/>
  <c r="L604" i="4"/>
  <c r="O604" i="4" s="1"/>
  <c r="L591" i="4"/>
  <c r="O591" i="4" s="1"/>
  <c r="L593" i="4"/>
  <c r="O593" i="4" s="1"/>
  <c r="L590" i="4"/>
  <c r="O590" i="4" s="1"/>
  <c r="L580" i="4"/>
  <c r="O580" i="4" s="1"/>
  <c r="L578" i="4"/>
  <c r="O578" i="4" s="1"/>
  <c r="L598" i="4"/>
  <c r="O598" i="4" s="1"/>
  <c r="D35" i="6"/>
  <c r="E35" i="6"/>
  <c r="F35" i="6"/>
  <c r="G35" i="6"/>
  <c r="H35" i="6"/>
  <c r="I35" i="6"/>
  <c r="J35" i="6"/>
  <c r="C35" i="6"/>
  <c r="K16" i="6"/>
  <c r="K17" i="6"/>
  <c r="K18" i="6"/>
  <c r="AN18" i="6" s="1"/>
  <c r="K19" i="6"/>
  <c r="K20" i="6"/>
  <c r="K21" i="6"/>
  <c r="K22" i="6"/>
  <c r="K23" i="6"/>
  <c r="AN23" i="6" s="1"/>
  <c r="K24" i="6"/>
  <c r="K25" i="6"/>
  <c r="K26" i="6"/>
  <c r="AN26" i="6" s="1"/>
  <c r="K27" i="6"/>
  <c r="K28" i="6"/>
  <c r="AN28" i="6" s="1"/>
  <c r="K33" i="6"/>
  <c r="K34" i="6"/>
  <c r="K29" i="6"/>
  <c r="K30" i="6"/>
  <c r="K31" i="6"/>
  <c r="AN31" i="6" s="1"/>
  <c r="K32" i="6"/>
  <c r="K4" i="6"/>
  <c r="K35" i="6"/>
  <c r="L4" i="6" s="1"/>
  <c r="L11" i="6"/>
  <c r="AO11" i="6" s="1"/>
  <c r="L19" i="6"/>
  <c r="L25" i="6"/>
  <c r="L27" i="6"/>
  <c r="L33" i="6"/>
  <c r="L29" i="6"/>
  <c r="L31" i="6"/>
  <c r="AO31" i="6" s="1"/>
  <c r="L5" i="6"/>
  <c r="AO5" i="6" s="1"/>
  <c r="L23" i="6" l="1"/>
  <c r="AO23" i="6" s="1"/>
  <c r="L15" i="6"/>
  <c r="AO15" i="6" s="1"/>
  <c r="L7" i="6"/>
  <c r="AO7" i="6" s="1"/>
  <c r="AN4" i="6"/>
  <c r="V4" i="6"/>
  <c r="AD4" i="6" s="1"/>
  <c r="Z4" i="6"/>
  <c r="AH4" i="6" s="1"/>
  <c r="U4" i="6"/>
  <c r="AC4" i="6" s="1"/>
  <c r="Y4" i="6"/>
  <c r="AG4" i="6" s="1"/>
  <c r="AA4" i="6"/>
  <c r="AI4" i="6" s="1"/>
  <c r="AN29" i="6"/>
  <c r="AO29" i="6" s="1"/>
  <c r="X29" i="6"/>
  <c r="AF29" i="6" s="1"/>
  <c r="V29" i="6"/>
  <c r="AD29" i="6" s="1"/>
  <c r="AN33" i="6"/>
  <c r="V33" i="6"/>
  <c r="AD33" i="6" s="1"/>
  <c r="W33" i="6"/>
  <c r="AE33" i="6" s="1"/>
  <c r="U33" i="6"/>
  <c r="AC33" i="6" s="1"/>
  <c r="V27" i="6"/>
  <c r="AD27" i="6" s="1"/>
  <c r="AN27" i="6"/>
  <c r="AO27" i="6" s="1"/>
  <c r="U27" i="6"/>
  <c r="AC27" i="6" s="1"/>
  <c r="AN25" i="6"/>
  <c r="AO25" i="6" s="1"/>
  <c r="Y25" i="6"/>
  <c r="AG25" i="6" s="1"/>
  <c r="Z25" i="6"/>
  <c r="AH25" i="6" s="1"/>
  <c r="X25" i="6"/>
  <c r="AF25" i="6" s="1"/>
  <c r="AN21" i="6"/>
  <c r="Y21" i="6"/>
  <c r="AG21" i="6" s="1"/>
  <c r="Z21" i="6"/>
  <c r="AH21" i="6" s="1"/>
  <c r="AN19" i="6"/>
  <c r="AO19" i="6" s="1"/>
  <c r="Y19" i="6"/>
  <c r="AG19" i="6" s="1"/>
  <c r="AA19" i="6"/>
  <c r="AI19" i="6" s="1"/>
  <c r="Y17" i="6"/>
  <c r="AG17" i="6" s="1"/>
  <c r="W17" i="6"/>
  <c r="AE17" i="6" s="1"/>
  <c r="AN17" i="6"/>
  <c r="X17" i="6"/>
  <c r="AF17" i="6" s="1"/>
  <c r="V17" i="6"/>
  <c r="AD17" i="6" s="1"/>
  <c r="AO33" i="6"/>
  <c r="AO4" i="6"/>
  <c r="Z32" i="6"/>
  <c r="AH32" i="6" s="1"/>
  <c r="AN32" i="6"/>
  <c r="Y32" i="6"/>
  <c r="AG32" i="6" s="1"/>
  <c r="Y30" i="6"/>
  <c r="AG30" i="6" s="1"/>
  <c r="AN30" i="6"/>
  <c r="Z30" i="6"/>
  <c r="AH30" i="6" s="1"/>
  <c r="V30" i="6"/>
  <c r="AD30" i="6" s="1"/>
  <c r="V34" i="6"/>
  <c r="AD34" i="6" s="1"/>
  <c r="AN34" i="6"/>
  <c r="U34" i="6"/>
  <c r="AC34" i="6" s="1"/>
  <c r="Y24" i="6"/>
  <c r="AG24" i="6" s="1"/>
  <c r="AN24" i="6"/>
  <c r="Z24" i="6"/>
  <c r="AH24" i="6" s="1"/>
  <c r="X22" i="6"/>
  <c r="AF22" i="6" s="1"/>
  <c r="V22" i="6"/>
  <c r="AD22" i="6" s="1"/>
  <c r="AN22" i="6"/>
  <c r="W22" i="6"/>
  <c r="AE22" i="6" s="1"/>
  <c r="Z20" i="6"/>
  <c r="AH20" i="6" s="1"/>
  <c r="AA20" i="6"/>
  <c r="AI20" i="6" s="1"/>
  <c r="Y20" i="6"/>
  <c r="AG20" i="6" s="1"/>
  <c r="AN20" i="6"/>
  <c r="AN16" i="6"/>
  <c r="AA16" i="6"/>
  <c r="AI16" i="6" s="1"/>
  <c r="X16" i="6"/>
  <c r="AF16" i="6" s="1"/>
  <c r="Y16" i="6"/>
  <c r="AG16" i="6" s="1"/>
  <c r="V16" i="6"/>
  <c r="AD16" i="6" s="1"/>
  <c r="L32" i="6"/>
  <c r="AO32" i="6" s="1"/>
  <c r="L30" i="6"/>
  <c r="AO30" i="6" s="1"/>
  <c r="L34" i="6"/>
  <c r="AO34" i="6" s="1"/>
  <c r="L28" i="6"/>
  <c r="AO28" i="6" s="1"/>
  <c r="L26" i="6"/>
  <c r="AO26" i="6" s="1"/>
  <c r="L24" i="6"/>
  <c r="AO24" i="6" s="1"/>
  <c r="L21" i="6"/>
  <c r="AO21" i="6" s="1"/>
  <c r="L17" i="6"/>
  <c r="AO17" i="6" s="1"/>
  <c r="L13" i="6"/>
  <c r="AO13" i="6" s="1"/>
  <c r="L9" i="6"/>
  <c r="AO9" i="6" s="1"/>
  <c r="L35" i="6"/>
  <c r="I36" i="6"/>
  <c r="E36" i="6"/>
  <c r="K36" i="6"/>
  <c r="G36" i="6"/>
  <c r="D36" i="6"/>
  <c r="L22" i="6"/>
  <c r="AO22" i="6" s="1"/>
  <c r="L20" i="6"/>
  <c r="AO20" i="6" s="1"/>
  <c r="L18" i="6"/>
  <c r="AO18" i="6" s="1"/>
  <c r="L16" i="6"/>
  <c r="AO16" i="6" s="1"/>
  <c r="L14" i="6"/>
  <c r="AO14" i="6" s="1"/>
  <c r="L12" i="6"/>
  <c r="AO12" i="6" s="1"/>
  <c r="L10" i="6"/>
  <c r="AO10" i="6" s="1"/>
  <c r="L8" i="6"/>
  <c r="AO8" i="6" s="1"/>
  <c r="L6" i="6"/>
  <c r="AO6" i="6" s="1"/>
  <c r="C36" i="6"/>
  <c r="J36" i="6"/>
  <c r="H36" i="6"/>
  <c r="F36" i="6"/>
  <c r="F121" i="4"/>
  <c r="AO35" i="6" l="1"/>
  <c r="F606" i="4"/>
</calcChain>
</file>

<file path=xl/comments1.xml><?xml version="1.0" encoding="utf-8"?>
<comments xmlns="http://schemas.openxmlformats.org/spreadsheetml/2006/main">
  <authors>
    <author>welcome</author>
    <author>ucclabel</author>
  </authors>
  <commentList>
    <comment ref="G407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11/27 Mily: Customer 's request</t>
        </r>
      </text>
    </comment>
    <comment ref="G453" authorId="1">
      <text>
        <r>
          <rPr>
            <sz val="9"/>
            <color indexed="81"/>
            <rFont val="Tahoma"/>
            <family val="2"/>
          </rPr>
          <t xml:space="preserve">11/09 Daisy: Cust request
</t>
        </r>
      </text>
    </comment>
    <comment ref="G485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11/24 Kally: Customer 's request</t>
        </r>
      </text>
    </comment>
    <comment ref="G489" authorId="1">
      <text>
        <r>
          <rPr>
            <sz val="9"/>
            <color indexed="81"/>
            <rFont val="Tahoma"/>
            <family val="2"/>
          </rPr>
          <t xml:space="preserve">11/09 Daisy: Cust request
</t>
        </r>
      </text>
    </comment>
    <comment ref="G544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11/27 Mily: Customer 's request</t>
        </r>
      </text>
    </comment>
    <comment ref="G55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11/27 Mily: Customer 's request</t>
        </r>
      </text>
    </comment>
    <comment ref="G583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11/22 Shirley: Customer 's request
</t>
        </r>
      </text>
    </comment>
  </commentList>
</comments>
</file>

<file path=xl/sharedStrings.xml><?xml version="1.0" encoding="utf-8"?>
<sst xmlns="http://schemas.openxmlformats.org/spreadsheetml/2006/main" count="4693" uniqueCount="1377">
  <si>
    <t>Total</t>
  </si>
  <si>
    <t>Buy Cycle</t>
  </si>
  <si>
    <t>RY#</t>
  </si>
  <si>
    <t>Material</t>
  </si>
  <si>
    <t>GAC Date</t>
  </si>
  <si>
    <t>Country</t>
  </si>
  <si>
    <t>CUT DIE</t>
  </si>
  <si>
    <t>A2L10</t>
  </si>
  <si>
    <t>A2L11</t>
  </si>
  <si>
    <t>A2L6</t>
  </si>
  <si>
    <t>A2L7</t>
  </si>
  <si>
    <t>A2L8</t>
  </si>
  <si>
    <t>A2L9</t>
  </si>
  <si>
    <t>A2L01</t>
  </si>
  <si>
    <t>A2L02</t>
  </si>
  <si>
    <t>A2L03</t>
  </si>
  <si>
    <t>A2L04</t>
  </si>
  <si>
    <t>A2L05</t>
  </si>
  <si>
    <t>线别</t>
    <phoneticPr fontId="7" type="noConversion"/>
  </si>
  <si>
    <t>预计上线日</t>
    <phoneticPr fontId="7" type="noConversion"/>
  </si>
  <si>
    <t>A1L21</t>
  </si>
  <si>
    <t>A1L19</t>
  </si>
  <si>
    <t>A1L18</t>
  </si>
  <si>
    <t>A1L17</t>
  </si>
  <si>
    <t>A1L15</t>
  </si>
  <si>
    <t>A1L14</t>
  </si>
  <si>
    <t>A1L13</t>
  </si>
  <si>
    <t>A1L12</t>
  </si>
  <si>
    <t>A1L11</t>
  </si>
  <si>
    <t>A1L10</t>
  </si>
  <si>
    <t>A1L09</t>
  </si>
  <si>
    <t>A1L08</t>
  </si>
  <si>
    <t>A1L07</t>
  </si>
  <si>
    <t>A1L06</t>
  </si>
  <si>
    <t>A1L05</t>
  </si>
  <si>
    <t>A1L04</t>
  </si>
  <si>
    <t>A1L03</t>
  </si>
  <si>
    <t>A1L02</t>
  </si>
  <si>
    <t>A1L01</t>
  </si>
  <si>
    <t>级数</t>
    <phoneticPr fontId="7" type="noConversion"/>
  </si>
  <si>
    <t>總計</t>
  </si>
  <si>
    <t>A1L20</t>
  </si>
  <si>
    <r>
      <t>IE</t>
    </r>
    <r>
      <rPr>
        <b/>
        <sz val="11"/>
        <rFont val="細明體"/>
        <family val="3"/>
        <charset val="136"/>
      </rPr>
      <t>产量</t>
    </r>
  </si>
  <si>
    <r>
      <t>PPH</t>
    </r>
    <r>
      <rPr>
        <b/>
        <sz val="11"/>
        <rFont val="細明體"/>
        <family val="3"/>
        <charset val="136"/>
      </rPr>
      <t>值</t>
    </r>
  </si>
  <si>
    <t>Y1801-0415</t>
  </si>
  <si>
    <t>Y1801-0345</t>
  </si>
  <si>
    <t>Y1801-0376</t>
  </si>
  <si>
    <t>Y1801-0874</t>
  </si>
  <si>
    <t>Y1801-0696</t>
  </si>
  <si>
    <t>Y1801-0875</t>
  </si>
  <si>
    <t>Y1802-0303</t>
  </si>
  <si>
    <t>Y1802-0150</t>
  </si>
  <si>
    <t>Y1801-0848</t>
  </si>
  <si>
    <t>Y1801-0574</t>
  </si>
  <si>
    <t>Y1801-0871</t>
  </si>
  <si>
    <t>Y1801-0700</t>
  </si>
  <si>
    <t>Y1801-0872</t>
  </si>
  <si>
    <t>Y1801-0701</t>
  </si>
  <si>
    <t>Y1801-0702</t>
  </si>
  <si>
    <t>Y1801-0572</t>
  </si>
  <si>
    <t>Y1801-0703</t>
  </si>
  <si>
    <t>Y1801-0873</t>
  </si>
  <si>
    <t>Y1801-0347</t>
  </si>
  <si>
    <t>Y1801-0254</t>
  </si>
  <si>
    <t>Y1801-0799</t>
  </si>
  <si>
    <t>Y1801-0961</t>
  </si>
  <si>
    <t>Y1801-0974</t>
  </si>
  <si>
    <t>Y1801-0975</t>
  </si>
  <si>
    <t>Y1802-0455</t>
  </si>
  <si>
    <t>Y1801-0573</t>
  </si>
  <si>
    <t>Y1801-0976</t>
  </si>
  <si>
    <t>Y1802-0285</t>
  </si>
  <si>
    <t>Y1802-0284</t>
  </si>
  <si>
    <t>Y1802-0134</t>
  </si>
  <si>
    <t>Y1802-0152</t>
  </si>
  <si>
    <t>Y1802-0153</t>
  </si>
  <si>
    <t>Y1802-0398</t>
  </si>
  <si>
    <t>Y1802-0154</t>
  </si>
  <si>
    <t>Y1802-0155</t>
  </si>
  <si>
    <t>Y1801-0730</t>
  </si>
  <si>
    <t>Y1801-0551</t>
  </si>
  <si>
    <t>Y1801-0586</t>
  </si>
  <si>
    <t>Y1801-0587</t>
  </si>
  <si>
    <t>Y1802-0009</t>
  </si>
  <si>
    <t>Y1801-0522</t>
  </si>
  <si>
    <t>Y1801-0528</t>
  </si>
  <si>
    <t>Y1801-0552</t>
  </si>
  <si>
    <t>Y1802-0054</t>
  </si>
  <si>
    <t>Y1802-0307</t>
  </si>
  <si>
    <t>Y1801-0550</t>
  </si>
  <si>
    <t>Y1802-0053</t>
  </si>
  <si>
    <t>Y1802-0304</t>
  </si>
  <si>
    <t>Y1802-0105</t>
  </si>
  <si>
    <t>Y1801-0525</t>
  </si>
  <si>
    <t>Y1801-0533</t>
  </si>
  <si>
    <t>Y1801-0553</t>
  </si>
  <si>
    <t>Y1801-0588</t>
  </si>
  <si>
    <t>Y1802-0010</t>
  </si>
  <si>
    <t>Y1802-0052</t>
  </si>
  <si>
    <t>Y1802-0077</t>
  </si>
  <si>
    <t>Y1802-0308</t>
  </si>
  <si>
    <t>Y1802-0008</t>
  </si>
  <si>
    <t>Y1802-0106</t>
  </si>
  <si>
    <t>Y1802-0306</t>
  </si>
  <si>
    <t>Y1802-0171</t>
  </si>
  <si>
    <t>Y1802-0178</t>
  </si>
  <si>
    <t>Y1802-0415</t>
  </si>
  <si>
    <t>Y1802-0417</t>
  </si>
  <si>
    <t>Y1802-0422</t>
  </si>
  <si>
    <t>Y1802-0412</t>
  </si>
  <si>
    <t>Y1801-0944</t>
  </si>
  <si>
    <t>Y1801-0945</t>
  </si>
  <si>
    <t>Y1801-0925</t>
  </si>
  <si>
    <t>Y1801-0927</t>
  </si>
  <si>
    <t>Y1801-0919</t>
  </si>
  <si>
    <t>Y1801-0929</t>
  </si>
  <si>
    <t>Y1801-0937</t>
  </si>
  <si>
    <t>Y1802-0408</t>
  </si>
  <si>
    <t>Y1802-0411</t>
  </si>
  <si>
    <t>Y1802-0019</t>
  </si>
  <si>
    <t>Y1802-0568</t>
  </si>
  <si>
    <t>Y1802-0614</t>
  </si>
  <si>
    <t>Y1802-0616</t>
  </si>
  <si>
    <t>Y1802-0626</t>
  </si>
  <si>
    <t>Y1802-0563</t>
  </si>
  <si>
    <t>Y1802-0615</t>
  </si>
  <si>
    <t>Y1802-0624</t>
  </si>
  <si>
    <t>Y1802-0625</t>
  </si>
  <si>
    <t>Y1801-0801</t>
  </si>
  <si>
    <t>Y1801-0910</t>
  </si>
  <si>
    <t>Y1801-0548</t>
  </si>
  <si>
    <t>Y1801-0549</t>
  </si>
  <si>
    <t>Y1801-0585</t>
  </si>
  <si>
    <t>Y1801-0524</t>
  </si>
  <si>
    <t>Y1801-0547</t>
  </si>
  <si>
    <t>Y1801-0584</t>
  </si>
  <si>
    <t>Y1802-0279</t>
  </si>
  <si>
    <t>Y1802-0104</t>
  </si>
  <si>
    <t>Y1801-0583</t>
  </si>
  <si>
    <t>Y1802-0018</t>
  </si>
  <si>
    <t>Y1802-0282</t>
  </si>
  <si>
    <t>Y1802-0051</t>
  </si>
  <si>
    <t>Y1802-0118</t>
  </si>
  <si>
    <t>Y1802-0172</t>
  </si>
  <si>
    <t>Y1802-0283</t>
  </si>
  <si>
    <t>Y1802-0017</t>
  </si>
  <si>
    <t>Y1802-0254</t>
  </si>
  <si>
    <t>Y1802-0256</t>
  </si>
  <si>
    <t>Y1802-0103</t>
  </si>
  <si>
    <t>Y1802-0117</t>
  </si>
  <si>
    <t>Y1802-0252</t>
  </si>
  <si>
    <t>Y1802-0253</t>
  </si>
  <si>
    <t>Y1802-0278</t>
  </si>
  <si>
    <t>Y1803-0075</t>
  </si>
  <si>
    <t>Y1802-0346</t>
  </si>
  <si>
    <t>Y1801-0855</t>
  </si>
  <si>
    <t>Y1801-0856</t>
  </si>
  <si>
    <t>Y1801-0857</t>
  </si>
  <si>
    <t>Y1801-0858</t>
  </si>
  <si>
    <t>Y1802-0345</t>
  </si>
  <si>
    <t>Y1801-0735</t>
  </si>
  <si>
    <t>Y1801-0854</t>
  </si>
  <si>
    <t>Y1801-0736</t>
  </si>
  <si>
    <t>Y1801-0862</t>
  </si>
  <si>
    <t>Y1801-0737</t>
  </si>
  <si>
    <t>Y1801-0738</t>
  </si>
  <si>
    <t>Y1801-0808</t>
  </si>
  <si>
    <t>Y1801-0540</t>
  </si>
  <si>
    <t>Y1802-0233</t>
  </si>
  <si>
    <t>Y1802-0245</t>
  </si>
  <si>
    <t>Y1801-0739</t>
  </si>
  <si>
    <t>Y1802-0235</t>
  </si>
  <si>
    <t>Y1802-0247</t>
  </si>
  <si>
    <t>Y1802-0249</t>
  </si>
  <si>
    <t>Y1802-0396</t>
  </si>
  <si>
    <t>Y1802-0202</t>
  </si>
  <si>
    <t>Y1802-0395</t>
  </si>
  <si>
    <t>Y1803-0161</t>
  </si>
  <si>
    <t>Y1802-0250</t>
  </si>
  <si>
    <t>Y1802-0203</t>
  </si>
  <si>
    <t>Y1802-0234</t>
  </si>
  <si>
    <t>Y1802-0246</t>
  </si>
  <si>
    <t>Y1802-0376</t>
  </si>
  <si>
    <t>Y1801-0803</t>
  </si>
  <si>
    <t>Y1801-0630</t>
  </si>
  <si>
    <t>Y1801-0653</t>
  </si>
  <si>
    <t>Y1802-0143</t>
  </si>
  <si>
    <t>Y1801-0558</t>
  </si>
  <si>
    <t>Y1802-0225</t>
  </si>
  <si>
    <t>Y1802-0269</t>
  </si>
  <si>
    <t>Y1801-0217</t>
  </si>
  <si>
    <t>Y1801-0652</t>
  </si>
  <si>
    <t>Y1801-0861</t>
  </si>
  <si>
    <t>Y1801-0560</t>
  </si>
  <si>
    <t>Y1802-0186</t>
  </si>
  <si>
    <t>Y1802-0144</t>
  </si>
  <si>
    <t>Y1802-0270</t>
  </si>
  <si>
    <t>Y1802-0089</t>
  </si>
  <si>
    <t>Y1802-0271</t>
  </si>
  <si>
    <t>Y1801-0965</t>
  </si>
  <si>
    <t>Y1802-0557</t>
  </si>
  <si>
    <t>Y1802-0559</t>
  </si>
  <si>
    <t>Y1802-0560</t>
  </si>
  <si>
    <t>Y1802-0561</t>
  </si>
  <si>
    <t>Y1802-0592</t>
  </si>
  <si>
    <t>Y1802-0772</t>
  </si>
  <si>
    <t>Y1802-0617</t>
  </si>
  <si>
    <t>Y1802-0618</t>
  </si>
  <si>
    <t>Y1802-0619</t>
  </si>
  <si>
    <t>Y1802-0639</t>
  </si>
  <si>
    <t>Y1802-0556</t>
  </si>
  <si>
    <t>Y1801-0970</t>
  </si>
  <si>
    <t>Y1802-0645</t>
  </si>
  <si>
    <t>Y1802-0650</t>
  </si>
  <si>
    <t>Y1802-0755</t>
  </si>
  <si>
    <t>Y1802-0343</t>
  </si>
  <si>
    <t>Y1802-0343A</t>
  </si>
  <si>
    <t>Y1802-0131</t>
  </si>
  <si>
    <t>Y1802-0137</t>
  </si>
  <si>
    <t>Y1802-0401</t>
  </si>
  <si>
    <t>Y1801-0859</t>
  </si>
  <si>
    <t>Y1802-0224</t>
  </si>
  <si>
    <t>Y1802-0090</t>
  </si>
  <si>
    <t>Y1802-0130</t>
  </si>
  <si>
    <t>Y1802-0391</t>
  </si>
  <si>
    <t>Y1802-0400</t>
  </si>
  <si>
    <t>Y1802-0110</t>
  </si>
  <si>
    <t>Y1802-0163</t>
  </si>
  <si>
    <t>Y1802-0342</t>
  </si>
  <si>
    <t>Y1802-0344</t>
  </si>
  <si>
    <t>Y1802-0109</t>
  </si>
  <si>
    <t>Y1802-0393</t>
  </si>
  <si>
    <t>Y1802-0162</t>
  </si>
  <si>
    <t>Y1802-0181</t>
  </si>
  <si>
    <t>Y1802-0394</t>
  </si>
  <si>
    <t>Y1802-0751</t>
  </si>
  <si>
    <t>Y1801-0280</t>
  </si>
  <si>
    <t>Y1801-0838</t>
  </si>
  <si>
    <t>Y1801-0638</t>
  </si>
  <si>
    <t>Y1801-0647</t>
  </si>
  <si>
    <t>Y1801-0836</t>
  </si>
  <si>
    <t>Y1801-0840</t>
  </si>
  <si>
    <t>Y1801-0639</t>
  </si>
  <si>
    <t>Y1801-0648</t>
  </si>
  <si>
    <t>Y1801-0837</t>
  </si>
  <si>
    <t>Y1801-0721</t>
  </si>
  <si>
    <t>Y1801-0722</t>
  </si>
  <si>
    <t>Y1801-0839</t>
  </si>
  <si>
    <t>Y1802-0403</t>
  </si>
  <si>
    <t>Y1802-0404</t>
  </si>
  <si>
    <t>Y1801-0812</t>
  </si>
  <si>
    <t>Y1802-0272</t>
  </si>
  <si>
    <t>Y1801-0698</t>
  </si>
  <si>
    <t>Y1801-0699</t>
  </si>
  <si>
    <t>Y1802-0079</t>
  </si>
  <si>
    <t>Y1802-0069</t>
  </si>
  <si>
    <t>Y1802-0078</t>
  </si>
  <si>
    <t>Y1802-0385</t>
  </si>
  <si>
    <t>Y1802-0532</t>
  </si>
  <si>
    <t>Y1802-0340</t>
  </si>
  <si>
    <t>Y1801-0330</t>
  </si>
  <si>
    <t>Y1801-0879</t>
  </si>
  <si>
    <t>Y1801-0538</t>
  </si>
  <si>
    <t>Y1801-0543</t>
  </si>
  <si>
    <t>Y1801-0581</t>
  </si>
  <si>
    <t>Y1801-0880</t>
  </si>
  <si>
    <t>Y1801-0661</t>
  </si>
  <si>
    <t>Y1801-0785</t>
  </si>
  <si>
    <t>Y1801-0881</t>
  </si>
  <si>
    <t>Y1801-0915</t>
  </si>
  <si>
    <t>Y1801-0582</t>
  </si>
  <si>
    <t>Y1801-0606</t>
  </si>
  <si>
    <t>Y1801-0882</t>
  </si>
  <si>
    <t>Y1801-0544</t>
  </si>
  <si>
    <t>Y1801-0545</t>
  </si>
  <si>
    <t>Y1801-0570</t>
  </si>
  <si>
    <t>Y1801-0660</t>
  </si>
  <si>
    <t>Y1802-0277</t>
  </si>
  <si>
    <t>Y1802-0116</t>
  </si>
  <si>
    <t>Y1802-0156</t>
  </si>
  <si>
    <t>Y1802-0157</t>
  </si>
  <si>
    <t>Y1801-0571</t>
  </si>
  <si>
    <t>Y1803-0041</t>
  </si>
  <si>
    <t>Y1802-0190</t>
  </si>
  <si>
    <t>Y1803-0051</t>
  </si>
  <si>
    <t>Y1802-0068</t>
  </si>
  <si>
    <t>Y1802-0100</t>
  </si>
  <si>
    <t>Y1802-0299</t>
  </si>
  <si>
    <t>Y1802-0115</t>
  </si>
  <si>
    <t>Y1802-0276</t>
  </si>
  <si>
    <t>Y1802-0158</t>
  </si>
  <si>
    <t>Y1802-0251</t>
  </si>
  <si>
    <t>Y1802-0114</t>
  </si>
  <si>
    <t>Y1802-0135</t>
  </si>
  <si>
    <t>Y1802-0174</t>
  </si>
  <si>
    <t>Y1802-0189</t>
  </si>
  <si>
    <t>Y1802-0275</t>
  </si>
  <si>
    <t>Y1802-0159</t>
  </si>
  <si>
    <t>Y1802-0160</t>
  </si>
  <si>
    <t>Y1802-0165</t>
  </si>
  <si>
    <t>Y1803-0038</t>
  </si>
  <si>
    <t>Y1803-0049</t>
  </si>
  <si>
    <t>Y1802-0274</t>
  </si>
  <si>
    <t>Y1802-0113</t>
  </si>
  <si>
    <t>Y1802-0286</t>
  </si>
  <si>
    <t>Y1802-0161</t>
  </si>
  <si>
    <t>Y1802-0175</t>
  </si>
  <si>
    <t>Y1802-0258</t>
  </si>
  <si>
    <t>Y1802-0273</t>
  </si>
  <si>
    <t>Y1802-0444</t>
  </si>
  <si>
    <t>Y1801-0344</t>
  </si>
  <si>
    <t>Y1801-0341</t>
  </si>
  <si>
    <t>Y1801-0342</t>
  </si>
  <si>
    <t>Y1801-0941</t>
  </si>
  <si>
    <t>Y1801-0920</t>
  </si>
  <si>
    <t>Y1801-0933</t>
  </si>
  <si>
    <t>Y1801-0938</t>
  </si>
  <si>
    <t>Y1802-0414</t>
  </si>
  <si>
    <t>Y1802-0418</t>
  </si>
  <si>
    <t>Y1802-0421</t>
  </si>
  <si>
    <t>Y1802-0420</t>
  </si>
  <si>
    <t>Y1802-0426</t>
  </si>
  <si>
    <t>Y1802-0416</t>
  </si>
  <si>
    <t>Y1802-0419</t>
  </si>
  <si>
    <t>Y1802-0423</t>
  </si>
  <si>
    <t>Y1801-0780</t>
  </si>
  <si>
    <t>Y1801-0832</t>
  </si>
  <si>
    <t>Y1801-0580</t>
  </si>
  <si>
    <t>Y1801-0729</t>
  </si>
  <si>
    <t>Y1801-0602</t>
  </si>
  <si>
    <t>Y1802-0036</t>
  </si>
  <si>
    <t>Y1801-0949</t>
  </si>
  <si>
    <t>Y1801-0609</t>
  </si>
  <si>
    <t>Y1801-0633</t>
  </si>
  <si>
    <t>Y1801-0667</t>
  </si>
  <si>
    <t>Y1801-0675</t>
  </si>
  <si>
    <t>Y1801-0852</t>
  </si>
  <si>
    <t>Y1801-0853</t>
  </si>
  <si>
    <t>Y1801-0563</t>
  </si>
  <si>
    <t>Y1801-0579</t>
  </si>
  <si>
    <t>Y1801-0728</t>
  </si>
  <si>
    <t>Y1801-0592</t>
  </si>
  <si>
    <t>Y1801-0601</t>
  </si>
  <si>
    <t>Y1802-0081</t>
  </si>
  <si>
    <t>Y1801-0693</t>
  </si>
  <si>
    <t>Y1802-0035</t>
  </si>
  <si>
    <t>Y1802-0123</t>
  </si>
  <si>
    <t>Y1802-0227</t>
  </si>
  <si>
    <t>Y1802-0164</t>
  </si>
  <si>
    <t>Y1802-0440</t>
  </si>
  <si>
    <t>Y1802-0529</t>
  </si>
  <si>
    <t>Y1802-0641</t>
  </si>
  <si>
    <t>Y1802-0301</t>
  </si>
  <si>
    <t>Y1802-0372</t>
  </si>
  <si>
    <t>Y1801-0139</t>
  </si>
  <si>
    <t>Y1801-0363</t>
  </si>
  <si>
    <t>Y1801-0387</t>
  </si>
  <si>
    <t>Y1801-0499</t>
  </si>
  <si>
    <t>Y1801-0290</t>
  </si>
  <si>
    <t>Y1801-0338</t>
  </si>
  <si>
    <t>Y1801-0377</t>
  </si>
  <si>
    <t>Y1801-0395</t>
  </si>
  <si>
    <t>Y1801-0339</t>
  </si>
  <si>
    <t>Y1802-0023</t>
  </si>
  <si>
    <t>Y1802-0214</t>
  </si>
  <si>
    <t>Y1802-0215</t>
  </si>
  <si>
    <t>Y1801-0637</t>
  </si>
  <si>
    <t>Y1802-0022</t>
  </si>
  <si>
    <t>Y1801-0683</t>
  </si>
  <si>
    <t>Y1801-0745</t>
  </si>
  <si>
    <t>Y1801-0783</t>
  </si>
  <si>
    <t>Y1801-0694</t>
  </si>
  <si>
    <t>Y1801-0695</t>
  </si>
  <si>
    <t>Y1801-0784</t>
  </si>
  <si>
    <t>Y1802-0020</t>
  </si>
  <si>
    <t>Y1801-0350</t>
  </si>
  <si>
    <t>Y1801-0416</t>
  </si>
  <si>
    <t>Y1801-0744</t>
  </si>
  <si>
    <t>Y1802-0021</t>
  </si>
  <si>
    <t>Y1801-0769</t>
  </si>
  <si>
    <t>Y1801-0770</t>
  </si>
  <si>
    <t>Y1801-0771</t>
  </si>
  <si>
    <t>Y1802-0333</t>
  </si>
  <si>
    <t>Y1801-0772</t>
  </si>
  <si>
    <t>Y1802-0350</t>
  </si>
  <si>
    <t>Y1802-0365</t>
  </si>
  <si>
    <t>Y1802-0332</t>
  </si>
  <si>
    <t>Y1802-0024</t>
  </si>
  <si>
    <t>Y1802-0083</t>
  </si>
  <si>
    <t>Y1802-0082</t>
  </si>
  <si>
    <t>Y1802-0760</t>
  </si>
  <si>
    <t>Y1801-0273</t>
  </si>
  <si>
    <t>Y1801-0364</t>
  </si>
  <si>
    <t>Y1801-0367</t>
  </si>
  <si>
    <t>Y1801-0912</t>
  </si>
  <si>
    <t>Y1801-0822</t>
  </si>
  <si>
    <t>Y1801-0824</t>
  </si>
  <si>
    <t>Y1801-0908</t>
  </si>
  <si>
    <t>Y1802-0528</t>
  </si>
  <si>
    <t>Y1803-0406</t>
  </si>
  <si>
    <t>Y1803-0404</t>
  </si>
  <si>
    <t>Y1803-0407</t>
  </si>
  <si>
    <t>Y1803-0410</t>
  </si>
  <si>
    <t>Y1801-0535</t>
  </si>
  <si>
    <t>Y1802-0387</t>
  </si>
  <si>
    <t>Y1802-0087</t>
  </si>
  <si>
    <t>Y1802-0075</t>
  </si>
  <si>
    <t>Y1802-0582</t>
  </si>
  <si>
    <t>Y1803-0208</t>
  </si>
  <si>
    <t>Y1802-0296</t>
  </si>
  <si>
    <t>Y1802-0058</t>
  </si>
  <si>
    <t>Y1802-0132</t>
  </si>
  <si>
    <t>Y1802-0085</t>
  </si>
  <si>
    <t>Y1802-0088</t>
  </si>
  <si>
    <t>Y1802-0032</t>
  </si>
  <si>
    <t>Y1802-0147</t>
  </si>
  <si>
    <t>Y1802-0170</t>
  </si>
  <si>
    <t>Y1802-0080</t>
  </si>
  <si>
    <t>Y1802-0297</t>
  </si>
  <si>
    <t>Y1802-0086</t>
  </si>
  <si>
    <t>Y1802-0091</t>
  </si>
  <si>
    <t>Y1802-0031</t>
  </si>
  <si>
    <t>Y1802-0188</t>
  </si>
  <si>
    <t>Y1802-0298</t>
  </si>
  <si>
    <t>Y1802-0057</t>
  </si>
  <si>
    <t>Y1802-0092</t>
  </si>
  <si>
    <t>Y1802-0182</t>
  </si>
  <si>
    <t>Y1802-0187</t>
  </si>
  <si>
    <t>Y1802-0355</t>
  </si>
  <si>
    <t>Y1802-0368</t>
  </si>
  <si>
    <t>Y1802-0370</t>
  </si>
  <si>
    <t>Y1802-0193</t>
  </si>
  <si>
    <t>Y1802-0566</t>
  </si>
  <si>
    <t>Y1802-0591</t>
  </si>
  <si>
    <t>Y1802-0773</t>
  </si>
  <si>
    <t>Y1801-0229</t>
  </si>
  <si>
    <t>Y1801-0380</t>
  </si>
  <si>
    <t>Y1801-0359</t>
  </si>
  <si>
    <t>Y1801-0381</t>
  </si>
  <si>
    <t>Y1801-0400</t>
  </si>
  <si>
    <t>Y1801-0482</t>
  </si>
  <si>
    <t>Y1801-0362</t>
  </si>
  <si>
    <t>Y1801-0401</t>
  </si>
  <si>
    <t>Y1801-0489</t>
  </si>
  <si>
    <t>Y1801-0623</t>
  </si>
  <si>
    <t>Y1801-0662</t>
  </si>
  <si>
    <t>Y1801-0674</t>
  </si>
  <si>
    <t>Y1801-0833</t>
  </si>
  <si>
    <t>Y1801-0834</t>
  </si>
  <si>
    <t>Y1801-0603</t>
  </si>
  <si>
    <t>Y1801-0619</t>
  </si>
  <si>
    <t>Y1801-0692</t>
  </si>
  <si>
    <t>Y1801-0831</t>
  </si>
  <si>
    <t>Y1801-0632</t>
  </si>
  <si>
    <t>Y1801-0665</t>
  </si>
  <si>
    <t>Y1801-0923</t>
  </si>
  <si>
    <t>Y1802-0441</t>
  </si>
  <si>
    <t>Y1802-0588</t>
  </si>
  <si>
    <t>Y1802-0620</t>
  </si>
  <si>
    <t>Y1802-0764</t>
  </si>
  <si>
    <t>Y1802-0537</t>
  </si>
  <si>
    <t>Y1802-0607</t>
  </si>
  <si>
    <t>Y1802-0621</t>
  </si>
  <si>
    <t>Y1802-0622</t>
  </si>
  <si>
    <t>Y1801-0967</t>
  </si>
  <si>
    <t>Y1802-0623</t>
  </si>
  <si>
    <t>Y1802-0630</t>
  </si>
  <si>
    <t>Y1802-0631</t>
  </si>
  <si>
    <t>Y1802-0754</t>
  </si>
  <si>
    <t>Y1802-0632</t>
  </si>
  <si>
    <t>Y1802-0640</t>
  </si>
  <si>
    <t>Y1802-0643</t>
  </si>
  <si>
    <t>Y1802-0654</t>
  </si>
  <si>
    <t>Y1802-0658</t>
  </si>
  <si>
    <t>Y1802-0767</t>
  </si>
  <si>
    <t>Y1802-0757</t>
  </si>
  <si>
    <t>Y1801-0315</t>
  </si>
  <si>
    <t>Y1801-0394</t>
  </si>
  <si>
    <t>Y1801-0480</t>
  </si>
  <si>
    <t>Y1801-0057</t>
  </si>
  <si>
    <t>Y1801-0053</t>
  </si>
  <si>
    <t>Y1801-0723</t>
  </si>
  <si>
    <t>Y1801-0622</t>
  </si>
  <si>
    <t>Y1801-0628</t>
  </si>
  <si>
    <t>Y1802-0206</t>
  </si>
  <si>
    <t>Y1801-0946</t>
  </si>
  <si>
    <t>Y1801-0948</t>
  </si>
  <si>
    <t>Y1801-0712</t>
  </si>
  <si>
    <t>Y1801-0716</t>
  </si>
  <si>
    <t>Y1801-0717</t>
  </si>
  <si>
    <t>Y1801-0883</t>
  </si>
  <si>
    <t>Y1801-0884</t>
  </si>
  <si>
    <t>Y1801-0956</t>
  </si>
  <si>
    <t>Y1801-0715</t>
  </si>
  <si>
    <t>Y1712-1052</t>
  </si>
  <si>
    <t>Y1801-0514</t>
  </si>
  <si>
    <t>Y1801-0523</t>
  </si>
  <si>
    <t>Y1801-0526</t>
  </si>
  <si>
    <t>Y1801-0527</t>
  </si>
  <si>
    <t>Y1801-0530</t>
  </si>
  <si>
    <t>Y1801-0624</t>
  </si>
  <si>
    <t>Y1801-0658</t>
  </si>
  <si>
    <t>Y1803-0233</t>
  </si>
  <si>
    <t>Y1803-0151</t>
  </si>
  <si>
    <t>Y1802-0359</t>
  </si>
  <si>
    <t>Y1802-0373</t>
  </si>
  <si>
    <t>Y1802-0201</t>
  </si>
  <si>
    <t>Y1802-0041</t>
  </si>
  <si>
    <t>Y1801-0957</t>
  </si>
  <si>
    <t>Y1801-0511</t>
  </si>
  <si>
    <t>Y1712-1044</t>
  </si>
  <si>
    <t>Y1801-0515</t>
  </si>
  <si>
    <t>Y1803-0234</t>
  </si>
  <si>
    <t>Y1802-0040</t>
  </si>
  <si>
    <t>Y1802-0059</t>
  </si>
  <si>
    <t>Y1802-0427</t>
  </si>
  <si>
    <t>Y1802-0428</t>
  </si>
  <si>
    <t>Y1802-0048</t>
  </si>
  <si>
    <t>Y1801-0779</t>
  </si>
  <si>
    <t>Y1801-0578</t>
  </si>
  <si>
    <t>Y1801-0676</t>
  </si>
  <si>
    <t>Y1801-0727</t>
  </si>
  <si>
    <t>Y1801-0591</t>
  </si>
  <si>
    <t>Y1801-0600</t>
  </si>
  <si>
    <t>Y1802-0034</t>
  </si>
  <si>
    <t>Y1802-0037</t>
  </si>
  <si>
    <t>Y1802-0084</t>
  </si>
  <si>
    <t>Y1802-0302</t>
  </si>
  <si>
    <t>Y1801-0761</t>
  </si>
  <si>
    <t>Y1801-0762</t>
  </si>
  <si>
    <t>Y1801-0763</t>
  </si>
  <si>
    <t>Y1801-0764</t>
  </si>
  <si>
    <t>Y1801-0704</t>
  </si>
  <si>
    <t>Y1801-0765</t>
  </si>
  <si>
    <t>Y1801-0673</t>
  </si>
  <si>
    <t>Y1801-0681</t>
  </si>
  <si>
    <t>Y1801-0766</t>
  </si>
  <si>
    <t>Y1801-0705</t>
  </si>
  <si>
    <t>Y1801-0714</t>
  </si>
  <si>
    <t>Y1801-0561</t>
  </si>
  <si>
    <t>Y1801-0596</t>
  </si>
  <si>
    <t>Y1801-0767</t>
  </si>
  <si>
    <t>Y1801-0649</t>
  </si>
  <si>
    <t>Y1801-0672</t>
  </si>
  <si>
    <t>Y1801-0768</t>
  </si>
  <si>
    <t>Y1801-0680</t>
  </si>
  <si>
    <t>Y1801-0512</t>
  </si>
  <si>
    <t>Y1801-0532</t>
  </si>
  <si>
    <t>Y1801-0562</t>
  </si>
  <si>
    <t>Y1801-0597</t>
  </si>
  <si>
    <t>Y1802-0329</t>
  </si>
  <si>
    <t>Y1802-0327</t>
  </si>
  <si>
    <t>Y1802-0093</t>
  </si>
  <si>
    <t>Y1802-0148</t>
  </si>
  <si>
    <t>Y1802-0330</t>
  </si>
  <si>
    <t>Y1802-0331</t>
  </si>
  <si>
    <t>Y1802-0325</t>
  </si>
  <si>
    <t>Y1803-0255</t>
  </si>
  <si>
    <t>Y1802-0339</t>
  </si>
  <si>
    <t>Y1802-0392</t>
  </si>
  <si>
    <t>Y1802-0015</t>
  </si>
  <si>
    <t>Y1802-0043</t>
  </si>
  <si>
    <t>Y1802-0050</t>
  </si>
  <si>
    <t>Y1802-0121</t>
  </si>
  <si>
    <t>Y1803-0018</t>
  </si>
  <si>
    <t>Y1802-0038</t>
  </si>
  <si>
    <t>Y1802-0039</t>
  </si>
  <si>
    <t>Y1803-0019</t>
  </si>
  <si>
    <t>Y1803-0020</t>
  </si>
  <si>
    <t>Y1802-0044</t>
  </si>
  <si>
    <t>Y1802-0338</t>
  </si>
  <si>
    <t>Y1802-0402</t>
  </si>
  <si>
    <t>Y1802-0436</t>
  </si>
  <si>
    <t>Y1802-0490</t>
  </si>
  <si>
    <t>Y1802-0494</t>
  </si>
  <si>
    <t>Y1803-0332</t>
  </si>
  <si>
    <t>Y1803-0472</t>
  </si>
  <si>
    <t>Y1802-0435</t>
  </si>
  <si>
    <t>Y1803-0331</t>
  </si>
  <si>
    <t>Y1802-0492</t>
  </si>
  <si>
    <t>Y1802-0493</t>
  </si>
  <si>
    <t>Y1803-0475</t>
  </si>
  <si>
    <t>Y1802-0488</t>
  </si>
  <si>
    <t>Y1802-0437</t>
  </si>
  <si>
    <t>Y1802-0539</t>
  </si>
  <si>
    <t>Y1802-0599</t>
  </si>
  <si>
    <t>Y1803-0476</t>
  </si>
  <si>
    <t>Y1802-0489</t>
  </si>
  <si>
    <t>Y1802-0434</t>
  </si>
  <si>
    <t>Y1802-0509</t>
  </si>
  <si>
    <t>Y1802-0594</t>
  </si>
  <si>
    <t>Y1802-0522</t>
  </si>
  <si>
    <t>Y1803-0477</t>
  </si>
  <si>
    <t>660032C</t>
  </si>
  <si>
    <t>760747F</t>
  </si>
  <si>
    <t>760747C</t>
  </si>
  <si>
    <t>742935C</t>
  </si>
  <si>
    <t>660747F</t>
  </si>
  <si>
    <t>660747C</t>
  </si>
  <si>
    <t>660748C</t>
  </si>
  <si>
    <t>660748F</t>
  </si>
  <si>
    <t>660005C</t>
  </si>
  <si>
    <t>660006C</t>
  </si>
  <si>
    <t>642935C</t>
  </si>
  <si>
    <t>3J234C</t>
  </si>
  <si>
    <t>3J238C</t>
  </si>
  <si>
    <t>760754C</t>
  </si>
  <si>
    <t>760755C</t>
  </si>
  <si>
    <t>760753C</t>
  </si>
  <si>
    <t>760756C</t>
  </si>
  <si>
    <t>158369C</t>
  </si>
  <si>
    <t>158368C</t>
  </si>
  <si>
    <t>158465C</t>
  </si>
  <si>
    <t>162127C</t>
  </si>
  <si>
    <t>327560F</t>
  </si>
  <si>
    <t>660742C</t>
  </si>
  <si>
    <t>660743C</t>
  </si>
  <si>
    <t>660741C</t>
  </si>
  <si>
    <t>660740C</t>
  </si>
  <si>
    <t>159797C</t>
  </si>
  <si>
    <t>159796C</t>
  </si>
  <si>
    <t>161360C</t>
  </si>
  <si>
    <t>161361C</t>
  </si>
  <si>
    <t>161362C</t>
  </si>
  <si>
    <t>161363C</t>
  </si>
  <si>
    <t>161364C</t>
  </si>
  <si>
    <t>155064C</t>
  </si>
  <si>
    <t>155066C</t>
  </si>
  <si>
    <t>155065C</t>
  </si>
  <si>
    <t>162130C</t>
  </si>
  <si>
    <t>162126C</t>
  </si>
  <si>
    <t>159791C</t>
  </si>
  <si>
    <t>159787C</t>
  </si>
  <si>
    <t>159792C</t>
  </si>
  <si>
    <t>159788C</t>
  </si>
  <si>
    <t>159793C</t>
  </si>
  <si>
    <t>158393C</t>
  </si>
  <si>
    <t>161337C</t>
  </si>
  <si>
    <t>M7650C</t>
  </si>
  <si>
    <t>661014C</t>
  </si>
  <si>
    <t>660730F</t>
  </si>
  <si>
    <t>660730C</t>
  </si>
  <si>
    <t>660729C</t>
  </si>
  <si>
    <t>660728F</t>
  </si>
  <si>
    <t>660731F</t>
  </si>
  <si>
    <t>660728C</t>
  </si>
  <si>
    <t>660727C</t>
  </si>
  <si>
    <t>660729F</t>
  </si>
  <si>
    <t>656036F</t>
  </si>
  <si>
    <t>660731C</t>
  </si>
  <si>
    <t>636930C</t>
  </si>
  <si>
    <t>660736F</t>
  </si>
  <si>
    <t>660736C</t>
  </si>
  <si>
    <t>660737F</t>
  </si>
  <si>
    <t>660737C</t>
  </si>
  <si>
    <t>660738F</t>
  </si>
  <si>
    <t>660739F</t>
  </si>
  <si>
    <t>660738C</t>
  </si>
  <si>
    <t>660739C</t>
  </si>
  <si>
    <t>660012C</t>
  </si>
  <si>
    <t>144151C</t>
  </si>
  <si>
    <t>144150C</t>
  </si>
  <si>
    <t>144148C</t>
  </si>
  <si>
    <t>561347C</t>
  </si>
  <si>
    <t>561348C</t>
  </si>
  <si>
    <t>158371C</t>
  </si>
  <si>
    <t>158370C</t>
  </si>
  <si>
    <t>160625C</t>
  </si>
  <si>
    <t>160624C</t>
  </si>
  <si>
    <t>159652C</t>
  </si>
  <si>
    <t>559865C</t>
  </si>
  <si>
    <t>159651C</t>
  </si>
  <si>
    <t>560644C</t>
  </si>
  <si>
    <t>560643C</t>
  </si>
  <si>
    <t>559911C</t>
  </si>
  <si>
    <t>559910C</t>
  </si>
  <si>
    <t>560656C</t>
  </si>
  <si>
    <t>560657C</t>
  </si>
  <si>
    <t>561401C</t>
  </si>
  <si>
    <t>561402C</t>
  </si>
  <si>
    <t>160957C</t>
  </si>
  <si>
    <t>160956C</t>
  </si>
  <si>
    <t>756086F</t>
  </si>
  <si>
    <t>756095F</t>
  </si>
  <si>
    <t>656095F</t>
  </si>
  <si>
    <t>555861F</t>
  </si>
  <si>
    <t>551520F</t>
  </si>
  <si>
    <t>555908F</t>
  </si>
  <si>
    <t>654220C</t>
  </si>
  <si>
    <t>M9613C</t>
  </si>
  <si>
    <t>M9613</t>
  </si>
  <si>
    <t>M5039C</t>
  </si>
  <si>
    <t>1J793C</t>
  </si>
  <si>
    <t>160584C</t>
  </si>
  <si>
    <t>160585C</t>
  </si>
  <si>
    <t>160586C</t>
  </si>
  <si>
    <t>162131C</t>
  </si>
  <si>
    <t>159712C</t>
  </si>
  <si>
    <t>159710C</t>
  </si>
  <si>
    <t>159711C</t>
  </si>
  <si>
    <t>160626C</t>
  </si>
  <si>
    <t>160623C</t>
  </si>
  <si>
    <t>162125C</t>
  </si>
  <si>
    <t>162128C</t>
  </si>
  <si>
    <t>159492C</t>
  </si>
  <si>
    <t>160555C</t>
  </si>
  <si>
    <t>160592C</t>
  </si>
  <si>
    <t>161406C</t>
  </si>
  <si>
    <t>161407C</t>
  </si>
  <si>
    <t>161194C</t>
  </si>
  <si>
    <t>560630C</t>
  </si>
  <si>
    <t>560631C</t>
  </si>
  <si>
    <t>560632C</t>
  </si>
  <si>
    <t>560633C</t>
  </si>
  <si>
    <t>161411C</t>
  </si>
  <si>
    <t>161412C</t>
  </si>
  <si>
    <t>8J231</t>
  </si>
  <si>
    <t>BV</t>
  </si>
  <si>
    <t>USA</t>
  </si>
  <si>
    <t>CANADA</t>
  </si>
  <si>
    <t>MEXICO</t>
  </si>
  <si>
    <t>CHILE</t>
  </si>
  <si>
    <t>PHILIPPINES</t>
  </si>
  <si>
    <t>CHINA</t>
  </si>
  <si>
    <t>TAIWAN</t>
  </si>
  <si>
    <t>NEW ZEALAND</t>
  </si>
  <si>
    <t>SINGAPORE</t>
  </si>
  <si>
    <t>RS. BRAZIL</t>
  </si>
  <si>
    <t>ARGENTINA</t>
  </si>
  <si>
    <t>INDIA</t>
  </si>
  <si>
    <t>AUSTRALIA</t>
  </si>
  <si>
    <t>PERU</t>
  </si>
  <si>
    <t>THAILAND</t>
  </si>
  <si>
    <t>KOREA</t>
  </si>
  <si>
    <t>HONG KONG</t>
  </si>
  <si>
    <t>PANAMA</t>
  </si>
  <si>
    <t>UKRAINE</t>
  </si>
  <si>
    <t>LY-KD686A-6</t>
  </si>
  <si>
    <t>LY-SA216N-A-1</t>
  </si>
  <si>
    <t>LY-SA216N-A</t>
  </si>
  <si>
    <t>LY-SA216J-A-2</t>
  </si>
  <si>
    <t>LY-SA216J-B-5</t>
  </si>
  <si>
    <t>LY-SA216J-A</t>
  </si>
  <si>
    <t>LY-6G CTAS HI</t>
  </si>
  <si>
    <t>LY-6G CTAS OX</t>
  </si>
  <si>
    <t>LY-KD251B-1</t>
  </si>
  <si>
    <t>LY-KD251B-7</t>
  </si>
  <si>
    <t>LY-OS119U-B</t>
  </si>
  <si>
    <t>LY-OS128U-B</t>
  </si>
  <si>
    <t>LY-CX391B-K13</t>
  </si>
  <si>
    <t>LY-KD686A</t>
  </si>
  <si>
    <t>LY-SA368U-B</t>
  </si>
  <si>
    <t>LY-SA368U-A</t>
  </si>
  <si>
    <t>LY-SK032U-A</t>
  </si>
  <si>
    <t>LY-SK032U-A-2</t>
  </si>
  <si>
    <t>LY-SK032U-1B</t>
  </si>
  <si>
    <t>LY-SK032U-2A</t>
  </si>
  <si>
    <t>LY-CT AS HI CR-XXX</t>
  </si>
  <si>
    <t>LY-6G CTAS HI-5A</t>
  </si>
  <si>
    <t>LY-6G CTAS OX-5A</t>
  </si>
  <si>
    <t>LY-6G CTAS OX-1J</t>
  </si>
  <si>
    <t>LY-CT788J-1A</t>
  </si>
  <si>
    <t>LY-KD685B</t>
  </si>
  <si>
    <t>LY-SA345J-A</t>
  </si>
  <si>
    <t>LY-SA224-A</t>
  </si>
  <si>
    <t>LY-KD685B-9</t>
  </si>
  <si>
    <t>LY-CT AS OX CR-XXX-17B</t>
  </si>
  <si>
    <t>LY-OS119U-6B-1</t>
  </si>
  <si>
    <t>LY-CT AS HI CR-XXX-16A</t>
  </si>
  <si>
    <t>LY-CT AS OX CR XXX-25A</t>
  </si>
  <si>
    <t>LY-CT AS HI CR XXX-16A</t>
  </si>
  <si>
    <t>LY-CT AS OX CR-XXX-26A</t>
  </si>
  <si>
    <t>LY-CT973U-A</t>
  </si>
  <si>
    <t>LY-CT AS HI CR-XXX-25A</t>
  </si>
  <si>
    <t>LY-CT AS OX CR-XXX-18B</t>
  </si>
  <si>
    <t>LY-CT AS HI CR-XXX-21A</t>
  </si>
  <si>
    <t>LY-CT763N-3A</t>
  </si>
  <si>
    <t>LY-CT763N-2A</t>
  </si>
  <si>
    <t>LY-CT763J-2A</t>
  </si>
  <si>
    <t>LY-CT763U-4A</t>
  </si>
  <si>
    <t>LY-CT763U-A</t>
  </si>
  <si>
    <t>LY-CT763J-B</t>
  </si>
  <si>
    <t>LY-CT AS OX CR-XXX</t>
  </si>
  <si>
    <t>LY-OS119U-6B-2</t>
  </si>
  <si>
    <t>LY-OS119U-3A</t>
  </si>
  <si>
    <t>LY-OS119U-B-2</t>
  </si>
  <si>
    <t>LY-OS119U-7B-1</t>
  </si>
  <si>
    <t>LY-OS132U-B</t>
  </si>
  <si>
    <t>LY-OS119U-B-1</t>
  </si>
  <si>
    <t>LY-CT AS HI CR-XXX-27A</t>
  </si>
  <si>
    <t>LY-CT AS OX CR-XXX-31A</t>
  </si>
  <si>
    <t>LY-66001</t>
  </si>
  <si>
    <t>Y1801-0261</t>
  </si>
  <si>
    <t>Y1801-0932-1</t>
  </si>
  <si>
    <t>YL1801-0006A</t>
  </si>
  <si>
    <t>M7652C</t>
  </si>
  <si>
    <t>LY-CTAS HI CR-XXX</t>
  </si>
  <si>
    <t>Y1801-0457</t>
  </si>
  <si>
    <t>155310C</t>
  </si>
  <si>
    <t>Y1802-0280</t>
  </si>
  <si>
    <t>655410C</t>
  </si>
  <si>
    <t>Y1802-0033</t>
  </si>
  <si>
    <t>Y1801-0226</t>
  </si>
  <si>
    <t>Y1801-0310</t>
  </si>
  <si>
    <t>Y1801-0741</t>
  </si>
  <si>
    <t>直工人数+18間接</t>
  </si>
  <si>
    <t>快速订单</t>
    <phoneticPr fontId="13" type="noConversion"/>
  </si>
  <si>
    <t>1/29~1/31</t>
  </si>
  <si>
    <t>Y1801-0942</t>
  </si>
  <si>
    <t>Y1801-0918</t>
  </si>
  <si>
    <t>Y1801-0458</t>
  </si>
  <si>
    <t>Y1801-0608</t>
  </si>
  <si>
    <t>1/23~1/26</t>
  </si>
  <si>
    <t>YL1801-0001A</t>
  </si>
  <si>
    <t>M9160C</t>
  </si>
  <si>
    <t>Y1801-0343</t>
  </si>
  <si>
    <t>Y1802-0268</t>
  </si>
  <si>
    <t>144145C</t>
  </si>
  <si>
    <t>1/18~1/31</t>
  </si>
  <si>
    <t>Y1801-0718</t>
  </si>
  <si>
    <t>Y1801-0279</t>
  </si>
  <si>
    <t>560979C</t>
  </si>
  <si>
    <t>LY-CT AS OX CR-XXX-19A</t>
  </si>
  <si>
    <t>YL1801-0006B</t>
  </si>
  <si>
    <t>1/15~1/31</t>
  </si>
  <si>
    <t>YL1801-0006C</t>
  </si>
  <si>
    <t>Y1801-0690</t>
  </si>
  <si>
    <t>Y1801-0599</t>
  </si>
  <si>
    <t>Y1801-0595</t>
  </si>
  <si>
    <t>Y1801-0577</t>
  </si>
  <si>
    <t>Y1801-0829</t>
  </si>
  <si>
    <t>Y1801-0778</t>
  </si>
  <si>
    <t>Y1801-0677</t>
  </si>
  <si>
    <t>Y1801-0616</t>
  </si>
  <si>
    <t>Y1801-0372</t>
  </si>
  <si>
    <t>Y1801-0054</t>
  </si>
  <si>
    <t>159493C</t>
  </si>
  <si>
    <t>YL1801-0008</t>
  </si>
  <si>
    <t>1J794C</t>
  </si>
  <si>
    <t>线别</t>
    <phoneticPr fontId="0" type="noConversion"/>
  </si>
  <si>
    <t>预计上线日</t>
    <phoneticPr fontId="0" type="noConversion"/>
  </si>
  <si>
    <r>
      <t>IE</t>
    </r>
    <r>
      <rPr>
        <b/>
        <sz val="10"/>
        <rFont val="細明體"/>
        <family val="3"/>
        <charset val="136"/>
      </rPr>
      <t>产量</t>
    </r>
  </si>
  <si>
    <t>直工人数</t>
  </si>
  <si>
    <t>間工
（36人）</t>
  </si>
  <si>
    <t>總數</t>
  </si>
  <si>
    <r>
      <t>PPH</t>
    </r>
    <r>
      <rPr>
        <b/>
        <sz val="10"/>
        <rFont val="細明體"/>
        <family val="3"/>
        <charset val="136"/>
      </rPr>
      <t>值</t>
    </r>
  </si>
  <si>
    <t>级数</t>
    <phoneticPr fontId="0" type="noConversion"/>
  </si>
  <si>
    <t>Y1801-0804</t>
  </si>
  <si>
    <t>Y1801-0911</t>
  </si>
  <si>
    <t>Y1801-0914</t>
  </si>
  <si>
    <t>Y1801-0907</t>
  </si>
  <si>
    <t>555830C</t>
  </si>
  <si>
    <t>LY-CT763U-B</t>
  </si>
  <si>
    <t>Y1801-0863</t>
  </si>
  <si>
    <t>551585C</t>
  </si>
  <si>
    <t>Y1801-0906</t>
  </si>
  <si>
    <t>Y1802-0007</t>
  </si>
  <si>
    <t>Y1802-0146</t>
  </si>
  <si>
    <t>651826C</t>
  </si>
  <si>
    <t>LY-SK110J-B</t>
  </si>
  <si>
    <t>Y1802-0145</t>
  </si>
  <si>
    <t>Y1802-0149</t>
  </si>
  <si>
    <t>Y1802-0183</t>
  </si>
  <si>
    <t>Y1802-0168</t>
  </si>
  <si>
    <t>Y1802-0184</t>
  </si>
  <si>
    <t>651825C</t>
  </si>
  <si>
    <t>Y1802-0185</t>
  </si>
  <si>
    <t>Y1802-0173</t>
  </si>
  <si>
    <t>Y1803-0130</t>
  </si>
  <si>
    <t>1/23~1/31</t>
  </si>
  <si>
    <t>Y1801-0481</t>
  </si>
  <si>
    <t>359733C</t>
  </si>
  <si>
    <t>LY-OS119J-B-1</t>
  </si>
  <si>
    <t>Y1801-0491</t>
  </si>
  <si>
    <t>359731C</t>
  </si>
  <si>
    <t>Y1801-0814</t>
  </si>
  <si>
    <t>361301C</t>
  </si>
  <si>
    <t>LY-OS119J-A-2</t>
  </si>
  <si>
    <t>Y1801-0815</t>
  </si>
  <si>
    <t>Y1801-0891</t>
  </si>
  <si>
    <t>Y1802-0294</t>
  </si>
  <si>
    <t>Y1801-0781</t>
  </si>
  <si>
    <t>761199C</t>
  </si>
  <si>
    <t>LY-OS119N-1A-2</t>
  </si>
  <si>
    <t>Y1801-0782</t>
  </si>
  <si>
    <t>761200C</t>
  </si>
  <si>
    <t>Y1801-0816</t>
  </si>
  <si>
    <t>361302C</t>
  </si>
  <si>
    <t>Y1801-0791</t>
  </si>
  <si>
    <t>658369C</t>
  </si>
  <si>
    <t>LY-OS119J-B</t>
  </si>
  <si>
    <t>Y1801-0792</t>
  </si>
  <si>
    <t>658434C</t>
  </si>
  <si>
    <t>Y1801-0835</t>
  </si>
  <si>
    <t>658371C</t>
  </si>
  <si>
    <t>Y1801-0959</t>
  </si>
  <si>
    <t>Y1801-0567</t>
  </si>
  <si>
    <t>Y1801-0612</t>
  </si>
  <si>
    <t>Y1801-0605</t>
  </si>
  <si>
    <t>Y1801-0960</t>
  </si>
  <si>
    <t>Y1801-0724</t>
  </si>
  <si>
    <t>Y1801-0568</t>
  </si>
  <si>
    <t>Y1802-0375</t>
  </si>
  <si>
    <t>Y1801-0958</t>
  </si>
  <si>
    <t>Y1801-0566</t>
  </si>
  <si>
    <t>Y1801-0604</t>
  </si>
  <si>
    <t>Y1801-0613</t>
  </si>
  <si>
    <t>Y1802-0287</t>
  </si>
  <si>
    <t>Y1802-0374</t>
  </si>
  <si>
    <t>Y1801-0843</t>
  </si>
  <si>
    <t>Y1801-0894</t>
  </si>
  <si>
    <t>Y1801-0892</t>
  </si>
  <si>
    <t>Y1801-0844</t>
  </si>
  <si>
    <t>Y1801-0893</t>
  </si>
  <si>
    <t>Y1801-0818</t>
  </si>
  <si>
    <t>Y1802-0295</t>
  </si>
  <si>
    <t>Y1802-0378</t>
  </si>
  <si>
    <t>Y1801-0759</t>
  </si>
  <si>
    <t>360626C</t>
  </si>
  <si>
    <t>LY-OS119J-B-4</t>
  </si>
  <si>
    <t>Y1801-0631</t>
  </si>
  <si>
    <t>Y1801-0756</t>
  </si>
  <si>
    <t>360623C</t>
  </si>
  <si>
    <t>Y1801-0611</t>
  </si>
  <si>
    <t>Y1801-0629</t>
  </si>
  <si>
    <t>Y1802-0266</t>
  </si>
  <si>
    <t>Y1802-0291</t>
  </si>
  <si>
    <t>Y1802-0292</t>
  </si>
  <si>
    <t>Y1802-0166</t>
  </si>
  <si>
    <t>Y1802-0177</t>
  </si>
  <si>
    <t>Y1801-0813</t>
  </si>
  <si>
    <t>Y1801-0610</t>
  </si>
  <si>
    <t>Y1802-0267</t>
  </si>
  <si>
    <t>Y1802-0293</t>
  </si>
  <si>
    <t>Y1802-0136</t>
  </si>
  <si>
    <t>Y1802-0176</t>
  </si>
  <si>
    <t>Y1801-0569</t>
  </si>
  <si>
    <t>658491C</t>
  </si>
  <si>
    <t>LY-OS119J-1B</t>
  </si>
  <si>
    <t>Y1802-0046</t>
  </si>
  <si>
    <t>Y1802-0289</t>
  </si>
  <si>
    <t>Y1802-0360</t>
  </si>
  <si>
    <t>Y1802-0288</t>
  </si>
  <si>
    <t>Y1802-0384</t>
  </si>
  <si>
    <t>Y1802-0139</t>
  </si>
  <si>
    <t>660763C</t>
  </si>
  <si>
    <t>LY-OS119J-1A-1</t>
  </si>
  <si>
    <t>Y1802-0138</t>
  </si>
  <si>
    <t>660765C</t>
  </si>
  <si>
    <t>Y1802-0317</t>
  </si>
  <si>
    <t>Y1802-0316</t>
  </si>
  <si>
    <t>Y1802-0386</t>
  </si>
  <si>
    <t>Y1801-0697</t>
  </si>
  <si>
    <t>760765C</t>
  </si>
  <si>
    <t>LY-OS119N-1A-1</t>
  </si>
  <si>
    <t>Y1802-0213</t>
  </si>
  <si>
    <t>Y1802-0179</t>
  </si>
  <si>
    <t>Y1802-0220</t>
  </si>
  <si>
    <t>Y1802-0707</t>
  </si>
  <si>
    <t>Y1802-0679</t>
  </si>
  <si>
    <t>Y1802-0211</t>
  </si>
  <si>
    <t>760763C</t>
  </si>
  <si>
    <t>Y1802-0212</t>
  </si>
  <si>
    <t>Y1802-0517</t>
  </si>
  <si>
    <t>760763F</t>
  </si>
  <si>
    <t>Y1803-0382</t>
  </si>
  <si>
    <t>Y1802-0676</t>
  </si>
  <si>
    <t>Y1802-0701</t>
  </si>
  <si>
    <t>Y1802-0483</t>
  </si>
  <si>
    <t>760595F</t>
  </si>
  <si>
    <t>LY-OS119N-A-1</t>
  </si>
  <si>
    <t>Y1802-0551</t>
  </si>
  <si>
    <t>Y1802-0684</t>
  </si>
  <si>
    <t>760595C</t>
  </si>
  <si>
    <t>Y1802-0729</t>
  </si>
  <si>
    <t>Y1802-0731</t>
  </si>
  <si>
    <t>760596C</t>
  </si>
  <si>
    <t>Y1802-0484</t>
  </si>
  <si>
    <t>760596F</t>
  </si>
  <si>
    <t>Y1801-0795</t>
  </si>
  <si>
    <t>1Q698</t>
  </si>
  <si>
    <t>LY-JP024U-A</t>
  </si>
  <si>
    <t>Y1801-0830</t>
  </si>
  <si>
    <t>1Q699</t>
  </si>
  <si>
    <t>Y1802-0382</t>
  </si>
  <si>
    <t>Y1802-0014</t>
  </si>
  <si>
    <t>761308C</t>
  </si>
  <si>
    <t>LY-JP134N-A</t>
  </si>
  <si>
    <t>Y1802-0028</t>
  </si>
  <si>
    <t>361308C</t>
  </si>
  <si>
    <t>LY-JP133J-A</t>
  </si>
  <si>
    <t>Y1802-0013</t>
  </si>
  <si>
    <t>761307C</t>
  </si>
  <si>
    <t>Y1803-0226</t>
  </si>
  <si>
    <t>Y1803-0227</t>
  </si>
  <si>
    <t>Y1802-0027</t>
  </si>
  <si>
    <t>1/26~1/31</t>
  </si>
  <si>
    <t>361307C</t>
  </si>
  <si>
    <t>Y1801-0360</t>
  </si>
  <si>
    <t>160955C</t>
  </si>
  <si>
    <t>Y1801-0272</t>
  </si>
  <si>
    <t>Y1712-0914</t>
  </si>
  <si>
    <t>Y1712-0946</t>
  </si>
  <si>
    <t>Y1801-0391</t>
  </si>
  <si>
    <t>559920C</t>
  </si>
  <si>
    <t>Y1801-0390</t>
  </si>
  <si>
    <t>559919C</t>
  </si>
  <si>
    <t>Y1801-0264</t>
  </si>
  <si>
    <t>Y1801-0306</t>
  </si>
  <si>
    <t>Y1801-0407</t>
  </si>
  <si>
    <t>Y1801-0409</t>
  </si>
  <si>
    <t>Y1801-0156</t>
  </si>
  <si>
    <t>INDONESIA</t>
  </si>
  <si>
    <t>Y1801-0392</t>
  </si>
  <si>
    <t>559921C</t>
  </si>
  <si>
    <t>Y1801-0028</t>
  </si>
  <si>
    <t>Y1801-0209</t>
  </si>
  <si>
    <t>Y1801-0210</t>
  </si>
  <si>
    <t>Y1801-0265</t>
  </si>
  <si>
    <t>Y1801-0664</t>
  </si>
  <si>
    <t>560670C</t>
  </si>
  <si>
    <t>Y1802-0217</t>
  </si>
  <si>
    <t>Y1802-0218</t>
  </si>
  <si>
    <t>Y1802-0219</t>
  </si>
  <si>
    <t>560671C</t>
  </si>
  <si>
    <t>Y1801-0806</t>
  </si>
  <si>
    <t>155391C</t>
  </si>
  <si>
    <t>Y1801-0807</t>
  </si>
  <si>
    <t>Y1802-0377</t>
  </si>
  <si>
    <t>Y1802-0030</t>
  </si>
  <si>
    <t>Y1802-0320</t>
  </si>
  <si>
    <t>559936C</t>
  </si>
  <si>
    <t>Y1802-0076</t>
  </si>
  <si>
    <t>559935C</t>
  </si>
  <si>
    <t>Y1802-0319</t>
  </si>
  <si>
    <t>Y1802-0029</t>
  </si>
  <si>
    <t>560978C</t>
  </si>
  <si>
    <t>Y1802-0216</t>
  </si>
  <si>
    <t>560669C</t>
  </si>
  <si>
    <t>LY-CT AS HI CR-XXX-12A</t>
  </si>
  <si>
    <t>1/20~1/31</t>
  </si>
  <si>
    <t>快速订单</t>
    <phoneticPr fontId="0" type="noConversion"/>
  </si>
  <si>
    <t>YL1801-0002A</t>
  </si>
  <si>
    <t>1/2~5</t>
  </si>
  <si>
    <t>M9166C</t>
  </si>
  <si>
    <t>LY-CTAS OX CR-XXX</t>
  </si>
  <si>
    <t>YL1801-0002B</t>
  </si>
  <si>
    <t>YL1801-0002C</t>
  </si>
  <si>
    <t>Y1802-0221</t>
  </si>
  <si>
    <t>Canada</t>
  </si>
  <si>
    <t>Y1802-0670</t>
  </si>
  <si>
    <t>Y1802-0583</t>
  </si>
  <si>
    <t>Y1802-0666</t>
  </si>
  <si>
    <t>Y1802-0671</t>
  </si>
  <si>
    <t>Y1802-0674</t>
  </si>
  <si>
    <t>M9697C</t>
  </si>
  <si>
    <t>Y1801-0972</t>
  </si>
  <si>
    <t>Y1802-0554</t>
  </si>
  <si>
    <t>M9697</t>
  </si>
  <si>
    <t>Y1802-0678</t>
  </si>
  <si>
    <t>1/16~1/31</t>
  </si>
  <si>
    <t>YL1801-0003-1</t>
  </si>
  <si>
    <t>M9622C</t>
  </si>
  <si>
    <t>Y1801-0607</t>
  </si>
  <si>
    <t>560658C</t>
  </si>
  <si>
    <t>LY-CT AS OX CR-XXX-29A</t>
  </si>
  <si>
    <t>Y1801-0773</t>
  </si>
  <si>
    <t>Y1801-0636</t>
  </si>
  <si>
    <t>Y1801-0657</t>
  </si>
  <si>
    <t>ISRAEL</t>
  </si>
  <si>
    <t>Y1802-0025</t>
  </si>
  <si>
    <t>Y1801-0617</t>
  </si>
  <si>
    <t>560659C</t>
  </si>
  <si>
    <t>Y1801-0774</t>
  </si>
  <si>
    <t>Y1801-0640</t>
  </si>
  <si>
    <t>Y1801-0655</t>
  </si>
  <si>
    <t>Y1801-0656</t>
  </si>
  <si>
    <t>160472C</t>
  </si>
  <si>
    <t>LY-CT AS OX CR-XXX-27A</t>
  </si>
  <si>
    <t>Y1801-0682</t>
  </si>
  <si>
    <t>Y1801-0686</t>
  </si>
  <si>
    <t>Y1801-0654</t>
  </si>
  <si>
    <t>160471C</t>
  </si>
  <si>
    <t>Y1801-0811</t>
  </si>
  <si>
    <t>160470C</t>
  </si>
  <si>
    <t>LY-CT AS HI CR-XXX-24A</t>
  </si>
  <si>
    <t>Y1801-0679</t>
  </si>
  <si>
    <t>Y1801-0671</t>
  </si>
  <si>
    <t>160473C</t>
  </si>
  <si>
    <t>LY-CT AS OX CR-XXX-28A</t>
  </si>
  <si>
    <t>Y1801-0687</t>
  </si>
  <si>
    <t>Y1801-0740</t>
  </si>
  <si>
    <t>Y1801-0775</t>
  </si>
  <si>
    <t>Y1802-0026</t>
  </si>
  <si>
    <t>Y1802-0063</t>
  </si>
  <si>
    <t>Y1802-0126</t>
  </si>
  <si>
    <t>Y1802-0064</t>
  </si>
  <si>
    <t>Y1802-0125</t>
  </si>
  <si>
    <t>Y1802-0334</t>
  </si>
  <si>
    <t>Y1801-0905</t>
  </si>
  <si>
    <t>139638F</t>
  </si>
  <si>
    <t>LY-CT239U-1T</t>
  </si>
  <si>
    <t>Y1801-0285</t>
  </si>
  <si>
    <t>159635C</t>
  </si>
  <si>
    <t>LY-CT AS HI CR-XXX-17A</t>
  </si>
  <si>
    <t>Y1801-0286</t>
  </si>
  <si>
    <t>159636C</t>
  </si>
  <si>
    <t>Y1801-0307</t>
  </si>
  <si>
    <t>Y1801-0402</t>
  </si>
  <si>
    <t>Y1801-0691</t>
  </si>
  <si>
    <t>160600C</t>
  </si>
  <si>
    <t>LY-OS119U-4A</t>
  </si>
  <si>
    <t>Y1802-0205</t>
  </si>
  <si>
    <t>Y1802-0210</t>
  </si>
  <si>
    <t>160601C</t>
  </si>
  <si>
    <t>Y1802-0209</t>
  </si>
  <si>
    <t>160598C</t>
  </si>
  <si>
    <t>Y1802-0204</t>
  </si>
  <si>
    <t>Y1802-0429</t>
  </si>
  <si>
    <t>Y1802-0461</t>
  </si>
  <si>
    <t>Y1802-0480</t>
  </si>
  <si>
    <t>Y1802-0669</t>
  </si>
  <si>
    <t>Y1803-0373</t>
  </si>
  <si>
    <t>Y1802-0681</t>
  </si>
  <si>
    <t>Y1802-0708</t>
  </si>
  <si>
    <t>Y1802-0503</t>
  </si>
  <si>
    <t>Y1802-0699</t>
  </si>
  <si>
    <t>Y1802-0735</t>
  </si>
  <si>
    <t>Y1801-0644</t>
  </si>
  <si>
    <t>160619C</t>
  </si>
  <si>
    <t>LY-OS119U-3A-1</t>
  </si>
  <si>
    <t>Y1801-0670</t>
  </si>
  <si>
    <t>Y1801-0643</t>
  </si>
  <si>
    <t>160622C</t>
  </si>
  <si>
    <t>Y1802-0096</t>
  </si>
  <si>
    <t>Y1802-0095</t>
  </si>
  <si>
    <t>160620C</t>
  </si>
  <si>
    <t>Y1802-0097</t>
  </si>
  <si>
    <t>Y1802-0098</t>
  </si>
  <si>
    <t>160621C</t>
  </si>
  <si>
    <t>Y1802-0482</t>
  </si>
  <si>
    <t>Y1802-0504</t>
  </si>
  <si>
    <t>Y1803-0375</t>
  </si>
  <si>
    <t>Y1802-0752</t>
  </si>
  <si>
    <t>Y1802-0538</t>
  </si>
  <si>
    <t>Y1802-0712</t>
  </si>
  <si>
    <t>Y1802-0481</t>
  </si>
  <si>
    <t>Y1802-0573</t>
  </si>
  <si>
    <t>Y1803-0374</t>
  </si>
  <si>
    <t>Y1802-0749</t>
  </si>
  <si>
    <t>Y1802-0703</t>
  </si>
  <si>
    <t>Y1802-0710</t>
  </si>
  <si>
    <t>Y1802-0736</t>
  </si>
  <si>
    <t>Y1802-0208</t>
  </si>
  <si>
    <t>160596C</t>
  </si>
  <si>
    <t>Y1802-0477</t>
  </si>
  <si>
    <t>Y1802-0486</t>
  </si>
  <si>
    <t>260595C</t>
  </si>
  <si>
    <t>Y1803-0387</t>
  </si>
  <si>
    <t>Y1802-0459</t>
  </si>
  <si>
    <t>Y1802-0689</t>
  </si>
  <si>
    <t>Y1802-0702</t>
  </si>
  <si>
    <t>Y1802-0728</t>
  </si>
  <si>
    <t>Y1802-0460</t>
  </si>
  <si>
    <t>160599C</t>
  </si>
  <si>
    <t>Y1802-0479</t>
  </si>
  <si>
    <t>Y1803-0372</t>
  </si>
  <si>
    <t>Y1802-0696</t>
  </si>
  <si>
    <t>Y1802-0734</t>
  </si>
  <si>
    <t>Y1802-0491</t>
  </si>
  <si>
    <t>Y1802-0547</t>
  </si>
  <si>
    <t>Y1802-0476</t>
  </si>
  <si>
    <t>160595C</t>
  </si>
  <si>
    <t>Y1802-0502</t>
  </si>
  <si>
    <t>Y1802-0714</t>
  </si>
  <si>
    <t>Y1803-0386</t>
  </si>
  <si>
    <t>Y1802-0581</t>
  </si>
  <si>
    <t>Y1802-0680</t>
  </si>
  <si>
    <t>Y1802-0698</t>
  </si>
  <si>
    <t>Y1802-0727</t>
  </si>
  <si>
    <t>Y1802-0478</t>
  </si>
  <si>
    <t>Y1802-0533</t>
  </si>
  <si>
    <t>260598C</t>
  </si>
  <si>
    <t>Y1802-0548</t>
  </si>
  <si>
    <t>Y1803-0371</t>
  </si>
  <si>
    <t>Y1802-0695</t>
  </si>
  <si>
    <t>Y1802-0705</t>
  </si>
  <si>
    <t>Y1802-0717</t>
  </si>
  <si>
    <t>Y1801-0878</t>
  </si>
  <si>
    <t>760758F</t>
  </si>
  <si>
    <t>LY-SA346N-A</t>
  </si>
  <si>
    <t>Y1801-0726</t>
  </si>
  <si>
    <t>361363C</t>
  </si>
  <si>
    <t>LY-SA368Y-A</t>
  </si>
  <si>
    <t>Y1801-0725</t>
  </si>
  <si>
    <t>361360C</t>
  </si>
  <si>
    <t>Y1801-0868</t>
  </si>
  <si>
    <t>361360F</t>
  </si>
  <si>
    <t>Y1801-0819</t>
  </si>
  <si>
    <t>361363F</t>
  </si>
  <si>
    <t>Y1802-0238</t>
  </si>
  <si>
    <t>Y1802-0239</t>
  </si>
  <si>
    <t>Y1802-0397</t>
  </si>
  <si>
    <t>Y1801-0731</t>
  </si>
  <si>
    <t>761360C</t>
  </si>
  <si>
    <t>LY-SA368N-A</t>
  </si>
  <si>
    <t>Y1801-0846</t>
  </si>
  <si>
    <t>761360F</t>
  </si>
  <si>
    <t>Y1802-0231</t>
  </si>
  <si>
    <t>Y1801-0732</t>
  </si>
  <si>
    <t>761363C</t>
  </si>
  <si>
    <t>Y1801-0847</t>
  </si>
  <si>
    <t>761363F</t>
  </si>
  <si>
    <t>Y1802-0263</t>
  </si>
  <si>
    <t>Y1802-0111</t>
  </si>
  <si>
    <t>760757C</t>
  </si>
  <si>
    <t>Y1802-0310</t>
  </si>
  <si>
    <t>Y1802-0011</t>
  </si>
  <si>
    <t>Y1802-0151</t>
  </si>
  <si>
    <t>Y1802-0311</t>
  </si>
  <si>
    <t>Y1802-0312</t>
  </si>
  <si>
    <t>760758C</t>
  </si>
  <si>
    <t>Y1802-0129</t>
  </si>
  <si>
    <t>Y1802-0390</t>
  </si>
  <si>
    <t>Y1802-0313</t>
  </si>
  <si>
    <t>760759C</t>
  </si>
  <si>
    <t>Y1803-0159</t>
  </si>
  <si>
    <t>Y1803-0039</t>
  </si>
  <si>
    <t>760760C</t>
  </si>
  <si>
    <t>Y1803-0048</t>
  </si>
  <si>
    <t>Y1803-0156</t>
  </si>
  <si>
    <t>Y1802-0012</t>
  </si>
  <si>
    <t>Y1803-0040</t>
  </si>
  <si>
    <t>Y1802-0446</t>
  </si>
  <si>
    <t>744244C</t>
  </si>
  <si>
    <t>LY-SK032N-A</t>
  </si>
  <si>
    <t>Y1802-0518</t>
  </si>
  <si>
    <t>759786F</t>
  </si>
  <si>
    <t>LY-SK032N-A-1</t>
  </si>
  <si>
    <t>Y1802-0540</t>
  </si>
  <si>
    <t>344239C</t>
  </si>
  <si>
    <t>LY-SK032Y-A</t>
  </si>
  <si>
    <t>Y1802-0555</t>
  </si>
  <si>
    <t>Y1802-0562</t>
  </si>
  <si>
    <t>Y1802-0541</t>
  </si>
  <si>
    <t>359792F</t>
  </si>
  <si>
    <t>LY-SK032Y-A-1</t>
  </si>
  <si>
    <t>Y1802-0542</t>
  </si>
  <si>
    <t>Y1802-0265</t>
  </si>
  <si>
    <t>361340C</t>
  </si>
  <si>
    <t>LY-SK032Y-1A</t>
  </si>
  <si>
    <t>Y1802-0264</t>
  </si>
  <si>
    <t>361338C</t>
  </si>
  <si>
    <t>Y1801-0943</t>
  </si>
  <si>
    <t>158434C</t>
  </si>
  <si>
    <t>Y1801-0930</t>
  </si>
  <si>
    <t>Y1801-0921</t>
  </si>
  <si>
    <t>Y1801-0924</t>
  </si>
  <si>
    <t>Y1801-0935</t>
  </si>
  <si>
    <t>Y1801-0940</t>
  </si>
  <si>
    <t>Y1802-0409</t>
  </si>
  <si>
    <t>Y1801-0922</t>
  </si>
  <si>
    <t>Y1801-0743</t>
  </si>
  <si>
    <t>159722C</t>
  </si>
  <si>
    <t>LY-OS119U-5B</t>
  </si>
  <si>
    <t>Y1801-0513</t>
  </si>
  <si>
    <t>Y1801-0541</t>
  </si>
  <si>
    <t>Y1802-0099</t>
  </si>
  <si>
    <t>Y1802-0101</t>
  </si>
  <si>
    <t>Y1802-0753</t>
  </si>
  <si>
    <t>562024C</t>
  </si>
  <si>
    <t>LY-OS119U-5A</t>
  </si>
  <si>
    <t>Y1802-0746</t>
  </si>
  <si>
    <t>Y1802-0745</t>
  </si>
  <si>
    <t>562025C</t>
  </si>
  <si>
    <t>Y1802-0747</t>
  </si>
  <si>
    <t>Y1801-0934</t>
  </si>
  <si>
    <t>Y1801-0939</t>
  </si>
  <si>
    <t>Y1802-0758</t>
  </si>
  <si>
    <t>Y1802-0776</t>
  </si>
  <si>
    <t>Y1802-0759</t>
  </si>
  <si>
    <t>Y1802-0777</t>
  </si>
  <si>
    <t>Y1802-0047</t>
  </si>
  <si>
    <t>160891C</t>
  </si>
  <si>
    <t>Y1802-0463</t>
  </si>
  <si>
    <t>Y1802-0602</t>
  </si>
  <si>
    <t>Y1802-0471</t>
  </si>
  <si>
    <t>YL1801-0003-2</t>
  </si>
  <si>
    <t>Y1801-0747</t>
  </si>
  <si>
    <t>M3494</t>
  </si>
  <si>
    <t>Y1801-0825</t>
  </si>
  <si>
    <t>Y1801-0805</t>
  </si>
  <si>
    <t>751858F</t>
  </si>
  <si>
    <t>LY-CT787N-A</t>
  </si>
  <si>
    <t>Y1801-0969</t>
  </si>
  <si>
    <t>7J232</t>
  </si>
  <si>
    <t>LY-497B</t>
  </si>
  <si>
    <t>Y1801-0973</t>
  </si>
  <si>
    <t>7J232C</t>
  </si>
  <si>
    <t>Y1802-0447</t>
  </si>
  <si>
    <t>Y1802-0569</t>
  </si>
  <si>
    <t>Y1802-0683</t>
  </si>
  <si>
    <t>1/16~31</t>
  </si>
  <si>
    <t>Y1801-0277</t>
  </si>
  <si>
    <t>560977C</t>
  </si>
  <si>
    <t>Y1801-0115</t>
  </si>
  <si>
    <t>559934C</t>
  </si>
  <si>
    <t>Y1801-0116</t>
  </si>
  <si>
    <t>559933C</t>
  </si>
  <si>
    <t>Y1801-0118</t>
  </si>
  <si>
    <t>559927C</t>
  </si>
  <si>
    <t>LY-CT AS OX CR-XXX-21A</t>
  </si>
  <si>
    <t>Y1801-0186</t>
  </si>
  <si>
    <t>Y1801-0399</t>
  </si>
  <si>
    <t>Y1801-0413</t>
  </si>
  <si>
    <t>Y1801-0396</t>
  </si>
  <si>
    <t>559923C</t>
  </si>
  <si>
    <t>Y1801-0412</t>
  </si>
  <si>
    <t>Y1801-0388</t>
  </si>
  <si>
    <t>559917C</t>
  </si>
  <si>
    <t>Y1801-0263</t>
  </si>
  <si>
    <t>Y1801-0311</t>
  </si>
  <si>
    <t>Y1801-0406</t>
  </si>
  <si>
    <t>Y1801-0408</t>
  </si>
  <si>
    <t>Y1801-0483</t>
  </si>
  <si>
    <t>Y1801-0160</t>
  </si>
  <si>
    <t>559918C</t>
  </si>
  <si>
    <t>Y1801-0207</t>
  </si>
  <si>
    <t>Y1801-0120</t>
  </si>
  <si>
    <t>Y1801-0484</t>
  </si>
  <si>
    <t>Y1801-0487</t>
  </si>
  <si>
    <t>159638C</t>
  </si>
  <si>
    <t>LY-CT AS OX CR-XXX-24A</t>
  </si>
  <si>
    <t>Y1801-0494</t>
  </si>
  <si>
    <t>Y1801-0826</t>
  </si>
  <si>
    <t>Y1802-0694</t>
  </si>
  <si>
    <t>1/10~1/15</t>
  </si>
  <si>
    <t>A2L06</t>
  </si>
  <si>
    <t>A2L07</t>
  </si>
  <si>
    <t>A2L08</t>
  </si>
  <si>
    <t>A2L09</t>
  </si>
  <si>
    <t>基本形体</t>
    <phoneticPr fontId="7" type="noConversion"/>
  </si>
  <si>
    <t>基本型体</t>
    <phoneticPr fontId="7" type="noConversion"/>
  </si>
  <si>
    <t>基本形体</t>
    <phoneticPr fontId="7" type="noConversion"/>
  </si>
  <si>
    <t>基本形体</t>
    <phoneticPr fontId="7" type="noConversion"/>
  </si>
  <si>
    <t>基本形体</t>
    <phoneticPr fontId="7" type="noConversion"/>
  </si>
  <si>
    <t>基本形体</t>
    <phoneticPr fontId="7" type="noConversion"/>
  </si>
  <si>
    <r>
      <rPr>
        <sz val="12"/>
        <rFont val="Arial Unicode MS"/>
        <family val="2"/>
        <charset val="136"/>
      </rPr>
      <t xml:space="preserve">★ </t>
    </r>
    <r>
      <rPr>
        <sz val="12"/>
        <rFont val="微軟正黑體"/>
        <family val="2"/>
        <charset val="136"/>
      </rPr>
      <t>產線/級別數量統計表 （工时=26*8=208）</t>
    </r>
    <phoneticPr fontId="7" type="noConversion"/>
  </si>
  <si>
    <t>预排双数</t>
    <phoneticPr fontId="7" type="noConversion"/>
  </si>
  <si>
    <t>Tier</t>
    <phoneticPr fontId="7" type="noConversion"/>
  </si>
  <si>
    <t>可達成</t>
  </si>
  <si>
    <t>標準產量</t>
  </si>
  <si>
    <t>預計達成率</t>
  </si>
  <si>
    <t>達成率權重</t>
  </si>
  <si>
    <t>POH (加權平均)</t>
    <phoneticPr fontId="7" type="noConversion"/>
  </si>
  <si>
    <t>比重</t>
    <phoneticPr fontId="7" type="noConversion"/>
  </si>
  <si>
    <t>比重</t>
    <phoneticPr fontId="7" type="noConversion"/>
  </si>
  <si>
    <t>加權</t>
    <phoneticPr fontId="7" type="noConversion"/>
  </si>
  <si>
    <t>加權1</t>
    <phoneticPr fontId="7" type="noConversion"/>
  </si>
  <si>
    <t>加權2</t>
    <phoneticPr fontId="7" type="noConversion"/>
  </si>
  <si>
    <t>A1L15</t>
    <phoneticPr fontId="7" type="noConversion"/>
  </si>
  <si>
    <t>比重</t>
    <phoneticPr fontId="7" type="noConversion"/>
  </si>
  <si>
    <t>加權</t>
    <phoneticPr fontId="7" type="noConversion"/>
  </si>
  <si>
    <t>BB鞋</t>
    <phoneticPr fontId="7" type="noConversion"/>
  </si>
  <si>
    <t>763和基本款</t>
    <phoneticPr fontId="7" type="noConversion"/>
  </si>
  <si>
    <t>787和基本款</t>
    <phoneticPr fontId="7" type="noConversion"/>
  </si>
  <si>
    <t>12月實際平均</t>
    <phoneticPr fontId="7" type="noConversion"/>
  </si>
  <si>
    <t>線別人數(12月實際平均）</t>
    <phoneticPr fontId="7" type="noConversion"/>
  </si>
  <si>
    <t>A7棟</t>
    <phoneticPr fontId="7" type="noConversion"/>
  </si>
  <si>
    <t>A8棟</t>
    <phoneticPr fontId="7" type="noConversion"/>
  </si>
  <si>
    <t>A9棟</t>
    <phoneticPr fontId="7" type="noConversion"/>
  </si>
  <si>
    <t>A11</t>
    <phoneticPr fontId="7" type="noConversion"/>
  </si>
  <si>
    <t>A11棟</t>
    <phoneticPr fontId="7" type="noConversion"/>
  </si>
  <si>
    <t>A12棟</t>
    <phoneticPr fontId="7" type="noConversion"/>
  </si>
  <si>
    <t>A2棟</t>
    <phoneticPr fontId="7" type="noConversion"/>
  </si>
  <si>
    <t>A3棟</t>
    <phoneticPr fontId="7" type="noConversion"/>
  </si>
  <si>
    <t>A1L01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</si>
</sst>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_-&quot;NT$&quot;* #,##0.00_-;\-&quot;NT$&quot;* #,##0.00_-;_-&quot;NT$&quot;* &quot;-&quot;??_-;_-@_-"/>
    <numFmt numFmtId="177" formatCode="_(* #,##0.00_);_(* \(#,##0.00\);_(* &quot;-&quot;??_);_(@_)"/>
    <numFmt numFmtId="178" formatCode="_ * #,##0_ ;_ * \-#,##0_ ;_ * &quot;-&quot;_ ;_ @_ "/>
    <numFmt numFmtId="179" formatCode="m/d/yy;@"/>
    <numFmt numFmtId="180" formatCode="0.00;[Red]0.00"/>
    <numFmt numFmtId="181" formatCode="m/d;@"/>
    <numFmt numFmtId="182" formatCode="yyyy/m/d;@"/>
    <numFmt numFmtId="183" formatCode="[$$-409]#,##0.00"/>
    <numFmt numFmtId="184" formatCode="#,##0;[Red]#,##0"/>
    <numFmt numFmtId="185" formatCode="0;[Red]0"/>
    <numFmt numFmtId="186" formatCode="0.00_);[Red]\(0.00\)"/>
    <numFmt numFmtId="187" formatCode="0.000_);[Red]\(0.000\)"/>
    <numFmt numFmtId="188" formatCode="0_);[Red]\(0\)"/>
  </numFmts>
  <fonts count="32">
    <font>
      <sz val="12"/>
      <name val="新細明體"/>
      <charset val="136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1"/>
      <color indexed="8"/>
      <name val="Calibri"/>
      <family val="2"/>
    </font>
    <font>
      <sz val="9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Arial Unicode MS"/>
      <family val="2"/>
      <charset val="136"/>
    </font>
    <font>
      <b/>
      <sz val="11"/>
      <name val="Arial"/>
      <family val="2"/>
    </font>
    <font>
      <b/>
      <sz val="1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新細明體"/>
      <family val="1"/>
      <charset val="136"/>
    </font>
    <font>
      <sz val="12"/>
      <color indexed="8"/>
      <name val="????"/>
      <family val="1"/>
    </font>
    <font>
      <b/>
      <sz val="14"/>
      <color indexed="8"/>
      <name val="Arial Narrow"/>
      <family val="2"/>
    </font>
    <font>
      <b/>
      <sz val="14"/>
      <name val="Arial Narrow"/>
      <family val="2"/>
    </font>
    <font>
      <b/>
      <sz val="10"/>
      <name val="Arial"/>
      <family val="2"/>
    </font>
    <font>
      <b/>
      <sz val="10"/>
      <name val="細明體"/>
      <family val="3"/>
      <charset val="136"/>
    </font>
    <font>
      <sz val="10"/>
      <color rgb="FFFF0000"/>
      <name val="Arial"/>
      <family val="2"/>
    </font>
    <font>
      <sz val="10"/>
      <name val="細明體"/>
      <family val="3"/>
      <charset val="136"/>
    </font>
    <font>
      <b/>
      <sz val="10"/>
      <color rgb="FFFF0000"/>
      <name val="Arial"/>
      <family val="2"/>
    </font>
    <font>
      <b/>
      <sz val="11"/>
      <name val="微軟正黑體"/>
      <family val="2"/>
      <charset val="136"/>
    </font>
    <font>
      <b/>
      <sz val="10"/>
      <color rgb="FFFF0000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183" fontId="0" fillId="0" borderId="0" applyProtection="0"/>
    <xf numFmtId="183" fontId="5" fillId="0" borderId="0" applyProtection="0"/>
    <xf numFmtId="183" fontId="3" fillId="0" borderId="0"/>
    <xf numFmtId="183" fontId="5" fillId="0" borderId="0" applyProtection="0"/>
    <xf numFmtId="178" fontId="1" fillId="0" borderId="0">
      <alignment wrapText="1"/>
    </xf>
    <xf numFmtId="183" fontId="5" fillId="0" borderId="0" applyProtection="0"/>
    <xf numFmtId="180" fontId="1" fillId="0" borderId="0">
      <alignment wrapText="1"/>
    </xf>
    <xf numFmtId="183" fontId="3" fillId="0" borderId="0"/>
    <xf numFmtId="183" fontId="5" fillId="0" borderId="0" applyProtection="0"/>
    <xf numFmtId="183" fontId="5" fillId="0" borderId="0" applyProtection="0"/>
    <xf numFmtId="183" fontId="5" fillId="0" borderId="0" applyProtection="0"/>
    <xf numFmtId="183" fontId="5" fillId="0" borderId="0" applyProtection="0"/>
    <xf numFmtId="183" fontId="5" fillId="0" borderId="0" applyProtection="0"/>
    <xf numFmtId="183" fontId="5" fillId="0" borderId="0" applyProtection="0"/>
    <xf numFmtId="183" fontId="5" fillId="0" borderId="0" applyProtection="0"/>
    <xf numFmtId="183" fontId="5" fillId="0" borderId="0" applyProtection="0"/>
    <xf numFmtId="183" fontId="3" fillId="0" borderId="0"/>
    <xf numFmtId="179" fontId="4" fillId="0" borderId="0"/>
    <xf numFmtId="183" fontId="5" fillId="0" borderId="0" applyProtection="0"/>
    <xf numFmtId="183" fontId="1" fillId="0" borderId="0"/>
    <xf numFmtId="183" fontId="5" fillId="0" borderId="0"/>
    <xf numFmtId="183" fontId="5" fillId="0" borderId="0" applyProtection="0"/>
    <xf numFmtId="183" fontId="1" fillId="0" borderId="0" applyProtection="0"/>
    <xf numFmtId="183" fontId="5" fillId="0" borderId="0" applyProtection="0"/>
    <xf numFmtId="183" fontId="4" fillId="0" borderId="0"/>
    <xf numFmtId="177" fontId="6" fillId="0" borderId="0" applyFont="0" applyFill="0" applyBorder="0" applyAlignment="0" applyProtection="0"/>
    <xf numFmtId="183" fontId="3" fillId="0" borderId="0"/>
    <xf numFmtId="183" fontId="5" fillId="0" borderId="0" applyProtection="0"/>
    <xf numFmtId="183" fontId="5" fillId="0" borderId="0" applyProtection="0"/>
    <xf numFmtId="183" fontId="8" fillId="0" borderId="0"/>
    <xf numFmtId="183" fontId="5" fillId="0" borderId="0" applyProtection="0"/>
    <xf numFmtId="183" fontId="2" fillId="0" borderId="0">
      <alignment vertical="top"/>
    </xf>
    <xf numFmtId="183" fontId="8" fillId="0" borderId="0"/>
    <xf numFmtId="183" fontId="8" fillId="0" borderId="0"/>
    <xf numFmtId="183" fontId="8" fillId="0" borderId="0"/>
    <xf numFmtId="183" fontId="8" fillId="0" borderId="0"/>
    <xf numFmtId="183" fontId="8" fillId="0" borderId="0"/>
    <xf numFmtId="183" fontId="8" fillId="0" borderId="0"/>
    <xf numFmtId="9" fontId="9" fillId="0" borderId="0" applyFont="0" applyFill="0" applyBorder="0" applyAlignment="0" applyProtection="0">
      <alignment vertical="center"/>
    </xf>
    <xf numFmtId="183" fontId="5" fillId="0" borderId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183" fontId="5" fillId="0" borderId="0"/>
    <xf numFmtId="183" fontId="22" fillId="0" borderId="0"/>
    <xf numFmtId="183" fontId="5" fillId="0" borderId="0"/>
  </cellStyleXfs>
  <cellXfs count="141">
    <xf numFmtId="183" fontId="0" fillId="0" borderId="0" xfId="0" applyAlignment="1">
      <alignment vertical="center"/>
    </xf>
    <xf numFmtId="183" fontId="1" fillId="0" borderId="0" xfId="28" applyFont="1" applyFill="1" applyBorder="1" applyAlignment="1">
      <alignment horizontal="left" vertical="center"/>
    </xf>
    <xf numFmtId="183" fontId="1" fillId="0" borderId="0" xfId="28" applyFont="1" applyFill="1" applyBorder="1" applyAlignment="1">
      <alignment horizontal="center" vertical="center"/>
    </xf>
    <xf numFmtId="183" fontId="1" fillId="0" borderId="0" xfId="28" applyFont="1" applyFill="1" applyBorder="1" applyAlignment="1">
      <alignment vertical="center"/>
    </xf>
    <xf numFmtId="14" fontId="1" fillId="0" borderId="0" xfId="28" applyNumberFormat="1" applyFont="1" applyFill="1" applyBorder="1" applyAlignment="1">
      <alignment horizontal="center" vertical="center"/>
    </xf>
    <xf numFmtId="183" fontId="5" fillId="0" borderId="0" xfId="28" applyFill="1" applyBorder="1" applyAlignment="1">
      <alignment horizontal="center" vertical="center" shrinkToFit="1"/>
    </xf>
    <xf numFmtId="183" fontId="1" fillId="0" borderId="0" xfId="28" applyNumberFormat="1" applyFont="1" applyFill="1" applyBorder="1" applyAlignment="1">
      <alignment horizontal="center" vertical="center"/>
    </xf>
    <xf numFmtId="183" fontId="10" fillId="0" borderId="0" xfId="0" applyFont="1" applyAlignment="1">
      <alignment vertical="center"/>
    </xf>
    <xf numFmtId="183" fontId="11" fillId="0" borderId="0" xfId="0" applyFont="1" applyAlignment="1">
      <alignment vertical="center"/>
    </xf>
    <xf numFmtId="183" fontId="12" fillId="0" borderId="2" xfId="0" applyFont="1" applyBorder="1" applyAlignment="1">
      <alignment horizontal="left" vertical="center" wrapText="1" readingOrder="1"/>
    </xf>
    <xf numFmtId="183" fontId="13" fillId="0" borderId="3" xfId="0" applyFont="1" applyBorder="1" applyAlignment="1">
      <alignment vertical="center" wrapText="1"/>
    </xf>
    <xf numFmtId="183" fontId="13" fillId="0" borderId="0" xfId="0" applyFont="1" applyAlignment="1">
      <alignment vertical="center"/>
    </xf>
    <xf numFmtId="181" fontId="1" fillId="0" borderId="0" xfId="28" applyNumberFormat="1" applyFont="1" applyFill="1" applyBorder="1" applyAlignment="1">
      <alignment horizontal="center" vertical="center"/>
    </xf>
    <xf numFmtId="183" fontId="17" fillId="0" borderId="0" xfId="20" applyNumberFormat="1" applyFont="1" applyFill="1" applyBorder="1" applyAlignment="1">
      <alignment horizontal="center" vertical="center"/>
    </xf>
    <xf numFmtId="183" fontId="1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83" fontId="17" fillId="2" borderId="5" xfId="20" applyNumberFormat="1" applyFont="1" applyFill="1" applyBorder="1" applyAlignment="1">
      <alignment horizontal="center" vertical="center"/>
    </xf>
    <xf numFmtId="183" fontId="18" fillId="2" borderId="5" xfId="20" applyNumberFormat="1" applyFont="1" applyFill="1" applyBorder="1" applyAlignment="1">
      <alignment horizontal="center" vertical="center"/>
    </xf>
    <xf numFmtId="182" fontId="17" fillId="2" borderId="5" xfId="2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  <xf numFmtId="1" fontId="21" fillId="0" borderId="8" xfId="42" applyNumberFormat="1" applyFont="1" applyFill="1" applyBorder="1" applyAlignment="1">
      <alignment horizontal="center" vertical="center" shrinkToFit="1"/>
    </xf>
    <xf numFmtId="183" fontId="1" fillId="0" borderId="0" xfId="0" applyNumberFormat="1" applyFont="1" applyFill="1" applyBorder="1" applyAlignment="1">
      <alignment horizontal="center" vertical="center"/>
    </xf>
    <xf numFmtId="183" fontId="1" fillId="0" borderId="1" xfId="0" applyNumberFormat="1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vertical="center"/>
    </xf>
    <xf numFmtId="1" fontId="24" fillId="0" borderId="9" xfId="44" applyNumberFormat="1" applyFont="1" applyFill="1" applyBorder="1" applyAlignment="1">
      <alignment horizontal="center" vertical="center" shrinkToFit="1"/>
    </xf>
    <xf numFmtId="183" fontId="25" fillId="2" borderId="1" xfId="20" applyNumberFormat="1" applyFont="1" applyFill="1" applyBorder="1" applyAlignment="1">
      <alignment horizontal="center"/>
    </xf>
    <xf numFmtId="183" fontId="26" fillId="2" borderId="1" xfId="20" applyNumberFormat="1" applyFont="1" applyFill="1" applyBorder="1" applyAlignment="1">
      <alignment horizontal="center"/>
    </xf>
    <xf numFmtId="182" fontId="25" fillId="2" borderId="1" xfId="20" applyNumberFormat="1" applyFont="1" applyFill="1" applyBorder="1" applyAlignment="1">
      <alignment horizontal="center"/>
    </xf>
    <xf numFmtId="183" fontId="25" fillId="2" borderId="1" xfId="20" applyNumberFormat="1" applyFont="1" applyFill="1" applyBorder="1" applyAlignment="1"/>
    <xf numFmtId="183" fontId="8" fillId="0" borderId="0" xfId="29"/>
    <xf numFmtId="183" fontId="1" fillId="0" borderId="1" xfId="29" applyNumberFormat="1" applyFont="1" applyFill="1" applyBorder="1" applyAlignment="1">
      <alignment horizontal="center" vertical="center"/>
    </xf>
    <xf numFmtId="183" fontId="1" fillId="0" borderId="1" xfId="29" applyNumberFormat="1" applyFont="1" applyFill="1" applyBorder="1" applyAlignment="1">
      <alignment horizontal="center" vertical="center"/>
    </xf>
    <xf numFmtId="181" fontId="1" fillId="0" borderId="1" xfId="29" applyNumberFormat="1" applyFont="1" applyFill="1" applyBorder="1" applyAlignment="1">
      <alignment horizontal="center" vertical="center"/>
    </xf>
    <xf numFmtId="1" fontId="1" fillId="0" borderId="1" xfId="29" applyNumberFormat="1" applyFont="1" applyFill="1" applyBorder="1" applyAlignment="1">
      <alignment horizontal="center" vertical="center"/>
    </xf>
    <xf numFmtId="14" fontId="1" fillId="0" borderId="1" xfId="29" applyNumberFormat="1" applyFont="1" applyFill="1" applyBorder="1" applyAlignment="1">
      <alignment horizontal="center" vertical="center"/>
    </xf>
    <xf numFmtId="183" fontId="8" fillId="0" borderId="0" xfId="29" applyAlignment="1">
      <alignment horizontal="center"/>
    </xf>
    <xf numFmtId="1" fontId="25" fillId="5" borderId="1" xfId="29" applyNumberFormat="1" applyFont="1" applyFill="1" applyBorder="1" applyAlignment="1">
      <alignment horizontal="center" vertical="center"/>
    </xf>
    <xf numFmtId="1" fontId="27" fillId="0" borderId="1" xfId="29" applyNumberFormat="1" applyFont="1" applyFill="1" applyBorder="1" applyAlignment="1">
      <alignment horizontal="center" vertical="center"/>
    </xf>
    <xf numFmtId="183" fontId="1" fillId="4" borderId="1" xfId="23" applyNumberFormat="1" applyFont="1" applyFill="1" applyBorder="1" applyAlignment="1">
      <alignment horizontal="center" vertical="center" shrinkToFit="1"/>
    </xf>
    <xf numFmtId="181" fontId="1" fillId="4" borderId="1" xfId="23" applyNumberFormat="1" applyFont="1" applyFill="1" applyBorder="1" applyAlignment="1">
      <alignment horizontal="center" vertical="center" shrinkToFit="1"/>
    </xf>
    <xf numFmtId="181" fontId="28" fillId="4" borderId="1" xfId="28" applyNumberFormat="1" applyFont="1" applyFill="1" applyBorder="1" applyAlignment="1">
      <alignment horizontal="center" vertical="center" shrinkToFit="1"/>
    </xf>
    <xf numFmtId="1" fontId="1" fillId="4" borderId="1" xfId="23" applyNumberFormat="1" applyFont="1" applyFill="1" applyBorder="1" applyAlignment="1">
      <alignment horizontal="center" vertical="center" shrinkToFit="1"/>
    </xf>
    <xf numFmtId="183" fontId="8" fillId="0" borderId="0" xfId="29" applyFill="1" applyAlignment="1">
      <alignment horizontal="center"/>
    </xf>
    <xf numFmtId="183" fontId="5" fillId="0" borderId="1" xfId="29" applyFont="1" applyBorder="1" applyAlignment="1">
      <alignment horizontal="center"/>
    </xf>
    <xf numFmtId="181" fontId="23" fillId="0" borderId="1" xfId="43" applyNumberFormat="1" applyFont="1" applyFill="1" applyBorder="1" applyAlignment="1">
      <alignment horizontal="center" vertical="center" shrinkToFit="1"/>
    </xf>
    <xf numFmtId="1" fontId="29" fillId="4" borderId="1" xfId="29" applyNumberFormat="1" applyFont="1" applyFill="1" applyBorder="1" applyAlignment="1">
      <alignment horizontal="center" vertical="center"/>
    </xf>
    <xf numFmtId="1" fontId="1" fillId="0" borderId="1" xfId="29" applyNumberFormat="1" applyFont="1" applyFill="1" applyBorder="1" applyAlignment="1">
      <alignment horizontal="center" vertical="center"/>
    </xf>
    <xf numFmtId="183" fontId="1" fillId="4" borderId="1" xfId="0" applyNumberFormat="1" applyFont="1" applyFill="1" applyBorder="1" applyAlignment="1">
      <alignment horizontal="center" vertical="center"/>
    </xf>
    <xf numFmtId="181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4" fontId="28" fillId="4" borderId="1" xfId="0" applyNumberFormat="1" applyFont="1" applyFill="1" applyBorder="1" applyAlignment="1">
      <alignment horizontal="center" vertical="center"/>
    </xf>
    <xf numFmtId="14" fontId="28" fillId="4" borderId="1" xfId="29" applyNumberFormat="1" applyFont="1" applyFill="1" applyBorder="1" applyAlignment="1">
      <alignment horizontal="center" vertical="center"/>
    </xf>
    <xf numFmtId="183" fontId="1" fillId="4" borderId="1" xfId="29" applyNumberFormat="1" applyFont="1" applyFill="1" applyBorder="1" applyAlignment="1">
      <alignment horizontal="center" vertical="center"/>
    </xf>
    <xf numFmtId="183" fontId="30" fillId="3" borderId="10" xfId="0" applyFont="1" applyFill="1" applyBorder="1" applyAlignment="1">
      <alignment horizontal="center" vertical="center" wrapText="1" readingOrder="1"/>
    </xf>
    <xf numFmtId="10" fontId="13" fillId="0" borderId="3" xfId="0" applyNumberFormat="1" applyFont="1" applyBorder="1" applyAlignment="1">
      <alignment horizontal="center" vertical="center" wrapText="1"/>
    </xf>
    <xf numFmtId="183" fontId="10" fillId="0" borderId="0" xfId="0" applyFont="1" applyAlignment="1">
      <alignment horizontal="center" vertical="center"/>
    </xf>
    <xf numFmtId="183" fontId="30" fillId="3" borderId="13" xfId="0" applyFont="1" applyFill="1" applyBorder="1" applyAlignment="1">
      <alignment horizontal="center" vertical="center" wrapText="1"/>
    </xf>
    <xf numFmtId="183" fontId="13" fillId="0" borderId="0" xfId="0" applyFont="1" applyAlignment="1">
      <alignment horizontal="center" vertical="center"/>
    </xf>
    <xf numFmtId="183" fontId="14" fillId="0" borderId="1" xfId="0" applyFont="1" applyBorder="1" applyAlignment="1">
      <alignment horizontal="center" vertical="center"/>
    </xf>
    <xf numFmtId="183" fontId="13" fillId="0" borderId="1" xfId="0" applyFont="1" applyBorder="1" applyAlignment="1">
      <alignment horizontal="center" vertical="center"/>
    </xf>
    <xf numFmtId="10" fontId="13" fillId="0" borderId="1" xfId="38" applyNumberFormat="1" applyFont="1" applyBorder="1" applyAlignment="1">
      <alignment horizontal="center" vertical="center"/>
    </xf>
    <xf numFmtId="183" fontId="14" fillId="0" borderId="0" xfId="0" applyFont="1" applyAlignment="1">
      <alignment horizontal="center" vertical="center"/>
    </xf>
    <xf numFmtId="180" fontId="25" fillId="2" borderId="1" xfId="20" applyNumberFormat="1" applyFont="1" applyFill="1" applyBorder="1" applyAlignment="1">
      <alignment horizontal="center"/>
    </xf>
    <xf numFmtId="180" fontId="8" fillId="0" borderId="1" xfId="29" applyNumberFormat="1" applyBorder="1" applyAlignment="1">
      <alignment horizontal="center"/>
    </xf>
    <xf numFmtId="180" fontId="8" fillId="0" borderId="1" xfId="29" applyNumberFormat="1" applyFill="1" applyBorder="1" applyAlignment="1">
      <alignment horizontal="center"/>
    </xf>
    <xf numFmtId="180" fontId="8" fillId="0" borderId="0" xfId="29" applyNumberFormat="1"/>
    <xf numFmtId="185" fontId="25" fillId="2" borderId="1" xfId="20" applyNumberFormat="1" applyFont="1" applyFill="1" applyBorder="1" applyAlignment="1">
      <alignment horizontal="center"/>
    </xf>
    <xf numFmtId="185" fontId="26" fillId="2" borderId="1" xfId="20" applyNumberFormat="1" applyFont="1" applyFill="1" applyBorder="1" applyAlignment="1">
      <alignment horizontal="center"/>
    </xf>
    <xf numFmtId="185" fontId="26" fillId="2" borderId="1" xfId="20" applyNumberFormat="1" applyFont="1" applyFill="1" applyBorder="1" applyAlignment="1">
      <alignment horizontal="center" wrapText="1"/>
    </xf>
    <xf numFmtId="185" fontId="8" fillId="0" borderId="1" xfId="29" applyNumberFormat="1" applyBorder="1" applyAlignment="1">
      <alignment horizontal="center"/>
    </xf>
    <xf numFmtId="185" fontId="8" fillId="0" borderId="1" xfId="29" applyNumberFormat="1" applyFill="1" applyBorder="1" applyAlignment="1">
      <alignment horizontal="center"/>
    </xf>
    <xf numFmtId="185" fontId="8" fillId="0" borderId="0" xfId="29" applyNumberFormat="1"/>
    <xf numFmtId="184" fontId="25" fillId="2" borderId="1" xfId="20" applyNumberFormat="1" applyFont="1" applyFill="1" applyBorder="1" applyAlignment="1">
      <alignment horizontal="center"/>
    </xf>
    <xf numFmtId="184" fontId="1" fillId="0" borderId="1" xfId="29" applyNumberFormat="1" applyFont="1" applyFill="1" applyBorder="1" applyAlignment="1">
      <alignment horizontal="center" vertical="center"/>
    </xf>
    <xf numFmtId="184" fontId="8" fillId="0" borderId="0" xfId="29" applyNumberFormat="1"/>
    <xf numFmtId="184" fontId="1" fillId="0" borderId="0" xfId="28" applyNumberFormat="1" applyFont="1" applyFill="1" applyBorder="1" applyAlignment="1">
      <alignment horizontal="left" vertical="center"/>
    </xf>
    <xf numFmtId="184" fontId="17" fillId="2" borderId="4" xfId="20" applyNumberFormat="1" applyFont="1" applyFill="1" applyBorder="1" applyAlignment="1">
      <alignment horizontal="center" vertical="center"/>
    </xf>
    <xf numFmtId="184" fontId="1" fillId="0" borderId="6" xfId="0" applyNumberFormat="1" applyFont="1" applyFill="1" applyBorder="1" applyAlignment="1">
      <alignment horizontal="center" vertical="center"/>
    </xf>
    <xf numFmtId="184" fontId="12" fillId="0" borderId="2" xfId="0" applyNumberFormat="1" applyFont="1" applyBorder="1" applyAlignment="1">
      <alignment horizontal="center" vertical="center" wrapText="1"/>
    </xf>
    <xf numFmtId="184" fontId="11" fillId="0" borderId="0" xfId="0" applyNumberFormat="1" applyFont="1" applyAlignment="1">
      <alignment horizontal="center" vertical="center"/>
    </xf>
    <xf numFmtId="184" fontId="12" fillId="0" borderId="14" xfId="0" applyNumberFormat="1" applyFont="1" applyBorder="1" applyAlignment="1">
      <alignment horizontal="center" vertical="center" wrapText="1"/>
    </xf>
    <xf numFmtId="184" fontId="12" fillId="0" borderId="2" xfId="23" applyNumberFormat="1" applyFont="1" applyBorder="1" applyAlignment="1">
      <alignment horizontal="center" vertical="center" wrapText="1"/>
    </xf>
    <xf numFmtId="184" fontId="30" fillId="3" borderId="10" xfId="0" applyNumberFormat="1" applyFont="1" applyFill="1" applyBorder="1" applyAlignment="1">
      <alignment horizontal="center" vertical="center" wrapText="1"/>
    </xf>
    <xf numFmtId="185" fontId="1" fillId="0" borderId="0" xfId="28" applyNumberFormat="1" applyFont="1" applyFill="1" applyBorder="1" applyAlignment="1">
      <alignment horizontal="center" vertical="center"/>
    </xf>
    <xf numFmtId="185" fontId="17" fillId="2" borderId="5" xfId="20" applyNumberFormat="1" applyFont="1" applyFill="1" applyBorder="1" applyAlignment="1">
      <alignment horizontal="center" vertical="center"/>
    </xf>
    <xf numFmtId="185" fontId="1" fillId="0" borderId="1" xfId="0" applyNumberFormat="1" applyFont="1" applyFill="1" applyBorder="1" applyAlignment="1">
      <alignment horizontal="center" vertical="center"/>
    </xf>
    <xf numFmtId="185" fontId="1" fillId="4" borderId="1" xfId="0" applyNumberFormat="1" applyFont="1" applyFill="1" applyBorder="1" applyAlignment="1">
      <alignment horizontal="center" vertical="center" shrinkToFit="1"/>
    </xf>
    <xf numFmtId="185" fontId="1" fillId="0" borderId="1" xfId="0" applyNumberFormat="1" applyFont="1" applyFill="1" applyBorder="1" applyAlignment="1">
      <alignment vertical="center"/>
    </xf>
    <xf numFmtId="185" fontId="25" fillId="2" borderId="1" xfId="20" applyNumberFormat="1" applyFont="1" applyFill="1" applyBorder="1" applyAlignment="1">
      <alignment horizontal="center" wrapText="1"/>
    </xf>
    <xf numFmtId="1" fontId="27" fillId="0" borderId="1" xfId="0" applyNumberFormat="1" applyFont="1" applyFill="1" applyBorder="1" applyAlignment="1">
      <alignment horizontal="center" vertical="center"/>
    </xf>
    <xf numFmtId="1" fontId="1" fillId="0" borderId="1" xfId="29" applyNumberFormat="1" applyFont="1" applyFill="1" applyBorder="1" applyAlignment="1">
      <alignment horizontal="center" vertical="center"/>
    </xf>
    <xf numFmtId="184" fontId="30" fillId="4" borderId="10" xfId="0" applyNumberFormat="1" applyFont="1" applyFill="1" applyBorder="1" applyAlignment="1">
      <alignment horizontal="center" vertical="center" wrapText="1"/>
    </xf>
    <xf numFmtId="184" fontId="30" fillId="6" borderId="10" xfId="0" applyNumberFormat="1" applyFont="1" applyFill="1" applyBorder="1" applyAlignment="1">
      <alignment horizontal="center" vertical="center" wrapText="1"/>
    </xf>
    <xf numFmtId="186" fontId="1" fillId="0" borderId="0" xfId="28" applyNumberFormat="1" applyFont="1" applyFill="1" applyBorder="1" applyAlignment="1">
      <alignment horizontal="center" vertical="center"/>
    </xf>
    <xf numFmtId="187" fontId="1" fillId="0" borderId="0" xfId="28" applyNumberFormat="1" applyFont="1" applyFill="1" applyBorder="1" applyAlignment="1">
      <alignment horizontal="center" vertical="center"/>
    </xf>
    <xf numFmtId="188" fontId="1" fillId="0" borderId="0" xfId="28" applyNumberFormat="1" applyFont="1" applyFill="1" applyBorder="1" applyAlignment="1">
      <alignment horizontal="center" vertical="center"/>
    </xf>
    <xf numFmtId="10" fontId="1" fillId="0" borderId="0" xfId="28" applyNumberFormat="1" applyFont="1" applyFill="1" applyBorder="1" applyAlignment="1">
      <alignment horizontal="center" vertical="center"/>
    </xf>
    <xf numFmtId="186" fontId="17" fillId="0" borderId="0" xfId="20" applyNumberFormat="1" applyFont="1" applyFill="1" applyBorder="1" applyAlignment="1">
      <alignment horizontal="center" vertical="center"/>
    </xf>
    <xf numFmtId="9" fontId="1" fillId="0" borderId="0" xfId="38" applyFont="1" applyFill="1" applyBorder="1" applyAlignment="1">
      <alignment horizontal="center" vertical="center"/>
    </xf>
    <xf numFmtId="186" fontId="13" fillId="0" borderId="1" xfId="38" applyNumberFormat="1" applyFont="1" applyBorder="1" applyAlignment="1">
      <alignment horizontal="center" vertical="center"/>
    </xf>
    <xf numFmtId="9" fontId="13" fillId="0" borderId="1" xfId="38" applyFont="1" applyBorder="1" applyAlignment="1">
      <alignment horizontal="center" vertical="center"/>
    </xf>
    <xf numFmtId="184" fontId="30" fillId="7" borderId="10" xfId="0" applyNumberFormat="1" applyFont="1" applyFill="1" applyBorder="1" applyAlignment="1">
      <alignment horizontal="center" vertical="center" wrapText="1"/>
    </xf>
    <xf numFmtId="186" fontId="18" fillId="0" borderId="0" xfId="20" applyNumberFormat="1" applyFont="1" applyFill="1" applyBorder="1" applyAlignment="1">
      <alignment horizontal="center" vertical="center"/>
    </xf>
    <xf numFmtId="184" fontId="13" fillId="0" borderId="2" xfId="0" applyNumberFormat="1" applyFont="1" applyBorder="1" applyAlignment="1">
      <alignment horizontal="center" vertical="center" wrapText="1"/>
    </xf>
    <xf numFmtId="183" fontId="27" fillId="0" borderId="1" xfId="0" applyNumberFormat="1" applyFont="1" applyFill="1" applyBorder="1" applyAlignment="1">
      <alignment horizontal="center" vertical="center"/>
    </xf>
    <xf numFmtId="186" fontId="8" fillId="0" borderId="0" xfId="29" applyNumberFormat="1" applyAlignment="1">
      <alignment horizontal="center"/>
    </xf>
    <xf numFmtId="188" fontId="8" fillId="0" borderId="0" xfId="29" applyNumberFormat="1" applyAlignment="1">
      <alignment horizontal="center"/>
    </xf>
    <xf numFmtId="188" fontId="27" fillId="0" borderId="0" xfId="28" applyNumberFormat="1" applyFont="1" applyFill="1" applyBorder="1" applyAlignment="1">
      <alignment horizontal="center" vertical="center"/>
    </xf>
    <xf numFmtId="10" fontId="13" fillId="4" borderId="1" xfId="0" applyNumberFormat="1" applyFont="1" applyFill="1" applyBorder="1" applyAlignment="1">
      <alignment horizontal="center" vertical="center"/>
    </xf>
    <xf numFmtId="183" fontId="10" fillId="3" borderId="0" xfId="0" applyFont="1" applyFill="1" applyAlignment="1">
      <alignment horizontal="center" vertical="center"/>
    </xf>
    <xf numFmtId="183" fontId="31" fillId="3" borderId="1" xfId="0" applyFont="1" applyFill="1" applyBorder="1" applyAlignment="1">
      <alignment horizontal="center" vertical="center"/>
    </xf>
    <xf numFmtId="183" fontId="10" fillId="3" borderId="1" xfId="0" applyFont="1" applyFill="1" applyBorder="1" applyAlignment="1">
      <alignment horizontal="center" vertical="center"/>
    </xf>
    <xf numFmtId="183" fontId="28" fillId="3" borderId="1" xfId="0" applyFont="1" applyFill="1" applyBorder="1" applyAlignment="1">
      <alignment horizontal="center" vertical="center" wrapText="1"/>
    </xf>
    <xf numFmtId="183" fontId="28" fillId="3" borderId="1" xfId="0" applyFont="1" applyFill="1" applyBorder="1" applyAlignment="1">
      <alignment horizontal="center" vertical="center"/>
    </xf>
    <xf numFmtId="186" fontId="11" fillId="3" borderId="1" xfId="0" applyNumberFormat="1" applyFont="1" applyFill="1" applyBorder="1" applyAlignment="1">
      <alignment horizontal="center" vertical="center"/>
    </xf>
    <xf numFmtId="188" fontId="11" fillId="3" borderId="1" xfId="0" applyNumberFormat="1" applyFont="1" applyFill="1" applyBorder="1" applyAlignment="1">
      <alignment horizontal="center" vertical="center"/>
    </xf>
    <xf numFmtId="10" fontId="11" fillId="3" borderId="1" xfId="0" applyNumberFormat="1" applyFont="1" applyFill="1" applyBorder="1" applyAlignment="1">
      <alignment horizontal="center" vertical="center"/>
    </xf>
    <xf numFmtId="183" fontId="13" fillId="3" borderId="0" xfId="0" applyFont="1" applyFill="1" applyAlignment="1">
      <alignment horizontal="center" vertical="center"/>
    </xf>
    <xf numFmtId="183" fontId="12" fillId="0" borderId="16" xfId="0" applyFont="1" applyBorder="1" applyAlignment="1">
      <alignment horizontal="left" vertical="center" wrapText="1" readingOrder="1"/>
    </xf>
    <xf numFmtId="183" fontId="12" fillId="3" borderId="16" xfId="0" applyFont="1" applyFill="1" applyBorder="1" applyAlignment="1">
      <alignment horizontal="left" vertical="center" wrapText="1" readingOrder="1"/>
    </xf>
    <xf numFmtId="184" fontId="12" fillId="3" borderId="2" xfId="0" applyNumberFormat="1" applyFont="1" applyFill="1" applyBorder="1" applyAlignment="1">
      <alignment horizontal="center" vertical="center" wrapText="1"/>
    </xf>
    <xf numFmtId="184" fontId="12" fillId="3" borderId="14" xfId="0" applyNumberFormat="1" applyFont="1" applyFill="1" applyBorder="1" applyAlignment="1">
      <alignment horizontal="center" vertical="center" wrapText="1"/>
    </xf>
    <xf numFmtId="10" fontId="13" fillId="3" borderId="1" xfId="38" applyNumberFormat="1" applyFont="1" applyFill="1" applyBorder="1" applyAlignment="1">
      <alignment horizontal="center" vertical="center"/>
    </xf>
    <xf numFmtId="186" fontId="13" fillId="3" borderId="1" xfId="38" applyNumberFormat="1" applyFont="1" applyFill="1" applyBorder="1" applyAlignment="1">
      <alignment horizontal="center" vertical="center"/>
    </xf>
    <xf numFmtId="9" fontId="13" fillId="3" borderId="1" xfId="38" applyFont="1" applyFill="1" applyBorder="1" applyAlignment="1">
      <alignment horizontal="center" vertical="center"/>
    </xf>
    <xf numFmtId="10" fontId="13" fillId="3" borderId="1" xfId="0" applyNumberFormat="1" applyFont="1" applyFill="1" applyBorder="1" applyAlignment="1">
      <alignment horizontal="center" vertical="center"/>
    </xf>
    <xf numFmtId="183" fontId="1" fillId="3" borderId="1" xfId="0" applyNumberFormat="1" applyFont="1" applyFill="1" applyBorder="1" applyAlignment="1">
      <alignment horizontal="center" vertical="center"/>
    </xf>
    <xf numFmtId="183" fontId="11" fillId="3" borderId="0" xfId="0" applyFont="1" applyFill="1" applyAlignment="1">
      <alignment vertical="center"/>
    </xf>
    <xf numFmtId="183" fontId="11" fillId="3" borderId="1" xfId="0" applyFont="1" applyFill="1" applyBorder="1" applyAlignment="1">
      <alignment vertical="center"/>
    </xf>
    <xf numFmtId="184" fontId="12" fillId="3" borderId="2" xfId="23" applyNumberFormat="1" applyFont="1" applyFill="1" applyBorder="1" applyAlignment="1">
      <alignment horizontal="center" vertical="center" wrapText="1"/>
    </xf>
    <xf numFmtId="188" fontId="13" fillId="3" borderId="1" xfId="0" applyNumberFormat="1" applyFont="1" applyFill="1" applyBorder="1" applyAlignment="1">
      <alignment horizontal="center" vertical="center"/>
    </xf>
    <xf numFmtId="183" fontId="11" fillId="0" borderId="1" xfId="0" applyFont="1" applyBorder="1" applyAlignment="1">
      <alignment horizontal="center" vertical="center"/>
    </xf>
    <xf numFmtId="183" fontId="15" fillId="0" borderId="11" xfId="0" applyFont="1" applyBorder="1" applyAlignment="1">
      <alignment horizontal="left" vertical="center"/>
    </xf>
    <xf numFmtId="183" fontId="15" fillId="0" borderId="12" xfId="0" applyFont="1" applyBorder="1" applyAlignment="1">
      <alignment horizontal="left" vertical="center"/>
    </xf>
    <xf numFmtId="183" fontId="14" fillId="0" borderId="11" xfId="0" applyFont="1" applyBorder="1" applyAlignment="1">
      <alignment horizontal="center" vertical="center"/>
    </xf>
    <xf numFmtId="183" fontId="14" fillId="0" borderId="12" xfId="0" applyFont="1" applyBorder="1" applyAlignment="1">
      <alignment horizontal="center" vertical="center"/>
    </xf>
    <xf numFmtId="183" fontId="14" fillId="0" borderId="15" xfId="0" applyFont="1" applyBorder="1" applyAlignment="1">
      <alignment horizontal="center" vertical="center"/>
    </xf>
    <xf numFmtId="1" fontId="1" fillId="0" borderId="1" xfId="29" applyNumberFormat="1" applyFont="1" applyFill="1" applyBorder="1" applyAlignment="1">
      <alignment horizontal="center" vertical="center"/>
    </xf>
  </cellXfs>
  <cellStyles count="45">
    <cellStyle name="_2011 年 Vinh Long Order list- 0805" xfId="9"/>
    <cellStyle name="_2011 年 Vinh Long Order list- 0805_2011 年 Vinh Long Order list- 1202" xfId="10"/>
    <cellStyle name="_2011 年 Vinh Long Order list- 0805_2012 年 Vinh Long Order list- 0113" xfId="1"/>
    <cellStyle name="_2011 年 Vinh Long Order list- 0805_2012 年 Vinh Long Order list- 0309" xfId="11"/>
    <cellStyle name="_2011 年 Vinh Long Order list- 0805_2012 年 Vinh Long Order list- 0316" xfId="12"/>
    <cellStyle name="_2011 年 Vinh Long Order list- 0805_2012 年 Vinh Long Order list- 0413" xfId="13"/>
    <cellStyle name="_2011 年 Vinh Long Order list- 0805_2012 年 Vinh Long Order list- 0525" xfId="3"/>
    <cellStyle name="_2011 年 Vinh Long Order list- 0805_2012 年 Vinh Long Order list- 0615" xfId="5"/>
    <cellStyle name="_2011 年 Vinh Long Order list- 0805_2012 年 Vinh Long Order list- 1125" xfId="8"/>
    <cellStyle name="_2011 年 Vinh Long Order list- 0805_2012 年 Vinh Long Order list- 1223" xfId="14"/>
    <cellStyle name="_2011 年 Vinh Long Order list- 0805_2013 年 Vinh Long Order list- 0831" xfId="15"/>
    <cellStyle name="_A201 21 28" xfId="26"/>
    <cellStyle name="_April" xfId="2"/>
    <cellStyle name="_February" xfId="7"/>
    <cellStyle name="_January" xfId="16"/>
    <cellStyle name="Currency 2" xfId="40"/>
    <cellStyle name="Excel.Chart_SAN LUONG A2 T1~8" xfId="39"/>
    <cellStyle name="Normal 1" xfId="23"/>
    <cellStyle name="Normal 10" xfId="29"/>
    <cellStyle name="Normal 11" xfId="22"/>
    <cellStyle name="Normal 12" xfId="30"/>
    <cellStyle name="Normal 13" xfId="31"/>
    <cellStyle name="Normal 14" xfId="32"/>
    <cellStyle name="Normal 2" xfId="6"/>
    <cellStyle name="Normal 3" xfId="33"/>
    <cellStyle name="Normal 4" xfId="4"/>
    <cellStyle name="Normal 5" xfId="34"/>
    <cellStyle name="Normal 6" xfId="17"/>
    <cellStyle name="Normal 7" xfId="35"/>
    <cellStyle name="Normal 8" xfId="36"/>
    <cellStyle name="Normal 9" xfId="37"/>
    <cellStyle name="Percent 2" xfId="41"/>
    <cellStyle name="Style 1" xfId="18"/>
    <cellStyle name="Style 1 2" xfId="27"/>
    <cellStyle name="一般" xfId="0" builtinId="0"/>
    <cellStyle name="一般 2" xfId="24"/>
    <cellStyle name="一般 3" xfId="28"/>
    <cellStyle name="一般_11月_A2生產 進度表－0905_A1 TONG   11-28_A1 TONG   12-20" xfId="42"/>
    <cellStyle name="一般_11月_A2生產 進度表－0905_A1 TONG   11-28_A1 TONG   12-20_A2 LEAN03(15~20)" xfId="44"/>
    <cellStyle name="一般_11月_A2生產 進度表－0905_TDGO 9-18_億春A1廠3~5月份CONVERSE生產進度表03-26_10-1" xfId="43"/>
    <cellStyle name="一般_Order List 2004_Order List 2004(09)_Jungle-2004Order List" xfId="20"/>
    <cellStyle name="千分位 2" xfId="25"/>
    <cellStyle name="百分比" xfId="38" builtinId="5"/>
    <cellStyle name="樣式 1" xfId="21"/>
    <cellStyle name="표준_Spring 2006 International Price List 080505" xfId="19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P36"/>
  <sheetViews>
    <sheetView tabSelected="1" view="pageBreakPreview" zoomScale="76" zoomScaleNormal="80" zoomScaleSheetLayoutView="76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2" sqref="I12"/>
    </sheetView>
  </sheetViews>
  <sheetFormatPr defaultRowHeight="13.5"/>
  <cols>
    <col min="1" max="2" width="7.5" style="7" customWidth="1"/>
    <col min="3" max="10" width="10.25" style="58" customWidth="1"/>
    <col min="11" max="11" width="12" style="58" bestFit="1" customWidth="1"/>
    <col min="12" max="12" width="9.5" style="64" bestFit="1" customWidth="1"/>
    <col min="13" max="20" width="7.375" style="64" customWidth="1"/>
    <col min="21" max="23" width="7.25" style="64" customWidth="1"/>
    <col min="24" max="24" width="10.25" style="64" customWidth="1"/>
    <col min="25" max="36" width="7.25" style="64" customWidth="1"/>
    <col min="37" max="37" width="13.625" style="112" customWidth="1"/>
    <col min="38" max="38" width="13.125" style="112" customWidth="1"/>
    <col min="39" max="39" width="13.875" style="112" customWidth="1"/>
    <col min="40" max="40" width="10.625" style="112" customWidth="1"/>
    <col min="41" max="41" width="18.5" style="112" customWidth="1"/>
    <col min="42" max="42" width="20.5" style="7" hidden="1" customWidth="1"/>
    <col min="43" max="16384" width="9" style="7"/>
  </cols>
  <sheetData>
    <row r="2" spans="1:42" ht="37.5" customHeight="1">
      <c r="B2" s="135" t="s">
        <v>1347</v>
      </c>
      <c r="C2" s="136"/>
      <c r="D2" s="136"/>
      <c r="E2" s="136"/>
      <c r="F2" s="136"/>
      <c r="G2" s="136"/>
      <c r="H2" s="136"/>
      <c r="I2" s="136"/>
      <c r="J2" s="136"/>
      <c r="K2" s="136"/>
      <c r="L2" s="61"/>
      <c r="M2" s="137" t="s">
        <v>1358</v>
      </c>
      <c r="N2" s="138"/>
      <c r="O2" s="138"/>
      <c r="P2" s="138"/>
      <c r="Q2" s="138"/>
      <c r="R2" s="138"/>
      <c r="S2" s="138"/>
      <c r="T2" s="139"/>
      <c r="U2" s="137" t="s">
        <v>1355</v>
      </c>
      <c r="V2" s="138"/>
      <c r="W2" s="138"/>
      <c r="X2" s="138"/>
      <c r="Y2" s="138"/>
      <c r="Z2" s="138"/>
      <c r="AA2" s="138"/>
      <c r="AB2" s="139"/>
      <c r="AC2" s="137" t="s">
        <v>1359</v>
      </c>
      <c r="AD2" s="138"/>
      <c r="AE2" s="138"/>
      <c r="AF2" s="138"/>
      <c r="AG2" s="138"/>
      <c r="AH2" s="138"/>
      <c r="AI2" s="138"/>
      <c r="AJ2" s="139"/>
      <c r="AK2" s="113" t="s">
        <v>1350</v>
      </c>
      <c r="AL2" s="114" t="s">
        <v>1366</v>
      </c>
      <c r="AM2" s="114"/>
      <c r="AN2" s="114"/>
      <c r="AO2" s="114"/>
    </row>
    <row r="3" spans="1:42" s="8" customFormat="1" ht="30" customHeight="1">
      <c r="B3" s="56" t="s">
        <v>1349</v>
      </c>
      <c r="C3" s="85">
        <v>1</v>
      </c>
      <c r="D3" s="85">
        <v>2</v>
      </c>
      <c r="E3" s="85">
        <v>3</v>
      </c>
      <c r="F3" s="85">
        <v>4</v>
      </c>
      <c r="G3" s="85">
        <v>5</v>
      </c>
      <c r="H3" s="85">
        <v>6</v>
      </c>
      <c r="I3" s="85">
        <v>7</v>
      </c>
      <c r="J3" s="85">
        <v>8</v>
      </c>
      <c r="K3" s="59" t="s">
        <v>1348</v>
      </c>
      <c r="L3" s="62"/>
      <c r="M3" s="94">
        <v>1</v>
      </c>
      <c r="N3" s="94">
        <v>2</v>
      </c>
      <c r="O3" s="94">
        <v>3</v>
      </c>
      <c r="P3" s="94">
        <v>4</v>
      </c>
      <c r="Q3" s="94">
        <v>5</v>
      </c>
      <c r="R3" s="94">
        <v>6</v>
      </c>
      <c r="S3" s="94">
        <v>7</v>
      </c>
      <c r="T3" s="94">
        <v>8</v>
      </c>
      <c r="U3" s="95">
        <v>1</v>
      </c>
      <c r="V3" s="95">
        <v>2</v>
      </c>
      <c r="W3" s="95">
        <v>3</v>
      </c>
      <c r="X3" s="95">
        <v>4</v>
      </c>
      <c r="Y3" s="95">
        <v>5</v>
      </c>
      <c r="Z3" s="95">
        <v>6</v>
      </c>
      <c r="AA3" s="95">
        <v>7</v>
      </c>
      <c r="AB3" s="95">
        <v>8</v>
      </c>
      <c r="AC3" s="104">
        <v>1</v>
      </c>
      <c r="AD3" s="104">
        <v>2</v>
      </c>
      <c r="AE3" s="104">
        <v>3</v>
      </c>
      <c r="AF3" s="104">
        <v>4</v>
      </c>
      <c r="AG3" s="104">
        <v>5</v>
      </c>
      <c r="AH3" s="104">
        <v>6</v>
      </c>
      <c r="AI3" s="104">
        <v>7</v>
      </c>
      <c r="AJ3" s="104">
        <v>8</v>
      </c>
      <c r="AK3" s="114" t="s">
        <v>1354</v>
      </c>
      <c r="AL3" s="115" t="s">
        <v>1367</v>
      </c>
      <c r="AM3" s="116" t="s">
        <v>1351</v>
      </c>
      <c r="AN3" s="116" t="s">
        <v>1352</v>
      </c>
      <c r="AO3" s="116" t="s">
        <v>1353</v>
      </c>
    </row>
    <row r="4" spans="1:42" s="8" customFormat="1" ht="30" customHeight="1">
      <c r="A4" s="134" t="s">
        <v>1368</v>
      </c>
      <c r="B4" s="121" t="s">
        <v>1376</v>
      </c>
      <c r="C4" s="81">
        <v>3108</v>
      </c>
      <c r="D4" s="81">
        <v>3640</v>
      </c>
      <c r="E4" s="81"/>
      <c r="F4" s="81"/>
      <c r="G4" s="81">
        <v>6612</v>
      </c>
      <c r="H4" s="81">
        <v>6756</v>
      </c>
      <c r="I4" s="81">
        <v>16524</v>
      </c>
      <c r="J4" s="82"/>
      <c r="K4" s="83">
        <f>SUM(C4:I4)</f>
        <v>36640</v>
      </c>
      <c r="L4" s="63">
        <f>+K4/$K$35</f>
        <v>3.1490703194965615E-2</v>
      </c>
      <c r="M4" s="102">
        <v>1.62</v>
      </c>
      <c r="N4" s="102">
        <v>1.47</v>
      </c>
      <c r="O4" s="102"/>
      <c r="P4" s="102"/>
      <c r="Q4" s="102">
        <v>0.97</v>
      </c>
      <c r="R4" s="102">
        <v>0.77</v>
      </c>
      <c r="S4" s="102">
        <v>0.7</v>
      </c>
      <c r="T4" s="102"/>
      <c r="U4" s="103">
        <f>C4/$K$4</f>
        <v>8.4825327510917037E-2</v>
      </c>
      <c r="V4" s="103">
        <f t="shared" ref="V4:AA4" si="0">D4/$K$4</f>
        <v>9.934497816593886E-2</v>
      </c>
      <c r="W4" s="103"/>
      <c r="X4" s="103"/>
      <c r="Y4" s="103">
        <f t="shared" si="0"/>
        <v>0.1804585152838428</v>
      </c>
      <c r="Z4" s="103">
        <f t="shared" si="0"/>
        <v>0.18438864628820961</v>
      </c>
      <c r="AA4" s="103">
        <f t="shared" si="0"/>
        <v>0.45098253275109168</v>
      </c>
      <c r="AB4" s="103"/>
      <c r="AC4" s="102">
        <f>M4*U4</f>
        <v>0.13741703056768562</v>
      </c>
      <c r="AD4" s="102">
        <f t="shared" ref="AD4:AI4" si="1">N4*V4</f>
        <v>0.14603711790393012</v>
      </c>
      <c r="AE4" s="102"/>
      <c r="AF4" s="102"/>
      <c r="AG4" s="102">
        <f t="shared" si="1"/>
        <v>0.1750447598253275</v>
      </c>
      <c r="AH4" s="102">
        <f t="shared" si="1"/>
        <v>0.1419792576419214</v>
      </c>
      <c r="AI4" s="102">
        <f t="shared" si="1"/>
        <v>0.31568777292576417</v>
      </c>
      <c r="AJ4" s="102"/>
      <c r="AK4" s="117">
        <v>0.92</v>
      </c>
      <c r="AL4" s="118">
        <v>233</v>
      </c>
      <c r="AM4" s="117">
        <f>208*AK4*AL4</f>
        <v>44586.880000000005</v>
      </c>
      <c r="AN4" s="119">
        <f>K4/AM4</f>
        <v>0.82176640303156434</v>
      </c>
      <c r="AO4" s="119">
        <f>L4*AN4</f>
        <v>2.5878001893461483E-2</v>
      </c>
    </row>
    <row r="5" spans="1:42" s="8" customFormat="1" ht="30" customHeight="1">
      <c r="A5" s="134"/>
      <c r="B5" s="121" t="s">
        <v>37</v>
      </c>
      <c r="C5" s="81"/>
      <c r="D5" s="81"/>
      <c r="E5" s="81"/>
      <c r="F5" s="81">
        <v>33612</v>
      </c>
      <c r="G5" s="81">
        <v>9188</v>
      </c>
      <c r="H5" s="81"/>
      <c r="I5" s="81"/>
      <c r="J5" s="81"/>
      <c r="K5" s="83">
        <f t="shared" ref="K5:K15" si="2">SUM(C5:I5)</f>
        <v>42800</v>
      </c>
      <c r="L5" s="63">
        <f>+K5/$K$35</f>
        <v>3.6784991723376861E-2</v>
      </c>
      <c r="M5" s="102"/>
      <c r="N5" s="102"/>
      <c r="O5" s="102"/>
      <c r="P5" s="102">
        <v>1.1000000000000001</v>
      </c>
      <c r="Q5" s="102">
        <v>0.92</v>
      </c>
      <c r="R5" s="102"/>
      <c r="S5" s="102"/>
      <c r="T5" s="102"/>
      <c r="U5" s="102"/>
      <c r="V5" s="102"/>
      <c r="W5" s="102"/>
      <c r="X5" s="103">
        <f>F5/K5</f>
        <v>0.7853271028037383</v>
      </c>
      <c r="Y5" s="103">
        <f t="shared" ref="Y5:Y13" si="3">G5/K5</f>
        <v>0.21467289719626167</v>
      </c>
      <c r="Z5" s="102"/>
      <c r="AA5" s="102"/>
      <c r="AB5" s="102"/>
      <c r="AC5" s="102"/>
      <c r="AD5" s="102"/>
      <c r="AE5" s="102"/>
      <c r="AF5" s="102">
        <f>P5*X5</f>
        <v>0.86385981308411219</v>
      </c>
      <c r="AG5" s="102">
        <f>Q5*Y5</f>
        <v>0.19749906542056075</v>
      </c>
      <c r="AH5" s="102"/>
      <c r="AI5" s="102"/>
      <c r="AJ5" s="63"/>
      <c r="AK5" s="117">
        <v>1.06</v>
      </c>
      <c r="AL5" s="118">
        <v>208</v>
      </c>
      <c r="AM5" s="117">
        <f t="shared" ref="AM5:AM34" si="4">208*AK5*AL5</f>
        <v>45859.840000000004</v>
      </c>
      <c r="AN5" s="119">
        <f t="shared" ref="AN5:AN34" si="5">K5/AM5</f>
        <v>0.9332784414424472</v>
      </c>
      <c r="AO5" s="119">
        <f t="shared" ref="AO5:AO34" si="6">L5*AN5</f>
        <v>3.4330639744066478E-2</v>
      </c>
    </row>
    <row r="6" spans="1:42" s="8" customFormat="1" ht="30" customHeight="1">
      <c r="A6" s="134"/>
      <c r="B6" s="121" t="s">
        <v>36</v>
      </c>
      <c r="C6" s="81"/>
      <c r="D6" s="81"/>
      <c r="E6" s="81"/>
      <c r="F6" s="81"/>
      <c r="G6" s="81">
        <v>34472</v>
      </c>
      <c r="H6" s="81"/>
      <c r="I6" s="81">
        <v>2388</v>
      </c>
      <c r="J6" s="81"/>
      <c r="K6" s="83">
        <f t="shared" si="2"/>
        <v>36860</v>
      </c>
      <c r="L6" s="63">
        <f t="shared" ref="L6:L35" si="7">+K6/$K$35</f>
        <v>3.1679784928123157E-2</v>
      </c>
      <c r="M6" s="102"/>
      <c r="N6" s="102"/>
      <c r="O6" s="102"/>
      <c r="P6" s="102"/>
      <c r="Q6" s="102">
        <v>0.9</v>
      </c>
      <c r="R6" s="102"/>
      <c r="S6" s="102">
        <v>0.7</v>
      </c>
      <c r="T6" s="102"/>
      <c r="U6" s="102"/>
      <c r="V6" s="102"/>
      <c r="W6" s="102"/>
      <c r="X6" s="102"/>
      <c r="Y6" s="103">
        <f t="shared" si="3"/>
        <v>0.93521432447097119</v>
      </c>
      <c r="Z6" s="102"/>
      <c r="AA6" s="103">
        <f>I6/K6</f>
        <v>6.4785675529028752E-2</v>
      </c>
      <c r="AB6" s="102"/>
      <c r="AC6" s="102"/>
      <c r="AD6" s="102"/>
      <c r="AE6" s="102"/>
      <c r="AF6" s="102"/>
      <c r="AG6" s="102">
        <f>Q6*Y6</f>
        <v>0.8416928920238741</v>
      </c>
      <c r="AH6" s="102"/>
      <c r="AI6" s="102">
        <f>S6*AA6</f>
        <v>4.5349972870320124E-2</v>
      </c>
      <c r="AJ6" s="63"/>
      <c r="AK6" s="117">
        <v>0.89</v>
      </c>
      <c r="AL6" s="118">
        <v>213</v>
      </c>
      <c r="AM6" s="117">
        <f t="shared" si="4"/>
        <v>39430.559999999998</v>
      </c>
      <c r="AN6" s="119">
        <f t="shared" si="5"/>
        <v>0.93480792562925819</v>
      </c>
      <c r="AO6" s="119">
        <f t="shared" si="6"/>
        <v>2.9614514033039847E-2</v>
      </c>
    </row>
    <row r="7" spans="1:42" s="8" customFormat="1" ht="30" customHeight="1">
      <c r="A7" s="134"/>
      <c r="B7" s="121" t="s">
        <v>35</v>
      </c>
      <c r="C7" s="81"/>
      <c r="D7" s="81">
        <v>5700</v>
      </c>
      <c r="E7" s="81"/>
      <c r="F7" s="81"/>
      <c r="G7" s="81">
        <v>32360</v>
      </c>
      <c r="H7" s="81"/>
      <c r="I7" s="81"/>
      <c r="J7" s="81"/>
      <c r="K7" s="83">
        <f t="shared" si="2"/>
        <v>38060</v>
      </c>
      <c r="L7" s="63">
        <f t="shared" si="7"/>
        <v>3.2711139836255218E-2</v>
      </c>
      <c r="M7" s="102"/>
      <c r="N7" s="102">
        <v>1.53</v>
      </c>
      <c r="O7" s="102"/>
      <c r="P7" s="102"/>
      <c r="Q7" s="102">
        <v>0.97</v>
      </c>
      <c r="R7" s="102"/>
      <c r="S7" s="102"/>
      <c r="T7" s="102"/>
      <c r="U7" s="102"/>
      <c r="V7" s="103">
        <f>D7/K7</f>
        <v>0.14976353126642145</v>
      </c>
      <c r="W7" s="102"/>
      <c r="X7" s="102"/>
      <c r="Y7" s="103">
        <f t="shared" si="3"/>
        <v>0.85023646873357861</v>
      </c>
      <c r="Z7" s="102"/>
      <c r="AA7" s="102"/>
      <c r="AB7" s="102"/>
      <c r="AC7" s="102"/>
      <c r="AD7" s="102">
        <f>N7*V7</f>
        <v>0.22913820283762482</v>
      </c>
      <c r="AE7" s="102"/>
      <c r="AF7" s="102"/>
      <c r="AG7" s="102">
        <f>Q7*Y7</f>
        <v>0.82472937467157126</v>
      </c>
      <c r="AH7" s="102"/>
      <c r="AI7" s="102"/>
      <c r="AJ7" s="63"/>
      <c r="AK7" s="117">
        <v>1.05</v>
      </c>
      <c r="AL7" s="118">
        <v>198</v>
      </c>
      <c r="AM7" s="117">
        <f t="shared" si="4"/>
        <v>43243.200000000004</v>
      </c>
      <c r="AN7" s="119">
        <f t="shared" si="5"/>
        <v>0.88013838013838008</v>
      </c>
      <c r="AO7" s="119">
        <f t="shared" si="6"/>
        <v>2.8790329627961703E-2</v>
      </c>
    </row>
    <row r="8" spans="1:42" s="8" customFormat="1" ht="30" customHeight="1">
      <c r="A8" s="134" t="s">
        <v>1369</v>
      </c>
      <c r="B8" s="121" t="s">
        <v>34</v>
      </c>
      <c r="C8" s="81"/>
      <c r="D8" s="81"/>
      <c r="E8" s="81"/>
      <c r="F8" s="81"/>
      <c r="G8" s="81">
        <v>30260</v>
      </c>
      <c r="H8" s="81">
        <v>6060</v>
      </c>
      <c r="I8" s="81"/>
      <c r="J8" s="82"/>
      <c r="K8" s="83">
        <f t="shared" si="2"/>
        <v>36320</v>
      </c>
      <c r="L8" s="63">
        <f t="shared" si="7"/>
        <v>3.121567521946373E-2</v>
      </c>
      <c r="M8" s="102"/>
      <c r="N8" s="102"/>
      <c r="O8" s="102"/>
      <c r="P8" s="102"/>
      <c r="Q8" s="102">
        <v>0.83</v>
      </c>
      <c r="R8" s="102">
        <v>0.78</v>
      </c>
      <c r="S8" s="102"/>
      <c r="T8" s="102"/>
      <c r="U8" s="102"/>
      <c r="V8" s="102"/>
      <c r="W8" s="102"/>
      <c r="X8" s="102"/>
      <c r="Y8" s="103">
        <f t="shared" si="3"/>
        <v>0.83314977973568283</v>
      </c>
      <c r="Z8" s="103">
        <f>H8/K8</f>
        <v>0.16685022026431717</v>
      </c>
      <c r="AA8" s="102"/>
      <c r="AB8" s="102"/>
      <c r="AC8" s="102"/>
      <c r="AD8" s="102"/>
      <c r="AE8" s="102"/>
      <c r="AF8" s="102"/>
      <c r="AG8" s="102">
        <f>Q8*Y8</f>
        <v>0.69151431718061673</v>
      </c>
      <c r="AH8" s="102">
        <f>R8*Z8</f>
        <v>0.13014317180616741</v>
      </c>
      <c r="AI8" s="102"/>
      <c r="AJ8" s="63"/>
      <c r="AK8" s="117">
        <v>0.82</v>
      </c>
      <c r="AL8" s="118">
        <v>206</v>
      </c>
      <c r="AM8" s="117">
        <f t="shared" si="4"/>
        <v>35135.360000000001</v>
      </c>
      <c r="AN8" s="119">
        <f t="shared" si="5"/>
        <v>1.0337164611377256</v>
      </c>
      <c r="AO8" s="119">
        <f t="shared" si="6"/>
        <v>3.2268157319888642E-2</v>
      </c>
    </row>
    <row r="9" spans="1:42" s="8" customFormat="1" ht="30" customHeight="1">
      <c r="A9" s="134"/>
      <c r="B9" s="121" t="s">
        <v>33</v>
      </c>
      <c r="C9" s="81"/>
      <c r="D9" s="81"/>
      <c r="E9" s="81"/>
      <c r="F9" s="81"/>
      <c r="G9" s="81">
        <v>24576</v>
      </c>
      <c r="H9" s="81"/>
      <c r="I9" s="81">
        <v>12704</v>
      </c>
      <c r="J9" s="81"/>
      <c r="K9" s="83">
        <f t="shared" si="2"/>
        <v>37280</v>
      </c>
      <c r="L9" s="63">
        <f t="shared" si="7"/>
        <v>3.2040759145969377E-2</v>
      </c>
      <c r="M9" s="102"/>
      <c r="N9" s="102"/>
      <c r="O9" s="102"/>
      <c r="P9" s="102"/>
      <c r="Q9" s="102">
        <v>0.92</v>
      </c>
      <c r="R9" s="102"/>
      <c r="S9" s="102">
        <v>0.7</v>
      </c>
      <c r="T9" s="102"/>
      <c r="U9" s="102"/>
      <c r="V9" s="102"/>
      <c r="W9" s="102"/>
      <c r="X9" s="102"/>
      <c r="Y9" s="103">
        <f t="shared" si="3"/>
        <v>0.65922746781115882</v>
      </c>
      <c r="Z9" s="102"/>
      <c r="AA9" s="103">
        <f>I9/K9</f>
        <v>0.34077253218884118</v>
      </c>
      <c r="AB9" s="102"/>
      <c r="AC9" s="102"/>
      <c r="AD9" s="102"/>
      <c r="AE9" s="102"/>
      <c r="AF9" s="102"/>
      <c r="AG9" s="102">
        <f>Q9*Y9</f>
        <v>0.6064892703862661</v>
      </c>
      <c r="AH9" s="102"/>
      <c r="AI9" s="102">
        <f>S9*AA9</f>
        <v>0.23854077253218881</v>
      </c>
      <c r="AJ9" s="63"/>
      <c r="AK9" s="117">
        <v>0.85</v>
      </c>
      <c r="AL9" s="118">
        <v>207</v>
      </c>
      <c r="AM9" s="117">
        <f t="shared" si="4"/>
        <v>36597.599999999999</v>
      </c>
      <c r="AN9" s="119">
        <f t="shared" si="5"/>
        <v>1.0186460314337553</v>
      </c>
      <c r="AO9" s="119">
        <f t="shared" si="6"/>
        <v>3.2638192148166503E-2</v>
      </c>
    </row>
    <row r="10" spans="1:42" s="8" customFormat="1" ht="30" customHeight="1">
      <c r="A10" s="134"/>
      <c r="B10" s="121" t="s">
        <v>32</v>
      </c>
      <c r="C10" s="81"/>
      <c r="D10" s="81">
        <v>15322</v>
      </c>
      <c r="E10" s="81"/>
      <c r="F10" s="81">
        <v>7632</v>
      </c>
      <c r="G10" s="81">
        <v>14865</v>
      </c>
      <c r="H10" s="81">
        <v>3261</v>
      </c>
      <c r="I10" s="81"/>
      <c r="J10" s="82"/>
      <c r="K10" s="83">
        <f t="shared" si="2"/>
        <v>41080</v>
      </c>
      <c r="L10" s="63">
        <f t="shared" si="7"/>
        <v>3.5306716355054238E-2</v>
      </c>
      <c r="M10" s="102"/>
      <c r="N10" s="102">
        <v>1.47</v>
      </c>
      <c r="O10" s="102"/>
      <c r="P10" s="102">
        <v>1.04</v>
      </c>
      <c r="Q10" s="102">
        <v>0.97</v>
      </c>
      <c r="R10" s="102">
        <v>0.78</v>
      </c>
      <c r="S10" s="102"/>
      <c r="T10" s="102"/>
      <c r="U10" s="102"/>
      <c r="V10" s="103">
        <f>D10/K10</f>
        <v>0.37297955209347616</v>
      </c>
      <c r="W10" s="102"/>
      <c r="X10" s="103">
        <f>F10/K10</f>
        <v>0.18578383641674781</v>
      </c>
      <c r="Y10" s="103">
        <f t="shared" si="3"/>
        <v>0.36185491723466406</v>
      </c>
      <c r="Z10" s="103">
        <f>H10/K10</f>
        <v>7.9381694255111976E-2</v>
      </c>
      <c r="AA10" s="102"/>
      <c r="AB10" s="102"/>
      <c r="AC10" s="102"/>
      <c r="AD10" s="102">
        <f>N10*V10</f>
        <v>0.54827994157741</v>
      </c>
      <c r="AE10" s="102"/>
      <c r="AF10" s="102">
        <f t="shared" ref="AF10:AH12" si="8">P10*X10</f>
        <v>0.19321518987341774</v>
      </c>
      <c r="AG10" s="102">
        <f t="shared" si="8"/>
        <v>0.35099926971762413</v>
      </c>
      <c r="AH10" s="102">
        <f t="shared" si="8"/>
        <v>6.1917721518987341E-2</v>
      </c>
      <c r="AI10" s="102"/>
      <c r="AJ10" s="63"/>
      <c r="AK10" s="117">
        <v>1.1499999999999999</v>
      </c>
      <c r="AL10" s="118">
        <v>202</v>
      </c>
      <c r="AM10" s="117">
        <f t="shared" si="4"/>
        <v>48318.399999999994</v>
      </c>
      <c r="AN10" s="119">
        <f t="shared" si="5"/>
        <v>0.85019371502367636</v>
      </c>
      <c r="AO10" s="119">
        <f t="shared" si="6"/>
        <v>3.0017548343190755E-2</v>
      </c>
    </row>
    <row r="11" spans="1:42" s="130" customFormat="1" ht="30" customHeight="1">
      <c r="A11" s="134"/>
      <c r="B11" s="122" t="s">
        <v>31</v>
      </c>
      <c r="C11" s="123"/>
      <c r="D11" s="123">
        <v>8308</v>
      </c>
      <c r="E11" s="123"/>
      <c r="F11" s="123"/>
      <c r="G11" s="123">
        <v>29232</v>
      </c>
      <c r="H11" s="123"/>
      <c r="I11" s="123"/>
      <c r="J11" s="123"/>
      <c r="K11" s="124">
        <f t="shared" si="2"/>
        <v>37540</v>
      </c>
      <c r="L11" s="125">
        <f t="shared" si="7"/>
        <v>3.2264219376064662E-2</v>
      </c>
      <c r="M11" s="126"/>
      <c r="N11" s="126">
        <v>1.38</v>
      </c>
      <c r="O11" s="126"/>
      <c r="P11" s="126"/>
      <c r="Q11" s="126">
        <v>0.97</v>
      </c>
      <c r="R11" s="126"/>
      <c r="S11" s="126"/>
      <c r="T11" s="126"/>
      <c r="U11" s="126"/>
      <c r="V11" s="127">
        <f>D11/K11</f>
        <v>0.2213106020245072</v>
      </c>
      <c r="W11" s="126"/>
      <c r="X11" s="126"/>
      <c r="Y11" s="127">
        <f t="shared" si="3"/>
        <v>0.77868939797549286</v>
      </c>
      <c r="Z11" s="126"/>
      <c r="AA11" s="126"/>
      <c r="AB11" s="126"/>
      <c r="AC11" s="126"/>
      <c r="AD11" s="126">
        <f>N11*V11</f>
        <v>0.30540863079381991</v>
      </c>
      <c r="AE11" s="126"/>
      <c r="AF11" s="126"/>
      <c r="AG11" s="126">
        <f>Q11*Y11</f>
        <v>0.75532871603622809</v>
      </c>
      <c r="AH11" s="126"/>
      <c r="AI11" s="126"/>
      <c r="AJ11" s="125"/>
      <c r="AK11" s="117">
        <v>1.06</v>
      </c>
      <c r="AL11" s="118">
        <v>139</v>
      </c>
      <c r="AM11" s="117">
        <f t="shared" si="4"/>
        <v>30646.720000000001</v>
      </c>
      <c r="AN11" s="128">
        <f t="shared" si="5"/>
        <v>1.2249271700201523</v>
      </c>
      <c r="AO11" s="119">
        <f t="shared" si="6"/>
        <v>3.9521318933232248E-2</v>
      </c>
      <c r="AP11" s="129" t="s">
        <v>759</v>
      </c>
    </row>
    <row r="12" spans="1:42" s="8" customFormat="1" ht="30" customHeight="1">
      <c r="A12" s="134" t="s">
        <v>1370</v>
      </c>
      <c r="B12" s="121" t="s">
        <v>30</v>
      </c>
      <c r="C12" s="81"/>
      <c r="D12" s="81"/>
      <c r="E12" s="81">
        <v>3780</v>
      </c>
      <c r="F12" s="81">
        <v>6756</v>
      </c>
      <c r="G12" s="81">
        <v>17996</v>
      </c>
      <c r="H12" s="81"/>
      <c r="I12" s="81">
        <v>4988</v>
      </c>
      <c r="J12" s="81"/>
      <c r="K12" s="83">
        <f t="shared" si="2"/>
        <v>33520</v>
      </c>
      <c r="L12" s="63">
        <f t="shared" si="7"/>
        <v>2.8809180433822253E-2</v>
      </c>
      <c r="M12" s="102"/>
      <c r="N12" s="102"/>
      <c r="O12" s="102">
        <v>1.21</v>
      </c>
      <c r="P12" s="102">
        <v>1.02</v>
      </c>
      <c r="Q12" s="102">
        <v>0.94</v>
      </c>
      <c r="R12" s="102"/>
      <c r="S12" s="102">
        <v>0.71</v>
      </c>
      <c r="T12" s="102"/>
      <c r="U12" s="102"/>
      <c r="V12" s="102"/>
      <c r="W12" s="103">
        <f>E12/K12</f>
        <v>0.11276849642004773</v>
      </c>
      <c r="X12" s="103">
        <f>F12/K12</f>
        <v>0.20155131264916468</v>
      </c>
      <c r="Y12" s="103">
        <f t="shared" si="3"/>
        <v>0.53687350835322201</v>
      </c>
      <c r="Z12" s="103"/>
      <c r="AA12" s="103">
        <f>I12/K12</f>
        <v>0.14880668257756563</v>
      </c>
      <c r="AB12" s="102"/>
      <c r="AC12" s="102"/>
      <c r="AD12" s="102"/>
      <c r="AE12" s="102">
        <f>O12*W12</f>
        <v>0.13644988066825775</v>
      </c>
      <c r="AF12" s="102">
        <f t="shared" ref="AF12" si="9">P12*X12</f>
        <v>0.20558233890214797</v>
      </c>
      <c r="AG12" s="102">
        <f t="shared" si="8"/>
        <v>0.50466109785202862</v>
      </c>
      <c r="AH12" s="102"/>
      <c r="AI12" s="102">
        <f t="shared" ref="AI12:AI13" si="10">S12*AA12</f>
        <v>0.10565274463007159</v>
      </c>
      <c r="AJ12" s="63"/>
      <c r="AK12" s="117">
        <v>0.95</v>
      </c>
      <c r="AL12" s="118">
        <v>199</v>
      </c>
      <c r="AM12" s="117">
        <f t="shared" si="4"/>
        <v>39322.400000000001</v>
      </c>
      <c r="AN12" s="119">
        <f t="shared" si="5"/>
        <v>0.85244033934856467</v>
      </c>
      <c r="AO12" s="119">
        <f t="shared" si="6"/>
        <v>2.455810754536147E-2</v>
      </c>
    </row>
    <row r="13" spans="1:42" s="8" customFormat="1" ht="30" customHeight="1">
      <c r="A13" s="134"/>
      <c r="B13" s="121" t="s">
        <v>29</v>
      </c>
      <c r="C13" s="81"/>
      <c r="D13" s="81"/>
      <c r="E13" s="81"/>
      <c r="F13" s="81"/>
      <c r="G13" s="81">
        <v>23628</v>
      </c>
      <c r="H13" s="81"/>
      <c r="I13" s="81">
        <v>7332</v>
      </c>
      <c r="J13" s="81"/>
      <c r="K13" s="83">
        <f t="shared" si="2"/>
        <v>30960</v>
      </c>
      <c r="L13" s="63">
        <f t="shared" si="7"/>
        <v>2.6608956629807189E-2</v>
      </c>
      <c r="M13" s="102"/>
      <c r="N13" s="102"/>
      <c r="O13" s="102"/>
      <c r="P13" s="102"/>
      <c r="Q13" s="102">
        <v>0.9</v>
      </c>
      <c r="R13" s="102"/>
      <c r="S13" s="102">
        <v>0.64</v>
      </c>
      <c r="T13" s="102"/>
      <c r="U13" s="102"/>
      <c r="V13" s="102"/>
      <c r="W13" s="102"/>
      <c r="X13" s="102"/>
      <c r="Y13" s="103">
        <f t="shared" si="3"/>
        <v>0.76317829457364339</v>
      </c>
      <c r="Z13" s="103"/>
      <c r="AA13" s="103">
        <f>I13/K13</f>
        <v>0.23682170542635658</v>
      </c>
      <c r="AB13" s="102"/>
      <c r="AC13" s="102"/>
      <c r="AD13" s="102"/>
      <c r="AE13" s="102"/>
      <c r="AF13" s="102"/>
      <c r="AG13" s="102">
        <f>Q13*Y13</f>
        <v>0.68686046511627907</v>
      </c>
      <c r="AH13" s="102"/>
      <c r="AI13" s="102">
        <f t="shared" si="10"/>
        <v>0.15156589147286822</v>
      </c>
      <c r="AJ13" s="63"/>
      <c r="AK13" s="117">
        <v>0.84</v>
      </c>
      <c r="AL13" s="118">
        <v>197</v>
      </c>
      <c r="AM13" s="117">
        <f t="shared" si="4"/>
        <v>34419.839999999997</v>
      </c>
      <c r="AN13" s="119">
        <f t="shared" si="5"/>
        <v>0.89948122943046815</v>
      </c>
      <c r="AO13" s="119">
        <f t="shared" si="6"/>
        <v>2.3934257023240976E-2</v>
      </c>
    </row>
    <row r="14" spans="1:42" s="8" customFormat="1" ht="30" customHeight="1">
      <c r="A14" s="134"/>
      <c r="B14" s="121" t="s">
        <v>28</v>
      </c>
      <c r="C14" s="81"/>
      <c r="D14" s="81"/>
      <c r="E14" s="81"/>
      <c r="F14" s="81">
        <v>1166</v>
      </c>
      <c r="G14" s="81"/>
      <c r="H14" s="81">
        <v>32874</v>
      </c>
      <c r="I14" s="81"/>
      <c r="J14" s="82"/>
      <c r="K14" s="83">
        <f t="shared" si="2"/>
        <v>34040</v>
      </c>
      <c r="L14" s="63">
        <f t="shared" si="7"/>
        <v>2.9256100894012812E-2</v>
      </c>
      <c r="M14" s="102"/>
      <c r="N14" s="102"/>
      <c r="O14" s="102"/>
      <c r="P14" s="102">
        <v>1.02</v>
      </c>
      <c r="Q14" s="102"/>
      <c r="R14" s="102">
        <v>0.82</v>
      </c>
      <c r="S14" s="102"/>
      <c r="T14" s="102"/>
      <c r="U14" s="102"/>
      <c r="V14" s="102"/>
      <c r="W14" s="102"/>
      <c r="X14" s="103">
        <f>F14/K14</f>
        <v>3.4253819036427734E-2</v>
      </c>
      <c r="Y14" s="103"/>
      <c r="Z14" s="103">
        <f>H14/K14</f>
        <v>0.96574618096357223</v>
      </c>
      <c r="AA14" s="102"/>
      <c r="AB14" s="102"/>
      <c r="AC14" s="102"/>
      <c r="AD14" s="102"/>
      <c r="AE14" s="102"/>
      <c r="AF14" s="102">
        <f>P14*X14</f>
        <v>3.4938895417156286E-2</v>
      </c>
      <c r="AG14" s="102"/>
      <c r="AH14" s="102">
        <f>R14*Z14</f>
        <v>0.79191186839012917</v>
      </c>
      <c r="AI14" s="102"/>
      <c r="AJ14" s="63"/>
      <c r="AK14" s="117">
        <v>0.83</v>
      </c>
      <c r="AL14" s="118">
        <v>198</v>
      </c>
      <c r="AM14" s="117">
        <f t="shared" si="4"/>
        <v>34182.719999999994</v>
      </c>
      <c r="AN14" s="119">
        <f t="shared" si="5"/>
        <v>0.99582479100551402</v>
      </c>
      <c r="AO14" s="119">
        <f t="shared" si="6"/>
        <v>2.9133950558416541E-2</v>
      </c>
    </row>
    <row r="15" spans="1:42" s="8" customFormat="1" ht="30" customHeight="1">
      <c r="A15" s="134"/>
      <c r="B15" s="121" t="s">
        <v>27</v>
      </c>
      <c r="C15" s="81"/>
      <c r="D15" s="81">
        <v>37504</v>
      </c>
      <c r="E15" s="81">
        <v>4644</v>
      </c>
      <c r="F15" s="81">
        <v>492</v>
      </c>
      <c r="G15" s="81"/>
      <c r="H15" s="81"/>
      <c r="I15" s="81"/>
      <c r="J15" s="81"/>
      <c r="K15" s="83">
        <f t="shared" si="2"/>
        <v>42640</v>
      </c>
      <c r="L15" s="63">
        <f t="shared" si="7"/>
        <v>3.6647477735625919E-2</v>
      </c>
      <c r="M15" s="102"/>
      <c r="N15" s="102">
        <v>1.44</v>
      </c>
      <c r="O15" s="102">
        <v>1.1599999999999999</v>
      </c>
      <c r="P15" s="102">
        <v>1.06</v>
      </c>
      <c r="Q15" s="102"/>
      <c r="R15" s="102"/>
      <c r="S15" s="102"/>
      <c r="T15" s="102"/>
      <c r="U15" s="102"/>
      <c r="V15" s="103">
        <f>D15/K15</f>
        <v>0.8795497185741088</v>
      </c>
      <c r="W15" s="103">
        <f>E15/K15</f>
        <v>0.10891181988742964</v>
      </c>
      <c r="X15" s="103">
        <f>F15/K15</f>
        <v>1.1538461538461539E-2</v>
      </c>
      <c r="Y15" s="102"/>
      <c r="Z15" s="102"/>
      <c r="AA15" s="102"/>
      <c r="AB15" s="102"/>
      <c r="AC15" s="102"/>
      <c r="AD15" s="102">
        <f>N15*V15</f>
        <v>1.2665515947467165</v>
      </c>
      <c r="AE15" s="102">
        <f t="shared" ref="AE15:AF16" si="11">O15*W15</f>
        <v>0.12633771106941838</v>
      </c>
      <c r="AF15" s="102">
        <f t="shared" si="11"/>
        <v>1.2230769230769233E-2</v>
      </c>
      <c r="AG15" s="102"/>
      <c r="AH15" s="102"/>
      <c r="AI15" s="102"/>
      <c r="AJ15" s="63"/>
      <c r="AK15" s="117">
        <v>1.41</v>
      </c>
      <c r="AL15" s="118">
        <v>197</v>
      </c>
      <c r="AM15" s="117">
        <f t="shared" si="4"/>
        <v>57776.159999999996</v>
      </c>
      <c r="AN15" s="119">
        <f t="shared" si="5"/>
        <v>0.73802066457860827</v>
      </c>
      <c r="AO15" s="119">
        <f t="shared" si="6"/>
        <v>2.7046595873576391E-2</v>
      </c>
    </row>
    <row r="16" spans="1:42" s="8" customFormat="1" ht="30" customHeight="1">
      <c r="A16" s="134" t="s">
        <v>1371</v>
      </c>
      <c r="B16" s="121" t="s">
        <v>26</v>
      </c>
      <c r="C16" s="81"/>
      <c r="D16" s="81">
        <v>4564</v>
      </c>
      <c r="E16" s="81"/>
      <c r="F16" s="81">
        <v>10032</v>
      </c>
      <c r="G16" s="81">
        <v>13188</v>
      </c>
      <c r="H16" s="81"/>
      <c r="I16" s="81">
        <v>7076</v>
      </c>
      <c r="J16" s="81"/>
      <c r="K16" s="83">
        <f t="shared" ref="K16:K23" si="12">SUM(C16:J16)</f>
        <v>34860</v>
      </c>
      <c r="L16" s="63">
        <f t="shared" si="7"/>
        <v>2.9960860081236388E-2</v>
      </c>
      <c r="M16" s="102"/>
      <c r="N16" s="102">
        <v>1.44</v>
      </c>
      <c r="O16" s="102"/>
      <c r="P16" s="102">
        <v>1.05</v>
      </c>
      <c r="Q16" s="102">
        <v>0.95</v>
      </c>
      <c r="R16" s="102"/>
      <c r="S16" s="102">
        <v>0.63</v>
      </c>
      <c r="T16" s="102"/>
      <c r="U16" s="102"/>
      <c r="V16" s="103">
        <f>D16/K16</f>
        <v>0.13092369477911647</v>
      </c>
      <c r="W16" s="103"/>
      <c r="X16" s="103">
        <f>F16/K16</f>
        <v>0.28777969018932875</v>
      </c>
      <c r="Y16" s="103">
        <f>G16/K16</f>
        <v>0.37831325301204821</v>
      </c>
      <c r="Z16" s="103"/>
      <c r="AA16" s="103">
        <f>I16/K16</f>
        <v>0.20298336201950659</v>
      </c>
      <c r="AB16" s="102"/>
      <c r="AC16" s="102"/>
      <c r="AD16" s="102">
        <f>N16*V16</f>
        <v>0.18853012048192772</v>
      </c>
      <c r="AE16" s="102"/>
      <c r="AF16" s="102">
        <f t="shared" si="11"/>
        <v>0.30216867469879521</v>
      </c>
      <c r="AG16" s="102">
        <f t="shared" ref="AG16:AI16" si="13">Q16*Y16</f>
        <v>0.35939759036144581</v>
      </c>
      <c r="AH16" s="102"/>
      <c r="AI16" s="102">
        <f t="shared" si="13"/>
        <v>0.12787951807228914</v>
      </c>
      <c r="AJ16" s="102"/>
      <c r="AK16" s="117">
        <v>0.98</v>
      </c>
      <c r="AL16" s="118">
        <v>214</v>
      </c>
      <c r="AM16" s="117">
        <f t="shared" si="4"/>
        <v>43621.760000000002</v>
      </c>
      <c r="AN16" s="119">
        <f t="shared" si="5"/>
        <v>0.79914244633870801</v>
      </c>
      <c r="AO16" s="119">
        <f t="shared" si="6"/>
        <v>2.3942995019730989E-2</v>
      </c>
    </row>
    <row r="17" spans="1:42" s="130" customFormat="1" ht="30" customHeight="1">
      <c r="A17" s="134"/>
      <c r="B17" s="122" t="s">
        <v>25</v>
      </c>
      <c r="C17" s="123"/>
      <c r="D17" s="123">
        <v>11068</v>
      </c>
      <c r="E17" s="123">
        <v>12000</v>
      </c>
      <c r="F17" s="123">
        <v>3444</v>
      </c>
      <c r="G17" s="123">
        <v>11288</v>
      </c>
      <c r="H17" s="123"/>
      <c r="I17" s="123"/>
      <c r="J17" s="123"/>
      <c r="K17" s="124">
        <f t="shared" si="12"/>
        <v>37800</v>
      </c>
      <c r="L17" s="125">
        <f t="shared" si="7"/>
        <v>3.248767960615994E-2</v>
      </c>
      <c r="M17" s="126"/>
      <c r="N17" s="126">
        <v>1.4</v>
      </c>
      <c r="O17" s="126">
        <v>1.1599999999999999</v>
      </c>
      <c r="P17" s="126">
        <v>1.1000000000000001</v>
      </c>
      <c r="Q17" s="126">
        <v>0.87</v>
      </c>
      <c r="R17" s="126"/>
      <c r="S17" s="126"/>
      <c r="T17" s="126"/>
      <c r="U17" s="126"/>
      <c r="V17" s="127">
        <f>D17/K17</f>
        <v>0.29280423280423279</v>
      </c>
      <c r="W17" s="127">
        <f>E17/K17</f>
        <v>0.31746031746031744</v>
      </c>
      <c r="X17" s="127">
        <f>F17/K17</f>
        <v>9.1111111111111115E-2</v>
      </c>
      <c r="Y17" s="127">
        <f>G17/K17</f>
        <v>0.29862433862433863</v>
      </c>
      <c r="Z17" s="126"/>
      <c r="AA17" s="126"/>
      <c r="AB17" s="126"/>
      <c r="AC17" s="126"/>
      <c r="AD17" s="126">
        <f>N17*V17</f>
        <v>0.40992592592592586</v>
      </c>
      <c r="AE17" s="126">
        <f>O17*W17</f>
        <v>0.36825396825396822</v>
      </c>
      <c r="AF17" s="126">
        <f>P17*X17</f>
        <v>0.10022222222222224</v>
      </c>
      <c r="AG17" s="126">
        <f>Q17*Y17</f>
        <v>0.25980317460317459</v>
      </c>
      <c r="AH17" s="126"/>
      <c r="AI17" s="126"/>
      <c r="AJ17" s="125"/>
      <c r="AK17" s="117">
        <v>1.1399999999999999</v>
      </c>
      <c r="AL17" s="118">
        <v>141</v>
      </c>
      <c r="AM17" s="117">
        <f t="shared" si="4"/>
        <v>33433.919999999998</v>
      </c>
      <c r="AN17" s="128">
        <f t="shared" si="5"/>
        <v>1.1305883366353691</v>
      </c>
      <c r="AO17" s="119">
        <f t="shared" si="6"/>
        <v>3.673019164707117E-2</v>
      </c>
      <c r="AP17" s="130" t="s">
        <v>1364</v>
      </c>
    </row>
    <row r="18" spans="1:42" s="8" customFormat="1" ht="30" customHeight="1">
      <c r="A18" s="134"/>
      <c r="B18" s="121" t="s">
        <v>24</v>
      </c>
      <c r="C18" s="81"/>
      <c r="D18" s="106">
        <v>43680</v>
      </c>
      <c r="E18" s="81"/>
      <c r="F18" s="81"/>
      <c r="G18" s="81"/>
      <c r="H18" s="81"/>
      <c r="I18" s="81"/>
      <c r="J18" s="81"/>
      <c r="K18" s="83">
        <f t="shared" si="12"/>
        <v>43680</v>
      </c>
      <c r="L18" s="63">
        <f t="shared" si="7"/>
        <v>3.7541318656007037E-2</v>
      </c>
      <c r="M18" s="102"/>
      <c r="N18" s="102">
        <v>1.47</v>
      </c>
      <c r="O18" s="102"/>
      <c r="P18" s="102"/>
      <c r="Q18" s="102"/>
      <c r="R18" s="102"/>
      <c r="S18" s="102"/>
      <c r="T18" s="102"/>
      <c r="U18" s="102"/>
      <c r="V18" s="103">
        <v>1</v>
      </c>
      <c r="W18" s="102"/>
      <c r="X18" s="102"/>
      <c r="Y18" s="102"/>
      <c r="Z18" s="102"/>
      <c r="AA18" s="102"/>
      <c r="AB18" s="102"/>
      <c r="AC18" s="102"/>
      <c r="AD18" s="102">
        <f>N18*V18</f>
        <v>1.47</v>
      </c>
      <c r="AE18" s="102"/>
      <c r="AF18" s="102"/>
      <c r="AG18" s="102"/>
      <c r="AH18" s="102"/>
      <c r="AI18" s="102"/>
      <c r="AJ18" s="63"/>
      <c r="AK18" s="117">
        <v>1.47</v>
      </c>
      <c r="AL18" s="118">
        <v>139</v>
      </c>
      <c r="AM18" s="117">
        <f t="shared" si="4"/>
        <v>42500.639999999999</v>
      </c>
      <c r="AN18" s="119">
        <f t="shared" si="5"/>
        <v>1.0277492291880781</v>
      </c>
      <c r="AO18" s="119">
        <f t="shared" si="6"/>
        <v>3.858306131141525E-2</v>
      </c>
    </row>
    <row r="19" spans="1:42" s="8" customFormat="1" ht="30" customHeight="1">
      <c r="A19" s="134" t="s">
        <v>1373</v>
      </c>
      <c r="B19" s="121" t="s">
        <v>23</v>
      </c>
      <c r="C19" s="81"/>
      <c r="D19" s="81"/>
      <c r="E19" s="81"/>
      <c r="F19" s="81"/>
      <c r="G19" s="81">
        <v>35672</v>
      </c>
      <c r="H19" s="81"/>
      <c r="I19" s="81">
        <v>1408</v>
      </c>
      <c r="J19" s="81"/>
      <c r="K19" s="83">
        <f t="shared" si="12"/>
        <v>37080</v>
      </c>
      <c r="L19" s="63">
        <f t="shared" si="7"/>
        <v>3.18688666612807E-2</v>
      </c>
      <c r="M19" s="102"/>
      <c r="N19" s="102"/>
      <c r="O19" s="102"/>
      <c r="P19" s="102"/>
      <c r="Q19" s="102">
        <v>0.87</v>
      </c>
      <c r="R19" s="102"/>
      <c r="S19" s="102">
        <v>0.7</v>
      </c>
      <c r="T19" s="102"/>
      <c r="U19" s="102"/>
      <c r="V19" s="102"/>
      <c r="W19" s="102"/>
      <c r="X19" s="102"/>
      <c r="Y19" s="103">
        <f>G19/K19</f>
        <v>0.96202804746494064</v>
      </c>
      <c r="Z19" s="103"/>
      <c r="AA19" s="103">
        <f>I19/K19</f>
        <v>3.7971952535059333E-2</v>
      </c>
      <c r="AB19" s="102"/>
      <c r="AC19" s="102"/>
      <c r="AD19" s="102"/>
      <c r="AE19" s="102"/>
      <c r="AF19" s="102"/>
      <c r="AG19" s="102">
        <f>Q19*Y19</f>
        <v>0.83696440129449834</v>
      </c>
      <c r="AH19" s="102"/>
      <c r="AI19" s="102">
        <f t="shared" ref="AI19:AI20" si="14">S19*AA19</f>
        <v>2.6580366774541533E-2</v>
      </c>
      <c r="AJ19" s="63"/>
      <c r="AK19" s="117">
        <v>0.86</v>
      </c>
      <c r="AL19" s="118">
        <v>201</v>
      </c>
      <c r="AM19" s="117">
        <f t="shared" si="4"/>
        <v>35954.879999999997</v>
      </c>
      <c r="AN19" s="119">
        <f t="shared" si="5"/>
        <v>1.0312925533335113</v>
      </c>
      <c r="AO19" s="119">
        <f t="shared" si="6"/>
        <v>3.2866124870957386E-2</v>
      </c>
    </row>
    <row r="20" spans="1:42" s="8" customFormat="1" ht="30" customHeight="1">
      <c r="A20" s="134"/>
      <c r="B20" s="121" t="s">
        <v>22</v>
      </c>
      <c r="C20" s="81"/>
      <c r="D20" s="81"/>
      <c r="E20" s="81"/>
      <c r="F20" s="81"/>
      <c r="G20" s="81">
        <v>10464</v>
      </c>
      <c r="H20" s="81">
        <v>5928</v>
      </c>
      <c r="I20" s="81">
        <v>19368</v>
      </c>
      <c r="J20" s="82"/>
      <c r="K20" s="83">
        <f>SUM(C20:I20)</f>
        <v>35760</v>
      </c>
      <c r="L20" s="63">
        <f t="shared" si="7"/>
        <v>3.0734376262335435E-2</v>
      </c>
      <c r="M20" s="102"/>
      <c r="N20" s="102"/>
      <c r="O20" s="102"/>
      <c r="P20" s="102"/>
      <c r="Q20" s="102">
        <v>0.94</v>
      </c>
      <c r="R20" s="102">
        <v>0.82</v>
      </c>
      <c r="S20" s="102">
        <v>0.7</v>
      </c>
      <c r="T20" s="102"/>
      <c r="U20" s="102"/>
      <c r="V20" s="102"/>
      <c r="W20" s="102"/>
      <c r="X20" s="102"/>
      <c r="Y20" s="103">
        <f>G20/K20</f>
        <v>0.29261744966442954</v>
      </c>
      <c r="Z20" s="103">
        <f>H20/K20</f>
        <v>0.1657718120805369</v>
      </c>
      <c r="AA20" s="103">
        <f>I20/K20</f>
        <v>0.54161073825503359</v>
      </c>
      <c r="AB20" s="102"/>
      <c r="AC20" s="102"/>
      <c r="AD20" s="102"/>
      <c r="AE20" s="102"/>
      <c r="AF20" s="102"/>
      <c r="AG20" s="102">
        <f>Q20*Y20</f>
        <v>0.27506040268456378</v>
      </c>
      <c r="AH20" s="102">
        <f t="shared" ref="AH20" si="15">R20*Z20</f>
        <v>0.13593288590604025</v>
      </c>
      <c r="AI20" s="102">
        <f t="shared" si="14"/>
        <v>0.37912751677852347</v>
      </c>
      <c r="AJ20" s="63"/>
      <c r="AK20" s="117">
        <v>0.79</v>
      </c>
      <c r="AL20" s="118">
        <v>206</v>
      </c>
      <c r="AM20" s="117">
        <f t="shared" si="4"/>
        <v>33849.919999999998</v>
      </c>
      <c r="AN20" s="119">
        <f t="shared" si="5"/>
        <v>1.0564279029315284</v>
      </c>
      <c r="AO20" s="119">
        <f t="shared" si="6"/>
        <v>3.2468652662727568E-2</v>
      </c>
    </row>
    <row r="21" spans="1:42" s="8" customFormat="1" ht="30" customHeight="1">
      <c r="A21" s="134"/>
      <c r="B21" s="121" t="s">
        <v>21</v>
      </c>
      <c r="C21" s="81"/>
      <c r="D21" s="81"/>
      <c r="E21" s="81"/>
      <c r="F21" s="81"/>
      <c r="G21" s="81">
        <v>13999</v>
      </c>
      <c r="H21" s="81">
        <v>21561</v>
      </c>
      <c r="I21" s="81"/>
      <c r="J21" s="82"/>
      <c r="K21" s="83">
        <f>SUM(C21:I21)</f>
        <v>35560</v>
      </c>
      <c r="L21" s="63">
        <f t="shared" si="7"/>
        <v>3.0562483777646757E-2</v>
      </c>
      <c r="M21" s="102"/>
      <c r="N21" s="102"/>
      <c r="O21" s="102"/>
      <c r="P21" s="102"/>
      <c r="Q21" s="102">
        <v>0.91</v>
      </c>
      <c r="R21" s="102">
        <v>0.82</v>
      </c>
      <c r="S21" s="102"/>
      <c r="T21" s="102"/>
      <c r="U21" s="102"/>
      <c r="V21" s="102"/>
      <c r="W21" s="102"/>
      <c r="X21" s="102"/>
      <c r="Y21" s="103">
        <f>G21/K21</f>
        <v>0.39367266591676042</v>
      </c>
      <c r="Z21" s="103">
        <f>H21/K21</f>
        <v>0.60632733408323958</v>
      </c>
      <c r="AA21" s="102"/>
      <c r="AB21" s="102"/>
      <c r="AC21" s="102"/>
      <c r="AD21" s="102"/>
      <c r="AE21" s="102"/>
      <c r="AF21" s="102"/>
      <c r="AG21" s="102">
        <f>Q21*Y21</f>
        <v>0.35824212598425198</v>
      </c>
      <c r="AH21" s="102">
        <f>R21*Z21</f>
        <v>0.49718841394825641</v>
      </c>
      <c r="AI21" s="102"/>
      <c r="AJ21" s="63"/>
      <c r="AK21" s="117">
        <v>0.86</v>
      </c>
      <c r="AL21" s="118">
        <v>209</v>
      </c>
      <c r="AM21" s="117">
        <f t="shared" si="4"/>
        <v>37385.919999999998</v>
      </c>
      <c r="AN21" s="119">
        <f t="shared" si="5"/>
        <v>0.95116022288604918</v>
      </c>
      <c r="AO21" s="119">
        <f t="shared" si="6"/>
        <v>2.9069818881897753E-2</v>
      </c>
    </row>
    <row r="22" spans="1:42" s="8" customFormat="1" ht="30" customHeight="1">
      <c r="A22" s="134"/>
      <c r="B22" s="121" t="s">
        <v>41</v>
      </c>
      <c r="C22" s="82"/>
      <c r="D22" s="81">
        <v>1520</v>
      </c>
      <c r="E22" s="81">
        <v>27120</v>
      </c>
      <c r="F22" s="81">
        <v>7560</v>
      </c>
      <c r="G22" s="81"/>
      <c r="H22" s="81"/>
      <c r="I22" s="81"/>
      <c r="J22" s="81"/>
      <c r="K22" s="83">
        <f>SUM(D22:J22)</f>
        <v>36200</v>
      </c>
      <c r="L22" s="63">
        <f t="shared" si="7"/>
        <v>3.1112539728650523E-2</v>
      </c>
      <c r="M22" s="102"/>
      <c r="N22" s="102">
        <v>1.5</v>
      </c>
      <c r="O22" s="102">
        <v>1.1399999999999999</v>
      </c>
      <c r="P22" s="102">
        <v>1.1000000000000001</v>
      </c>
      <c r="Q22" s="102"/>
      <c r="R22" s="102"/>
      <c r="S22" s="102"/>
      <c r="T22" s="102"/>
      <c r="U22" s="102"/>
      <c r="V22" s="103">
        <f>D22/K22</f>
        <v>4.1988950276243095E-2</v>
      </c>
      <c r="W22" s="103">
        <f>E22/K22</f>
        <v>0.74917127071823209</v>
      </c>
      <c r="X22" s="103">
        <f>F22/K22</f>
        <v>0.20883977900552486</v>
      </c>
      <c r="Y22" s="102"/>
      <c r="Z22" s="102"/>
      <c r="AA22" s="102"/>
      <c r="AB22" s="102"/>
      <c r="AC22" s="102"/>
      <c r="AD22" s="102">
        <f>N22*V22</f>
        <v>6.2983425414364635E-2</v>
      </c>
      <c r="AE22" s="102">
        <f t="shared" ref="AE22:AF22" si="16">O22*W22</f>
        <v>0.85405524861878446</v>
      </c>
      <c r="AF22" s="102">
        <f t="shared" si="16"/>
        <v>0.22972375690607735</v>
      </c>
      <c r="AG22" s="102"/>
      <c r="AH22" s="102"/>
      <c r="AI22" s="102"/>
      <c r="AJ22" s="63"/>
      <c r="AK22" s="117">
        <v>1.1499999999999999</v>
      </c>
      <c r="AL22" s="118">
        <v>145</v>
      </c>
      <c r="AM22" s="117">
        <f t="shared" si="4"/>
        <v>34684</v>
      </c>
      <c r="AN22" s="119">
        <f t="shared" si="5"/>
        <v>1.0437089147733825</v>
      </c>
      <c r="AO22" s="119">
        <f t="shared" si="6"/>
        <v>3.2472435076033583E-2</v>
      </c>
    </row>
    <row r="23" spans="1:42" s="130" customFormat="1" ht="30" customHeight="1">
      <c r="A23" s="131" t="s">
        <v>1372</v>
      </c>
      <c r="B23" s="122" t="s">
        <v>20</v>
      </c>
      <c r="C23" s="123">
        <v>32128</v>
      </c>
      <c r="D23" s="123"/>
      <c r="E23" s="123"/>
      <c r="F23" s="123"/>
      <c r="G23" s="123"/>
      <c r="H23" s="123"/>
      <c r="I23" s="123"/>
      <c r="J23" s="123"/>
      <c r="K23" s="124">
        <f t="shared" si="12"/>
        <v>32128</v>
      </c>
      <c r="L23" s="125">
        <f t="shared" si="7"/>
        <v>2.7612808740389062E-2</v>
      </c>
      <c r="M23" s="126">
        <v>2.02</v>
      </c>
      <c r="N23" s="126"/>
      <c r="O23" s="126"/>
      <c r="P23" s="126"/>
      <c r="Q23" s="126"/>
      <c r="R23" s="126"/>
      <c r="S23" s="126"/>
      <c r="T23" s="126"/>
      <c r="U23" s="127">
        <v>1</v>
      </c>
      <c r="V23" s="126"/>
      <c r="W23" s="126"/>
      <c r="X23" s="126"/>
      <c r="Y23" s="126"/>
      <c r="Z23" s="126"/>
      <c r="AA23" s="126"/>
      <c r="AB23" s="126"/>
      <c r="AC23" s="126">
        <f>M23*U23</f>
        <v>2.02</v>
      </c>
      <c r="AD23" s="126"/>
      <c r="AE23" s="126"/>
      <c r="AF23" s="126"/>
      <c r="AG23" s="126"/>
      <c r="AH23" s="126"/>
      <c r="AI23" s="126"/>
      <c r="AJ23" s="125"/>
      <c r="AK23" s="117">
        <v>2.02</v>
      </c>
      <c r="AL23" s="118">
        <v>112</v>
      </c>
      <c r="AM23" s="117">
        <f t="shared" si="4"/>
        <v>47057.920000000006</v>
      </c>
      <c r="AN23" s="128">
        <f t="shared" si="5"/>
        <v>0.68273310847568269</v>
      </c>
      <c r="AO23" s="119">
        <f t="shared" si="6"/>
        <v>1.8852178745070326E-2</v>
      </c>
      <c r="AP23" s="130" t="s">
        <v>1363</v>
      </c>
    </row>
    <row r="24" spans="1:42" s="8" customFormat="1" ht="30" customHeight="1">
      <c r="A24" s="134" t="s">
        <v>1374</v>
      </c>
      <c r="B24" s="121" t="s">
        <v>13</v>
      </c>
      <c r="C24" s="84"/>
      <c r="D24" s="84"/>
      <c r="E24" s="84"/>
      <c r="F24" s="84"/>
      <c r="G24" s="84">
        <v>22420</v>
      </c>
      <c r="H24" s="84">
        <v>12540</v>
      </c>
      <c r="I24" s="84"/>
      <c r="J24" s="84"/>
      <c r="K24" s="83">
        <f t="shared" ref="K24:K34" si="17">SUM(C24:J24)</f>
        <v>34960</v>
      </c>
      <c r="L24" s="63">
        <f t="shared" ref="L24:L34" si="18">+K24/$K$35</f>
        <v>3.0046806323580727E-2</v>
      </c>
      <c r="M24" s="102"/>
      <c r="N24" s="102"/>
      <c r="O24" s="102"/>
      <c r="P24" s="102"/>
      <c r="Q24" s="102">
        <v>0.88</v>
      </c>
      <c r="R24" s="102">
        <v>0.85</v>
      </c>
      <c r="S24" s="102"/>
      <c r="T24" s="102"/>
      <c r="U24" s="102"/>
      <c r="V24" s="102"/>
      <c r="W24" s="102"/>
      <c r="X24" s="102"/>
      <c r="Y24" s="103">
        <f>G24/K24</f>
        <v>0.64130434782608692</v>
      </c>
      <c r="Z24" s="103">
        <f>H24/K24</f>
        <v>0.35869565217391303</v>
      </c>
      <c r="AA24" s="102"/>
      <c r="AB24" s="102"/>
      <c r="AC24" s="102"/>
      <c r="AD24" s="102"/>
      <c r="AE24" s="102"/>
      <c r="AF24" s="102"/>
      <c r="AG24" s="102">
        <f>Q24*Y24</f>
        <v>0.56434782608695644</v>
      </c>
      <c r="AH24" s="102">
        <f>R24*Z24</f>
        <v>0.30489130434782608</v>
      </c>
      <c r="AI24" s="102"/>
      <c r="AJ24" s="63"/>
      <c r="AK24" s="117">
        <v>0.87</v>
      </c>
      <c r="AL24" s="118">
        <v>200</v>
      </c>
      <c r="AM24" s="117">
        <f t="shared" si="4"/>
        <v>36192</v>
      </c>
      <c r="AN24" s="119">
        <f t="shared" si="5"/>
        <v>0.96595932802829354</v>
      </c>
      <c r="AO24" s="119">
        <f t="shared" si="6"/>
        <v>2.902399284572232E-2</v>
      </c>
    </row>
    <row r="25" spans="1:42" s="8" customFormat="1" ht="30" customHeight="1">
      <c r="A25" s="134"/>
      <c r="B25" s="121" t="s">
        <v>14</v>
      </c>
      <c r="C25" s="84"/>
      <c r="D25" s="84"/>
      <c r="E25" s="84"/>
      <c r="F25" s="84">
        <v>240</v>
      </c>
      <c r="G25" s="84">
        <v>25556</v>
      </c>
      <c r="H25" s="84">
        <v>10044</v>
      </c>
      <c r="I25" s="84"/>
      <c r="J25" s="84"/>
      <c r="K25" s="83">
        <f t="shared" si="17"/>
        <v>35840</v>
      </c>
      <c r="L25" s="63">
        <f t="shared" si="18"/>
        <v>3.0803133256210907E-2</v>
      </c>
      <c r="M25" s="102"/>
      <c r="N25" s="102"/>
      <c r="O25" s="102"/>
      <c r="P25" s="102">
        <v>1.08</v>
      </c>
      <c r="Q25" s="102">
        <v>0.97</v>
      </c>
      <c r="R25" s="102">
        <v>0.8</v>
      </c>
      <c r="S25" s="102"/>
      <c r="T25" s="102"/>
      <c r="U25" s="102"/>
      <c r="V25" s="102"/>
      <c r="W25" s="102"/>
      <c r="X25" s="103">
        <f>F25/K25</f>
        <v>6.6964285714285711E-3</v>
      </c>
      <c r="Y25" s="103">
        <f>G25/K25</f>
        <v>0.71305803571428572</v>
      </c>
      <c r="Z25" s="103">
        <f>H25/K25</f>
        <v>0.28024553571428573</v>
      </c>
      <c r="AA25" s="102"/>
      <c r="AB25" s="102"/>
      <c r="AC25" s="102"/>
      <c r="AD25" s="102"/>
      <c r="AE25" s="102"/>
      <c r="AF25" s="102">
        <f>P25*X25</f>
        <v>7.2321428571428571E-3</v>
      </c>
      <c r="AG25" s="102">
        <f t="shared" ref="AG25:AH25" si="19">Q25*Y25</f>
        <v>0.69166629464285712</v>
      </c>
      <c r="AH25" s="102">
        <f t="shared" si="19"/>
        <v>0.2241964285714286</v>
      </c>
      <c r="AI25" s="102"/>
      <c r="AJ25" s="63"/>
      <c r="AK25" s="117">
        <v>0.92</v>
      </c>
      <c r="AL25" s="118">
        <v>209</v>
      </c>
      <c r="AM25" s="117">
        <f t="shared" si="4"/>
        <v>39994.240000000005</v>
      </c>
      <c r="AN25" s="119">
        <f t="shared" si="5"/>
        <v>0.89612904258213166</v>
      </c>
      <c r="AO25" s="119">
        <f t="shared" si="6"/>
        <v>2.7603582313418099E-2</v>
      </c>
    </row>
    <row r="26" spans="1:42" s="8" customFormat="1" ht="30" customHeight="1">
      <c r="A26" s="134"/>
      <c r="B26" s="121" t="s">
        <v>15</v>
      </c>
      <c r="C26" s="84"/>
      <c r="D26" s="84"/>
      <c r="E26" s="84"/>
      <c r="F26" s="84">
        <v>36640</v>
      </c>
      <c r="G26" s="84"/>
      <c r="H26" s="84"/>
      <c r="I26" s="84"/>
      <c r="J26" s="84"/>
      <c r="K26" s="83">
        <f t="shared" si="17"/>
        <v>36640</v>
      </c>
      <c r="L26" s="63">
        <f t="shared" si="18"/>
        <v>3.1490703194965615E-2</v>
      </c>
      <c r="M26" s="102"/>
      <c r="N26" s="102"/>
      <c r="O26" s="102"/>
      <c r="P26" s="102">
        <v>1.03</v>
      </c>
      <c r="Q26" s="102"/>
      <c r="R26" s="103"/>
      <c r="S26" s="102"/>
      <c r="T26" s="102"/>
      <c r="U26" s="102"/>
      <c r="V26" s="102"/>
      <c r="W26" s="102"/>
      <c r="X26" s="103">
        <v>1</v>
      </c>
      <c r="Y26" s="102"/>
      <c r="Z26" s="102"/>
      <c r="AA26" s="102"/>
      <c r="AB26" s="102"/>
      <c r="AC26" s="102"/>
      <c r="AD26" s="102"/>
      <c r="AE26" s="102"/>
      <c r="AF26" s="102">
        <f>P26*X26</f>
        <v>1.03</v>
      </c>
      <c r="AG26" s="102"/>
      <c r="AH26" s="102"/>
      <c r="AI26" s="102"/>
      <c r="AJ26" s="63"/>
      <c r="AK26" s="117">
        <v>1.03</v>
      </c>
      <c r="AL26" s="118">
        <v>178</v>
      </c>
      <c r="AM26" s="117">
        <f t="shared" si="4"/>
        <v>38134.720000000001</v>
      </c>
      <c r="AN26" s="119">
        <f t="shared" si="5"/>
        <v>0.96080422250379705</v>
      </c>
      <c r="AO26" s="119">
        <f t="shared" si="6"/>
        <v>3.0256400599336774E-2</v>
      </c>
    </row>
    <row r="27" spans="1:42" s="130" customFormat="1" ht="30" customHeight="1">
      <c r="A27" s="134"/>
      <c r="B27" s="122" t="s">
        <v>16</v>
      </c>
      <c r="C27" s="132">
        <v>13308</v>
      </c>
      <c r="D27" s="132">
        <v>29652</v>
      </c>
      <c r="E27" s="132"/>
      <c r="F27" s="132"/>
      <c r="G27" s="132"/>
      <c r="H27" s="132"/>
      <c r="I27" s="132"/>
      <c r="J27" s="132"/>
      <c r="K27" s="124">
        <f t="shared" si="17"/>
        <v>42960</v>
      </c>
      <c r="L27" s="125">
        <f t="shared" si="18"/>
        <v>3.6922505711127804E-2</v>
      </c>
      <c r="M27" s="126">
        <v>1.53</v>
      </c>
      <c r="N27" s="126">
        <v>1.42</v>
      </c>
      <c r="O27" s="126"/>
      <c r="P27" s="126"/>
      <c r="Q27" s="126"/>
      <c r="R27" s="126"/>
      <c r="S27" s="126"/>
      <c r="T27" s="126"/>
      <c r="U27" s="127">
        <f>C27/K27</f>
        <v>0.30977653631284918</v>
      </c>
      <c r="V27" s="127">
        <f>D27/K27</f>
        <v>0.69022346368715082</v>
      </c>
      <c r="W27" s="126"/>
      <c r="X27" s="126"/>
      <c r="Y27" s="126"/>
      <c r="Z27" s="126"/>
      <c r="AA27" s="126"/>
      <c r="AB27" s="126"/>
      <c r="AC27" s="126">
        <f>M27*U27</f>
        <v>0.47395810055865928</v>
      </c>
      <c r="AD27" s="126">
        <f>N27*V27</f>
        <v>0.98011731843575411</v>
      </c>
      <c r="AE27" s="126"/>
      <c r="AF27" s="126"/>
      <c r="AG27" s="126"/>
      <c r="AH27" s="126"/>
      <c r="AI27" s="126"/>
      <c r="AJ27" s="125"/>
      <c r="AK27" s="117">
        <v>1.45</v>
      </c>
      <c r="AL27" s="118">
        <v>129</v>
      </c>
      <c r="AM27" s="117">
        <f t="shared" si="4"/>
        <v>38906.399999999994</v>
      </c>
      <c r="AN27" s="128">
        <f t="shared" si="5"/>
        <v>1.1041885139719945</v>
      </c>
      <c r="AO27" s="119">
        <f t="shared" si="6"/>
        <v>4.076940671329269E-2</v>
      </c>
    </row>
    <row r="28" spans="1:42" s="130" customFormat="1" ht="30" customHeight="1">
      <c r="A28" s="134"/>
      <c r="B28" s="122" t="s">
        <v>17</v>
      </c>
      <c r="C28" s="132">
        <v>43680</v>
      </c>
      <c r="D28" s="132"/>
      <c r="E28" s="132"/>
      <c r="F28" s="132"/>
      <c r="G28" s="132"/>
      <c r="H28" s="132"/>
      <c r="I28" s="132"/>
      <c r="J28" s="132"/>
      <c r="K28" s="124">
        <f t="shared" si="17"/>
        <v>43680</v>
      </c>
      <c r="L28" s="125">
        <f t="shared" si="18"/>
        <v>3.7541318656007037E-2</v>
      </c>
      <c r="M28" s="126">
        <v>1.53</v>
      </c>
      <c r="N28" s="126"/>
      <c r="O28" s="126"/>
      <c r="P28" s="126"/>
      <c r="Q28" s="126"/>
      <c r="R28" s="126"/>
      <c r="S28" s="126"/>
      <c r="T28" s="126"/>
      <c r="U28" s="127">
        <v>1</v>
      </c>
      <c r="V28" s="126"/>
      <c r="W28" s="126"/>
      <c r="X28" s="126"/>
      <c r="Y28" s="126"/>
      <c r="Z28" s="126"/>
      <c r="AA28" s="126"/>
      <c r="AB28" s="126"/>
      <c r="AC28" s="126">
        <f>M28*U28</f>
        <v>1.53</v>
      </c>
      <c r="AD28" s="126"/>
      <c r="AE28" s="126"/>
      <c r="AF28" s="126"/>
      <c r="AG28" s="126"/>
      <c r="AH28" s="126"/>
      <c r="AI28" s="126"/>
      <c r="AJ28" s="125"/>
      <c r="AK28" s="117">
        <v>1.53</v>
      </c>
      <c r="AL28" s="118">
        <v>129</v>
      </c>
      <c r="AM28" s="117">
        <f t="shared" si="4"/>
        <v>41052.959999999999</v>
      </c>
      <c r="AN28" s="128">
        <f t="shared" si="5"/>
        <v>1.0639914880680954</v>
      </c>
      <c r="AO28" s="119">
        <f t="shared" si="6"/>
        <v>3.9943643500843479E-2</v>
      </c>
    </row>
    <row r="29" spans="1:42" s="8" customFormat="1" ht="30" customHeight="1">
      <c r="A29" s="134" t="s">
        <v>1375</v>
      </c>
      <c r="B29" s="121" t="s">
        <v>1337</v>
      </c>
      <c r="C29" s="84"/>
      <c r="D29" s="84">
        <v>4404</v>
      </c>
      <c r="E29" s="84"/>
      <c r="F29" s="84">
        <v>30306</v>
      </c>
      <c r="G29" s="84"/>
      <c r="H29" s="84"/>
      <c r="I29" s="84"/>
      <c r="J29" s="84"/>
      <c r="K29" s="83">
        <f t="shared" si="17"/>
        <v>34710</v>
      </c>
      <c r="L29" s="63">
        <f t="shared" si="18"/>
        <v>2.9831940717719881E-2</v>
      </c>
      <c r="M29" s="102"/>
      <c r="N29" s="102">
        <v>1.47</v>
      </c>
      <c r="O29" s="102"/>
      <c r="P29" s="102">
        <v>1.03</v>
      </c>
      <c r="Q29" s="102"/>
      <c r="R29" s="102"/>
      <c r="S29" s="102"/>
      <c r="T29" s="102"/>
      <c r="U29" s="102"/>
      <c r="V29" s="103">
        <f>D29/K29</f>
        <v>0.12687986171132237</v>
      </c>
      <c r="W29" s="103"/>
      <c r="X29" s="103">
        <f>F29/K29</f>
        <v>0.87312013828867763</v>
      </c>
      <c r="Y29" s="102"/>
      <c r="Z29" s="102"/>
      <c r="AA29" s="102"/>
      <c r="AB29" s="102"/>
      <c r="AC29" s="102"/>
      <c r="AD29" s="102">
        <f>N29*V29</f>
        <v>0.18651339671564388</v>
      </c>
      <c r="AE29" s="102"/>
      <c r="AF29" s="102">
        <f>P29*X29</f>
        <v>0.89931374243733797</v>
      </c>
      <c r="AG29" s="102"/>
      <c r="AH29" s="102"/>
      <c r="AI29" s="102"/>
      <c r="AJ29" s="63"/>
      <c r="AK29" s="117">
        <v>1.0900000000000001</v>
      </c>
      <c r="AL29" s="118">
        <v>160</v>
      </c>
      <c r="AM29" s="117">
        <f t="shared" si="4"/>
        <v>36275.200000000004</v>
      </c>
      <c r="AN29" s="119">
        <f t="shared" si="5"/>
        <v>0.95685206422018332</v>
      </c>
      <c r="AO29" s="119">
        <f t="shared" si="6"/>
        <v>2.8544754055444405E-2</v>
      </c>
    </row>
    <row r="30" spans="1:42" s="8" customFormat="1" ht="30" customHeight="1">
      <c r="A30" s="134"/>
      <c r="B30" s="121" t="s">
        <v>1338</v>
      </c>
      <c r="C30" s="84"/>
      <c r="D30" s="84">
        <v>4896</v>
      </c>
      <c r="E30" s="84"/>
      <c r="F30" s="84"/>
      <c r="G30" s="84">
        <v>26670</v>
      </c>
      <c r="H30" s="84">
        <v>3754</v>
      </c>
      <c r="I30" s="84"/>
      <c r="J30" s="84"/>
      <c r="K30" s="83">
        <f t="shared" si="17"/>
        <v>35320</v>
      </c>
      <c r="L30" s="63">
        <f t="shared" si="18"/>
        <v>3.0356212796020344E-2</v>
      </c>
      <c r="M30" s="102"/>
      <c r="N30" s="102">
        <v>1.34</v>
      </c>
      <c r="O30" s="102"/>
      <c r="P30" s="102"/>
      <c r="Q30" s="102">
        <v>0.96</v>
      </c>
      <c r="R30" s="102">
        <v>0.8</v>
      </c>
      <c r="S30" s="102"/>
      <c r="T30" s="102"/>
      <c r="U30" s="102"/>
      <c r="V30" s="103">
        <f>D30/K30</f>
        <v>0.13861834654586636</v>
      </c>
      <c r="W30" s="103"/>
      <c r="X30" s="103"/>
      <c r="Y30" s="103">
        <f>G30/K30</f>
        <v>0.75509626274065689</v>
      </c>
      <c r="Z30" s="103">
        <f>H30/K30</f>
        <v>0.10628539071347679</v>
      </c>
      <c r="AA30" s="102"/>
      <c r="AB30" s="102"/>
      <c r="AC30" s="102"/>
      <c r="AD30" s="102">
        <f>N30*V30</f>
        <v>0.18574858437146094</v>
      </c>
      <c r="AE30" s="102"/>
      <c r="AF30" s="102"/>
      <c r="AG30" s="102">
        <f>Q30*Y30</f>
        <v>0.72489241223103063</v>
      </c>
      <c r="AH30" s="102">
        <f>R30*Z30</f>
        <v>8.5028312570781431E-2</v>
      </c>
      <c r="AI30" s="102"/>
      <c r="AJ30" s="63"/>
      <c r="AK30" s="117">
        <v>1</v>
      </c>
      <c r="AL30" s="118">
        <v>188</v>
      </c>
      <c r="AM30" s="117">
        <f t="shared" si="4"/>
        <v>39104</v>
      </c>
      <c r="AN30" s="119">
        <f t="shared" si="5"/>
        <v>0.90323240589198039</v>
      </c>
      <c r="AO30" s="119">
        <f t="shared" si="6"/>
        <v>2.7418715117518377E-2</v>
      </c>
    </row>
    <row r="31" spans="1:42" s="8" customFormat="1" ht="30" customHeight="1">
      <c r="A31" s="134"/>
      <c r="B31" s="121" t="s">
        <v>1339</v>
      </c>
      <c r="C31" s="84"/>
      <c r="D31" s="84"/>
      <c r="E31" s="84"/>
      <c r="F31" s="84"/>
      <c r="G31" s="84">
        <v>37280</v>
      </c>
      <c r="H31" s="84"/>
      <c r="I31" s="84"/>
      <c r="J31" s="84"/>
      <c r="K31" s="83">
        <f t="shared" si="17"/>
        <v>37280</v>
      </c>
      <c r="L31" s="63">
        <f t="shared" si="18"/>
        <v>3.2040759145969377E-2</v>
      </c>
      <c r="M31" s="102"/>
      <c r="N31" s="102"/>
      <c r="O31" s="102"/>
      <c r="P31" s="102"/>
      <c r="Q31" s="102">
        <v>0.92</v>
      </c>
      <c r="R31" s="102"/>
      <c r="S31" s="102"/>
      <c r="T31" s="102"/>
      <c r="U31" s="102"/>
      <c r="V31" s="102"/>
      <c r="W31" s="102"/>
      <c r="X31" s="102"/>
      <c r="Y31" s="103">
        <v>1</v>
      </c>
      <c r="Z31" s="102"/>
      <c r="AA31" s="102"/>
      <c r="AB31" s="102"/>
      <c r="AC31" s="102"/>
      <c r="AD31" s="102"/>
      <c r="AE31" s="102"/>
      <c r="AF31" s="102"/>
      <c r="AG31" s="102">
        <f>Q31*Y31</f>
        <v>0.92</v>
      </c>
      <c r="AH31" s="102"/>
      <c r="AI31" s="102"/>
      <c r="AJ31" s="63"/>
      <c r="AK31" s="117">
        <v>0.92</v>
      </c>
      <c r="AL31" s="118">
        <v>220</v>
      </c>
      <c r="AM31" s="117">
        <f t="shared" si="4"/>
        <v>42099.200000000004</v>
      </c>
      <c r="AN31" s="119">
        <f t="shared" si="5"/>
        <v>0.88552751596229851</v>
      </c>
      <c r="AO31" s="119">
        <f t="shared" si="6"/>
        <v>2.837297385607656E-2</v>
      </c>
    </row>
    <row r="32" spans="1:42" s="8" customFormat="1" ht="30" customHeight="1">
      <c r="A32" s="134"/>
      <c r="B32" s="121" t="s">
        <v>1340</v>
      </c>
      <c r="C32" s="84"/>
      <c r="D32" s="84"/>
      <c r="E32" s="84"/>
      <c r="F32" s="84"/>
      <c r="G32" s="84">
        <v>6228</v>
      </c>
      <c r="H32" s="84">
        <v>28972</v>
      </c>
      <c r="I32" s="84"/>
      <c r="J32" s="84"/>
      <c r="K32" s="83">
        <f t="shared" si="17"/>
        <v>35200</v>
      </c>
      <c r="L32" s="63">
        <f t="shared" si="18"/>
        <v>3.0253077305207141E-2</v>
      </c>
      <c r="M32" s="102"/>
      <c r="N32" s="102"/>
      <c r="O32" s="102"/>
      <c r="P32" s="102"/>
      <c r="Q32" s="102">
        <v>0.89</v>
      </c>
      <c r="R32" s="102">
        <v>0.81</v>
      </c>
      <c r="S32" s="102"/>
      <c r="T32" s="102"/>
      <c r="U32" s="102"/>
      <c r="V32" s="102"/>
      <c r="W32" s="102"/>
      <c r="X32" s="102"/>
      <c r="Y32" s="103">
        <f>G32/K32</f>
        <v>0.17693181818181819</v>
      </c>
      <c r="Z32" s="103">
        <f>H32/K32</f>
        <v>0.82306818181818187</v>
      </c>
      <c r="AA32" s="102"/>
      <c r="AB32" s="102"/>
      <c r="AC32" s="102"/>
      <c r="AD32" s="102"/>
      <c r="AE32" s="102"/>
      <c r="AF32" s="102"/>
      <c r="AG32" s="102">
        <f>Q32*Y32</f>
        <v>0.1574693181818182</v>
      </c>
      <c r="AH32" s="102">
        <f>R32*Z32</f>
        <v>0.66668522727272739</v>
      </c>
      <c r="AI32" s="102"/>
      <c r="AJ32" s="63"/>
      <c r="AK32" s="117">
        <v>0.82</v>
      </c>
      <c r="AL32" s="118">
        <v>206</v>
      </c>
      <c r="AM32" s="117">
        <f t="shared" si="4"/>
        <v>35135.360000000001</v>
      </c>
      <c r="AN32" s="119">
        <f t="shared" si="5"/>
        <v>1.0018397420718046</v>
      </c>
      <c r="AO32" s="119">
        <f t="shared" si="6"/>
        <v>3.0308735164327087E-2</v>
      </c>
    </row>
    <row r="33" spans="1:42" s="130" customFormat="1" ht="30" customHeight="1">
      <c r="A33" s="134"/>
      <c r="B33" s="122" t="s">
        <v>7</v>
      </c>
      <c r="C33" s="132">
        <v>33924</v>
      </c>
      <c r="D33" s="132">
        <v>5020</v>
      </c>
      <c r="E33" s="132">
        <v>3576</v>
      </c>
      <c r="F33" s="132"/>
      <c r="G33" s="132"/>
      <c r="H33" s="132"/>
      <c r="I33" s="132"/>
      <c r="J33" s="132"/>
      <c r="K33" s="124">
        <f t="shared" si="17"/>
        <v>42520</v>
      </c>
      <c r="L33" s="125">
        <f t="shared" si="18"/>
        <v>3.6544342244812712E-2</v>
      </c>
      <c r="M33" s="126">
        <v>1.55</v>
      </c>
      <c r="N33" s="126">
        <v>1.47</v>
      </c>
      <c r="O33" s="126">
        <v>1.1499999999999999</v>
      </c>
      <c r="P33" s="126"/>
      <c r="Q33" s="126"/>
      <c r="R33" s="126"/>
      <c r="S33" s="126"/>
      <c r="T33" s="126"/>
      <c r="U33" s="127">
        <f>C33/K33</f>
        <v>0.79783631232361241</v>
      </c>
      <c r="V33" s="127">
        <f>D33/K33</f>
        <v>0.1180620884289746</v>
      </c>
      <c r="W33" s="127">
        <f>E33/K33</f>
        <v>8.4101599247412978E-2</v>
      </c>
      <c r="X33" s="126"/>
      <c r="Y33" s="126"/>
      <c r="Z33" s="126"/>
      <c r="AA33" s="126"/>
      <c r="AB33" s="126"/>
      <c r="AC33" s="126">
        <f>M33*U33</f>
        <v>1.2366462841015993</v>
      </c>
      <c r="AD33" s="126">
        <f>N33*V33</f>
        <v>0.17355126999059267</v>
      </c>
      <c r="AE33" s="126">
        <f>O33*W33</f>
        <v>9.6716839134524918E-2</v>
      </c>
      <c r="AF33" s="126"/>
      <c r="AG33" s="126"/>
      <c r="AH33" s="126"/>
      <c r="AI33" s="126"/>
      <c r="AJ33" s="125"/>
      <c r="AK33" s="117">
        <v>1.51</v>
      </c>
      <c r="AL33" s="133">
        <v>226</v>
      </c>
      <c r="AM33" s="117">
        <f t="shared" si="4"/>
        <v>70982.080000000002</v>
      </c>
      <c r="AN33" s="128">
        <f t="shared" si="5"/>
        <v>0.5990244298279227</v>
      </c>
      <c r="AO33" s="119">
        <f t="shared" si="6"/>
        <v>2.1890953776635403E-2</v>
      </c>
      <c r="AP33" s="130" t="s">
        <v>1365</v>
      </c>
    </row>
    <row r="34" spans="1:42" s="8" customFormat="1" ht="30" customHeight="1">
      <c r="A34" s="134"/>
      <c r="B34" s="121" t="s">
        <v>8</v>
      </c>
      <c r="C34" s="84">
        <v>31972</v>
      </c>
      <c r="D34" s="84">
        <v>11628</v>
      </c>
      <c r="E34" s="84"/>
      <c r="F34" s="84"/>
      <c r="G34" s="84"/>
      <c r="H34" s="84"/>
      <c r="I34" s="84"/>
      <c r="J34" s="84"/>
      <c r="K34" s="83">
        <f t="shared" si="17"/>
        <v>43600</v>
      </c>
      <c r="L34" s="63">
        <f t="shared" si="18"/>
        <v>3.7472561662131573E-2</v>
      </c>
      <c r="M34" s="102">
        <v>1.53</v>
      </c>
      <c r="N34" s="102">
        <v>1.37</v>
      </c>
      <c r="O34" s="102"/>
      <c r="P34" s="102"/>
      <c r="Q34" s="102"/>
      <c r="R34" s="102"/>
      <c r="S34" s="102"/>
      <c r="T34" s="102"/>
      <c r="U34" s="103">
        <f>C34/K34</f>
        <v>0.733302752293578</v>
      </c>
      <c r="V34" s="103">
        <f>D34/K34</f>
        <v>0.266697247706422</v>
      </c>
      <c r="W34" s="102"/>
      <c r="X34" s="102"/>
      <c r="Y34" s="102"/>
      <c r="Z34" s="102"/>
      <c r="AA34" s="102"/>
      <c r="AB34" s="102"/>
      <c r="AC34" s="102">
        <f>M34*U34</f>
        <v>1.1219532110091743</v>
      </c>
      <c r="AD34" s="102">
        <f>N34*V34</f>
        <v>0.36537522935779815</v>
      </c>
      <c r="AE34" s="102"/>
      <c r="AF34" s="102"/>
      <c r="AG34" s="102"/>
      <c r="AH34" s="102"/>
      <c r="AI34" s="102"/>
      <c r="AJ34" s="63"/>
      <c r="AK34" s="117">
        <v>1.49</v>
      </c>
      <c r="AL34" s="118">
        <v>158</v>
      </c>
      <c r="AM34" s="117">
        <f t="shared" si="4"/>
        <v>48967.360000000001</v>
      </c>
      <c r="AN34" s="119">
        <f t="shared" si="5"/>
        <v>0.89038902648621443</v>
      </c>
      <c r="AO34" s="119">
        <f t="shared" si="6"/>
        <v>3.3365157698289974E-2</v>
      </c>
    </row>
    <row r="35" spans="1:42" s="8" customFormat="1" ht="30" customHeight="1">
      <c r="B35" s="9" t="s">
        <v>40</v>
      </c>
      <c r="C35" s="81">
        <f>SUM(C4:C34)</f>
        <v>158120</v>
      </c>
      <c r="D35" s="81">
        <f t="shared" ref="D35:K35" si="20">SUM(D4:D34)</f>
        <v>186906</v>
      </c>
      <c r="E35" s="81">
        <f t="shared" si="20"/>
        <v>51120</v>
      </c>
      <c r="F35" s="81">
        <f t="shared" si="20"/>
        <v>137880</v>
      </c>
      <c r="G35" s="81">
        <f t="shared" si="20"/>
        <v>425954</v>
      </c>
      <c r="H35" s="81">
        <f>SUM(H4:H34)</f>
        <v>131750</v>
      </c>
      <c r="I35" s="81">
        <f t="shared" si="20"/>
        <v>71788</v>
      </c>
      <c r="J35" s="81">
        <f t="shared" si="20"/>
        <v>0</v>
      </c>
      <c r="K35" s="83">
        <f t="shared" si="20"/>
        <v>1163518</v>
      </c>
      <c r="L35" s="63">
        <f t="shared" si="7"/>
        <v>1</v>
      </c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63"/>
      <c r="AK35" s="117"/>
      <c r="AL35" s="118">
        <f>SUM(AL4:AL34)</f>
        <v>5767</v>
      </c>
      <c r="AM35" s="117">
        <f>SUM(AM4:AM34)</f>
        <v>1264852.1600000004</v>
      </c>
      <c r="AN35" s="111">
        <v>0.93979999999999997</v>
      </c>
      <c r="AO35" s="111">
        <f>SUM(AO4:AO34)</f>
        <v>0.94021538689941209</v>
      </c>
    </row>
    <row r="36" spans="1:42" s="11" customFormat="1" ht="30" customHeight="1">
      <c r="B36" s="10"/>
      <c r="C36" s="57">
        <f>+C35/$K$35</f>
        <v>0.13589819839486797</v>
      </c>
      <c r="D36" s="57">
        <f t="shared" ref="D36:K36" si="21">+D35/$K$35</f>
        <v>0.16063868371610926</v>
      </c>
      <c r="E36" s="57">
        <f t="shared" si="21"/>
        <v>4.3935719086425823E-2</v>
      </c>
      <c r="F36" s="57">
        <f t="shared" si="21"/>
        <v>0.11850267894437387</v>
      </c>
      <c r="G36" s="57">
        <f t="shared" si="21"/>
        <v>0.36609145711540347</v>
      </c>
      <c r="H36" s="57">
        <f t="shared" si="21"/>
        <v>0.11323417428866593</v>
      </c>
      <c r="I36" s="57">
        <f t="shared" si="21"/>
        <v>6.1699088454153693E-2</v>
      </c>
      <c r="J36" s="57">
        <f t="shared" si="21"/>
        <v>0</v>
      </c>
      <c r="K36" s="57">
        <f t="shared" si="21"/>
        <v>1</v>
      </c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120"/>
      <c r="AL36" s="120"/>
      <c r="AM36" s="120"/>
      <c r="AN36" s="120"/>
      <c r="AO36" s="120"/>
    </row>
  </sheetData>
  <sortState ref="B24:O34">
    <sortCondition ref="B24:B34"/>
  </sortState>
  <mergeCells count="11">
    <mergeCell ref="B2:K2"/>
    <mergeCell ref="M2:T2"/>
    <mergeCell ref="U2:AB2"/>
    <mergeCell ref="AC2:AJ2"/>
    <mergeCell ref="A4:A7"/>
    <mergeCell ref="A29:A34"/>
    <mergeCell ref="A8:A11"/>
    <mergeCell ref="A12:A15"/>
    <mergeCell ref="A16:A18"/>
    <mergeCell ref="A19:A22"/>
    <mergeCell ref="A24:A28"/>
  </mergeCells>
  <phoneticPr fontId="7" type="noConversion"/>
  <pageMargins left="0" right="0" top="0.35433070866141736" bottom="0.35433070866141736" header="0.31496062992125984" footer="0.31496062992125984"/>
  <pageSetup paperSize="9" scale="75" fitToHeight="2" orientation="landscape" horizontalDpi="300" verticalDpi="300" r:id="rId1"/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R644"/>
  <sheetViews>
    <sheetView zoomScale="80" zoomScaleNormal="80" workbookViewId="0">
      <pane ySplit="2" topLeftCell="A3" activePane="bottomLeft" state="frozen"/>
      <selection pane="bottomLeft" activeCell="I224" sqref="I224"/>
    </sheetView>
  </sheetViews>
  <sheetFormatPr defaultColWidth="9" defaultRowHeight="16.5"/>
  <cols>
    <col min="1" max="1" width="8.25" style="78" customWidth="1"/>
    <col min="2" max="2" width="11.875" style="2" customWidth="1"/>
    <col min="3" max="3" width="10.125" style="2" customWidth="1"/>
    <col min="4" max="4" width="10.875" style="12" customWidth="1"/>
    <col min="5" max="5" width="9.5" style="86" customWidth="1"/>
    <col min="6" max="6" width="9.375" style="4" customWidth="1"/>
    <col min="7" max="7" width="11.375" style="2" customWidth="1"/>
    <col min="8" max="8" width="12" style="5" customWidth="1"/>
    <col min="9" max="9" width="21.875" style="3" customWidth="1"/>
    <col min="10" max="10" width="9.375" style="4" customWidth="1"/>
    <col min="11" max="11" width="13.25" style="2" customWidth="1"/>
    <col min="12" max="12" width="6.25" style="2" bestFit="1" customWidth="1"/>
    <col min="13" max="13" width="5.875" style="2" customWidth="1"/>
    <col min="14" max="16384" width="9" style="1"/>
  </cols>
  <sheetData>
    <row r="1" spans="1:16" ht="17.25" thickBot="1">
      <c r="B1" s="6"/>
      <c r="C1" s="6"/>
    </row>
    <row r="2" spans="1:16" s="13" customFormat="1" ht="28.5" customHeight="1" thickTop="1">
      <c r="A2" s="79" t="s">
        <v>1</v>
      </c>
      <c r="B2" s="18" t="s">
        <v>2</v>
      </c>
      <c r="C2" s="19" t="s">
        <v>18</v>
      </c>
      <c r="D2" s="19" t="s">
        <v>19</v>
      </c>
      <c r="E2" s="87" t="s">
        <v>3</v>
      </c>
      <c r="F2" s="18" t="s">
        <v>0</v>
      </c>
      <c r="G2" s="20" t="s">
        <v>4</v>
      </c>
      <c r="H2" s="18" t="s">
        <v>5</v>
      </c>
      <c r="I2" s="18" t="s">
        <v>6</v>
      </c>
      <c r="J2" s="69" t="s">
        <v>42</v>
      </c>
      <c r="K2" s="91" t="s">
        <v>805</v>
      </c>
      <c r="L2" s="69" t="s">
        <v>43</v>
      </c>
      <c r="M2" s="69" t="s">
        <v>39</v>
      </c>
      <c r="N2" s="105" t="s">
        <v>1356</v>
      </c>
      <c r="O2" s="105" t="s">
        <v>1357</v>
      </c>
      <c r="P2" s="100"/>
    </row>
    <row r="3" spans="1:16" s="2" customFormat="1" ht="21" hidden="1" customHeight="1">
      <c r="A3" s="17">
        <v>201709</v>
      </c>
      <c r="B3" s="14" t="s">
        <v>792</v>
      </c>
      <c r="C3" s="14" t="s">
        <v>38</v>
      </c>
      <c r="D3" s="15">
        <v>43102</v>
      </c>
      <c r="E3" s="88" t="s">
        <v>593</v>
      </c>
      <c r="F3" s="17">
        <v>5124</v>
      </c>
      <c r="G3" s="16">
        <v>43110</v>
      </c>
      <c r="H3" s="14" t="s">
        <v>717</v>
      </c>
      <c r="I3" s="14" t="s">
        <v>737</v>
      </c>
      <c r="J3" s="17">
        <v>185</v>
      </c>
      <c r="K3" s="17">
        <v>191</v>
      </c>
      <c r="L3" s="21">
        <v>0.96858638743455494</v>
      </c>
      <c r="M3" s="22">
        <v>5</v>
      </c>
      <c r="N3" s="101">
        <f>F3/F608</f>
        <v>0.55768393556813234</v>
      </c>
      <c r="O3" s="96">
        <f>L3*N3</f>
        <v>0.54016506848222245</v>
      </c>
    </row>
    <row r="4" spans="1:16" s="2" customFormat="1" ht="21" hidden="1" customHeight="1">
      <c r="A4" s="17">
        <v>201709</v>
      </c>
      <c r="B4" s="14" t="s">
        <v>44</v>
      </c>
      <c r="C4" s="14" t="s">
        <v>38</v>
      </c>
      <c r="D4" s="15">
        <v>43105</v>
      </c>
      <c r="E4" s="88" t="s">
        <v>593</v>
      </c>
      <c r="F4" s="17">
        <v>396</v>
      </c>
      <c r="G4" s="16">
        <v>43115</v>
      </c>
      <c r="H4" s="14" t="s">
        <v>717</v>
      </c>
      <c r="I4" s="14" t="s">
        <v>737</v>
      </c>
      <c r="J4" s="17">
        <v>185</v>
      </c>
      <c r="K4" s="17">
        <v>191</v>
      </c>
      <c r="L4" s="21">
        <v>0.96858638743455494</v>
      </c>
      <c r="M4" s="22">
        <v>5</v>
      </c>
      <c r="N4" s="101">
        <f>F4/F608</f>
        <v>4.309969525468002E-2</v>
      </c>
      <c r="O4" s="96">
        <f t="shared" ref="O4:O6" si="0">L4*N4</f>
        <v>4.1745778126260749E-2</v>
      </c>
    </row>
    <row r="5" spans="1:16" s="2" customFormat="1" ht="21" hidden="1" customHeight="1">
      <c r="A5" s="17">
        <v>201709</v>
      </c>
      <c r="B5" s="14" t="s">
        <v>46</v>
      </c>
      <c r="C5" s="14" t="s">
        <v>38</v>
      </c>
      <c r="D5" s="15">
        <v>43105</v>
      </c>
      <c r="E5" s="88" t="s">
        <v>593</v>
      </c>
      <c r="F5" s="17">
        <v>720</v>
      </c>
      <c r="G5" s="16">
        <v>43116</v>
      </c>
      <c r="H5" s="14" t="s">
        <v>717</v>
      </c>
      <c r="I5" s="14" t="s">
        <v>737</v>
      </c>
      <c r="J5" s="17">
        <v>185</v>
      </c>
      <c r="K5" s="17">
        <v>191</v>
      </c>
      <c r="L5" s="21">
        <v>0.96858638743455494</v>
      </c>
      <c r="M5" s="22">
        <v>5</v>
      </c>
      <c r="N5" s="101">
        <f>F5/F608</f>
        <v>7.8363082281236396E-2</v>
      </c>
      <c r="O5" s="96">
        <f t="shared" si="0"/>
        <v>7.5901414775019549E-2</v>
      </c>
    </row>
    <row r="6" spans="1:16" s="2" customFormat="1" ht="21" hidden="1" customHeight="1">
      <c r="A6" s="17">
        <v>201709</v>
      </c>
      <c r="B6" s="14" t="s">
        <v>45</v>
      </c>
      <c r="C6" s="14" t="s">
        <v>38</v>
      </c>
      <c r="D6" s="15">
        <v>43106</v>
      </c>
      <c r="E6" s="88" t="s">
        <v>593</v>
      </c>
      <c r="F6" s="17">
        <v>372</v>
      </c>
      <c r="G6" s="16">
        <v>43116</v>
      </c>
      <c r="H6" s="14" t="s">
        <v>717</v>
      </c>
      <c r="I6" s="14" t="s">
        <v>737</v>
      </c>
      <c r="J6" s="17">
        <v>185</v>
      </c>
      <c r="K6" s="17">
        <v>191</v>
      </c>
      <c r="L6" s="21">
        <v>0.96858638743455494</v>
      </c>
      <c r="M6" s="22">
        <v>5</v>
      </c>
      <c r="N6" s="101">
        <f>F6/F608</f>
        <v>4.0487592511972134E-2</v>
      </c>
      <c r="O6" s="96">
        <f t="shared" si="0"/>
        <v>3.921573096709343E-2</v>
      </c>
    </row>
    <row r="7" spans="1:16" s="2" customFormat="1" ht="21" hidden="1" customHeight="1">
      <c r="A7" s="17">
        <v>201710</v>
      </c>
      <c r="B7" s="14" t="s">
        <v>47</v>
      </c>
      <c r="C7" s="14" t="s">
        <v>38</v>
      </c>
      <c r="D7" s="15">
        <v>43106</v>
      </c>
      <c r="E7" s="88" t="s">
        <v>594</v>
      </c>
      <c r="F7" s="17">
        <v>264</v>
      </c>
      <c r="G7" s="16">
        <v>43119</v>
      </c>
      <c r="H7" s="14" t="s">
        <v>718</v>
      </c>
      <c r="I7" s="14" t="s">
        <v>738</v>
      </c>
      <c r="J7" s="17">
        <v>180</v>
      </c>
      <c r="K7" s="17">
        <v>235</v>
      </c>
      <c r="L7" s="21">
        <v>0.76595744680851063</v>
      </c>
      <c r="M7" s="22">
        <v>6</v>
      </c>
      <c r="N7" s="101">
        <f>F7/F609</f>
        <v>7.6583894174982597E-3</v>
      </c>
      <c r="O7" s="96">
        <f>L7*N7</f>
        <v>5.8660004048922843E-3</v>
      </c>
      <c r="P7" s="96"/>
    </row>
    <row r="8" spans="1:16" s="2" customFormat="1" ht="21" hidden="1" customHeight="1">
      <c r="A8" s="17">
        <v>201710</v>
      </c>
      <c r="B8" s="14" t="s">
        <v>48</v>
      </c>
      <c r="C8" s="14" t="s">
        <v>38</v>
      </c>
      <c r="D8" s="15">
        <v>43106</v>
      </c>
      <c r="E8" s="88" t="s">
        <v>594</v>
      </c>
      <c r="F8" s="17">
        <v>120</v>
      </c>
      <c r="G8" s="16">
        <v>43123</v>
      </c>
      <c r="H8" s="14" t="s">
        <v>719</v>
      </c>
      <c r="I8" s="14" t="s">
        <v>738</v>
      </c>
      <c r="J8" s="17">
        <v>180</v>
      </c>
      <c r="K8" s="17">
        <v>235</v>
      </c>
      <c r="L8" s="21">
        <v>0.76595744680851063</v>
      </c>
      <c r="M8" s="22">
        <v>6</v>
      </c>
      <c r="N8" s="101">
        <f>F8/F609</f>
        <v>3.4810860988628454E-3</v>
      </c>
      <c r="O8" s="96">
        <f t="shared" ref="O8:O13" si="1">L8*N8</f>
        <v>2.6663638204055839E-3</v>
      </c>
      <c r="P8" s="96"/>
    </row>
    <row r="9" spans="1:16" s="2" customFormat="1" ht="21" hidden="1" customHeight="1">
      <c r="A9" s="17">
        <v>201710</v>
      </c>
      <c r="B9" s="14" t="s">
        <v>49</v>
      </c>
      <c r="C9" s="14" t="s">
        <v>38</v>
      </c>
      <c r="D9" s="15">
        <v>43106</v>
      </c>
      <c r="E9" s="88" t="s">
        <v>594</v>
      </c>
      <c r="F9" s="17">
        <v>1248</v>
      </c>
      <c r="G9" s="16">
        <v>43125</v>
      </c>
      <c r="H9" s="14" t="s">
        <v>718</v>
      </c>
      <c r="I9" s="14" t="s">
        <v>738</v>
      </c>
      <c r="J9" s="17">
        <v>180</v>
      </c>
      <c r="K9" s="17">
        <v>235</v>
      </c>
      <c r="L9" s="21">
        <v>0.76595744680851063</v>
      </c>
      <c r="M9" s="22">
        <v>6</v>
      </c>
      <c r="N9" s="101">
        <f>F9/F609</f>
        <v>3.620329542817359E-2</v>
      </c>
      <c r="O9" s="96">
        <f t="shared" si="1"/>
        <v>2.7730183732218069E-2</v>
      </c>
      <c r="P9" s="96"/>
    </row>
    <row r="10" spans="1:16" s="2" customFormat="1" ht="21" hidden="1" customHeight="1">
      <c r="A10" s="17">
        <v>201710</v>
      </c>
      <c r="B10" s="14" t="s">
        <v>50</v>
      </c>
      <c r="C10" s="14" t="s">
        <v>38</v>
      </c>
      <c r="D10" s="15">
        <v>43108</v>
      </c>
      <c r="E10" s="88" t="s">
        <v>595</v>
      </c>
      <c r="F10" s="17">
        <v>312</v>
      </c>
      <c r="G10" s="16">
        <v>43138</v>
      </c>
      <c r="H10" s="14" t="s">
        <v>717</v>
      </c>
      <c r="I10" s="14" t="s">
        <v>738</v>
      </c>
      <c r="J10" s="17">
        <v>180</v>
      </c>
      <c r="K10" s="17">
        <v>235</v>
      </c>
      <c r="L10" s="21">
        <v>0.76595744680851063</v>
      </c>
      <c r="M10" s="22">
        <v>6</v>
      </c>
      <c r="N10" s="101">
        <f>F10/F609</f>
        <v>9.0508238570433976E-3</v>
      </c>
      <c r="O10" s="96">
        <f t="shared" si="1"/>
        <v>6.9325459330545174E-3</v>
      </c>
      <c r="P10" s="96"/>
    </row>
    <row r="11" spans="1:16" s="2" customFormat="1" ht="21" hidden="1" customHeight="1">
      <c r="A11" s="17">
        <v>201710</v>
      </c>
      <c r="B11" s="14" t="s">
        <v>51</v>
      </c>
      <c r="C11" s="14" t="s">
        <v>38</v>
      </c>
      <c r="D11" s="15">
        <v>43108</v>
      </c>
      <c r="E11" s="88" t="s">
        <v>595</v>
      </c>
      <c r="F11" s="17">
        <v>180</v>
      </c>
      <c r="G11" s="16">
        <v>43139</v>
      </c>
      <c r="H11" s="14" t="s">
        <v>720</v>
      </c>
      <c r="I11" s="14" t="s">
        <v>738</v>
      </c>
      <c r="J11" s="17">
        <v>180</v>
      </c>
      <c r="K11" s="17">
        <v>235</v>
      </c>
      <c r="L11" s="21">
        <v>0.76595744680851063</v>
      </c>
      <c r="M11" s="22">
        <v>6</v>
      </c>
      <c r="N11" s="101">
        <f>F11/F609</f>
        <v>5.2216291482942677E-3</v>
      </c>
      <c r="O11" s="96">
        <f t="shared" si="1"/>
        <v>3.9995457306083752E-3</v>
      </c>
      <c r="P11" s="96"/>
    </row>
    <row r="12" spans="1:16" s="2" customFormat="1" ht="21" hidden="1" customHeight="1">
      <c r="A12" s="17">
        <v>201710</v>
      </c>
      <c r="B12" s="14" t="s">
        <v>53</v>
      </c>
      <c r="C12" s="14" t="s">
        <v>38</v>
      </c>
      <c r="D12" s="15">
        <v>43108</v>
      </c>
      <c r="E12" s="88" t="s">
        <v>595</v>
      </c>
      <c r="F12" s="17">
        <v>132</v>
      </c>
      <c r="G12" s="16">
        <v>43127</v>
      </c>
      <c r="H12" s="14" t="s">
        <v>717</v>
      </c>
      <c r="I12" s="14" t="s">
        <v>738</v>
      </c>
      <c r="J12" s="17">
        <v>180</v>
      </c>
      <c r="K12" s="17">
        <v>235</v>
      </c>
      <c r="L12" s="21">
        <v>0.76595744680851063</v>
      </c>
      <c r="M12" s="22">
        <v>6</v>
      </c>
      <c r="N12" s="101">
        <f>F12/F609</f>
        <v>3.8291947087491299E-3</v>
      </c>
      <c r="O12" s="96">
        <f t="shared" si="1"/>
        <v>2.9330002024461422E-3</v>
      </c>
      <c r="P12" s="96"/>
    </row>
    <row r="13" spans="1:16" s="2" customFormat="1" ht="21" hidden="1" customHeight="1">
      <c r="A13" s="17">
        <v>201710</v>
      </c>
      <c r="B13" s="14" t="s">
        <v>52</v>
      </c>
      <c r="C13" s="14" t="s">
        <v>38</v>
      </c>
      <c r="D13" s="15">
        <v>43109</v>
      </c>
      <c r="E13" s="88" t="s">
        <v>596</v>
      </c>
      <c r="F13" s="17">
        <v>4500</v>
      </c>
      <c r="G13" s="16">
        <v>43125</v>
      </c>
      <c r="H13" s="14" t="s">
        <v>718</v>
      </c>
      <c r="I13" s="14" t="s">
        <v>739</v>
      </c>
      <c r="J13" s="17">
        <v>180</v>
      </c>
      <c r="K13" s="17">
        <v>235</v>
      </c>
      <c r="L13" s="21">
        <v>0.76595744680851063</v>
      </c>
      <c r="M13" s="22">
        <v>6</v>
      </c>
      <c r="N13" s="101">
        <f>F13/F609</f>
        <v>0.1305407287073567</v>
      </c>
      <c r="O13" s="96">
        <f t="shared" si="1"/>
        <v>9.9988643265209384E-2</v>
      </c>
      <c r="P13" s="96"/>
    </row>
    <row r="14" spans="1:16" s="2" customFormat="1" ht="21" hidden="1" customHeight="1">
      <c r="A14" s="17">
        <v>201710</v>
      </c>
      <c r="B14" s="14" t="s">
        <v>54</v>
      </c>
      <c r="C14" s="14" t="s">
        <v>38</v>
      </c>
      <c r="D14" s="15">
        <v>43112</v>
      </c>
      <c r="E14" s="88" t="s">
        <v>597</v>
      </c>
      <c r="F14" s="17">
        <v>1236</v>
      </c>
      <c r="G14" s="16">
        <v>43119</v>
      </c>
      <c r="H14" s="14" t="s">
        <v>718</v>
      </c>
      <c r="I14" s="14" t="s">
        <v>740</v>
      </c>
      <c r="J14" s="17">
        <v>170</v>
      </c>
      <c r="K14" s="17">
        <v>244</v>
      </c>
      <c r="L14" s="21">
        <v>0.69672131147540983</v>
      </c>
      <c r="M14" s="22">
        <v>7</v>
      </c>
      <c r="N14" s="101">
        <f>F14/$F$610</f>
        <v>0.51758793969849248</v>
      </c>
      <c r="O14" s="96">
        <f>L14*N14</f>
        <v>0.36061454815058902</v>
      </c>
      <c r="P14" s="96"/>
    </row>
    <row r="15" spans="1:16" s="2" customFormat="1" ht="21" hidden="1" customHeight="1">
      <c r="A15" s="17">
        <v>201710</v>
      </c>
      <c r="B15" s="14" t="s">
        <v>55</v>
      </c>
      <c r="C15" s="14" t="s">
        <v>38</v>
      </c>
      <c r="D15" s="15">
        <v>43113</v>
      </c>
      <c r="E15" s="88" t="s">
        <v>598</v>
      </c>
      <c r="F15" s="17">
        <v>600</v>
      </c>
      <c r="G15" s="16">
        <v>43120</v>
      </c>
      <c r="H15" s="14" t="s">
        <v>719</v>
      </c>
      <c r="I15" s="14" t="s">
        <v>740</v>
      </c>
      <c r="J15" s="17">
        <v>170</v>
      </c>
      <c r="K15" s="17">
        <v>244</v>
      </c>
      <c r="L15" s="21">
        <v>0.69672131147540983</v>
      </c>
      <c r="M15" s="22">
        <v>7</v>
      </c>
      <c r="N15" s="101">
        <f t="shared" ref="N15:N21" si="2">F15/$F$610</f>
        <v>0.25125628140703515</v>
      </c>
      <c r="O15" s="96">
        <f t="shared" ref="O15:O21" si="3">L15*N15</f>
        <v>0.17505560589834415</v>
      </c>
      <c r="P15" s="96"/>
    </row>
    <row r="16" spans="1:16" s="2" customFormat="1" ht="21" hidden="1" customHeight="1">
      <c r="A16" s="17">
        <v>201710</v>
      </c>
      <c r="B16" s="14" t="s">
        <v>56</v>
      </c>
      <c r="C16" s="14" t="s">
        <v>38</v>
      </c>
      <c r="D16" s="15">
        <v>43115</v>
      </c>
      <c r="E16" s="88" t="s">
        <v>597</v>
      </c>
      <c r="F16" s="17">
        <v>1332</v>
      </c>
      <c r="G16" s="16">
        <v>43125</v>
      </c>
      <c r="H16" s="14" t="s">
        <v>718</v>
      </c>
      <c r="I16" s="14" t="s">
        <v>740</v>
      </c>
      <c r="J16" s="17">
        <v>170</v>
      </c>
      <c r="K16" s="17">
        <v>244</v>
      </c>
      <c r="L16" s="21">
        <v>0.69672131147540983</v>
      </c>
      <c r="M16" s="22">
        <v>7</v>
      </c>
      <c r="N16" s="101">
        <f t="shared" si="2"/>
        <v>0.55778894472361806</v>
      </c>
      <c r="O16" s="96">
        <f t="shared" si="3"/>
        <v>0.38862344509432406</v>
      </c>
      <c r="P16" s="96"/>
    </row>
    <row r="17" spans="1:18" s="2" customFormat="1" ht="21" hidden="1" customHeight="1">
      <c r="A17" s="17">
        <v>201710</v>
      </c>
      <c r="B17" s="14" t="s">
        <v>58</v>
      </c>
      <c r="C17" s="14" t="s">
        <v>38</v>
      </c>
      <c r="D17" s="15">
        <v>43116</v>
      </c>
      <c r="E17" s="88" t="s">
        <v>599</v>
      </c>
      <c r="F17" s="17">
        <v>588</v>
      </c>
      <c r="G17" s="16">
        <v>43120</v>
      </c>
      <c r="H17" s="14" t="s">
        <v>719</v>
      </c>
      <c r="I17" s="14" t="s">
        <v>740</v>
      </c>
      <c r="J17" s="17">
        <v>170</v>
      </c>
      <c r="K17" s="17">
        <v>244</v>
      </c>
      <c r="L17" s="21">
        <v>0.69672131147540983</v>
      </c>
      <c r="M17" s="22">
        <v>7</v>
      </c>
      <c r="N17" s="101">
        <f t="shared" si="2"/>
        <v>0.24623115577889448</v>
      </c>
      <c r="O17" s="96">
        <f t="shared" si="3"/>
        <v>0.17155449378037729</v>
      </c>
      <c r="P17" s="96"/>
    </row>
    <row r="18" spans="1:18" s="2" customFormat="1" ht="21" hidden="1" customHeight="1">
      <c r="A18" s="17">
        <v>201710</v>
      </c>
      <c r="B18" s="14" t="s">
        <v>61</v>
      </c>
      <c r="C18" s="14" t="s">
        <v>38</v>
      </c>
      <c r="D18" s="15">
        <v>43116</v>
      </c>
      <c r="E18" s="88" t="s">
        <v>600</v>
      </c>
      <c r="F18" s="17">
        <v>972</v>
      </c>
      <c r="G18" s="16">
        <v>43125</v>
      </c>
      <c r="H18" s="14" t="s">
        <v>718</v>
      </c>
      <c r="I18" s="14" t="s">
        <v>740</v>
      </c>
      <c r="J18" s="17">
        <v>170</v>
      </c>
      <c r="K18" s="17">
        <v>244</v>
      </c>
      <c r="L18" s="21">
        <v>0.69672131147540983</v>
      </c>
      <c r="M18" s="22">
        <v>7</v>
      </c>
      <c r="N18" s="101">
        <f t="shared" si="2"/>
        <v>0.40703517587939697</v>
      </c>
      <c r="O18" s="96">
        <f t="shared" si="3"/>
        <v>0.28359008155531756</v>
      </c>
      <c r="P18" s="96"/>
    </row>
    <row r="19" spans="1:18" s="2" customFormat="1" ht="21" hidden="1" customHeight="1">
      <c r="A19" s="17">
        <v>201710</v>
      </c>
      <c r="B19" s="14" t="s">
        <v>64</v>
      </c>
      <c r="C19" s="14" t="s">
        <v>38</v>
      </c>
      <c r="D19" s="15">
        <v>43117</v>
      </c>
      <c r="E19" s="88" t="s">
        <v>603</v>
      </c>
      <c r="F19" s="17">
        <v>6096</v>
      </c>
      <c r="G19" s="16">
        <v>43125</v>
      </c>
      <c r="H19" s="14" t="s">
        <v>718</v>
      </c>
      <c r="I19" s="14" t="s">
        <v>742</v>
      </c>
      <c r="J19" s="17">
        <v>170</v>
      </c>
      <c r="K19" s="17">
        <v>241</v>
      </c>
      <c r="L19" s="21">
        <v>0.70539419087136934</v>
      </c>
      <c r="M19" s="22">
        <v>7</v>
      </c>
      <c r="N19" s="101">
        <f t="shared" si="2"/>
        <v>2.5527638190954773</v>
      </c>
      <c r="O19" s="96">
        <f t="shared" si="3"/>
        <v>1.8007047686565609</v>
      </c>
      <c r="P19" s="96"/>
    </row>
    <row r="20" spans="1:18" s="2" customFormat="1" ht="21" hidden="1" customHeight="1">
      <c r="A20" s="17">
        <v>201709</v>
      </c>
      <c r="B20" s="14" t="s">
        <v>62</v>
      </c>
      <c r="C20" s="14" t="s">
        <v>38</v>
      </c>
      <c r="D20" s="15">
        <v>43117</v>
      </c>
      <c r="E20" s="88" t="s">
        <v>601</v>
      </c>
      <c r="F20" s="17">
        <v>348</v>
      </c>
      <c r="G20" s="16">
        <v>43125</v>
      </c>
      <c r="H20" s="14" t="s">
        <v>718</v>
      </c>
      <c r="I20" s="14" t="s">
        <v>741</v>
      </c>
      <c r="J20" s="17">
        <v>170</v>
      </c>
      <c r="K20" s="17">
        <v>241</v>
      </c>
      <c r="L20" s="21">
        <v>0.70539419087136934</v>
      </c>
      <c r="M20" s="22">
        <v>7</v>
      </c>
      <c r="N20" s="101">
        <f t="shared" si="2"/>
        <v>0.14572864321608039</v>
      </c>
      <c r="O20" s="96">
        <f t="shared" si="3"/>
        <v>0.1027961383681895</v>
      </c>
      <c r="P20" s="96"/>
    </row>
    <row r="21" spans="1:18" s="2" customFormat="1" ht="21" hidden="1" customHeight="1">
      <c r="A21" s="17">
        <v>201709</v>
      </c>
      <c r="B21" s="14" t="s">
        <v>63</v>
      </c>
      <c r="C21" s="14" t="s">
        <v>38</v>
      </c>
      <c r="D21" s="15">
        <v>43117</v>
      </c>
      <c r="E21" s="88" t="s">
        <v>602</v>
      </c>
      <c r="F21" s="17">
        <v>84</v>
      </c>
      <c r="G21" s="16">
        <v>43123</v>
      </c>
      <c r="H21" s="14" t="s">
        <v>717</v>
      </c>
      <c r="I21" s="14" t="s">
        <v>741</v>
      </c>
      <c r="J21" s="17">
        <v>170</v>
      </c>
      <c r="K21" s="17">
        <v>242</v>
      </c>
      <c r="L21" s="21">
        <v>0.7024793388429752</v>
      </c>
      <c r="M21" s="22">
        <v>7</v>
      </c>
      <c r="N21" s="101">
        <f t="shared" si="2"/>
        <v>3.5175879396984924E-2</v>
      </c>
      <c r="O21" s="96">
        <f t="shared" si="3"/>
        <v>2.4710328502014201E-2</v>
      </c>
      <c r="P21" s="96"/>
    </row>
    <row r="22" spans="1:18" s="2" customFormat="1" ht="21" hidden="1" customHeight="1">
      <c r="A22" s="17">
        <v>201711</v>
      </c>
      <c r="B22" s="14" t="s">
        <v>65</v>
      </c>
      <c r="C22" s="14" t="s">
        <v>38</v>
      </c>
      <c r="D22" s="15">
        <v>43117</v>
      </c>
      <c r="E22" s="88" t="s">
        <v>604</v>
      </c>
      <c r="F22" s="17">
        <v>144</v>
      </c>
      <c r="G22" s="16">
        <v>43123</v>
      </c>
      <c r="H22" s="14" t="s">
        <v>719</v>
      </c>
      <c r="I22" s="14" t="s">
        <v>743</v>
      </c>
      <c r="J22" s="17">
        <v>220</v>
      </c>
      <c r="K22" s="17">
        <v>137</v>
      </c>
      <c r="L22" s="21">
        <v>1.6058394160583942</v>
      </c>
      <c r="M22" s="22">
        <v>1</v>
      </c>
      <c r="N22" s="96">
        <f>F22/$F607</f>
        <v>4.2841842199214568E-3</v>
      </c>
      <c r="O22" s="96">
        <f>L22*N22</f>
        <v>6.8797118860052589E-3</v>
      </c>
      <c r="P22" s="96"/>
      <c r="Q22" s="96"/>
      <c r="R22" s="96"/>
    </row>
    <row r="23" spans="1:18" s="2" customFormat="1" ht="21" hidden="1" customHeight="1">
      <c r="A23" s="17">
        <v>201711</v>
      </c>
      <c r="B23" s="14" t="s">
        <v>66</v>
      </c>
      <c r="C23" s="14" t="s">
        <v>38</v>
      </c>
      <c r="D23" s="15">
        <v>43123</v>
      </c>
      <c r="E23" s="88" t="s">
        <v>604</v>
      </c>
      <c r="F23" s="17">
        <v>1260</v>
      </c>
      <c r="G23" s="16">
        <v>43128</v>
      </c>
      <c r="H23" s="14" t="s">
        <v>721</v>
      </c>
      <c r="I23" s="14" t="s">
        <v>743</v>
      </c>
      <c r="J23" s="17">
        <v>220</v>
      </c>
      <c r="K23" s="17">
        <v>137</v>
      </c>
      <c r="L23" s="21">
        <v>1.6058394160583942</v>
      </c>
      <c r="M23" s="22">
        <v>1</v>
      </c>
      <c r="N23" s="96">
        <f>F23/$F607</f>
        <v>3.7486611924312747E-2</v>
      </c>
      <c r="O23" s="96">
        <f t="shared" ref="O23:O24" si="4">L23*N23</f>
        <v>6.0197479002546017E-2</v>
      </c>
      <c r="P23" s="96"/>
      <c r="Q23" s="96"/>
      <c r="R23" s="96"/>
    </row>
    <row r="24" spans="1:18" s="2" customFormat="1" ht="21" hidden="1" customHeight="1">
      <c r="A24" s="17">
        <v>201711</v>
      </c>
      <c r="B24" s="14" t="s">
        <v>67</v>
      </c>
      <c r="C24" s="14" t="s">
        <v>38</v>
      </c>
      <c r="D24" s="15">
        <v>43123</v>
      </c>
      <c r="E24" s="88" t="s">
        <v>605</v>
      </c>
      <c r="F24" s="17">
        <v>600</v>
      </c>
      <c r="G24" s="16">
        <v>43128</v>
      </c>
      <c r="H24" s="14" t="s">
        <v>721</v>
      </c>
      <c r="I24" s="14" t="s">
        <v>744</v>
      </c>
      <c r="J24" s="17">
        <v>220</v>
      </c>
      <c r="K24" s="17">
        <v>134</v>
      </c>
      <c r="L24" s="21">
        <v>1.6417910447761195</v>
      </c>
      <c r="M24" s="22">
        <v>1</v>
      </c>
      <c r="N24" s="96">
        <f>F24/$F607</f>
        <v>1.7850767583006071E-2</v>
      </c>
      <c r="O24" s="96">
        <f t="shared" si="4"/>
        <v>2.9307230360159222E-2</v>
      </c>
      <c r="P24" s="96"/>
      <c r="Q24" s="96"/>
      <c r="R24" s="96"/>
    </row>
    <row r="25" spans="1:18" s="2" customFormat="1" ht="21" hidden="1" customHeight="1">
      <c r="A25" s="17">
        <v>201710</v>
      </c>
      <c r="B25" s="14" t="s">
        <v>59</v>
      </c>
      <c r="C25" s="14" t="s">
        <v>38</v>
      </c>
      <c r="D25" s="15">
        <v>43124</v>
      </c>
      <c r="E25" s="88" t="s">
        <v>598</v>
      </c>
      <c r="F25" s="17">
        <v>132</v>
      </c>
      <c r="G25" s="16">
        <v>43127</v>
      </c>
      <c r="H25" s="14" t="s">
        <v>717</v>
      </c>
      <c r="I25" s="14" t="s">
        <v>740</v>
      </c>
      <c r="J25" s="17">
        <v>170</v>
      </c>
      <c r="K25" s="17">
        <v>244</v>
      </c>
      <c r="L25" s="21">
        <v>0.69672131147540983</v>
      </c>
      <c r="M25" s="22">
        <v>7</v>
      </c>
      <c r="N25" s="101">
        <f>F25/$F$610</f>
        <v>5.5276381909547742E-2</v>
      </c>
      <c r="O25" s="96">
        <f>L25*N25</f>
        <v>3.8512233297635722E-2</v>
      </c>
      <c r="P25" s="96"/>
    </row>
    <row r="26" spans="1:18" s="2" customFormat="1" ht="21" hidden="1" customHeight="1">
      <c r="A26" s="17">
        <v>201711</v>
      </c>
      <c r="B26" s="14" t="s">
        <v>68</v>
      </c>
      <c r="C26" s="14" t="s">
        <v>38</v>
      </c>
      <c r="D26" s="15">
        <v>43124</v>
      </c>
      <c r="E26" s="88" t="s">
        <v>604</v>
      </c>
      <c r="F26" s="17">
        <v>504</v>
      </c>
      <c r="G26" s="16">
        <v>43132</v>
      </c>
      <c r="H26" s="14" t="s">
        <v>717</v>
      </c>
      <c r="I26" s="14" t="s">
        <v>743</v>
      </c>
      <c r="J26" s="17">
        <v>220</v>
      </c>
      <c r="K26" s="17">
        <v>137</v>
      </c>
      <c r="L26" s="21">
        <v>1.6058394160583942</v>
      </c>
      <c r="M26" s="22">
        <v>1</v>
      </c>
      <c r="N26" s="96">
        <f>F26/$F607</f>
        <v>1.4994644769725098E-2</v>
      </c>
      <c r="O26" s="96">
        <f t="shared" ref="O26:O38" si="5">L26*N26</f>
        <v>2.4078991601018406E-2</v>
      </c>
      <c r="P26" s="96"/>
      <c r="Q26" s="96"/>
      <c r="R26" s="96"/>
    </row>
    <row r="27" spans="1:18" s="2" customFormat="1" ht="21" hidden="1" customHeight="1">
      <c r="A27" s="17">
        <v>201711</v>
      </c>
      <c r="B27" s="14" t="s">
        <v>70</v>
      </c>
      <c r="C27" s="14" t="s">
        <v>38</v>
      </c>
      <c r="D27" s="15">
        <v>43124</v>
      </c>
      <c r="E27" s="88" t="s">
        <v>605</v>
      </c>
      <c r="F27" s="17">
        <v>600</v>
      </c>
      <c r="G27" s="16">
        <v>43128</v>
      </c>
      <c r="H27" s="14" t="s">
        <v>722</v>
      </c>
      <c r="I27" s="14" t="s">
        <v>744</v>
      </c>
      <c r="J27" s="17">
        <v>220</v>
      </c>
      <c r="K27" s="17">
        <v>134</v>
      </c>
      <c r="L27" s="21">
        <v>1.6417910447761195</v>
      </c>
      <c r="M27" s="22">
        <v>1</v>
      </c>
      <c r="N27" s="96">
        <f>F27/$F607</f>
        <v>1.7850767583006071E-2</v>
      </c>
      <c r="O27" s="96">
        <f t="shared" si="5"/>
        <v>2.9307230360159222E-2</v>
      </c>
      <c r="P27" s="96"/>
      <c r="Q27" s="96"/>
      <c r="R27" s="96"/>
    </row>
    <row r="28" spans="1:18" s="2" customFormat="1" ht="21" hidden="1" customHeight="1">
      <c r="A28" s="17">
        <v>201710</v>
      </c>
      <c r="B28" s="14" t="s">
        <v>57</v>
      </c>
      <c r="C28" s="14" t="s">
        <v>38</v>
      </c>
      <c r="D28" s="15">
        <v>43125</v>
      </c>
      <c r="E28" s="88" t="s">
        <v>598</v>
      </c>
      <c r="F28" s="17">
        <v>456</v>
      </c>
      <c r="G28" s="16">
        <v>43130</v>
      </c>
      <c r="H28" s="14" t="s">
        <v>719</v>
      </c>
      <c r="I28" s="14" t="s">
        <v>740</v>
      </c>
      <c r="J28" s="17">
        <v>170</v>
      </c>
      <c r="K28" s="17">
        <v>244</v>
      </c>
      <c r="L28" s="21">
        <v>0.69672131147540983</v>
      </c>
      <c r="M28" s="22">
        <v>7</v>
      </c>
      <c r="N28" s="101">
        <f t="shared" ref="N28:N38" si="6">F28/$F$610</f>
        <v>0.19095477386934673</v>
      </c>
      <c r="O28" s="96">
        <f t="shared" si="5"/>
        <v>0.13304226048274156</v>
      </c>
      <c r="P28" s="96"/>
    </row>
    <row r="29" spans="1:18" s="2" customFormat="1" ht="21" hidden="1" customHeight="1">
      <c r="A29" s="17">
        <v>201710</v>
      </c>
      <c r="B29" s="14" t="s">
        <v>60</v>
      </c>
      <c r="C29" s="14" t="s">
        <v>38</v>
      </c>
      <c r="D29" s="15">
        <v>43125</v>
      </c>
      <c r="E29" s="88" t="s">
        <v>599</v>
      </c>
      <c r="F29" s="17">
        <v>480</v>
      </c>
      <c r="G29" s="16">
        <v>43130</v>
      </c>
      <c r="H29" s="14" t="s">
        <v>719</v>
      </c>
      <c r="I29" s="14" t="s">
        <v>740</v>
      </c>
      <c r="J29" s="17">
        <v>170</v>
      </c>
      <c r="K29" s="17">
        <v>244</v>
      </c>
      <c r="L29" s="21">
        <v>0.69672131147540983</v>
      </c>
      <c r="M29" s="22">
        <v>7</v>
      </c>
      <c r="N29" s="101">
        <f t="shared" si="6"/>
        <v>0.20100502512562815</v>
      </c>
      <c r="O29" s="96">
        <f t="shared" si="5"/>
        <v>0.14004448471867534</v>
      </c>
      <c r="P29" s="96"/>
    </row>
    <row r="30" spans="1:18" s="2" customFormat="1" ht="21" hidden="1" customHeight="1">
      <c r="A30" s="17">
        <v>201710</v>
      </c>
      <c r="B30" s="14" t="s">
        <v>69</v>
      </c>
      <c r="C30" s="14" t="s">
        <v>38</v>
      </c>
      <c r="D30" s="15">
        <v>43125</v>
      </c>
      <c r="E30" s="88" t="s">
        <v>599</v>
      </c>
      <c r="F30" s="17">
        <v>144</v>
      </c>
      <c r="G30" s="16">
        <v>43127</v>
      </c>
      <c r="H30" s="14" t="s">
        <v>717</v>
      </c>
      <c r="I30" s="14" t="s">
        <v>740</v>
      </c>
      <c r="J30" s="17">
        <v>170</v>
      </c>
      <c r="K30" s="17">
        <v>244</v>
      </c>
      <c r="L30" s="21">
        <v>0.69672131147540983</v>
      </c>
      <c r="M30" s="22">
        <v>7</v>
      </c>
      <c r="N30" s="101">
        <f t="shared" si="6"/>
        <v>6.030150753768844E-2</v>
      </c>
      <c r="O30" s="96">
        <f t="shared" si="5"/>
        <v>4.2013345415602601E-2</v>
      </c>
      <c r="P30" s="96"/>
    </row>
    <row r="31" spans="1:18" s="2" customFormat="1" ht="21" hidden="1" customHeight="1">
      <c r="A31" s="17">
        <v>201710</v>
      </c>
      <c r="B31" s="14" t="s">
        <v>71</v>
      </c>
      <c r="C31" s="14" t="s">
        <v>38</v>
      </c>
      <c r="D31" s="15">
        <v>43125</v>
      </c>
      <c r="E31" s="88" t="s">
        <v>599</v>
      </c>
      <c r="F31" s="17">
        <v>1848</v>
      </c>
      <c r="G31" s="16">
        <v>43138</v>
      </c>
      <c r="H31" s="14" t="s">
        <v>717</v>
      </c>
      <c r="I31" s="14" t="s">
        <v>740</v>
      </c>
      <c r="J31" s="17">
        <v>170</v>
      </c>
      <c r="K31" s="17">
        <v>244</v>
      </c>
      <c r="L31" s="21">
        <v>0.69672131147540983</v>
      </c>
      <c r="M31" s="22">
        <v>7</v>
      </c>
      <c r="N31" s="101">
        <f t="shared" si="6"/>
        <v>0.77386934673366836</v>
      </c>
      <c r="O31" s="96">
        <f t="shared" si="5"/>
        <v>0.53917126616690003</v>
      </c>
      <c r="P31" s="96"/>
    </row>
    <row r="32" spans="1:18" s="2" customFormat="1" ht="21" hidden="1" customHeight="1">
      <c r="A32" s="17">
        <v>201710</v>
      </c>
      <c r="B32" s="14" t="s">
        <v>73</v>
      </c>
      <c r="C32" s="14" t="s">
        <v>38</v>
      </c>
      <c r="D32" s="15">
        <v>43127</v>
      </c>
      <c r="E32" s="88" t="s">
        <v>599</v>
      </c>
      <c r="F32" s="17">
        <v>264</v>
      </c>
      <c r="G32" s="16">
        <v>43139</v>
      </c>
      <c r="H32" s="14" t="s">
        <v>720</v>
      </c>
      <c r="I32" s="14" t="s">
        <v>740</v>
      </c>
      <c r="J32" s="17">
        <v>170</v>
      </c>
      <c r="K32" s="17">
        <v>244</v>
      </c>
      <c r="L32" s="21">
        <v>0.69672131147540983</v>
      </c>
      <c r="M32" s="22">
        <v>7</v>
      </c>
      <c r="N32" s="101">
        <f t="shared" si="6"/>
        <v>0.11055276381909548</v>
      </c>
      <c r="O32" s="96">
        <f t="shared" si="5"/>
        <v>7.7024466595271443E-2</v>
      </c>
      <c r="P32" s="96"/>
    </row>
    <row r="33" spans="1:16" s="2" customFormat="1" ht="21" hidden="1" customHeight="1">
      <c r="A33" s="17">
        <v>201710</v>
      </c>
      <c r="B33" s="14" t="s">
        <v>74</v>
      </c>
      <c r="C33" s="14" t="s">
        <v>38</v>
      </c>
      <c r="D33" s="15">
        <v>43127</v>
      </c>
      <c r="E33" s="88" t="s">
        <v>599</v>
      </c>
      <c r="F33" s="17">
        <v>180</v>
      </c>
      <c r="G33" s="16">
        <v>43139</v>
      </c>
      <c r="H33" s="14" t="s">
        <v>720</v>
      </c>
      <c r="I33" s="14" t="s">
        <v>740</v>
      </c>
      <c r="J33" s="17">
        <v>170</v>
      </c>
      <c r="K33" s="17">
        <v>244</v>
      </c>
      <c r="L33" s="21">
        <v>0.69672131147540983</v>
      </c>
      <c r="M33" s="22">
        <v>7</v>
      </c>
      <c r="N33" s="101">
        <f t="shared" si="6"/>
        <v>7.5376884422110546E-2</v>
      </c>
      <c r="O33" s="96">
        <f t="shared" si="5"/>
        <v>5.2516681769503248E-2</v>
      </c>
      <c r="P33" s="96"/>
    </row>
    <row r="34" spans="1:16" s="2" customFormat="1" ht="21" hidden="1" customHeight="1">
      <c r="A34" s="17">
        <v>201710</v>
      </c>
      <c r="B34" s="14" t="s">
        <v>75</v>
      </c>
      <c r="C34" s="14" t="s">
        <v>38</v>
      </c>
      <c r="D34" s="15">
        <v>43127</v>
      </c>
      <c r="E34" s="88" t="s">
        <v>599</v>
      </c>
      <c r="F34" s="17">
        <v>180</v>
      </c>
      <c r="G34" s="16">
        <v>43139</v>
      </c>
      <c r="H34" s="14" t="s">
        <v>720</v>
      </c>
      <c r="I34" s="14" t="s">
        <v>740</v>
      </c>
      <c r="J34" s="17">
        <v>170</v>
      </c>
      <c r="K34" s="17">
        <v>244</v>
      </c>
      <c r="L34" s="21">
        <v>0.69672131147540983</v>
      </c>
      <c r="M34" s="22">
        <v>7</v>
      </c>
      <c r="N34" s="101">
        <f t="shared" si="6"/>
        <v>7.5376884422110546E-2</v>
      </c>
      <c r="O34" s="96">
        <f t="shared" si="5"/>
        <v>5.2516681769503248E-2</v>
      </c>
      <c r="P34" s="96"/>
    </row>
    <row r="35" spans="1:16" s="2" customFormat="1" ht="21" hidden="1" customHeight="1">
      <c r="A35" s="17">
        <v>201710</v>
      </c>
      <c r="B35" s="14" t="s">
        <v>72</v>
      </c>
      <c r="C35" s="14" t="s">
        <v>38</v>
      </c>
      <c r="D35" s="15">
        <v>43127</v>
      </c>
      <c r="E35" s="88" t="s">
        <v>598</v>
      </c>
      <c r="F35" s="17">
        <v>864</v>
      </c>
      <c r="G35" s="16">
        <v>43138</v>
      </c>
      <c r="H35" s="14" t="s">
        <v>717</v>
      </c>
      <c r="I35" s="14" t="s">
        <v>740</v>
      </c>
      <c r="J35" s="17">
        <v>170</v>
      </c>
      <c r="K35" s="17">
        <v>244</v>
      </c>
      <c r="L35" s="21">
        <v>0.69672131147540983</v>
      </c>
      <c r="M35" s="22">
        <v>7</v>
      </c>
      <c r="N35" s="101">
        <f t="shared" si="6"/>
        <v>0.36180904522613067</v>
      </c>
      <c r="O35" s="96">
        <f t="shared" si="5"/>
        <v>0.25208007249361564</v>
      </c>
      <c r="P35" s="96"/>
    </row>
    <row r="36" spans="1:16" s="2" customFormat="1" ht="21" hidden="1" customHeight="1">
      <c r="A36" s="17">
        <v>201710</v>
      </c>
      <c r="B36" s="14" t="s">
        <v>76</v>
      </c>
      <c r="C36" s="14" t="s">
        <v>38</v>
      </c>
      <c r="D36" s="15">
        <v>43129</v>
      </c>
      <c r="E36" s="88" t="s">
        <v>597</v>
      </c>
      <c r="F36" s="17">
        <v>360</v>
      </c>
      <c r="G36" s="16">
        <v>43139</v>
      </c>
      <c r="H36" s="14" t="s">
        <v>718</v>
      </c>
      <c r="I36" s="14" t="s">
        <v>740</v>
      </c>
      <c r="J36" s="17">
        <v>170</v>
      </c>
      <c r="K36" s="17">
        <v>244</v>
      </c>
      <c r="L36" s="21">
        <v>0.69672131147540983</v>
      </c>
      <c r="M36" s="22">
        <v>7</v>
      </c>
      <c r="N36" s="101">
        <f t="shared" si="6"/>
        <v>0.15075376884422109</v>
      </c>
      <c r="O36" s="96">
        <f t="shared" si="5"/>
        <v>0.1050333635390065</v>
      </c>
      <c r="P36" s="96"/>
    </row>
    <row r="37" spans="1:16" s="2" customFormat="1" ht="21" hidden="1" customHeight="1">
      <c r="A37" s="17">
        <v>201710</v>
      </c>
      <c r="B37" s="14" t="s">
        <v>77</v>
      </c>
      <c r="C37" s="14" t="s">
        <v>38</v>
      </c>
      <c r="D37" s="15">
        <v>43129</v>
      </c>
      <c r="E37" s="88" t="s">
        <v>598</v>
      </c>
      <c r="F37" s="17">
        <v>180</v>
      </c>
      <c r="G37" s="16">
        <v>43139</v>
      </c>
      <c r="H37" s="14" t="s">
        <v>720</v>
      </c>
      <c r="I37" s="14" t="s">
        <v>740</v>
      </c>
      <c r="J37" s="17">
        <v>170</v>
      </c>
      <c r="K37" s="17">
        <v>244</v>
      </c>
      <c r="L37" s="21">
        <v>0.69672131147540983</v>
      </c>
      <c r="M37" s="22">
        <v>7</v>
      </c>
      <c r="N37" s="101">
        <f t="shared" si="6"/>
        <v>7.5376884422110546E-2</v>
      </c>
      <c r="O37" s="96">
        <f t="shared" si="5"/>
        <v>5.2516681769503248E-2</v>
      </c>
      <c r="P37" s="96"/>
    </row>
    <row r="38" spans="1:16" s="2" customFormat="1" ht="21" hidden="1" customHeight="1">
      <c r="A38" s="17">
        <v>201710</v>
      </c>
      <c r="B38" s="14" t="s">
        <v>78</v>
      </c>
      <c r="C38" s="14" t="s">
        <v>38</v>
      </c>
      <c r="D38" s="15">
        <v>43129</v>
      </c>
      <c r="E38" s="88" t="s">
        <v>598</v>
      </c>
      <c r="F38" s="17">
        <v>180</v>
      </c>
      <c r="G38" s="16">
        <v>43139</v>
      </c>
      <c r="H38" s="14" t="s">
        <v>720</v>
      </c>
      <c r="I38" s="14" t="s">
        <v>740</v>
      </c>
      <c r="J38" s="17">
        <v>170</v>
      </c>
      <c r="K38" s="17">
        <v>244</v>
      </c>
      <c r="L38" s="21">
        <v>0.69672131147540983</v>
      </c>
      <c r="M38" s="22">
        <v>7</v>
      </c>
      <c r="N38" s="101">
        <f t="shared" si="6"/>
        <v>7.5376884422110546E-2</v>
      </c>
      <c r="O38" s="96">
        <f t="shared" si="5"/>
        <v>5.2516681769503248E-2</v>
      </c>
      <c r="P38" s="96"/>
    </row>
    <row r="39" spans="1:16" s="2" customFormat="1" ht="21" hidden="1" customHeight="1">
      <c r="A39" s="17"/>
      <c r="B39" s="14"/>
      <c r="C39" s="50" t="s">
        <v>38</v>
      </c>
      <c r="D39" s="51" t="s">
        <v>807</v>
      </c>
      <c r="E39" s="89" t="s">
        <v>806</v>
      </c>
      <c r="F39" s="52">
        <v>3640</v>
      </c>
      <c r="G39" s="53" t="s">
        <v>1341</v>
      </c>
      <c r="H39" s="14"/>
      <c r="I39" s="14"/>
      <c r="J39" s="17">
        <v>210</v>
      </c>
      <c r="K39" s="17">
        <v>143</v>
      </c>
      <c r="L39" s="21">
        <v>1.4685314685314685</v>
      </c>
      <c r="M39" s="22">
        <v>2</v>
      </c>
      <c r="N39" s="96"/>
      <c r="O39" s="96"/>
      <c r="P39" s="96"/>
    </row>
    <row r="40" spans="1:16" s="2" customFormat="1" ht="21" hidden="1" customHeight="1">
      <c r="A40" s="17"/>
      <c r="B40" s="14"/>
      <c r="C40" s="14"/>
      <c r="D40" s="15"/>
      <c r="E40" s="88"/>
      <c r="F40" s="39">
        <f>SUM(F3:F39)</f>
        <v>36640</v>
      </c>
      <c r="G40" s="17"/>
      <c r="H40" s="14"/>
      <c r="I40" s="14"/>
      <c r="J40" s="17"/>
      <c r="K40" s="17"/>
      <c r="L40" s="21"/>
      <c r="M40" s="22"/>
      <c r="N40" s="96"/>
      <c r="O40" s="96"/>
      <c r="P40" s="96"/>
    </row>
    <row r="41" spans="1:16" s="2" customFormat="1" ht="21" hidden="1" customHeight="1">
      <c r="A41" s="17">
        <v>201710</v>
      </c>
      <c r="B41" s="14" t="s">
        <v>79</v>
      </c>
      <c r="C41" s="14" t="s">
        <v>37</v>
      </c>
      <c r="D41" s="15">
        <v>43102</v>
      </c>
      <c r="E41" s="88">
        <v>715467</v>
      </c>
      <c r="F41" s="17">
        <v>1440</v>
      </c>
      <c r="G41" s="16">
        <v>43125</v>
      </c>
      <c r="H41" s="14" t="s">
        <v>717</v>
      </c>
      <c r="I41" s="14" t="s">
        <v>745</v>
      </c>
      <c r="J41" s="17">
        <v>220</v>
      </c>
      <c r="K41" s="17">
        <v>203</v>
      </c>
      <c r="L41" s="21">
        <v>1.083743842364532</v>
      </c>
      <c r="M41" s="22">
        <v>4</v>
      </c>
      <c r="N41" s="99">
        <f>F41/$F$607</f>
        <v>4.2841842199214566E-2</v>
      </c>
      <c r="O41" s="96">
        <f>L41*N41</f>
        <v>4.6429582678951746E-2</v>
      </c>
      <c r="P41" s="96"/>
    </row>
    <row r="42" spans="1:16" s="2" customFormat="1" ht="21" hidden="1" customHeight="1">
      <c r="A42" s="17">
        <v>201710</v>
      </c>
      <c r="B42" s="14" t="s">
        <v>80</v>
      </c>
      <c r="C42" s="14" t="s">
        <v>37</v>
      </c>
      <c r="D42" s="15">
        <v>43103</v>
      </c>
      <c r="E42" s="88" t="s">
        <v>606</v>
      </c>
      <c r="F42" s="17">
        <v>828</v>
      </c>
      <c r="G42" s="16">
        <v>43127</v>
      </c>
      <c r="H42" s="14" t="s">
        <v>717</v>
      </c>
      <c r="I42" s="14" t="s">
        <v>746</v>
      </c>
      <c r="J42" s="17">
        <v>220</v>
      </c>
      <c r="K42" s="17">
        <v>199</v>
      </c>
      <c r="L42" s="21">
        <v>1.1055276381909547</v>
      </c>
      <c r="M42" s="22">
        <v>4</v>
      </c>
      <c r="N42" s="99">
        <f t="shared" ref="N42:N67" si="7">F42/$F$607</f>
        <v>2.4634059264548376E-2</v>
      </c>
      <c r="O42" s="96">
        <f t="shared" ref="O42:O67" si="8">L42*N42</f>
        <v>2.7233633357792171E-2</v>
      </c>
      <c r="P42" s="96"/>
    </row>
    <row r="43" spans="1:16" s="2" customFormat="1" ht="21" hidden="1" customHeight="1">
      <c r="A43" s="17">
        <v>201710</v>
      </c>
      <c r="B43" s="14" t="s">
        <v>81</v>
      </c>
      <c r="C43" s="14" t="s">
        <v>37</v>
      </c>
      <c r="D43" s="15">
        <v>43103</v>
      </c>
      <c r="E43" s="88" t="s">
        <v>606</v>
      </c>
      <c r="F43" s="17">
        <v>120</v>
      </c>
      <c r="G43" s="16">
        <v>43127</v>
      </c>
      <c r="H43" s="14" t="s">
        <v>717</v>
      </c>
      <c r="I43" s="14" t="s">
        <v>746</v>
      </c>
      <c r="J43" s="17">
        <v>220</v>
      </c>
      <c r="K43" s="17">
        <v>199</v>
      </c>
      <c r="L43" s="21">
        <v>1.1055276381909547</v>
      </c>
      <c r="M43" s="22">
        <v>4</v>
      </c>
      <c r="N43" s="99">
        <f t="shared" si="7"/>
        <v>3.570153516601214E-3</v>
      </c>
      <c r="O43" s="96">
        <f t="shared" si="8"/>
        <v>3.9469033851872717E-3</v>
      </c>
      <c r="P43" s="96"/>
    </row>
    <row r="44" spans="1:16" s="2" customFormat="1" ht="21" hidden="1" customHeight="1">
      <c r="A44" s="17">
        <v>201710</v>
      </c>
      <c r="B44" s="14" t="s">
        <v>82</v>
      </c>
      <c r="C44" s="14" t="s">
        <v>37</v>
      </c>
      <c r="D44" s="15">
        <v>43103</v>
      </c>
      <c r="E44" s="88" t="s">
        <v>607</v>
      </c>
      <c r="F44" s="17">
        <v>120</v>
      </c>
      <c r="G44" s="16">
        <v>43127</v>
      </c>
      <c r="H44" s="14" t="s">
        <v>717</v>
      </c>
      <c r="I44" s="14" t="s">
        <v>746</v>
      </c>
      <c r="J44" s="17">
        <v>220</v>
      </c>
      <c r="K44" s="17">
        <v>199</v>
      </c>
      <c r="L44" s="21">
        <v>1.1055276381909547</v>
      </c>
      <c r="M44" s="22">
        <v>4</v>
      </c>
      <c r="N44" s="99">
        <f t="shared" si="7"/>
        <v>3.570153516601214E-3</v>
      </c>
      <c r="O44" s="96">
        <f t="shared" si="8"/>
        <v>3.9469033851872717E-3</v>
      </c>
      <c r="P44" s="96"/>
    </row>
    <row r="45" spans="1:16" s="2" customFormat="1" ht="21" hidden="1" customHeight="1">
      <c r="A45" s="17">
        <v>201710</v>
      </c>
      <c r="B45" s="14" t="s">
        <v>84</v>
      </c>
      <c r="C45" s="14" t="s">
        <v>37</v>
      </c>
      <c r="D45" s="15">
        <v>43103</v>
      </c>
      <c r="E45" s="88" t="s">
        <v>607</v>
      </c>
      <c r="F45" s="17">
        <v>120</v>
      </c>
      <c r="G45" s="16">
        <v>43127</v>
      </c>
      <c r="H45" s="14" t="s">
        <v>717</v>
      </c>
      <c r="I45" s="14" t="s">
        <v>746</v>
      </c>
      <c r="J45" s="17">
        <v>220</v>
      </c>
      <c r="K45" s="17">
        <v>199</v>
      </c>
      <c r="L45" s="21">
        <v>1.1055276381909547</v>
      </c>
      <c r="M45" s="22">
        <v>4</v>
      </c>
      <c r="N45" s="99">
        <f t="shared" si="7"/>
        <v>3.570153516601214E-3</v>
      </c>
      <c r="O45" s="96">
        <f t="shared" si="8"/>
        <v>3.9469033851872717E-3</v>
      </c>
      <c r="P45" s="96"/>
    </row>
    <row r="46" spans="1:16" s="2" customFormat="1" ht="21" hidden="1" customHeight="1">
      <c r="A46" s="17">
        <v>201710</v>
      </c>
      <c r="B46" s="14" t="s">
        <v>83</v>
      </c>
      <c r="C46" s="14" t="s">
        <v>37</v>
      </c>
      <c r="D46" s="15">
        <v>43104</v>
      </c>
      <c r="E46" s="88" t="s">
        <v>607</v>
      </c>
      <c r="F46" s="17">
        <v>5976</v>
      </c>
      <c r="G46" s="16">
        <v>43132</v>
      </c>
      <c r="H46" s="14" t="s">
        <v>723</v>
      </c>
      <c r="I46" s="14" t="s">
        <v>746</v>
      </c>
      <c r="J46" s="17">
        <v>220</v>
      </c>
      <c r="K46" s="17">
        <v>199</v>
      </c>
      <c r="L46" s="21">
        <v>1.1055276381909547</v>
      </c>
      <c r="M46" s="22">
        <v>4</v>
      </c>
      <c r="N46" s="99">
        <f t="shared" si="7"/>
        <v>0.17779364512674045</v>
      </c>
      <c r="O46" s="96">
        <f t="shared" si="8"/>
        <v>0.19655578858232611</v>
      </c>
      <c r="P46" s="96"/>
    </row>
    <row r="47" spans="1:16" s="2" customFormat="1" ht="21" hidden="1" customHeight="1">
      <c r="A47" s="17">
        <v>201710</v>
      </c>
      <c r="B47" s="14" t="s">
        <v>85</v>
      </c>
      <c r="C47" s="14" t="s">
        <v>37</v>
      </c>
      <c r="D47" s="15">
        <v>43104</v>
      </c>
      <c r="E47" s="88" t="s">
        <v>607</v>
      </c>
      <c r="F47" s="17">
        <v>144</v>
      </c>
      <c r="G47" s="16">
        <v>43127</v>
      </c>
      <c r="H47" s="14" t="s">
        <v>717</v>
      </c>
      <c r="I47" s="14" t="s">
        <v>746</v>
      </c>
      <c r="J47" s="17">
        <v>220</v>
      </c>
      <c r="K47" s="17">
        <v>199</v>
      </c>
      <c r="L47" s="21">
        <v>1.1055276381909547</v>
      </c>
      <c r="M47" s="22">
        <v>4</v>
      </c>
      <c r="N47" s="99">
        <f t="shared" si="7"/>
        <v>4.2841842199214568E-3</v>
      </c>
      <c r="O47" s="96">
        <f t="shared" si="8"/>
        <v>4.7362840622247257E-3</v>
      </c>
      <c r="P47" s="96"/>
    </row>
    <row r="48" spans="1:16" s="2" customFormat="1" ht="21" hidden="1" customHeight="1">
      <c r="A48" s="17">
        <v>201710</v>
      </c>
      <c r="B48" s="14" t="s">
        <v>86</v>
      </c>
      <c r="C48" s="14" t="s">
        <v>37</v>
      </c>
      <c r="D48" s="15">
        <v>43104</v>
      </c>
      <c r="E48" s="88" t="s">
        <v>607</v>
      </c>
      <c r="F48" s="17">
        <v>612</v>
      </c>
      <c r="G48" s="16">
        <v>43127</v>
      </c>
      <c r="H48" s="14" t="s">
        <v>717</v>
      </c>
      <c r="I48" s="14" t="s">
        <v>746</v>
      </c>
      <c r="J48" s="17">
        <v>220</v>
      </c>
      <c r="K48" s="17">
        <v>199</v>
      </c>
      <c r="L48" s="21">
        <v>1.1055276381909547</v>
      </c>
      <c r="M48" s="22">
        <v>4</v>
      </c>
      <c r="N48" s="99">
        <f t="shared" si="7"/>
        <v>1.820778293466619E-2</v>
      </c>
      <c r="O48" s="96">
        <f t="shared" si="8"/>
        <v>2.0129207264455082E-2</v>
      </c>
      <c r="P48" s="96"/>
    </row>
    <row r="49" spans="1:16" s="2" customFormat="1" ht="21" hidden="1" customHeight="1">
      <c r="A49" s="17">
        <v>201710</v>
      </c>
      <c r="B49" s="14" t="s">
        <v>87</v>
      </c>
      <c r="C49" s="14" t="s">
        <v>37</v>
      </c>
      <c r="D49" s="15">
        <v>43108</v>
      </c>
      <c r="E49" s="88" t="s">
        <v>607</v>
      </c>
      <c r="F49" s="17">
        <v>360</v>
      </c>
      <c r="G49" s="16">
        <v>43138</v>
      </c>
      <c r="H49" s="14" t="s">
        <v>717</v>
      </c>
      <c r="I49" s="14" t="s">
        <v>746</v>
      </c>
      <c r="J49" s="17">
        <v>220</v>
      </c>
      <c r="K49" s="17">
        <v>199</v>
      </c>
      <c r="L49" s="21">
        <v>1.1055276381909547</v>
      </c>
      <c r="M49" s="22">
        <v>4</v>
      </c>
      <c r="N49" s="99">
        <f t="shared" si="7"/>
        <v>1.0710460549803642E-2</v>
      </c>
      <c r="O49" s="96">
        <f t="shared" si="8"/>
        <v>1.1840710155561814E-2</v>
      </c>
      <c r="P49" s="96"/>
    </row>
    <row r="50" spans="1:16" s="2" customFormat="1" ht="21" hidden="1" customHeight="1">
      <c r="A50" s="17">
        <v>201710</v>
      </c>
      <c r="B50" s="14" t="s">
        <v>88</v>
      </c>
      <c r="C50" s="14" t="s">
        <v>37</v>
      </c>
      <c r="D50" s="15">
        <v>43108</v>
      </c>
      <c r="E50" s="88" t="s">
        <v>607</v>
      </c>
      <c r="F50" s="17">
        <v>1440</v>
      </c>
      <c r="G50" s="16">
        <v>43138</v>
      </c>
      <c r="H50" s="14" t="s">
        <v>717</v>
      </c>
      <c r="I50" s="14" t="s">
        <v>746</v>
      </c>
      <c r="J50" s="17">
        <v>220</v>
      </c>
      <c r="K50" s="17">
        <v>199</v>
      </c>
      <c r="L50" s="21">
        <v>1.1055276381909547</v>
      </c>
      <c r="M50" s="22">
        <v>4</v>
      </c>
      <c r="N50" s="99">
        <f t="shared" si="7"/>
        <v>4.2841842199214566E-2</v>
      </c>
      <c r="O50" s="96">
        <f t="shared" si="8"/>
        <v>4.7362840622247257E-2</v>
      </c>
      <c r="P50" s="96"/>
    </row>
    <row r="51" spans="1:16" s="2" customFormat="1" ht="21" hidden="1" customHeight="1">
      <c r="A51" s="17">
        <v>201710</v>
      </c>
      <c r="B51" s="14" t="s">
        <v>89</v>
      </c>
      <c r="C51" s="14" t="s">
        <v>37</v>
      </c>
      <c r="D51" s="15">
        <v>43109</v>
      </c>
      <c r="E51" s="88" t="s">
        <v>608</v>
      </c>
      <c r="F51" s="17">
        <v>612</v>
      </c>
      <c r="G51" s="16">
        <v>43127</v>
      </c>
      <c r="H51" s="14" t="s">
        <v>717</v>
      </c>
      <c r="I51" s="14" t="s">
        <v>746</v>
      </c>
      <c r="J51" s="17">
        <v>220</v>
      </c>
      <c r="K51" s="17">
        <v>199</v>
      </c>
      <c r="L51" s="21">
        <v>1.1055276381909547</v>
      </c>
      <c r="M51" s="22">
        <v>4</v>
      </c>
      <c r="N51" s="99">
        <f t="shared" si="7"/>
        <v>1.820778293466619E-2</v>
      </c>
      <c r="O51" s="96">
        <f t="shared" si="8"/>
        <v>2.0129207264455082E-2</v>
      </c>
      <c r="P51" s="96"/>
    </row>
    <row r="52" spans="1:16" s="2" customFormat="1" ht="21" hidden="1" customHeight="1">
      <c r="A52" s="17">
        <v>201710</v>
      </c>
      <c r="B52" s="14" t="s">
        <v>90</v>
      </c>
      <c r="C52" s="14" t="s">
        <v>37</v>
      </c>
      <c r="D52" s="15">
        <v>43110</v>
      </c>
      <c r="E52" s="88" t="s">
        <v>608</v>
      </c>
      <c r="F52" s="17">
        <v>1008</v>
      </c>
      <c r="G52" s="16">
        <v>43138</v>
      </c>
      <c r="H52" s="14" t="s">
        <v>717</v>
      </c>
      <c r="I52" s="14" t="s">
        <v>746</v>
      </c>
      <c r="J52" s="17">
        <v>220</v>
      </c>
      <c r="K52" s="17">
        <v>199</v>
      </c>
      <c r="L52" s="21">
        <v>1.1055276381909547</v>
      </c>
      <c r="M52" s="22">
        <v>4</v>
      </c>
      <c r="N52" s="99">
        <f t="shared" si="7"/>
        <v>2.9989289539450195E-2</v>
      </c>
      <c r="O52" s="96">
        <f t="shared" si="8"/>
        <v>3.315398843557308E-2</v>
      </c>
      <c r="P52" s="96"/>
    </row>
    <row r="53" spans="1:16" s="2" customFormat="1" ht="21" hidden="1" customHeight="1">
      <c r="A53" s="17">
        <v>201710</v>
      </c>
      <c r="B53" s="14" t="s">
        <v>91</v>
      </c>
      <c r="C53" s="14" t="s">
        <v>37</v>
      </c>
      <c r="D53" s="15">
        <v>43110</v>
      </c>
      <c r="E53" s="88" t="s">
        <v>608</v>
      </c>
      <c r="F53" s="17">
        <v>2496</v>
      </c>
      <c r="G53" s="16">
        <v>43138</v>
      </c>
      <c r="H53" s="14" t="s">
        <v>717</v>
      </c>
      <c r="I53" s="14" t="s">
        <v>746</v>
      </c>
      <c r="J53" s="17">
        <v>220</v>
      </c>
      <c r="K53" s="17">
        <v>199</v>
      </c>
      <c r="L53" s="21">
        <v>1.1055276381909547</v>
      </c>
      <c r="M53" s="22">
        <v>4</v>
      </c>
      <c r="N53" s="99">
        <f t="shared" si="7"/>
        <v>7.4259193145305255E-2</v>
      </c>
      <c r="O53" s="96">
        <f t="shared" si="8"/>
        <v>8.209559041189525E-2</v>
      </c>
      <c r="P53" s="96"/>
    </row>
    <row r="54" spans="1:16" s="2" customFormat="1" ht="21" hidden="1" customHeight="1">
      <c r="A54" s="17">
        <v>201710</v>
      </c>
      <c r="B54" s="14" t="s">
        <v>92</v>
      </c>
      <c r="C54" s="14" t="s">
        <v>37</v>
      </c>
      <c r="D54" s="15">
        <v>43110</v>
      </c>
      <c r="E54" s="88" t="s">
        <v>608</v>
      </c>
      <c r="F54" s="17">
        <v>180</v>
      </c>
      <c r="G54" s="16">
        <v>43138</v>
      </c>
      <c r="H54" s="14" t="s">
        <v>717</v>
      </c>
      <c r="I54" s="14" t="s">
        <v>746</v>
      </c>
      <c r="J54" s="17">
        <v>220</v>
      </c>
      <c r="K54" s="17">
        <v>199</v>
      </c>
      <c r="L54" s="21">
        <v>1.1055276381909547</v>
      </c>
      <c r="M54" s="22">
        <v>4</v>
      </c>
      <c r="N54" s="99">
        <f t="shared" si="7"/>
        <v>5.3552302749018208E-3</v>
      </c>
      <c r="O54" s="96">
        <f t="shared" si="8"/>
        <v>5.9203550777809071E-3</v>
      </c>
      <c r="P54" s="96"/>
    </row>
    <row r="55" spans="1:16" s="2" customFormat="1" ht="21" hidden="1" customHeight="1">
      <c r="A55" s="17">
        <v>201710</v>
      </c>
      <c r="B55" s="14" t="s">
        <v>93</v>
      </c>
      <c r="C55" s="14" t="s">
        <v>37</v>
      </c>
      <c r="D55" s="15">
        <v>43112</v>
      </c>
      <c r="E55" s="88" t="s">
        <v>609</v>
      </c>
      <c r="F55" s="17">
        <v>120</v>
      </c>
      <c r="G55" s="16">
        <v>43127</v>
      </c>
      <c r="H55" s="14" t="s">
        <v>717</v>
      </c>
      <c r="I55" s="14" t="s">
        <v>746</v>
      </c>
      <c r="J55" s="17">
        <v>220</v>
      </c>
      <c r="K55" s="17">
        <v>199</v>
      </c>
      <c r="L55" s="21">
        <v>1.1055276381909547</v>
      </c>
      <c r="M55" s="22">
        <v>4</v>
      </c>
      <c r="N55" s="99">
        <f t="shared" si="7"/>
        <v>3.570153516601214E-3</v>
      </c>
      <c r="O55" s="96">
        <f t="shared" si="8"/>
        <v>3.9469033851872717E-3</v>
      </c>
      <c r="P55" s="96"/>
    </row>
    <row r="56" spans="1:16" s="2" customFormat="1" ht="21" hidden="1" customHeight="1">
      <c r="A56" s="17">
        <v>201710</v>
      </c>
      <c r="B56" s="14" t="s">
        <v>94</v>
      </c>
      <c r="C56" s="14" t="s">
        <v>37</v>
      </c>
      <c r="D56" s="15">
        <v>43112</v>
      </c>
      <c r="E56" s="88" t="s">
        <v>609</v>
      </c>
      <c r="F56" s="17">
        <v>156</v>
      </c>
      <c r="G56" s="16">
        <v>43127</v>
      </c>
      <c r="H56" s="14" t="s">
        <v>717</v>
      </c>
      <c r="I56" s="14" t="s">
        <v>746</v>
      </c>
      <c r="J56" s="17">
        <v>220</v>
      </c>
      <c r="K56" s="17">
        <v>199</v>
      </c>
      <c r="L56" s="21">
        <v>1.1055276381909547</v>
      </c>
      <c r="M56" s="22">
        <v>4</v>
      </c>
      <c r="N56" s="99">
        <f t="shared" si="7"/>
        <v>4.6411995715815784E-3</v>
      </c>
      <c r="O56" s="96">
        <f t="shared" si="8"/>
        <v>5.1309744007434531E-3</v>
      </c>
      <c r="P56" s="96"/>
    </row>
    <row r="57" spans="1:16" s="2" customFormat="1" ht="21" hidden="1" customHeight="1">
      <c r="A57" s="17">
        <v>201710</v>
      </c>
      <c r="B57" s="14" t="s">
        <v>95</v>
      </c>
      <c r="C57" s="14" t="s">
        <v>37</v>
      </c>
      <c r="D57" s="15">
        <v>43112</v>
      </c>
      <c r="E57" s="88" t="s">
        <v>609</v>
      </c>
      <c r="F57" s="17">
        <v>828</v>
      </c>
      <c r="G57" s="16">
        <v>43127</v>
      </c>
      <c r="H57" s="14" t="s">
        <v>717</v>
      </c>
      <c r="I57" s="14" t="s">
        <v>746</v>
      </c>
      <c r="J57" s="17">
        <v>220</v>
      </c>
      <c r="K57" s="17">
        <v>199</v>
      </c>
      <c r="L57" s="21">
        <v>1.1055276381909547</v>
      </c>
      <c r="M57" s="22">
        <v>4</v>
      </c>
      <c r="N57" s="99">
        <f t="shared" si="7"/>
        <v>2.4634059264548376E-2</v>
      </c>
      <c r="O57" s="96">
        <f t="shared" si="8"/>
        <v>2.7233633357792171E-2</v>
      </c>
      <c r="P57" s="96"/>
    </row>
    <row r="58" spans="1:16" s="2" customFormat="1" ht="21" hidden="1" customHeight="1">
      <c r="A58" s="17">
        <v>201710</v>
      </c>
      <c r="B58" s="14" t="s">
        <v>96</v>
      </c>
      <c r="C58" s="14" t="s">
        <v>37</v>
      </c>
      <c r="D58" s="15">
        <v>43112</v>
      </c>
      <c r="E58" s="88" t="s">
        <v>609</v>
      </c>
      <c r="F58" s="17">
        <v>120</v>
      </c>
      <c r="G58" s="16">
        <v>43127</v>
      </c>
      <c r="H58" s="14" t="s">
        <v>717</v>
      </c>
      <c r="I58" s="14" t="s">
        <v>746</v>
      </c>
      <c r="J58" s="17">
        <v>220</v>
      </c>
      <c r="K58" s="17">
        <v>199</v>
      </c>
      <c r="L58" s="21">
        <v>1.1055276381909547</v>
      </c>
      <c r="M58" s="22">
        <v>4</v>
      </c>
      <c r="N58" s="99">
        <f t="shared" si="7"/>
        <v>3.570153516601214E-3</v>
      </c>
      <c r="O58" s="96">
        <f t="shared" si="8"/>
        <v>3.9469033851872717E-3</v>
      </c>
      <c r="P58" s="96"/>
    </row>
    <row r="59" spans="1:16" s="2" customFormat="1" ht="21" hidden="1" customHeight="1">
      <c r="A59" s="17">
        <v>201710</v>
      </c>
      <c r="B59" s="14" t="s">
        <v>97</v>
      </c>
      <c r="C59" s="14" t="s">
        <v>37</v>
      </c>
      <c r="D59" s="15">
        <v>43113</v>
      </c>
      <c r="E59" s="88" t="s">
        <v>609</v>
      </c>
      <c r="F59" s="17">
        <v>4428</v>
      </c>
      <c r="G59" s="16">
        <v>43132</v>
      </c>
      <c r="H59" s="14" t="s">
        <v>723</v>
      </c>
      <c r="I59" s="14" t="s">
        <v>746</v>
      </c>
      <c r="J59" s="17">
        <v>220</v>
      </c>
      <c r="K59" s="17">
        <v>199</v>
      </c>
      <c r="L59" s="21">
        <v>1.1055276381909547</v>
      </c>
      <c r="M59" s="22">
        <v>4</v>
      </c>
      <c r="N59" s="99">
        <f t="shared" si="7"/>
        <v>0.13173866476258478</v>
      </c>
      <c r="O59" s="96">
        <f t="shared" si="8"/>
        <v>0.14564073491341029</v>
      </c>
      <c r="P59" s="96"/>
    </row>
    <row r="60" spans="1:16" s="2" customFormat="1" ht="21" hidden="1" customHeight="1">
      <c r="A60" s="17">
        <v>201710</v>
      </c>
      <c r="B60" s="14" t="s">
        <v>98</v>
      </c>
      <c r="C60" s="14" t="s">
        <v>37</v>
      </c>
      <c r="D60" s="15">
        <v>43116</v>
      </c>
      <c r="E60" s="88" t="s">
        <v>609</v>
      </c>
      <c r="F60" s="17">
        <v>360</v>
      </c>
      <c r="G60" s="16">
        <v>43138</v>
      </c>
      <c r="H60" s="14" t="s">
        <v>717</v>
      </c>
      <c r="I60" s="14" t="s">
        <v>746</v>
      </c>
      <c r="J60" s="17">
        <v>220</v>
      </c>
      <c r="K60" s="17">
        <v>199</v>
      </c>
      <c r="L60" s="21">
        <v>1.1055276381909547</v>
      </c>
      <c r="M60" s="22">
        <v>4</v>
      </c>
      <c r="N60" s="99">
        <f t="shared" si="7"/>
        <v>1.0710460549803642E-2</v>
      </c>
      <c r="O60" s="96">
        <f t="shared" si="8"/>
        <v>1.1840710155561814E-2</v>
      </c>
      <c r="P60" s="96"/>
    </row>
    <row r="61" spans="1:16" s="2" customFormat="1" ht="21" hidden="1" customHeight="1">
      <c r="A61" s="17">
        <v>201710</v>
      </c>
      <c r="B61" s="14" t="s">
        <v>99</v>
      </c>
      <c r="C61" s="14" t="s">
        <v>37</v>
      </c>
      <c r="D61" s="15">
        <v>43116</v>
      </c>
      <c r="E61" s="88" t="s">
        <v>609</v>
      </c>
      <c r="F61" s="17">
        <v>804</v>
      </c>
      <c r="G61" s="16">
        <v>43138</v>
      </c>
      <c r="H61" s="14" t="s">
        <v>717</v>
      </c>
      <c r="I61" s="14" t="s">
        <v>746</v>
      </c>
      <c r="J61" s="17">
        <v>220</v>
      </c>
      <c r="K61" s="17">
        <v>199</v>
      </c>
      <c r="L61" s="21">
        <v>1.1055276381909547</v>
      </c>
      <c r="M61" s="22">
        <v>4</v>
      </c>
      <c r="N61" s="99">
        <f t="shared" si="7"/>
        <v>2.3920028561228133E-2</v>
      </c>
      <c r="O61" s="96">
        <f t="shared" si="8"/>
        <v>2.6444252680754718E-2</v>
      </c>
      <c r="P61" s="96"/>
    </row>
    <row r="62" spans="1:16" s="2" customFormat="1" ht="21" hidden="1" customHeight="1">
      <c r="A62" s="17">
        <v>201710</v>
      </c>
      <c r="B62" s="14" t="s">
        <v>100</v>
      </c>
      <c r="C62" s="14" t="s">
        <v>37</v>
      </c>
      <c r="D62" s="15">
        <v>43117</v>
      </c>
      <c r="E62" s="88" t="s">
        <v>609</v>
      </c>
      <c r="F62" s="17">
        <v>1812</v>
      </c>
      <c r="G62" s="16">
        <v>43138</v>
      </c>
      <c r="H62" s="14" t="s">
        <v>717</v>
      </c>
      <c r="I62" s="14" t="s">
        <v>746</v>
      </c>
      <c r="J62" s="17">
        <v>220</v>
      </c>
      <c r="K62" s="17">
        <v>199</v>
      </c>
      <c r="L62" s="21">
        <v>1.1055276381909547</v>
      </c>
      <c r="M62" s="22">
        <v>4</v>
      </c>
      <c r="N62" s="99">
        <f t="shared" si="7"/>
        <v>5.3909318100678331E-2</v>
      </c>
      <c r="O62" s="96">
        <f t="shared" si="8"/>
        <v>5.9598241116327798E-2</v>
      </c>
      <c r="P62" s="96"/>
    </row>
    <row r="63" spans="1:16" s="2" customFormat="1" ht="21" hidden="1" customHeight="1">
      <c r="A63" s="17">
        <v>201710</v>
      </c>
      <c r="B63" s="14" t="s">
        <v>101</v>
      </c>
      <c r="C63" s="14" t="s">
        <v>37</v>
      </c>
      <c r="D63" s="15">
        <v>43118</v>
      </c>
      <c r="E63" s="88" t="s">
        <v>606</v>
      </c>
      <c r="F63" s="17">
        <v>5112</v>
      </c>
      <c r="G63" s="16">
        <v>43139</v>
      </c>
      <c r="H63" s="14" t="s">
        <v>723</v>
      </c>
      <c r="I63" s="14" t="s">
        <v>746</v>
      </c>
      <c r="J63" s="17">
        <v>220</v>
      </c>
      <c r="K63" s="17">
        <v>199</v>
      </c>
      <c r="L63" s="21">
        <v>1.1055276381909547</v>
      </c>
      <c r="M63" s="22">
        <v>4</v>
      </c>
      <c r="N63" s="99">
        <f t="shared" si="7"/>
        <v>0.15208853980721171</v>
      </c>
      <c r="O63" s="96">
        <f t="shared" si="8"/>
        <v>0.16813808420897774</v>
      </c>
      <c r="P63" s="96"/>
    </row>
    <row r="64" spans="1:16" s="2" customFormat="1" ht="21" hidden="1" customHeight="1">
      <c r="A64" s="17">
        <v>201710</v>
      </c>
      <c r="B64" s="14" t="s">
        <v>102</v>
      </c>
      <c r="C64" s="14" t="s">
        <v>37</v>
      </c>
      <c r="D64" s="15">
        <v>43118</v>
      </c>
      <c r="E64" s="88" t="s">
        <v>606</v>
      </c>
      <c r="F64" s="17">
        <v>156</v>
      </c>
      <c r="G64" s="16">
        <v>43138</v>
      </c>
      <c r="H64" s="14" t="s">
        <v>717</v>
      </c>
      <c r="I64" s="14" t="s">
        <v>746</v>
      </c>
      <c r="J64" s="17">
        <v>220</v>
      </c>
      <c r="K64" s="17">
        <v>199</v>
      </c>
      <c r="L64" s="21">
        <v>1.1055276381909547</v>
      </c>
      <c r="M64" s="22">
        <v>4</v>
      </c>
      <c r="N64" s="99">
        <f t="shared" si="7"/>
        <v>4.6411995715815784E-3</v>
      </c>
      <c r="O64" s="96">
        <f t="shared" si="8"/>
        <v>5.1309744007434531E-3</v>
      </c>
      <c r="P64" s="96"/>
    </row>
    <row r="65" spans="1:16" s="2" customFormat="1" ht="21" hidden="1" customHeight="1">
      <c r="A65" s="17">
        <v>201710</v>
      </c>
      <c r="B65" s="14" t="s">
        <v>103</v>
      </c>
      <c r="C65" s="14" t="s">
        <v>37</v>
      </c>
      <c r="D65" s="15">
        <v>43122</v>
      </c>
      <c r="E65" s="88" t="s">
        <v>606</v>
      </c>
      <c r="F65" s="17">
        <v>3336</v>
      </c>
      <c r="G65" s="16">
        <v>43140</v>
      </c>
      <c r="H65" s="14" t="s">
        <v>717</v>
      </c>
      <c r="I65" s="14" t="s">
        <v>746</v>
      </c>
      <c r="J65" s="17">
        <v>220</v>
      </c>
      <c r="K65" s="17">
        <v>199</v>
      </c>
      <c r="L65" s="21">
        <v>1.1055276381909547</v>
      </c>
      <c r="M65" s="22">
        <v>4</v>
      </c>
      <c r="N65" s="99">
        <f t="shared" si="7"/>
        <v>9.9250267761513744E-2</v>
      </c>
      <c r="O65" s="96">
        <f t="shared" si="8"/>
        <v>0.10972391410820614</v>
      </c>
      <c r="P65" s="96"/>
    </row>
    <row r="66" spans="1:16" s="2" customFormat="1" ht="21" hidden="1" customHeight="1">
      <c r="A66" s="17">
        <v>201710</v>
      </c>
      <c r="B66" s="14" t="s">
        <v>104</v>
      </c>
      <c r="C66" s="14" t="s">
        <v>37</v>
      </c>
      <c r="D66" s="15">
        <v>43122</v>
      </c>
      <c r="E66" s="88" t="s">
        <v>606</v>
      </c>
      <c r="F66" s="17">
        <v>648</v>
      </c>
      <c r="G66" s="16">
        <v>43139</v>
      </c>
      <c r="H66" s="14" t="s">
        <v>720</v>
      </c>
      <c r="I66" s="14" t="s">
        <v>746</v>
      </c>
      <c r="J66" s="17">
        <v>220</v>
      </c>
      <c r="K66" s="17">
        <v>199</v>
      </c>
      <c r="L66" s="21">
        <v>1.1055276381909547</v>
      </c>
      <c r="M66" s="22">
        <v>4</v>
      </c>
      <c r="N66" s="99">
        <f t="shared" si="7"/>
        <v>1.9278828989646554E-2</v>
      </c>
      <c r="O66" s="96">
        <f t="shared" si="8"/>
        <v>2.1313278280011262E-2</v>
      </c>
      <c r="P66" s="96"/>
    </row>
    <row r="67" spans="1:16" s="2" customFormat="1" ht="21" hidden="1" customHeight="1">
      <c r="A67" s="17">
        <v>201710</v>
      </c>
      <c r="B67" s="14" t="s">
        <v>105</v>
      </c>
      <c r="C67" s="14" t="s">
        <v>37</v>
      </c>
      <c r="D67" s="15">
        <v>43122</v>
      </c>
      <c r="E67" s="88" t="s">
        <v>606</v>
      </c>
      <c r="F67" s="17">
        <v>276</v>
      </c>
      <c r="G67" s="16">
        <v>43139</v>
      </c>
      <c r="H67" s="14" t="s">
        <v>720</v>
      </c>
      <c r="I67" s="14" t="s">
        <v>746</v>
      </c>
      <c r="J67" s="17">
        <v>220</v>
      </c>
      <c r="K67" s="17">
        <v>199</v>
      </c>
      <c r="L67" s="21">
        <v>1.1055276381909547</v>
      </c>
      <c r="M67" s="22">
        <v>4</v>
      </c>
      <c r="N67" s="99">
        <f t="shared" si="7"/>
        <v>8.211353088182792E-3</v>
      </c>
      <c r="O67" s="96">
        <f t="shared" si="8"/>
        <v>9.0778777859307248E-3</v>
      </c>
      <c r="P67" s="96"/>
    </row>
    <row r="68" spans="1:16" s="2" customFormat="1" ht="21" hidden="1" customHeight="1">
      <c r="A68" s="17">
        <v>201710</v>
      </c>
      <c r="B68" s="14" t="s">
        <v>140</v>
      </c>
      <c r="C68" s="14" t="s">
        <v>37</v>
      </c>
      <c r="D68" s="15">
        <v>43124</v>
      </c>
      <c r="E68" s="88" t="s">
        <v>615</v>
      </c>
      <c r="F68" s="17">
        <v>2436</v>
      </c>
      <c r="G68" s="16">
        <v>43138</v>
      </c>
      <c r="H68" s="14" t="s">
        <v>717</v>
      </c>
      <c r="I68" s="14" t="s">
        <v>750</v>
      </c>
      <c r="J68" s="17">
        <v>185</v>
      </c>
      <c r="K68" s="17">
        <v>190</v>
      </c>
      <c r="L68" s="21">
        <v>0.97368421052631582</v>
      </c>
      <c r="M68" s="22">
        <v>5</v>
      </c>
      <c r="N68" s="96">
        <f>F68/$F$608</f>
        <v>0.26512842838484979</v>
      </c>
      <c r="O68" s="96">
        <f>L68*N68</f>
        <v>0.25815136447998532</v>
      </c>
      <c r="P68" s="96"/>
    </row>
    <row r="69" spans="1:16" s="2" customFormat="1" ht="21" hidden="1" customHeight="1">
      <c r="A69" s="17">
        <v>201710</v>
      </c>
      <c r="B69" s="14" t="s">
        <v>106</v>
      </c>
      <c r="C69" s="14" t="s">
        <v>37</v>
      </c>
      <c r="D69" s="15">
        <v>43126</v>
      </c>
      <c r="E69" s="88" t="s">
        <v>610</v>
      </c>
      <c r="F69" s="17">
        <v>3000</v>
      </c>
      <c r="G69" s="16">
        <v>43138</v>
      </c>
      <c r="H69" s="14" t="s">
        <v>717</v>
      </c>
      <c r="I69" s="14" t="s">
        <v>747</v>
      </c>
      <c r="J69" s="17">
        <v>180</v>
      </c>
      <c r="K69" s="17">
        <v>199</v>
      </c>
      <c r="L69" s="21">
        <v>0.90452261306532666</v>
      </c>
      <c r="M69" s="22">
        <v>5</v>
      </c>
      <c r="N69" s="96">
        <f>F69/$F$608</f>
        <v>0.32651284283848497</v>
      </c>
      <c r="O69" s="96">
        <f t="shared" ref="O69:O72" si="9">L69*N69</f>
        <v>0.29533824980365475</v>
      </c>
      <c r="P69" s="96"/>
    </row>
    <row r="70" spans="1:16" s="2" customFormat="1" ht="21" hidden="1" customHeight="1">
      <c r="A70" s="17">
        <v>201710</v>
      </c>
      <c r="B70" s="14" t="s">
        <v>107</v>
      </c>
      <c r="C70" s="14" t="s">
        <v>37</v>
      </c>
      <c r="D70" s="15">
        <v>43130</v>
      </c>
      <c r="E70" s="88" t="s">
        <v>610</v>
      </c>
      <c r="F70" s="17">
        <v>1284</v>
      </c>
      <c r="G70" s="16">
        <v>43138</v>
      </c>
      <c r="H70" s="14" t="s">
        <v>717</v>
      </c>
      <c r="I70" s="14" t="s">
        <v>747</v>
      </c>
      <c r="J70" s="17">
        <v>180</v>
      </c>
      <c r="K70" s="17">
        <v>199</v>
      </c>
      <c r="L70" s="21">
        <v>0.90452261306532666</v>
      </c>
      <c r="M70" s="22">
        <v>5</v>
      </c>
      <c r="N70" s="96">
        <f>F70/$F$608</f>
        <v>0.13974749673487158</v>
      </c>
      <c r="O70" s="96">
        <f t="shared" si="9"/>
        <v>0.12640477091596425</v>
      </c>
      <c r="P70" s="96"/>
    </row>
    <row r="71" spans="1:16" s="2" customFormat="1" ht="21" hidden="1" customHeight="1">
      <c r="A71" s="17">
        <v>201710</v>
      </c>
      <c r="B71" s="14" t="s">
        <v>108</v>
      </c>
      <c r="C71" s="14" t="s">
        <v>37</v>
      </c>
      <c r="D71" s="15">
        <v>43130</v>
      </c>
      <c r="E71" s="88" t="s">
        <v>610</v>
      </c>
      <c r="F71" s="17">
        <v>1284</v>
      </c>
      <c r="G71" s="16">
        <v>43138</v>
      </c>
      <c r="H71" s="14" t="s">
        <v>717</v>
      </c>
      <c r="I71" s="14" t="s">
        <v>747</v>
      </c>
      <c r="J71" s="17">
        <v>180</v>
      </c>
      <c r="K71" s="17">
        <v>199</v>
      </c>
      <c r="L71" s="21">
        <v>0.90452261306532666</v>
      </c>
      <c r="M71" s="22">
        <v>5</v>
      </c>
      <c r="N71" s="96">
        <f>F71/$F$608</f>
        <v>0.13974749673487158</v>
      </c>
      <c r="O71" s="96">
        <f t="shared" si="9"/>
        <v>0.12640477091596425</v>
      </c>
      <c r="P71" s="96"/>
    </row>
    <row r="72" spans="1:16" s="2" customFormat="1" ht="21" hidden="1" customHeight="1">
      <c r="A72" s="17">
        <v>201710</v>
      </c>
      <c r="B72" s="14" t="s">
        <v>109</v>
      </c>
      <c r="C72" s="14" t="s">
        <v>37</v>
      </c>
      <c r="D72" s="15">
        <v>43131</v>
      </c>
      <c r="E72" s="88" t="s">
        <v>610</v>
      </c>
      <c r="F72" s="17">
        <f>648+536</f>
        <v>1184</v>
      </c>
      <c r="G72" s="16">
        <v>43138</v>
      </c>
      <c r="H72" s="14" t="s">
        <v>717</v>
      </c>
      <c r="I72" s="14" t="s">
        <v>747</v>
      </c>
      <c r="J72" s="17">
        <v>180</v>
      </c>
      <c r="K72" s="17">
        <v>199</v>
      </c>
      <c r="L72" s="21">
        <v>0.90452261306532666</v>
      </c>
      <c r="M72" s="22">
        <v>5</v>
      </c>
      <c r="N72" s="96">
        <f>F72/$F$608</f>
        <v>0.12886373530692208</v>
      </c>
      <c r="O72" s="96">
        <f t="shared" si="9"/>
        <v>0.11656016258917576</v>
      </c>
      <c r="P72" s="96"/>
    </row>
    <row r="73" spans="1:16" s="2" customFormat="1" ht="21" hidden="1" customHeight="1">
      <c r="A73" s="17"/>
      <c r="B73" s="14"/>
      <c r="C73" s="14"/>
      <c r="D73" s="15"/>
      <c r="E73" s="88"/>
      <c r="F73" s="39">
        <f>SUM(F41:F72)</f>
        <v>42800</v>
      </c>
      <c r="G73" s="17"/>
      <c r="H73" s="14"/>
      <c r="I73" s="14"/>
      <c r="J73" s="17"/>
      <c r="K73" s="17"/>
      <c r="L73" s="21"/>
      <c r="M73" s="22"/>
      <c r="N73" s="96"/>
      <c r="O73" s="96"/>
      <c r="P73" s="96"/>
    </row>
    <row r="74" spans="1:16" s="2" customFormat="1" ht="21" hidden="1" customHeight="1">
      <c r="A74" s="17">
        <v>201710</v>
      </c>
      <c r="B74" s="14" t="s">
        <v>809</v>
      </c>
      <c r="C74" s="14" t="s">
        <v>36</v>
      </c>
      <c r="D74" s="15">
        <v>43102</v>
      </c>
      <c r="E74" s="88" t="s">
        <v>611</v>
      </c>
      <c r="F74" s="17">
        <f>4140-1540</f>
        <v>2600</v>
      </c>
      <c r="G74" s="16">
        <v>43124</v>
      </c>
      <c r="H74" s="14" t="s">
        <v>717</v>
      </c>
      <c r="I74" s="14" t="s">
        <v>747</v>
      </c>
      <c r="J74" s="17">
        <v>180</v>
      </c>
      <c r="K74" s="17">
        <v>199</v>
      </c>
      <c r="L74" s="21">
        <v>0.90452261306532666</v>
      </c>
      <c r="M74" s="22">
        <v>5</v>
      </c>
      <c r="N74" s="96">
        <f>F74/$F$609</f>
        <v>7.5423532142028307E-2</v>
      </c>
      <c r="O74" s="96">
        <f>L74*N74</f>
        <v>6.8222290379724104E-2</v>
      </c>
      <c r="P74" s="96"/>
    </row>
    <row r="75" spans="1:16" s="2" customFormat="1" ht="21" hidden="1" customHeight="1">
      <c r="A75" s="17">
        <v>201710</v>
      </c>
      <c r="B75" s="14" t="s">
        <v>808</v>
      </c>
      <c r="C75" s="14" t="s">
        <v>36</v>
      </c>
      <c r="D75" s="15">
        <v>43104</v>
      </c>
      <c r="E75" s="88" t="s">
        <v>610</v>
      </c>
      <c r="F75" s="17">
        <v>1500</v>
      </c>
      <c r="G75" s="16">
        <v>43120</v>
      </c>
      <c r="H75" s="14" t="s">
        <v>730</v>
      </c>
      <c r="I75" s="14" t="s">
        <v>747</v>
      </c>
      <c r="J75" s="17">
        <v>180</v>
      </c>
      <c r="K75" s="17">
        <v>199</v>
      </c>
      <c r="L75" s="21">
        <v>0.90452261306532666</v>
      </c>
      <c r="M75" s="22">
        <v>5</v>
      </c>
      <c r="N75" s="96">
        <f t="shared" ref="N75:N86" si="10">F75/$F$609</f>
        <v>4.3513576235785563E-2</v>
      </c>
      <c r="O75" s="96">
        <f t="shared" ref="O75:O86" si="11">L75*N75</f>
        <v>3.935901368061006E-2</v>
      </c>
      <c r="P75" s="96"/>
    </row>
    <row r="76" spans="1:16" s="2" customFormat="1" ht="21" hidden="1" customHeight="1">
      <c r="A76" s="17">
        <v>201710</v>
      </c>
      <c r="B76" s="14" t="s">
        <v>110</v>
      </c>
      <c r="C76" s="14" t="s">
        <v>36</v>
      </c>
      <c r="D76" s="15">
        <v>43105</v>
      </c>
      <c r="E76" s="88" t="s">
        <v>610</v>
      </c>
      <c r="F76" s="17">
        <v>360</v>
      </c>
      <c r="G76" s="16">
        <v>43120</v>
      </c>
      <c r="H76" s="14" t="s">
        <v>725</v>
      </c>
      <c r="I76" s="14" t="s">
        <v>747</v>
      </c>
      <c r="J76" s="17">
        <v>180</v>
      </c>
      <c r="K76" s="17">
        <v>199</v>
      </c>
      <c r="L76" s="21">
        <v>0.90452261306532666</v>
      </c>
      <c r="M76" s="22">
        <v>5</v>
      </c>
      <c r="N76" s="96">
        <f t="shared" si="10"/>
        <v>1.0443258296588535E-2</v>
      </c>
      <c r="O76" s="96">
        <f t="shared" si="11"/>
        <v>9.4461632833464145E-3</v>
      </c>
      <c r="P76" s="96"/>
    </row>
    <row r="77" spans="1:16" s="2" customFormat="1" ht="21" hidden="1" customHeight="1">
      <c r="A77" s="17">
        <v>201710</v>
      </c>
      <c r="B77" s="14" t="s">
        <v>111</v>
      </c>
      <c r="C77" s="14" t="s">
        <v>36</v>
      </c>
      <c r="D77" s="15">
        <v>43105</v>
      </c>
      <c r="E77" s="88" t="s">
        <v>610</v>
      </c>
      <c r="F77" s="17">
        <v>144</v>
      </c>
      <c r="G77" s="16">
        <v>43120</v>
      </c>
      <c r="H77" s="14" t="s">
        <v>726</v>
      </c>
      <c r="I77" s="14" t="s">
        <v>747</v>
      </c>
      <c r="J77" s="17">
        <v>180</v>
      </c>
      <c r="K77" s="17">
        <v>199</v>
      </c>
      <c r="L77" s="21">
        <v>0.90452261306532666</v>
      </c>
      <c r="M77" s="22">
        <v>5</v>
      </c>
      <c r="N77" s="96">
        <f t="shared" si="10"/>
        <v>4.1773033186354143E-3</v>
      </c>
      <c r="O77" s="96">
        <f t="shared" si="11"/>
        <v>3.778465313338566E-3</v>
      </c>
      <c r="P77" s="96"/>
    </row>
    <row r="78" spans="1:16" s="2" customFormat="1" ht="21" hidden="1" customHeight="1">
      <c r="A78" s="17">
        <v>201710</v>
      </c>
      <c r="B78" s="14" t="s">
        <v>112</v>
      </c>
      <c r="C78" s="14" t="s">
        <v>36</v>
      </c>
      <c r="D78" s="15">
        <v>43105</v>
      </c>
      <c r="E78" s="88" t="s">
        <v>610</v>
      </c>
      <c r="F78" s="17">
        <v>1080</v>
      </c>
      <c r="G78" s="16">
        <v>43120</v>
      </c>
      <c r="H78" s="14" t="s">
        <v>718</v>
      </c>
      <c r="I78" s="14" t="s">
        <v>747</v>
      </c>
      <c r="J78" s="17">
        <v>180</v>
      </c>
      <c r="K78" s="17">
        <v>199</v>
      </c>
      <c r="L78" s="21">
        <v>0.90452261306532666</v>
      </c>
      <c r="M78" s="22">
        <v>5</v>
      </c>
      <c r="N78" s="96">
        <f t="shared" si="10"/>
        <v>3.1329774889765606E-2</v>
      </c>
      <c r="O78" s="96">
        <f t="shared" si="11"/>
        <v>2.8338489850039242E-2</v>
      </c>
      <c r="P78" s="96"/>
    </row>
    <row r="79" spans="1:16" s="2" customFormat="1" ht="21" hidden="1" customHeight="1">
      <c r="A79" s="17">
        <v>201710</v>
      </c>
      <c r="B79" s="14" t="s">
        <v>113</v>
      </c>
      <c r="C79" s="14" t="s">
        <v>36</v>
      </c>
      <c r="D79" s="15">
        <v>43106</v>
      </c>
      <c r="E79" s="88" t="s">
        <v>610</v>
      </c>
      <c r="F79" s="17">
        <v>1620</v>
      </c>
      <c r="G79" s="16">
        <v>43120</v>
      </c>
      <c r="H79" s="14" t="s">
        <v>718</v>
      </c>
      <c r="I79" s="14" t="s">
        <v>747</v>
      </c>
      <c r="J79" s="17">
        <v>180</v>
      </c>
      <c r="K79" s="17">
        <v>199</v>
      </c>
      <c r="L79" s="21">
        <v>0.90452261306532666</v>
      </c>
      <c r="M79" s="22">
        <v>5</v>
      </c>
      <c r="N79" s="96">
        <f t="shared" si="10"/>
        <v>4.6994662334648413E-2</v>
      </c>
      <c r="O79" s="96">
        <f t="shared" si="11"/>
        <v>4.250773477505887E-2</v>
      </c>
      <c r="P79" s="96"/>
    </row>
    <row r="80" spans="1:16" s="2" customFormat="1" ht="21" hidden="1" customHeight="1">
      <c r="A80" s="17">
        <v>201710</v>
      </c>
      <c r="B80" s="14" t="s">
        <v>114</v>
      </c>
      <c r="C80" s="14" t="s">
        <v>36</v>
      </c>
      <c r="D80" s="15">
        <v>43108</v>
      </c>
      <c r="E80" s="88" t="s">
        <v>610</v>
      </c>
      <c r="F80" s="17">
        <v>14004</v>
      </c>
      <c r="G80" s="16">
        <v>43124</v>
      </c>
      <c r="H80" s="14" t="s">
        <v>717</v>
      </c>
      <c r="I80" s="14" t="s">
        <v>747</v>
      </c>
      <c r="J80" s="17">
        <v>180</v>
      </c>
      <c r="K80" s="17">
        <v>199</v>
      </c>
      <c r="L80" s="21">
        <v>0.90452261306532666</v>
      </c>
      <c r="M80" s="22">
        <v>5</v>
      </c>
      <c r="N80" s="96">
        <f t="shared" si="10"/>
        <v>0.40624274773729402</v>
      </c>
      <c r="O80" s="96">
        <f t="shared" si="11"/>
        <v>0.36745575172217548</v>
      </c>
      <c r="P80" s="96"/>
    </row>
    <row r="81" spans="1:16" s="2" customFormat="1" ht="21" hidden="1" customHeight="1">
      <c r="A81" s="17">
        <v>201710</v>
      </c>
      <c r="B81" s="14" t="s">
        <v>115</v>
      </c>
      <c r="C81" s="14" t="s">
        <v>36</v>
      </c>
      <c r="D81" s="15">
        <v>43108</v>
      </c>
      <c r="E81" s="88" t="s">
        <v>610</v>
      </c>
      <c r="F81" s="17">
        <v>360</v>
      </c>
      <c r="G81" s="16">
        <v>43120</v>
      </c>
      <c r="H81" s="14" t="s">
        <v>718</v>
      </c>
      <c r="I81" s="14" t="s">
        <v>747</v>
      </c>
      <c r="J81" s="17">
        <v>180</v>
      </c>
      <c r="K81" s="17">
        <v>199</v>
      </c>
      <c r="L81" s="21">
        <v>0.90452261306532666</v>
      </c>
      <c r="M81" s="22">
        <v>5</v>
      </c>
      <c r="N81" s="96">
        <f t="shared" si="10"/>
        <v>1.0443258296588535E-2</v>
      </c>
      <c r="O81" s="96">
        <f t="shared" si="11"/>
        <v>9.4461632833464145E-3</v>
      </c>
      <c r="P81" s="96"/>
    </row>
    <row r="82" spans="1:16" s="2" customFormat="1" ht="21" hidden="1" customHeight="1">
      <c r="A82" s="17">
        <v>201710</v>
      </c>
      <c r="B82" s="14" t="s">
        <v>793</v>
      </c>
      <c r="C82" s="14" t="s">
        <v>36</v>
      </c>
      <c r="D82" s="15">
        <v>43119</v>
      </c>
      <c r="E82" s="88" t="s">
        <v>610</v>
      </c>
      <c r="F82" s="17">
        <v>6300</v>
      </c>
      <c r="G82" s="16">
        <v>43127</v>
      </c>
      <c r="H82" s="14" t="s">
        <v>717</v>
      </c>
      <c r="I82" s="14" t="s">
        <v>747</v>
      </c>
      <c r="J82" s="17">
        <v>180</v>
      </c>
      <c r="K82" s="17">
        <v>199</v>
      </c>
      <c r="L82" s="21">
        <v>0.90452261306532666</v>
      </c>
      <c r="M82" s="22">
        <v>5</v>
      </c>
      <c r="N82" s="96">
        <f t="shared" si="10"/>
        <v>0.18275702019029938</v>
      </c>
      <c r="O82" s="96">
        <f t="shared" si="11"/>
        <v>0.16530785745856225</v>
      </c>
      <c r="P82" s="96"/>
    </row>
    <row r="83" spans="1:16" s="2" customFormat="1" ht="21" hidden="1" customHeight="1">
      <c r="A83" s="17">
        <v>201710</v>
      </c>
      <c r="B83" s="14" t="s">
        <v>116</v>
      </c>
      <c r="C83" s="14" t="s">
        <v>36</v>
      </c>
      <c r="D83" s="15">
        <v>43124</v>
      </c>
      <c r="E83" s="88" t="s">
        <v>610</v>
      </c>
      <c r="F83" s="17">
        <v>432</v>
      </c>
      <c r="G83" s="16">
        <v>43127</v>
      </c>
      <c r="H83" s="14" t="s">
        <v>717</v>
      </c>
      <c r="I83" s="14" t="s">
        <v>747</v>
      </c>
      <c r="J83" s="17">
        <v>180</v>
      </c>
      <c r="K83" s="17">
        <v>199</v>
      </c>
      <c r="L83" s="21">
        <v>0.90452261306532666</v>
      </c>
      <c r="M83" s="22">
        <v>5</v>
      </c>
      <c r="N83" s="96">
        <f t="shared" si="10"/>
        <v>1.2531909955906242E-2</v>
      </c>
      <c r="O83" s="96">
        <f t="shared" si="11"/>
        <v>1.1335395940015697E-2</v>
      </c>
      <c r="P83" s="96"/>
    </row>
    <row r="84" spans="1:16" s="2" customFormat="1" ht="21" hidden="1" customHeight="1">
      <c r="A84" s="17">
        <v>201710</v>
      </c>
      <c r="B84" s="14" t="s">
        <v>117</v>
      </c>
      <c r="C84" s="14" t="s">
        <v>36</v>
      </c>
      <c r="D84" s="15">
        <v>43125</v>
      </c>
      <c r="E84" s="88" t="s">
        <v>611</v>
      </c>
      <c r="F84" s="17">
        <v>3660</v>
      </c>
      <c r="G84" s="16">
        <v>43137</v>
      </c>
      <c r="H84" s="14" t="s">
        <v>723</v>
      </c>
      <c r="I84" s="14" t="s">
        <v>747</v>
      </c>
      <c r="J84" s="17">
        <v>180</v>
      </c>
      <c r="K84" s="17">
        <v>199</v>
      </c>
      <c r="L84" s="21">
        <v>0.90452261306532666</v>
      </c>
      <c r="M84" s="22">
        <v>5</v>
      </c>
      <c r="N84" s="96">
        <f t="shared" si="10"/>
        <v>0.10617312601531678</v>
      </c>
      <c r="O84" s="96">
        <f t="shared" si="11"/>
        <v>9.603599338068855E-2</v>
      </c>
      <c r="P84" s="96"/>
    </row>
    <row r="85" spans="1:16" s="2" customFormat="1" ht="21" hidden="1" customHeight="1">
      <c r="A85" s="17">
        <v>201710</v>
      </c>
      <c r="B85" s="14" t="s">
        <v>118</v>
      </c>
      <c r="C85" s="14" t="s">
        <v>36</v>
      </c>
      <c r="D85" s="15">
        <v>43125</v>
      </c>
      <c r="E85" s="88" t="s">
        <v>611</v>
      </c>
      <c r="F85" s="17">
        <v>612</v>
      </c>
      <c r="G85" s="16">
        <v>43138</v>
      </c>
      <c r="H85" s="14" t="s">
        <v>717</v>
      </c>
      <c r="I85" s="14" t="s">
        <v>747</v>
      </c>
      <c r="J85" s="17">
        <v>180</v>
      </c>
      <c r="K85" s="17">
        <v>199</v>
      </c>
      <c r="L85" s="21">
        <v>0.90452261306532666</v>
      </c>
      <c r="M85" s="22">
        <v>5</v>
      </c>
      <c r="N85" s="96">
        <f t="shared" si="10"/>
        <v>1.7753539104200512E-2</v>
      </c>
      <c r="O85" s="96">
        <f t="shared" si="11"/>
        <v>1.6058477581688907E-2</v>
      </c>
      <c r="P85" s="96"/>
    </row>
    <row r="86" spans="1:16" s="2" customFormat="1" ht="21" hidden="1" customHeight="1">
      <c r="A86" s="17">
        <v>201710</v>
      </c>
      <c r="B86" s="14" t="s">
        <v>119</v>
      </c>
      <c r="C86" s="14" t="s">
        <v>36</v>
      </c>
      <c r="D86" s="15">
        <v>43127</v>
      </c>
      <c r="E86" s="88" t="s">
        <v>612</v>
      </c>
      <c r="F86" s="17">
        <v>1800</v>
      </c>
      <c r="G86" s="16">
        <v>43137</v>
      </c>
      <c r="H86" s="14" t="s">
        <v>723</v>
      </c>
      <c r="I86" s="14" t="s">
        <v>747</v>
      </c>
      <c r="J86" s="17">
        <v>170</v>
      </c>
      <c r="K86" s="17">
        <v>189</v>
      </c>
      <c r="L86" s="21">
        <v>0.89947089947089942</v>
      </c>
      <c r="M86" s="22">
        <v>5</v>
      </c>
      <c r="N86" s="96">
        <f t="shared" si="10"/>
        <v>5.2216291482942677E-2</v>
      </c>
      <c r="O86" s="96">
        <f t="shared" si="11"/>
        <v>4.6967034667197115E-2</v>
      </c>
      <c r="P86" s="96"/>
    </row>
    <row r="87" spans="1:16" s="2" customFormat="1" ht="21" hidden="1" customHeight="1">
      <c r="A87" s="17">
        <v>201711</v>
      </c>
      <c r="B87" s="14" t="s">
        <v>120</v>
      </c>
      <c r="C87" s="14" t="s">
        <v>36</v>
      </c>
      <c r="D87" s="15">
        <v>43130</v>
      </c>
      <c r="E87" s="88" t="s">
        <v>613</v>
      </c>
      <c r="F87" s="17">
        <v>1833</v>
      </c>
      <c r="G87" s="16">
        <v>43155</v>
      </c>
      <c r="H87" s="14" t="s">
        <v>718</v>
      </c>
      <c r="I87" s="14" t="s">
        <v>748</v>
      </c>
      <c r="J87" s="17">
        <v>180</v>
      </c>
      <c r="K87" s="17">
        <v>257</v>
      </c>
      <c r="L87" s="21">
        <v>0.70038910505836571</v>
      </c>
      <c r="M87" s="22">
        <v>7</v>
      </c>
      <c r="N87" s="96">
        <f>F87/$F$610</f>
        <v>0.76758793969849248</v>
      </c>
      <c r="O87" s="96">
        <f>L87*N87</f>
        <v>0.53761023013902198</v>
      </c>
      <c r="P87" s="96"/>
    </row>
    <row r="88" spans="1:16" s="2" customFormat="1" ht="21" hidden="1" customHeight="1">
      <c r="A88" s="17">
        <v>201711</v>
      </c>
      <c r="B88" s="14" t="s">
        <v>121</v>
      </c>
      <c r="C88" s="14" t="s">
        <v>36</v>
      </c>
      <c r="D88" s="15">
        <v>43130</v>
      </c>
      <c r="E88" s="88" t="s">
        <v>613</v>
      </c>
      <c r="F88" s="17">
        <v>6</v>
      </c>
      <c r="G88" s="16">
        <v>43155</v>
      </c>
      <c r="H88" s="14" t="s">
        <v>727</v>
      </c>
      <c r="I88" s="14" t="s">
        <v>748</v>
      </c>
      <c r="J88" s="17">
        <v>180</v>
      </c>
      <c r="K88" s="17">
        <v>257</v>
      </c>
      <c r="L88" s="21">
        <v>0.70038910505836571</v>
      </c>
      <c r="M88" s="22">
        <v>7</v>
      </c>
      <c r="N88" s="96">
        <f t="shared" ref="N88:N94" si="12">F88/$F$610</f>
        <v>2.5125628140703518E-3</v>
      </c>
      <c r="O88" s="96">
        <f t="shared" ref="O88:O94" si="13">L88*N88</f>
        <v>1.7597716207496626E-3</v>
      </c>
      <c r="P88" s="96"/>
    </row>
    <row r="89" spans="1:16" s="2" customFormat="1" ht="21" hidden="1" customHeight="1">
      <c r="A89" s="17">
        <v>201711</v>
      </c>
      <c r="B89" s="14" t="s">
        <v>122</v>
      </c>
      <c r="C89" s="14" t="s">
        <v>36</v>
      </c>
      <c r="D89" s="15">
        <v>43130</v>
      </c>
      <c r="E89" s="88" t="s">
        <v>613</v>
      </c>
      <c r="F89" s="17">
        <v>6</v>
      </c>
      <c r="G89" s="16">
        <v>43155</v>
      </c>
      <c r="H89" s="14" t="s">
        <v>727</v>
      </c>
      <c r="I89" s="14" t="s">
        <v>748</v>
      </c>
      <c r="J89" s="17">
        <v>180</v>
      </c>
      <c r="K89" s="17">
        <v>257</v>
      </c>
      <c r="L89" s="21">
        <v>0.70038910505836571</v>
      </c>
      <c r="M89" s="22">
        <v>7</v>
      </c>
      <c r="N89" s="96">
        <f t="shared" si="12"/>
        <v>2.5125628140703518E-3</v>
      </c>
      <c r="O89" s="96">
        <f t="shared" si="13"/>
        <v>1.7597716207496626E-3</v>
      </c>
      <c r="P89" s="96"/>
    </row>
    <row r="90" spans="1:16" s="2" customFormat="1" ht="21" hidden="1" customHeight="1">
      <c r="A90" s="17">
        <v>201711</v>
      </c>
      <c r="B90" s="14" t="s">
        <v>123</v>
      </c>
      <c r="C90" s="14" t="s">
        <v>36</v>
      </c>
      <c r="D90" s="15">
        <v>43130</v>
      </c>
      <c r="E90" s="88" t="s">
        <v>613</v>
      </c>
      <c r="F90" s="17">
        <v>6</v>
      </c>
      <c r="G90" s="16">
        <v>43155</v>
      </c>
      <c r="H90" s="14" t="s">
        <v>727</v>
      </c>
      <c r="I90" s="14" t="s">
        <v>748</v>
      </c>
      <c r="J90" s="17">
        <v>180</v>
      </c>
      <c r="K90" s="17">
        <v>257</v>
      </c>
      <c r="L90" s="21">
        <v>0.70038910505836571</v>
      </c>
      <c r="M90" s="22">
        <v>7</v>
      </c>
      <c r="N90" s="96">
        <f t="shared" si="12"/>
        <v>2.5125628140703518E-3</v>
      </c>
      <c r="O90" s="96">
        <f t="shared" si="13"/>
        <v>1.7597716207496626E-3</v>
      </c>
      <c r="P90" s="96"/>
    </row>
    <row r="91" spans="1:16" s="2" customFormat="1" ht="21" hidden="1" customHeight="1">
      <c r="A91" s="17">
        <v>201711</v>
      </c>
      <c r="B91" s="14" t="s">
        <v>124</v>
      </c>
      <c r="C91" s="14" t="s">
        <v>36</v>
      </c>
      <c r="D91" s="15">
        <v>43131</v>
      </c>
      <c r="E91" s="88" t="s">
        <v>613</v>
      </c>
      <c r="F91" s="17">
        <v>504</v>
      </c>
      <c r="G91" s="16">
        <v>43155</v>
      </c>
      <c r="H91" s="14" t="s">
        <v>719</v>
      </c>
      <c r="I91" s="14" t="s">
        <v>748</v>
      </c>
      <c r="J91" s="17">
        <v>180</v>
      </c>
      <c r="K91" s="17">
        <v>257</v>
      </c>
      <c r="L91" s="21">
        <v>0.70038910505836571</v>
      </c>
      <c r="M91" s="22">
        <v>7</v>
      </c>
      <c r="N91" s="96">
        <f t="shared" si="12"/>
        <v>0.21105527638190955</v>
      </c>
      <c r="O91" s="96">
        <f t="shared" si="13"/>
        <v>0.14782081614297166</v>
      </c>
      <c r="P91" s="96"/>
    </row>
    <row r="92" spans="1:16" s="2" customFormat="1" ht="21" hidden="1" customHeight="1">
      <c r="A92" s="17">
        <v>201711</v>
      </c>
      <c r="B92" s="14" t="s">
        <v>125</v>
      </c>
      <c r="C92" s="14" t="s">
        <v>36</v>
      </c>
      <c r="D92" s="15">
        <v>43131</v>
      </c>
      <c r="E92" s="88" t="s">
        <v>613</v>
      </c>
      <c r="F92" s="17">
        <v>9</v>
      </c>
      <c r="G92" s="16">
        <v>43155</v>
      </c>
      <c r="H92" s="14" t="s">
        <v>727</v>
      </c>
      <c r="I92" s="14" t="s">
        <v>748</v>
      </c>
      <c r="J92" s="17">
        <v>180</v>
      </c>
      <c r="K92" s="17">
        <v>257</v>
      </c>
      <c r="L92" s="21">
        <v>0.70038910505836571</v>
      </c>
      <c r="M92" s="22">
        <v>7</v>
      </c>
      <c r="N92" s="96">
        <f t="shared" si="12"/>
        <v>3.7688442211055275E-3</v>
      </c>
      <c r="O92" s="96">
        <f t="shared" si="13"/>
        <v>2.6396574311244939E-3</v>
      </c>
      <c r="P92" s="96"/>
    </row>
    <row r="93" spans="1:16" s="2" customFormat="1" ht="21" hidden="1" customHeight="1">
      <c r="A93" s="17">
        <v>201711</v>
      </c>
      <c r="B93" s="14" t="s">
        <v>126</v>
      </c>
      <c r="C93" s="14" t="s">
        <v>36</v>
      </c>
      <c r="D93" s="15">
        <v>43131</v>
      </c>
      <c r="E93" s="88" t="s">
        <v>613</v>
      </c>
      <c r="F93" s="17">
        <v>12</v>
      </c>
      <c r="G93" s="16">
        <v>43155</v>
      </c>
      <c r="H93" s="14" t="s">
        <v>727</v>
      </c>
      <c r="I93" s="14" t="s">
        <v>748</v>
      </c>
      <c r="J93" s="17">
        <v>180</v>
      </c>
      <c r="K93" s="17">
        <v>257</v>
      </c>
      <c r="L93" s="21">
        <v>0.70038910505836571</v>
      </c>
      <c r="M93" s="22">
        <v>7</v>
      </c>
      <c r="N93" s="96">
        <f t="shared" si="12"/>
        <v>5.0251256281407036E-3</v>
      </c>
      <c r="O93" s="96">
        <f t="shared" si="13"/>
        <v>3.5195432414993253E-3</v>
      </c>
      <c r="P93" s="96"/>
    </row>
    <row r="94" spans="1:16" s="2" customFormat="1" ht="21" hidden="1" customHeight="1" thickBot="1">
      <c r="A94" s="17">
        <v>201711</v>
      </c>
      <c r="B94" s="14" t="s">
        <v>127</v>
      </c>
      <c r="C94" s="14" t="s">
        <v>36</v>
      </c>
      <c r="D94" s="15">
        <v>43131</v>
      </c>
      <c r="E94" s="88" t="s">
        <v>613</v>
      </c>
      <c r="F94" s="17">
        <v>12</v>
      </c>
      <c r="G94" s="16">
        <v>43155</v>
      </c>
      <c r="H94" s="14" t="s">
        <v>727</v>
      </c>
      <c r="I94" s="14" t="s">
        <v>748</v>
      </c>
      <c r="J94" s="17">
        <v>180</v>
      </c>
      <c r="K94" s="17">
        <v>257</v>
      </c>
      <c r="L94" s="21">
        <v>0.70038910505836571</v>
      </c>
      <c r="M94" s="22">
        <v>7</v>
      </c>
      <c r="N94" s="96">
        <f t="shared" si="12"/>
        <v>5.0251256281407036E-3</v>
      </c>
      <c r="O94" s="96">
        <f t="shared" si="13"/>
        <v>3.5195432414993253E-3</v>
      </c>
      <c r="P94" s="96"/>
    </row>
    <row r="95" spans="1:16" s="2" customFormat="1" ht="27.75" hidden="1" customHeight="1" thickTop="1" thickBot="1">
      <c r="A95" s="17"/>
      <c r="B95" s="14"/>
      <c r="C95" s="14"/>
      <c r="D95" s="15"/>
      <c r="E95" s="88"/>
      <c r="F95" s="39">
        <f>SUM(F74:F94)</f>
        <v>36860</v>
      </c>
      <c r="G95" s="23"/>
      <c r="H95" s="14"/>
      <c r="I95" s="14"/>
      <c r="J95" s="17"/>
      <c r="K95" s="17"/>
      <c r="L95" s="21"/>
      <c r="M95" s="22"/>
      <c r="N95" s="96"/>
      <c r="O95" s="96"/>
      <c r="P95" s="96"/>
    </row>
    <row r="96" spans="1:16" s="2" customFormat="1" ht="21" hidden="1" customHeight="1" thickTop="1">
      <c r="A96" s="17">
        <v>201712</v>
      </c>
      <c r="B96" s="14" t="s">
        <v>794</v>
      </c>
      <c r="C96" s="14" t="s">
        <v>35</v>
      </c>
      <c r="D96" s="15">
        <v>42737</v>
      </c>
      <c r="E96" s="88" t="s">
        <v>795</v>
      </c>
      <c r="F96" s="17">
        <v>5700</v>
      </c>
      <c r="G96" s="16">
        <v>43110</v>
      </c>
      <c r="H96" s="14" t="s">
        <v>717</v>
      </c>
      <c r="I96" s="14" t="s">
        <v>796</v>
      </c>
      <c r="J96" s="17">
        <v>210</v>
      </c>
      <c r="K96" s="17">
        <v>137</v>
      </c>
      <c r="L96" s="21">
        <v>1.53</v>
      </c>
      <c r="M96" s="22">
        <v>2</v>
      </c>
      <c r="N96" s="96"/>
      <c r="O96" s="96"/>
      <c r="P96" s="96"/>
    </row>
    <row r="97" spans="1:16" s="2" customFormat="1" ht="21" hidden="1" customHeight="1">
      <c r="A97" s="17">
        <v>201710</v>
      </c>
      <c r="B97" s="14" t="s">
        <v>128</v>
      </c>
      <c r="C97" s="14" t="s">
        <v>35</v>
      </c>
      <c r="D97" s="15">
        <v>43105</v>
      </c>
      <c r="E97" s="88" t="s">
        <v>614</v>
      </c>
      <c r="F97" s="17">
        <v>144</v>
      </c>
      <c r="G97" s="16">
        <v>43111</v>
      </c>
      <c r="H97" s="14" t="s">
        <v>718</v>
      </c>
      <c r="I97" s="14" t="s">
        <v>749</v>
      </c>
      <c r="J97" s="17">
        <v>190</v>
      </c>
      <c r="K97" s="17">
        <v>198</v>
      </c>
      <c r="L97" s="21">
        <v>0.95959595959595956</v>
      </c>
      <c r="M97" s="22">
        <v>5</v>
      </c>
      <c r="N97" s="97">
        <f>F97/$F$611</f>
        <v>4.449938195302843E-3</v>
      </c>
      <c r="O97" s="97">
        <f>L97*N97</f>
        <v>4.2701427126643444E-3</v>
      </c>
      <c r="P97" s="96"/>
    </row>
    <row r="98" spans="1:16" s="2" customFormat="1" ht="21" hidden="1" customHeight="1">
      <c r="A98" s="17">
        <v>201710</v>
      </c>
      <c r="B98" s="14" t="s">
        <v>129</v>
      </c>
      <c r="C98" s="14" t="s">
        <v>35</v>
      </c>
      <c r="D98" s="15">
        <v>43106</v>
      </c>
      <c r="E98" s="88" t="s">
        <v>614</v>
      </c>
      <c r="F98" s="17">
        <v>6000</v>
      </c>
      <c r="G98" s="16">
        <v>43128</v>
      </c>
      <c r="H98" s="14" t="s">
        <v>718</v>
      </c>
      <c r="I98" s="14" t="s">
        <v>749</v>
      </c>
      <c r="J98" s="17">
        <v>190</v>
      </c>
      <c r="K98" s="17">
        <v>198</v>
      </c>
      <c r="L98" s="21">
        <v>0.95959595959595956</v>
      </c>
      <c r="M98" s="22">
        <v>5</v>
      </c>
      <c r="N98" s="97">
        <f t="shared" ref="N98:N120" si="14">F98/$F$611</f>
        <v>0.18541409147095178</v>
      </c>
      <c r="O98" s="97">
        <f t="shared" ref="O98:O120" si="15">L98*N98</f>
        <v>0.177922613027681</v>
      </c>
      <c r="P98" s="96"/>
    </row>
    <row r="99" spans="1:16" s="2" customFormat="1" ht="21" hidden="1" customHeight="1">
      <c r="A99" s="17">
        <v>201710</v>
      </c>
      <c r="B99" s="14" t="s">
        <v>130</v>
      </c>
      <c r="C99" s="14" t="s">
        <v>35</v>
      </c>
      <c r="D99" s="15">
        <v>43111</v>
      </c>
      <c r="E99" s="88" t="s">
        <v>615</v>
      </c>
      <c r="F99" s="17">
        <v>612</v>
      </c>
      <c r="G99" s="16">
        <v>43127</v>
      </c>
      <c r="H99" s="14" t="s">
        <v>717</v>
      </c>
      <c r="I99" s="14" t="s">
        <v>750</v>
      </c>
      <c r="J99" s="17">
        <v>185</v>
      </c>
      <c r="K99" s="17">
        <v>190</v>
      </c>
      <c r="L99" s="21">
        <v>0.97368421052631582</v>
      </c>
      <c r="M99" s="22">
        <v>5</v>
      </c>
      <c r="N99" s="97">
        <f t="shared" si="14"/>
        <v>1.8912237330037083E-2</v>
      </c>
      <c r="O99" s="97">
        <f t="shared" si="15"/>
        <v>1.8414546873983476E-2</v>
      </c>
      <c r="P99" s="96"/>
    </row>
    <row r="100" spans="1:16" s="2" customFormat="1" ht="21" hidden="1" customHeight="1">
      <c r="A100" s="17">
        <v>201710</v>
      </c>
      <c r="B100" s="14" t="s">
        <v>131</v>
      </c>
      <c r="C100" s="14" t="s">
        <v>35</v>
      </c>
      <c r="D100" s="15">
        <v>43111</v>
      </c>
      <c r="E100" s="88" t="s">
        <v>616</v>
      </c>
      <c r="F100" s="17">
        <v>828</v>
      </c>
      <c r="G100" s="16">
        <v>43127</v>
      </c>
      <c r="H100" s="14" t="s">
        <v>717</v>
      </c>
      <c r="I100" s="14" t="s">
        <v>750</v>
      </c>
      <c r="J100" s="17">
        <v>185</v>
      </c>
      <c r="K100" s="17">
        <v>190</v>
      </c>
      <c r="L100" s="21">
        <v>0.97368421052631582</v>
      </c>
      <c r="M100" s="22">
        <v>5</v>
      </c>
      <c r="N100" s="97">
        <f t="shared" si="14"/>
        <v>2.5587144622991349E-2</v>
      </c>
      <c r="O100" s="97">
        <f t="shared" si="15"/>
        <v>2.4913798711859999E-2</v>
      </c>
      <c r="P100" s="96"/>
    </row>
    <row r="101" spans="1:16" s="2" customFormat="1" ht="21" hidden="1" customHeight="1">
      <c r="A101" s="17">
        <v>201710</v>
      </c>
      <c r="B101" s="14" t="s">
        <v>132</v>
      </c>
      <c r="C101" s="14" t="s">
        <v>35</v>
      </c>
      <c r="D101" s="15">
        <v>43111</v>
      </c>
      <c r="E101" s="88" t="s">
        <v>616</v>
      </c>
      <c r="F101" s="17">
        <v>132</v>
      </c>
      <c r="G101" s="16">
        <v>43127</v>
      </c>
      <c r="H101" s="14" t="s">
        <v>717</v>
      </c>
      <c r="I101" s="14" t="s">
        <v>750</v>
      </c>
      <c r="J101" s="17">
        <v>185</v>
      </c>
      <c r="K101" s="17">
        <v>190</v>
      </c>
      <c r="L101" s="21">
        <v>0.97368421052631582</v>
      </c>
      <c r="M101" s="22">
        <v>5</v>
      </c>
      <c r="N101" s="97">
        <f t="shared" si="14"/>
        <v>4.079110012360939E-3</v>
      </c>
      <c r="O101" s="97">
        <f t="shared" si="15"/>
        <v>3.9717650120356515E-3</v>
      </c>
      <c r="P101" s="96"/>
    </row>
    <row r="102" spans="1:16" s="2" customFormat="1" ht="21" hidden="1" customHeight="1">
      <c r="A102" s="17">
        <v>201710</v>
      </c>
      <c r="B102" s="14" t="s">
        <v>133</v>
      </c>
      <c r="C102" s="14" t="s">
        <v>35</v>
      </c>
      <c r="D102" s="15">
        <v>43112</v>
      </c>
      <c r="E102" s="88" t="s">
        <v>617</v>
      </c>
      <c r="F102" s="17">
        <v>204</v>
      </c>
      <c r="G102" s="16">
        <v>43127</v>
      </c>
      <c r="H102" s="14" t="s">
        <v>717</v>
      </c>
      <c r="I102" s="14" t="s">
        <v>750</v>
      </c>
      <c r="J102" s="17">
        <v>185</v>
      </c>
      <c r="K102" s="17">
        <v>190</v>
      </c>
      <c r="L102" s="21">
        <v>0.97368421052631582</v>
      </c>
      <c r="M102" s="22">
        <v>5</v>
      </c>
      <c r="N102" s="97">
        <f t="shared" si="14"/>
        <v>6.304079110012361E-3</v>
      </c>
      <c r="O102" s="97">
        <f t="shared" si="15"/>
        <v>6.1381822913278254E-3</v>
      </c>
      <c r="P102" s="96"/>
    </row>
    <row r="103" spans="1:16" s="2" customFormat="1" ht="21" hidden="1" customHeight="1">
      <c r="A103" s="17">
        <v>201710</v>
      </c>
      <c r="B103" s="14" t="s">
        <v>134</v>
      </c>
      <c r="C103" s="14" t="s">
        <v>35</v>
      </c>
      <c r="D103" s="15">
        <v>43112</v>
      </c>
      <c r="E103" s="88" t="s">
        <v>617</v>
      </c>
      <c r="F103" s="17">
        <v>828</v>
      </c>
      <c r="G103" s="16">
        <v>43127</v>
      </c>
      <c r="H103" s="14" t="s">
        <v>717</v>
      </c>
      <c r="I103" s="14" t="s">
        <v>750</v>
      </c>
      <c r="J103" s="17">
        <v>185</v>
      </c>
      <c r="K103" s="17">
        <v>190</v>
      </c>
      <c r="L103" s="21">
        <v>0.97368421052631582</v>
      </c>
      <c r="M103" s="22">
        <v>5</v>
      </c>
      <c r="N103" s="97">
        <f t="shared" si="14"/>
        <v>2.5587144622991349E-2</v>
      </c>
      <c r="O103" s="97">
        <f t="shared" si="15"/>
        <v>2.4913798711859999E-2</v>
      </c>
      <c r="P103" s="96"/>
    </row>
    <row r="104" spans="1:16" s="2" customFormat="1" ht="21" hidden="1" customHeight="1">
      <c r="A104" s="17">
        <v>201710</v>
      </c>
      <c r="B104" s="14" t="s">
        <v>135</v>
      </c>
      <c r="C104" s="14" t="s">
        <v>35</v>
      </c>
      <c r="D104" s="15">
        <v>43112</v>
      </c>
      <c r="E104" s="88" t="s">
        <v>615</v>
      </c>
      <c r="F104" s="17">
        <v>132</v>
      </c>
      <c r="G104" s="16">
        <v>43127</v>
      </c>
      <c r="H104" s="14" t="s">
        <v>717</v>
      </c>
      <c r="I104" s="14" t="s">
        <v>750</v>
      </c>
      <c r="J104" s="17">
        <v>185</v>
      </c>
      <c r="K104" s="17">
        <v>190</v>
      </c>
      <c r="L104" s="21">
        <v>0.97368421052631582</v>
      </c>
      <c r="M104" s="22">
        <v>5</v>
      </c>
      <c r="N104" s="97">
        <f t="shared" si="14"/>
        <v>4.079110012360939E-3</v>
      </c>
      <c r="O104" s="97">
        <f t="shared" si="15"/>
        <v>3.9717650120356515E-3</v>
      </c>
      <c r="P104" s="96"/>
    </row>
    <row r="105" spans="1:16" s="2" customFormat="1" ht="21" hidden="1" customHeight="1">
      <c r="A105" s="17">
        <v>201710</v>
      </c>
      <c r="B105" s="14" t="s">
        <v>136</v>
      </c>
      <c r="C105" s="14" t="s">
        <v>35</v>
      </c>
      <c r="D105" s="15">
        <v>43113</v>
      </c>
      <c r="E105" s="88" t="s">
        <v>617</v>
      </c>
      <c r="F105" s="17">
        <v>4692</v>
      </c>
      <c r="G105" s="16">
        <v>43138</v>
      </c>
      <c r="H105" s="14" t="s">
        <v>717</v>
      </c>
      <c r="I105" s="14" t="s">
        <v>750</v>
      </c>
      <c r="J105" s="17">
        <v>185</v>
      </c>
      <c r="K105" s="17">
        <v>190</v>
      </c>
      <c r="L105" s="21">
        <v>0.97368421052631582</v>
      </c>
      <c r="M105" s="22">
        <v>5</v>
      </c>
      <c r="N105" s="97">
        <f t="shared" si="14"/>
        <v>0.14499381953028431</v>
      </c>
      <c r="O105" s="97">
        <f t="shared" si="15"/>
        <v>0.14117819270054</v>
      </c>
      <c r="P105" s="96"/>
    </row>
    <row r="106" spans="1:16" s="2" customFormat="1" ht="21" hidden="1" customHeight="1">
      <c r="A106" s="17">
        <v>201710</v>
      </c>
      <c r="B106" s="14" t="s">
        <v>137</v>
      </c>
      <c r="C106" s="14" t="s">
        <v>35</v>
      </c>
      <c r="D106" s="15">
        <v>43113</v>
      </c>
      <c r="E106" s="88" t="s">
        <v>617</v>
      </c>
      <c r="F106" s="17">
        <v>120</v>
      </c>
      <c r="G106" s="16">
        <v>43138</v>
      </c>
      <c r="H106" s="14" t="s">
        <v>717</v>
      </c>
      <c r="I106" s="14" t="s">
        <v>750</v>
      </c>
      <c r="J106" s="17">
        <v>185</v>
      </c>
      <c r="K106" s="17">
        <v>190</v>
      </c>
      <c r="L106" s="21">
        <v>0.97368421052631582</v>
      </c>
      <c r="M106" s="22">
        <v>5</v>
      </c>
      <c r="N106" s="97">
        <f t="shared" si="14"/>
        <v>3.708281829419036E-3</v>
      </c>
      <c r="O106" s="97">
        <f t="shared" si="15"/>
        <v>3.610695465486956E-3</v>
      </c>
      <c r="P106" s="96"/>
    </row>
    <row r="107" spans="1:16" s="2" customFormat="1" ht="21" hidden="1" customHeight="1">
      <c r="A107" s="17">
        <v>201710</v>
      </c>
      <c r="B107" s="14" t="s">
        <v>138</v>
      </c>
      <c r="C107" s="14" t="s">
        <v>35</v>
      </c>
      <c r="D107" s="15">
        <v>43113</v>
      </c>
      <c r="E107" s="88" t="s">
        <v>617</v>
      </c>
      <c r="F107" s="17">
        <v>132</v>
      </c>
      <c r="G107" s="16">
        <v>43127</v>
      </c>
      <c r="H107" s="14" t="s">
        <v>717</v>
      </c>
      <c r="I107" s="14" t="s">
        <v>750</v>
      </c>
      <c r="J107" s="17">
        <v>185</v>
      </c>
      <c r="K107" s="17">
        <v>190</v>
      </c>
      <c r="L107" s="21">
        <v>0.97368421052631582</v>
      </c>
      <c r="M107" s="22">
        <v>5</v>
      </c>
      <c r="N107" s="97">
        <f t="shared" si="14"/>
        <v>4.079110012360939E-3</v>
      </c>
      <c r="O107" s="97">
        <f t="shared" si="15"/>
        <v>3.9717650120356515E-3</v>
      </c>
      <c r="P107" s="96"/>
    </row>
    <row r="108" spans="1:16" s="2" customFormat="1" ht="21" hidden="1" customHeight="1">
      <c r="A108" s="17">
        <v>201710</v>
      </c>
      <c r="B108" s="14" t="s">
        <v>139</v>
      </c>
      <c r="C108" s="14" t="s">
        <v>35</v>
      </c>
      <c r="D108" s="15">
        <v>43117</v>
      </c>
      <c r="E108" s="88" t="s">
        <v>616</v>
      </c>
      <c r="F108" s="17">
        <v>3900</v>
      </c>
      <c r="G108" s="16">
        <v>43132</v>
      </c>
      <c r="H108" s="14" t="s">
        <v>723</v>
      </c>
      <c r="I108" s="14" t="s">
        <v>750</v>
      </c>
      <c r="J108" s="17">
        <v>185</v>
      </c>
      <c r="K108" s="17">
        <v>190</v>
      </c>
      <c r="L108" s="21">
        <v>0.97368421052631582</v>
      </c>
      <c r="M108" s="22">
        <v>5</v>
      </c>
      <c r="N108" s="97">
        <f t="shared" si="14"/>
        <v>0.12051915945611867</v>
      </c>
      <c r="O108" s="97">
        <f t="shared" si="15"/>
        <v>0.11734760262832608</v>
      </c>
      <c r="P108" s="96"/>
    </row>
    <row r="109" spans="1:16" s="2" customFormat="1" ht="21" hidden="1" customHeight="1">
      <c r="A109" s="17">
        <v>201710</v>
      </c>
      <c r="B109" s="14" t="s">
        <v>143</v>
      </c>
      <c r="C109" s="14" t="s">
        <v>35</v>
      </c>
      <c r="D109" s="15">
        <v>43120</v>
      </c>
      <c r="E109" s="88" t="s">
        <v>615</v>
      </c>
      <c r="F109" s="17">
        <v>744</v>
      </c>
      <c r="G109" s="16">
        <v>43139</v>
      </c>
      <c r="H109" s="14" t="s">
        <v>720</v>
      </c>
      <c r="I109" s="14" t="s">
        <v>750</v>
      </c>
      <c r="J109" s="17">
        <v>185</v>
      </c>
      <c r="K109" s="17">
        <v>190</v>
      </c>
      <c r="L109" s="21">
        <v>0.97368421052631582</v>
      </c>
      <c r="M109" s="22">
        <v>5</v>
      </c>
      <c r="N109" s="97">
        <f t="shared" si="14"/>
        <v>2.2991347342398022E-2</v>
      </c>
      <c r="O109" s="97">
        <f t="shared" si="15"/>
        <v>2.2386311886019129E-2</v>
      </c>
      <c r="P109" s="96"/>
    </row>
    <row r="110" spans="1:16" s="2" customFormat="1" ht="21" hidden="1" customHeight="1">
      <c r="A110" s="17">
        <v>201710</v>
      </c>
      <c r="B110" s="14" t="s">
        <v>145</v>
      </c>
      <c r="C110" s="14" t="s">
        <v>35</v>
      </c>
      <c r="D110" s="15">
        <v>43120</v>
      </c>
      <c r="E110" s="88" t="s">
        <v>615</v>
      </c>
      <c r="F110" s="17">
        <v>4764</v>
      </c>
      <c r="G110" s="16">
        <v>43132</v>
      </c>
      <c r="H110" s="14" t="s">
        <v>723</v>
      </c>
      <c r="I110" s="14" t="s">
        <v>750</v>
      </c>
      <c r="J110" s="17">
        <v>185</v>
      </c>
      <c r="K110" s="17">
        <v>190</v>
      </c>
      <c r="L110" s="21">
        <v>0.97368421052631582</v>
      </c>
      <c r="M110" s="22">
        <v>5</v>
      </c>
      <c r="N110" s="97">
        <f t="shared" si="14"/>
        <v>0.14721878862793572</v>
      </c>
      <c r="O110" s="97">
        <f t="shared" si="15"/>
        <v>0.14334460997983214</v>
      </c>
      <c r="P110" s="96"/>
    </row>
    <row r="111" spans="1:16" s="2" customFormat="1" ht="21" hidden="1" customHeight="1">
      <c r="A111" s="17">
        <v>201710</v>
      </c>
      <c r="B111" s="14" t="s">
        <v>141</v>
      </c>
      <c r="C111" s="14" t="s">
        <v>35</v>
      </c>
      <c r="D111" s="15">
        <v>43125</v>
      </c>
      <c r="E111" s="88" t="s">
        <v>616</v>
      </c>
      <c r="F111" s="17">
        <v>408</v>
      </c>
      <c r="G111" s="16">
        <v>43138</v>
      </c>
      <c r="H111" s="14" t="s">
        <v>717</v>
      </c>
      <c r="I111" s="14" t="s">
        <v>750</v>
      </c>
      <c r="J111" s="17">
        <v>185</v>
      </c>
      <c r="K111" s="17">
        <v>190</v>
      </c>
      <c r="L111" s="21">
        <v>0.97368421052631582</v>
      </c>
      <c r="M111" s="22">
        <v>5</v>
      </c>
      <c r="N111" s="97">
        <f t="shared" si="14"/>
        <v>1.2608158220024722E-2</v>
      </c>
      <c r="O111" s="97">
        <f t="shared" si="15"/>
        <v>1.2276364582655651E-2</v>
      </c>
      <c r="P111" s="96"/>
    </row>
    <row r="112" spans="1:16" s="2" customFormat="1" ht="21" hidden="1" customHeight="1">
      <c r="A112" s="17">
        <v>201710</v>
      </c>
      <c r="B112" s="14" t="s">
        <v>142</v>
      </c>
      <c r="C112" s="14" t="s">
        <v>35</v>
      </c>
      <c r="D112" s="15">
        <v>43125</v>
      </c>
      <c r="E112" s="88" t="s">
        <v>616</v>
      </c>
      <c r="F112" s="17">
        <v>300</v>
      </c>
      <c r="G112" s="16">
        <v>43138</v>
      </c>
      <c r="H112" s="14" t="s">
        <v>717</v>
      </c>
      <c r="I112" s="14" t="s">
        <v>750</v>
      </c>
      <c r="J112" s="17">
        <v>185</v>
      </c>
      <c r="K112" s="17">
        <v>190</v>
      </c>
      <c r="L112" s="21">
        <v>0.97368421052631582</v>
      </c>
      <c r="M112" s="22">
        <v>5</v>
      </c>
      <c r="N112" s="97">
        <f t="shared" si="14"/>
        <v>9.270704573547589E-3</v>
      </c>
      <c r="O112" s="97">
        <f t="shared" si="15"/>
        <v>9.0267386637173895E-3</v>
      </c>
      <c r="P112" s="96"/>
    </row>
    <row r="113" spans="1:16" s="2" customFormat="1" ht="21" hidden="1" customHeight="1">
      <c r="A113" s="17">
        <v>201710</v>
      </c>
      <c r="B113" s="14" t="s">
        <v>144</v>
      </c>
      <c r="C113" s="14" t="s">
        <v>35</v>
      </c>
      <c r="D113" s="15">
        <v>43125</v>
      </c>
      <c r="E113" s="88" t="s">
        <v>616</v>
      </c>
      <c r="F113" s="17">
        <v>4320</v>
      </c>
      <c r="G113" s="16">
        <v>43138</v>
      </c>
      <c r="H113" s="14" t="s">
        <v>717</v>
      </c>
      <c r="I113" s="14" t="s">
        <v>750</v>
      </c>
      <c r="J113" s="17">
        <v>185</v>
      </c>
      <c r="K113" s="17">
        <v>190</v>
      </c>
      <c r="L113" s="21">
        <v>0.97368421052631582</v>
      </c>
      <c r="M113" s="22">
        <v>5</v>
      </c>
      <c r="N113" s="97">
        <f t="shared" si="14"/>
        <v>0.13349814585908529</v>
      </c>
      <c r="O113" s="97">
        <f t="shared" si="15"/>
        <v>0.12998503675753043</v>
      </c>
      <c r="P113" s="96"/>
    </row>
    <row r="114" spans="1:16" s="2" customFormat="1" ht="21" hidden="1" customHeight="1">
      <c r="A114" s="17">
        <v>201710</v>
      </c>
      <c r="B114" s="14" t="s">
        <v>146</v>
      </c>
      <c r="C114" s="14" t="s">
        <v>35</v>
      </c>
      <c r="D114" s="15">
        <v>43129</v>
      </c>
      <c r="E114" s="88" t="s">
        <v>618</v>
      </c>
      <c r="F114" s="17">
        <v>600</v>
      </c>
      <c r="G114" s="16">
        <v>43138</v>
      </c>
      <c r="H114" s="14" t="s">
        <v>717</v>
      </c>
      <c r="I114" s="14" t="s">
        <v>750</v>
      </c>
      <c r="J114" s="17">
        <v>185</v>
      </c>
      <c r="K114" s="17">
        <v>190</v>
      </c>
      <c r="L114" s="21">
        <v>0.97368421052631582</v>
      </c>
      <c r="M114" s="22">
        <v>5</v>
      </c>
      <c r="N114" s="97">
        <f t="shared" si="14"/>
        <v>1.8541409147095178E-2</v>
      </c>
      <c r="O114" s="97">
        <f t="shared" si="15"/>
        <v>1.8053477327434779E-2</v>
      </c>
      <c r="P114" s="96"/>
    </row>
    <row r="115" spans="1:16" s="2" customFormat="1" ht="21" hidden="1" customHeight="1">
      <c r="A115" s="17">
        <v>201710</v>
      </c>
      <c r="B115" s="14" t="s">
        <v>148</v>
      </c>
      <c r="C115" s="14" t="s">
        <v>35</v>
      </c>
      <c r="D115" s="15">
        <v>43129</v>
      </c>
      <c r="E115" s="88" t="s">
        <v>618</v>
      </c>
      <c r="F115" s="17">
        <v>120</v>
      </c>
      <c r="G115" s="16">
        <v>43138</v>
      </c>
      <c r="H115" s="14" t="s">
        <v>717</v>
      </c>
      <c r="I115" s="14" t="s">
        <v>750</v>
      </c>
      <c r="J115" s="17">
        <v>185</v>
      </c>
      <c r="K115" s="17">
        <v>190</v>
      </c>
      <c r="L115" s="21">
        <v>0.97368421052631582</v>
      </c>
      <c r="M115" s="22">
        <v>5</v>
      </c>
      <c r="N115" s="97">
        <f t="shared" si="14"/>
        <v>3.708281829419036E-3</v>
      </c>
      <c r="O115" s="97">
        <f t="shared" si="15"/>
        <v>3.610695465486956E-3</v>
      </c>
      <c r="P115" s="96"/>
    </row>
    <row r="116" spans="1:16" s="2" customFormat="1" ht="21" hidden="1" customHeight="1">
      <c r="A116" s="17">
        <v>201710</v>
      </c>
      <c r="B116" s="14" t="s">
        <v>149</v>
      </c>
      <c r="C116" s="14" t="s">
        <v>35</v>
      </c>
      <c r="D116" s="15">
        <v>43129</v>
      </c>
      <c r="E116" s="88" t="s">
        <v>618</v>
      </c>
      <c r="F116" s="17">
        <v>192</v>
      </c>
      <c r="G116" s="16">
        <v>43138</v>
      </c>
      <c r="H116" s="14" t="s">
        <v>717</v>
      </c>
      <c r="I116" s="14" t="s">
        <v>750</v>
      </c>
      <c r="J116" s="17">
        <v>185</v>
      </c>
      <c r="K116" s="17">
        <v>190</v>
      </c>
      <c r="L116" s="21">
        <v>0.97368421052631582</v>
      </c>
      <c r="M116" s="22">
        <v>5</v>
      </c>
      <c r="N116" s="97">
        <f t="shared" si="14"/>
        <v>5.933250927070457E-3</v>
      </c>
      <c r="O116" s="97">
        <f t="shared" si="15"/>
        <v>5.777112744779129E-3</v>
      </c>
      <c r="P116" s="96"/>
    </row>
    <row r="117" spans="1:16" s="2" customFormat="1" ht="21" hidden="1" customHeight="1">
      <c r="A117" s="17">
        <v>201710</v>
      </c>
      <c r="B117" s="14" t="s">
        <v>147</v>
      </c>
      <c r="C117" s="14" t="s">
        <v>35</v>
      </c>
      <c r="D117" s="15">
        <v>43130</v>
      </c>
      <c r="E117" s="88" t="s">
        <v>618</v>
      </c>
      <c r="F117" s="17">
        <v>600</v>
      </c>
      <c r="G117" s="16">
        <v>43138</v>
      </c>
      <c r="H117" s="14" t="s">
        <v>717</v>
      </c>
      <c r="I117" s="14" t="s">
        <v>750</v>
      </c>
      <c r="J117" s="17">
        <v>185</v>
      </c>
      <c r="K117" s="17">
        <v>190</v>
      </c>
      <c r="L117" s="21">
        <v>0.97368421052631582</v>
      </c>
      <c r="M117" s="22">
        <v>5</v>
      </c>
      <c r="N117" s="97">
        <f t="shared" si="14"/>
        <v>1.8541409147095178E-2</v>
      </c>
      <c r="O117" s="97">
        <f t="shared" si="15"/>
        <v>1.8053477327434779E-2</v>
      </c>
      <c r="P117" s="96"/>
    </row>
    <row r="118" spans="1:16" s="2" customFormat="1" ht="21" hidden="1" customHeight="1">
      <c r="A118" s="17">
        <v>201710</v>
      </c>
      <c r="B118" s="14" t="s">
        <v>150</v>
      </c>
      <c r="C118" s="14" t="s">
        <v>35</v>
      </c>
      <c r="D118" s="15">
        <v>43130</v>
      </c>
      <c r="E118" s="88" t="s">
        <v>618</v>
      </c>
      <c r="F118" s="17">
        <v>660</v>
      </c>
      <c r="G118" s="16">
        <v>43138</v>
      </c>
      <c r="H118" s="14" t="s">
        <v>717</v>
      </c>
      <c r="I118" s="14" t="s">
        <v>750</v>
      </c>
      <c r="J118" s="17">
        <v>185</v>
      </c>
      <c r="K118" s="17">
        <v>190</v>
      </c>
      <c r="L118" s="21">
        <v>0.97368421052631582</v>
      </c>
      <c r="M118" s="22">
        <v>5</v>
      </c>
      <c r="N118" s="97">
        <f t="shared" si="14"/>
        <v>2.0395550061804699E-2</v>
      </c>
      <c r="O118" s="97">
        <f t="shared" si="15"/>
        <v>1.9858825060178258E-2</v>
      </c>
      <c r="P118" s="96"/>
    </row>
    <row r="119" spans="1:16" s="2" customFormat="1" ht="21" hidden="1" customHeight="1">
      <c r="A119" s="17">
        <v>201710</v>
      </c>
      <c r="B119" s="14" t="s">
        <v>151</v>
      </c>
      <c r="C119" s="14" t="s">
        <v>35</v>
      </c>
      <c r="D119" s="15">
        <v>43131</v>
      </c>
      <c r="E119" s="88" t="s">
        <v>618</v>
      </c>
      <c r="F119" s="17">
        <v>600</v>
      </c>
      <c r="G119" s="16">
        <v>43138</v>
      </c>
      <c r="H119" s="14" t="s">
        <v>717</v>
      </c>
      <c r="I119" s="14" t="s">
        <v>750</v>
      </c>
      <c r="J119" s="17">
        <v>185</v>
      </c>
      <c r="K119" s="17">
        <v>190</v>
      </c>
      <c r="L119" s="21">
        <v>0.97368421052631582</v>
      </c>
      <c r="M119" s="22">
        <v>5</v>
      </c>
      <c r="N119" s="97">
        <f t="shared" si="14"/>
        <v>1.8541409147095178E-2</v>
      </c>
      <c r="O119" s="97">
        <f t="shared" si="15"/>
        <v>1.8053477327434779E-2</v>
      </c>
      <c r="P119" s="96"/>
    </row>
    <row r="120" spans="1:16" s="2" customFormat="1" ht="21" hidden="1" customHeight="1">
      <c r="A120" s="17">
        <v>201710</v>
      </c>
      <c r="B120" s="14" t="s">
        <v>152</v>
      </c>
      <c r="C120" s="14" t="s">
        <v>35</v>
      </c>
      <c r="D120" s="15">
        <v>43131</v>
      </c>
      <c r="E120" s="88" t="s">
        <v>618</v>
      </c>
      <c r="F120" s="17">
        <f>3372-2044</f>
        <v>1328</v>
      </c>
      <c r="G120" s="16">
        <v>43138</v>
      </c>
      <c r="H120" s="14" t="s">
        <v>717</v>
      </c>
      <c r="I120" s="14" t="s">
        <v>750</v>
      </c>
      <c r="J120" s="17">
        <v>185</v>
      </c>
      <c r="K120" s="17">
        <v>190</v>
      </c>
      <c r="L120" s="21">
        <v>0.97368421052631582</v>
      </c>
      <c r="M120" s="22">
        <v>5</v>
      </c>
      <c r="N120" s="97">
        <f t="shared" si="14"/>
        <v>4.1038318912237332E-2</v>
      </c>
      <c r="O120" s="97">
        <f t="shared" si="15"/>
        <v>3.9958363151388981E-2</v>
      </c>
      <c r="P120" s="96"/>
    </row>
    <row r="121" spans="1:16" s="2" customFormat="1" ht="21" hidden="1" customHeight="1">
      <c r="A121" s="17"/>
      <c r="B121" s="14"/>
      <c r="C121" s="14"/>
      <c r="D121" s="15"/>
      <c r="E121" s="88"/>
      <c r="F121" s="39">
        <f>SUM(F96:F120)</f>
        <v>38060</v>
      </c>
      <c r="G121" s="17"/>
      <c r="H121" s="14"/>
      <c r="I121" s="14"/>
      <c r="J121" s="17"/>
      <c r="K121" s="17"/>
      <c r="L121" s="21"/>
      <c r="M121" s="22"/>
      <c r="N121" s="96"/>
      <c r="O121" s="96"/>
      <c r="P121" s="96"/>
    </row>
    <row r="122" spans="1:16" s="2" customFormat="1" ht="21" hidden="1" customHeight="1">
      <c r="A122" s="17">
        <v>201709</v>
      </c>
      <c r="B122" s="14" t="s">
        <v>797</v>
      </c>
      <c r="C122" s="14" t="s">
        <v>34</v>
      </c>
      <c r="D122" s="15">
        <v>42737</v>
      </c>
      <c r="E122" s="88" t="s">
        <v>798</v>
      </c>
      <c r="F122" s="17">
        <v>1860</v>
      </c>
      <c r="G122" s="16">
        <v>43113</v>
      </c>
      <c r="H122" s="14" t="s">
        <v>720</v>
      </c>
      <c r="I122" s="14" t="s">
        <v>753</v>
      </c>
      <c r="J122" s="17">
        <v>185</v>
      </c>
      <c r="K122" s="17">
        <v>201</v>
      </c>
      <c r="L122" s="21">
        <v>0.92</v>
      </c>
      <c r="M122" s="22">
        <v>5</v>
      </c>
      <c r="N122" s="96">
        <f>F122/$F$612</f>
        <v>6.1467283542630535E-2</v>
      </c>
      <c r="O122" s="96">
        <f>L122*N122</f>
        <v>5.6549900859220098E-2</v>
      </c>
      <c r="P122" s="96"/>
    </row>
    <row r="123" spans="1:16" s="2" customFormat="1" ht="21" hidden="1" customHeight="1">
      <c r="A123" s="17">
        <v>201709</v>
      </c>
      <c r="B123" s="14" t="s">
        <v>810</v>
      </c>
      <c r="C123" s="14" t="s">
        <v>34</v>
      </c>
      <c r="D123" s="15">
        <v>42737</v>
      </c>
      <c r="E123" s="88" t="s">
        <v>798</v>
      </c>
      <c r="F123" s="17">
        <v>848</v>
      </c>
      <c r="G123" s="16">
        <v>43113</v>
      </c>
      <c r="H123" s="14" t="s">
        <v>720</v>
      </c>
      <c r="I123" s="14" t="s">
        <v>753</v>
      </c>
      <c r="J123" s="17">
        <v>185</v>
      </c>
      <c r="K123" s="17">
        <v>201</v>
      </c>
      <c r="L123" s="21">
        <v>0.92</v>
      </c>
      <c r="M123" s="22">
        <v>5</v>
      </c>
      <c r="N123" s="96">
        <f>F123/$F$612</f>
        <v>2.8023793787177793E-2</v>
      </c>
      <c r="O123" s="96">
        <f>L123*N123</f>
        <v>2.5781890284203572E-2</v>
      </c>
      <c r="P123" s="96"/>
    </row>
    <row r="124" spans="1:16" s="2" customFormat="1" ht="21" hidden="1" customHeight="1">
      <c r="A124" s="17">
        <v>201710</v>
      </c>
      <c r="B124" s="14" t="s">
        <v>153</v>
      </c>
      <c r="C124" s="14" t="s">
        <v>34</v>
      </c>
      <c r="D124" s="15">
        <v>43104</v>
      </c>
      <c r="E124" s="88" t="s">
        <v>619</v>
      </c>
      <c r="F124" s="17">
        <v>708</v>
      </c>
      <c r="G124" s="16">
        <v>43161</v>
      </c>
      <c r="H124" s="14" t="s">
        <v>728</v>
      </c>
      <c r="I124" s="14" t="s">
        <v>751</v>
      </c>
      <c r="J124" s="17">
        <v>160</v>
      </c>
      <c r="K124" s="17">
        <v>204</v>
      </c>
      <c r="L124" s="21">
        <v>0.78431372549019607</v>
      </c>
      <c r="M124" s="22">
        <v>6</v>
      </c>
      <c r="N124" s="96">
        <f>F124/$F$613</f>
        <v>0.11683168316831684</v>
      </c>
      <c r="O124" s="96">
        <f>L124*N124</f>
        <v>9.1632692681032815E-2</v>
      </c>
      <c r="P124" s="96"/>
    </row>
    <row r="125" spans="1:16" s="2" customFormat="1" ht="21" hidden="1" customHeight="1">
      <c r="A125" s="17">
        <v>201710</v>
      </c>
      <c r="B125" s="14" t="s">
        <v>154</v>
      </c>
      <c r="C125" s="14" t="s">
        <v>34</v>
      </c>
      <c r="D125" s="15">
        <v>43104</v>
      </c>
      <c r="E125" s="88" t="s">
        <v>619</v>
      </c>
      <c r="F125" s="17">
        <v>276</v>
      </c>
      <c r="G125" s="16">
        <v>43154</v>
      </c>
      <c r="H125" s="14" t="s">
        <v>717</v>
      </c>
      <c r="I125" s="14" t="s">
        <v>751</v>
      </c>
      <c r="J125" s="17">
        <v>160</v>
      </c>
      <c r="K125" s="17">
        <v>204</v>
      </c>
      <c r="L125" s="21">
        <v>0.78431372549019607</v>
      </c>
      <c r="M125" s="22">
        <v>6</v>
      </c>
      <c r="N125" s="96">
        <f t="shared" ref="N125:N130" si="16">F125/$F$613</f>
        <v>4.5544554455445543E-2</v>
      </c>
      <c r="O125" s="96">
        <f t="shared" ref="O125:O130" si="17">L125*N125</f>
        <v>3.5721219180741601E-2</v>
      </c>
      <c r="P125" s="96"/>
    </row>
    <row r="126" spans="1:16" s="2" customFormat="1" ht="21" hidden="1" customHeight="1">
      <c r="A126" s="17">
        <v>201710</v>
      </c>
      <c r="B126" s="14" t="s">
        <v>155</v>
      </c>
      <c r="C126" s="14" t="s">
        <v>34</v>
      </c>
      <c r="D126" s="15">
        <v>43105</v>
      </c>
      <c r="E126" s="88" t="s">
        <v>619</v>
      </c>
      <c r="F126" s="17">
        <v>120</v>
      </c>
      <c r="G126" s="16">
        <v>43113</v>
      </c>
      <c r="H126" s="14" t="s">
        <v>718</v>
      </c>
      <c r="I126" s="14" t="s">
        <v>751</v>
      </c>
      <c r="J126" s="17">
        <v>160</v>
      </c>
      <c r="K126" s="17">
        <v>204</v>
      </c>
      <c r="L126" s="21">
        <v>0.78431372549019607</v>
      </c>
      <c r="M126" s="22">
        <v>6</v>
      </c>
      <c r="N126" s="96">
        <f t="shared" si="16"/>
        <v>1.9801980198019802E-2</v>
      </c>
      <c r="O126" s="96">
        <f t="shared" si="17"/>
        <v>1.5530964861192001E-2</v>
      </c>
      <c r="P126" s="96"/>
    </row>
    <row r="127" spans="1:16" s="2" customFormat="1" ht="21" hidden="1" customHeight="1">
      <c r="A127" s="17">
        <v>201710</v>
      </c>
      <c r="B127" s="14" t="s">
        <v>156</v>
      </c>
      <c r="C127" s="14" t="s">
        <v>34</v>
      </c>
      <c r="D127" s="15">
        <v>43105</v>
      </c>
      <c r="E127" s="88" t="s">
        <v>619</v>
      </c>
      <c r="F127" s="17">
        <v>1548</v>
      </c>
      <c r="G127" s="16">
        <v>43125</v>
      </c>
      <c r="H127" s="14" t="s">
        <v>718</v>
      </c>
      <c r="I127" s="14" t="s">
        <v>751</v>
      </c>
      <c r="J127" s="17">
        <v>160</v>
      </c>
      <c r="K127" s="17">
        <v>204</v>
      </c>
      <c r="L127" s="21">
        <v>0.78431372549019607</v>
      </c>
      <c r="M127" s="22">
        <v>6</v>
      </c>
      <c r="N127" s="96">
        <f t="shared" si="16"/>
        <v>0.25544554455445545</v>
      </c>
      <c r="O127" s="96">
        <f t="shared" si="17"/>
        <v>0.20034944670937682</v>
      </c>
      <c r="P127" s="96"/>
    </row>
    <row r="128" spans="1:16" s="2" customFormat="1" ht="21" hidden="1" customHeight="1">
      <c r="A128" s="17">
        <v>201710</v>
      </c>
      <c r="B128" s="14" t="s">
        <v>157</v>
      </c>
      <c r="C128" s="14" t="s">
        <v>34</v>
      </c>
      <c r="D128" s="15">
        <v>43106</v>
      </c>
      <c r="E128" s="88" t="s">
        <v>620</v>
      </c>
      <c r="F128" s="17">
        <v>324</v>
      </c>
      <c r="G128" s="16">
        <v>43113</v>
      </c>
      <c r="H128" s="14" t="s">
        <v>718</v>
      </c>
      <c r="I128" s="14" t="s">
        <v>751</v>
      </c>
      <c r="J128" s="17">
        <v>160</v>
      </c>
      <c r="K128" s="17">
        <v>204</v>
      </c>
      <c r="L128" s="21">
        <v>0.78431372549019607</v>
      </c>
      <c r="M128" s="22">
        <v>6</v>
      </c>
      <c r="N128" s="96">
        <f t="shared" si="16"/>
        <v>5.3465346534653464E-2</v>
      </c>
      <c r="O128" s="96">
        <f t="shared" si="17"/>
        <v>4.1933605125218404E-2</v>
      </c>
      <c r="P128" s="96"/>
    </row>
    <row r="129" spans="1:16" s="2" customFormat="1" ht="21" hidden="1" customHeight="1">
      <c r="A129" s="17">
        <v>201710</v>
      </c>
      <c r="B129" s="14" t="s">
        <v>158</v>
      </c>
      <c r="C129" s="14" t="s">
        <v>34</v>
      </c>
      <c r="D129" s="15">
        <v>43106</v>
      </c>
      <c r="E129" s="88" t="s">
        <v>620</v>
      </c>
      <c r="F129" s="17">
        <v>1548</v>
      </c>
      <c r="G129" s="16">
        <v>43125</v>
      </c>
      <c r="H129" s="14" t="s">
        <v>718</v>
      </c>
      <c r="I129" s="14" t="s">
        <v>751</v>
      </c>
      <c r="J129" s="17">
        <v>160</v>
      </c>
      <c r="K129" s="17">
        <v>204</v>
      </c>
      <c r="L129" s="21">
        <v>0.78431372549019607</v>
      </c>
      <c r="M129" s="22">
        <v>6</v>
      </c>
      <c r="N129" s="96">
        <f t="shared" si="16"/>
        <v>0.25544554455445545</v>
      </c>
      <c r="O129" s="96">
        <f t="shared" si="17"/>
        <v>0.20034944670937682</v>
      </c>
      <c r="P129" s="96"/>
    </row>
    <row r="130" spans="1:16" s="2" customFormat="1" ht="21" hidden="1" customHeight="1">
      <c r="A130" s="17">
        <v>201710</v>
      </c>
      <c r="B130" s="14" t="s">
        <v>159</v>
      </c>
      <c r="C130" s="14" t="s">
        <v>34</v>
      </c>
      <c r="D130" s="15">
        <v>43109</v>
      </c>
      <c r="E130" s="88" t="s">
        <v>620</v>
      </c>
      <c r="F130" s="17">
        <v>1536</v>
      </c>
      <c r="G130" s="16">
        <v>43154</v>
      </c>
      <c r="H130" s="14" t="s">
        <v>717</v>
      </c>
      <c r="I130" s="14" t="s">
        <v>751</v>
      </c>
      <c r="J130" s="17">
        <v>160</v>
      </c>
      <c r="K130" s="17">
        <v>204</v>
      </c>
      <c r="L130" s="21">
        <v>0.78431372549019607</v>
      </c>
      <c r="M130" s="22">
        <v>6</v>
      </c>
      <c r="N130" s="96">
        <f t="shared" si="16"/>
        <v>0.25346534653465347</v>
      </c>
      <c r="O130" s="96">
        <f t="shared" si="17"/>
        <v>0.19879635022325762</v>
      </c>
      <c r="P130" s="96"/>
    </row>
    <row r="131" spans="1:16" s="2" customFormat="1" ht="21" hidden="1" customHeight="1">
      <c r="A131" s="17">
        <v>201710</v>
      </c>
      <c r="B131" s="14" t="s">
        <v>160</v>
      </c>
      <c r="C131" s="14" t="s">
        <v>34</v>
      </c>
      <c r="D131" s="15">
        <v>43110</v>
      </c>
      <c r="E131" s="88" t="s">
        <v>621</v>
      </c>
      <c r="F131" s="17">
        <v>2076</v>
      </c>
      <c r="G131" s="16">
        <v>43124</v>
      </c>
      <c r="H131" s="14" t="s">
        <v>717</v>
      </c>
      <c r="I131" s="14" t="s">
        <v>752</v>
      </c>
      <c r="J131" s="17">
        <v>180</v>
      </c>
      <c r="K131" s="17">
        <v>204</v>
      </c>
      <c r="L131" s="21">
        <v>0.88235294117647056</v>
      </c>
      <c r="M131" s="22">
        <v>5</v>
      </c>
      <c r="N131" s="96">
        <f t="shared" ref="N131:N153" si="18">F131/$F$612</f>
        <v>6.860541969596827E-2</v>
      </c>
      <c r="O131" s="96">
        <f t="shared" ref="O131:O150" si="19">L131*N131</f>
        <v>6.0534193849383765E-2</v>
      </c>
      <c r="P131" s="96"/>
    </row>
    <row r="132" spans="1:16" s="2" customFormat="1" ht="21" hidden="1" customHeight="1">
      <c r="A132" s="17">
        <v>201710</v>
      </c>
      <c r="B132" s="14" t="s">
        <v>161</v>
      </c>
      <c r="C132" s="14" t="s">
        <v>34</v>
      </c>
      <c r="D132" s="15">
        <v>43112</v>
      </c>
      <c r="E132" s="88" t="s">
        <v>621</v>
      </c>
      <c r="F132" s="17">
        <v>1620</v>
      </c>
      <c r="G132" s="16">
        <v>43125</v>
      </c>
      <c r="H132" s="14" t="s">
        <v>718</v>
      </c>
      <c r="I132" s="14" t="s">
        <v>752</v>
      </c>
      <c r="J132" s="17">
        <v>180</v>
      </c>
      <c r="K132" s="17">
        <v>204</v>
      </c>
      <c r="L132" s="21">
        <v>0.88235294117647056</v>
      </c>
      <c r="M132" s="22">
        <v>5</v>
      </c>
      <c r="N132" s="96">
        <f t="shared" si="18"/>
        <v>5.3536021150033045E-2</v>
      </c>
      <c r="O132" s="96">
        <f t="shared" si="19"/>
        <v>4.723766572061739E-2</v>
      </c>
      <c r="P132" s="96"/>
    </row>
    <row r="133" spans="1:16" s="2" customFormat="1" ht="21" hidden="1" customHeight="1">
      <c r="A133" s="17">
        <v>201710</v>
      </c>
      <c r="B133" s="14" t="s">
        <v>162</v>
      </c>
      <c r="C133" s="14" t="s">
        <v>34</v>
      </c>
      <c r="D133" s="15">
        <v>43113</v>
      </c>
      <c r="E133" s="88" t="s">
        <v>622</v>
      </c>
      <c r="F133" s="17">
        <v>2124</v>
      </c>
      <c r="G133" s="16">
        <v>43124</v>
      </c>
      <c r="H133" s="14" t="s">
        <v>717</v>
      </c>
      <c r="I133" s="14" t="s">
        <v>752</v>
      </c>
      <c r="J133" s="17">
        <v>180</v>
      </c>
      <c r="K133" s="17">
        <v>204</v>
      </c>
      <c r="L133" s="21">
        <v>0.88235294117647056</v>
      </c>
      <c r="M133" s="22">
        <v>5</v>
      </c>
      <c r="N133" s="96">
        <f t="shared" si="18"/>
        <v>7.0191672174487768E-2</v>
      </c>
      <c r="O133" s="96">
        <f t="shared" si="19"/>
        <v>6.193382838925391E-2</v>
      </c>
      <c r="P133" s="96"/>
    </row>
    <row r="134" spans="1:16" s="2" customFormat="1" ht="21" hidden="1" customHeight="1">
      <c r="A134" s="17">
        <v>201710</v>
      </c>
      <c r="B134" s="14" t="s">
        <v>163</v>
      </c>
      <c r="C134" s="14" t="s">
        <v>34</v>
      </c>
      <c r="D134" s="15">
        <v>43115</v>
      </c>
      <c r="E134" s="88" t="s">
        <v>622</v>
      </c>
      <c r="F134" s="17">
        <v>1332</v>
      </c>
      <c r="G134" s="16">
        <v>43125</v>
      </c>
      <c r="H134" s="14" t="s">
        <v>718</v>
      </c>
      <c r="I134" s="14" t="s">
        <v>752</v>
      </c>
      <c r="J134" s="17">
        <v>180</v>
      </c>
      <c r="K134" s="17">
        <v>204</v>
      </c>
      <c r="L134" s="21">
        <v>0.88235294117647056</v>
      </c>
      <c r="M134" s="22">
        <v>5</v>
      </c>
      <c r="N134" s="96">
        <f t="shared" si="18"/>
        <v>4.4018506278916063E-2</v>
      </c>
      <c r="O134" s="96">
        <f t="shared" si="19"/>
        <v>3.8839858481396525E-2</v>
      </c>
      <c r="P134" s="96"/>
    </row>
    <row r="135" spans="1:16" s="2" customFormat="1" ht="21" hidden="1" customHeight="1">
      <c r="A135" s="17">
        <v>201710</v>
      </c>
      <c r="B135" s="14" t="s">
        <v>164</v>
      </c>
      <c r="C135" s="14" t="s">
        <v>34</v>
      </c>
      <c r="D135" s="15">
        <v>43116</v>
      </c>
      <c r="E135" s="88" t="s">
        <v>623</v>
      </c>
      <c r="F135" s="17">
        <v>3300</v>
      </c>
      <c r="G135" s="16">
        <v>43124</v>
      </c>
      <c r="H135" s="14" t="s">
        <v>717</v>
      </c>
      <c r="I135" s="14" t="s">
        <v>752</v>
      </c>
      <c r="J135" s="17">
        <v>180</v>
      </c>
      <c r="K135" s="17">
        <v>204</v>
      </c>
      <c r="L135" s="21">
        <v>0.88235294117647056</v>
      </c>
      <c r="M135" s="22">
        <v>5</v>
      </c>
      <c r="N135" s="96">
        <f t="shared" si="18"/>
        <v>0.10905485789821547</v>
      </c>
      <c r="O135" s="96">
        <f t="shared" si="19"/>
        <v>9.6224874616072473E-2</v>
      </c>
      <c r="P135" s="96"/>
    </row>
    <row r="136" spans="1:16" s="2" customFormat="1" ht="21" hidden="1" customHeight="1">
      <c r="A136" s="17">
        <v>201710</v>
      </c>
      <c r="B136" s="14" t="s">
        <v>165</v>
      </c>
      <c r="C136" s="14" t="s">
        <v>34</v>
      </c>
      <c r="D136" s="15">
        <v>43118</v>
      </c>
      <c r="E136" s="88" t="s">
        <v>624</v>
      </c>
      <c r="F136" s="17">
        <v>3888</v>
      </c>
      <c r="G136" s="16">
        <v>43124</v>
      </c>
      <c r="H136" s="14" t="s">
        <v>717</v>
      </c>
      <c r="I136" s="14" t="s">
        <v>752</v>
      </c>
      <c r="J136" s="17">
        <v>180</v>
      </c>
      <c r="K136" s="17">
        <v>204</v>
      </c>
      <c r="L136" s="21">
        <v>0.88235294117647056</v>
      </c>
      <c r="M136" s="22">
        <v>5</v>
      </c>
      <c r="N136" s="96">
        <f t="shared" si="18"/>
        <v>0.12848645076007931</v>
      </c>
      <c r="O136" s="96">
        <f t="shared" si="19"/>
        <v>0.11337039772948174</v>
      </c>
      <c r="P136" s="96"/>
    </row>
    <row r="137" spans="1:16" s="2" customFormat="1" ht="21" hidden="1" customHeight="1">
      <c r="A137" s="17">
        <v>201710</v>
      </c>
      <c r="B137" s="14" t="s">
        <v>166</v>
      </c>
      <c r="C137" s="14" t="s">
        <v>34</v>
      </c>
      <c r="D137" s="15">
        <v>43118</v>
      </c>
      <c r="E137" s="88" t="s">
        <v>623</v>
      </c>
      <c r="F137" s="17">
        <v>216</v>
      </c>
      <c r="G137" s="16">
        <v>43125</v>
      </c>
      <c r="H137" s="14" t="s">
        <v>718</v>
      </c>
      <c r="I137" s="14" t="s">
        <v>752</v>
      </c>
      <c r="J137" s="17">
        <v>180</v>
      </c>
      <c r="K137" s="17">
        <v>204</v>
      </c>
      <c r="L137" s="21">
        <v>0.88235294117647056</v>
      </c>
      <c r="M137" s="22">
        <v>5</v>
      </c>
      <c r="N137" s="96">
        <f t="shared" si="18"/>
        <v>7.1381361533377399E-3</v>
      </c>
      <c r="O137" s="96">
        <f t="shared" si="19"/>
        <v>6.2983554294156526E-3</v>
      </c>
      <c r="P137" s="96"/>
    </row>
    <row r="138" spans="1:16" s="2" customFormat="1" ht="21" hidden="1" customHeight="1">
      <c r="A138" s="17">
        <v>201710</v>
      </c>
      <c r="B138" s="14" t="s">
        <v>170</v>
      </c>
      <c r="C138" s="14" t="s">
        <v>34</v>
      </c>
      <c r="D138" s="15">
        <v>43122</v>
      </c>
      <c r="E138" s="88" t="s">
        <v>625</v>
      </c>
      <c r="F138" s="17">
        <v>1368</v>
      </c>
      <c r="G138" s="16">
        <v>43124</v>
      </c>
      <c r="H138" s="14" t="s">
        <v>717</v>
      </c>
      <c r="I138" s="14" t="s">
        <v>752</v>
      </c>
      <c r="J138" s="17">
        <v>180</v>
      </c>
      <c r="K138" s="17">
        <v>204</v>
      </c>
      <c r="L138" s="21">
        <v>0.88235294117647056</v>
      </c>
      <c r="M138" s="22">
        <v>5</v>
      </c>
      <c r="N138" s="96">
        <f t="shared" si="18"/>
        <v>4.5208195637805683E-2</v>
      </c>
      <c r="O138" s="96">
        <f t="shared" si="19"/>
        <v>3.988958438629913E-2</v>
      </c>
      <c r="P138" s="96"/>
    </row>
    <row r="139" spans="1:16" s="2" customFormat="1" ht="21" hidden="1" customHeight="1">
      <c r="A139" s="17">
        <v>201710</v>
      </c>
      <c r="B139" s="14" t="s">
        <v>167</v>
      </c>
      <c r="C139" s="14" t="s">
        <v>34</v>
      </c>
      <c r="D139" s="15">
        <v>43123</v>
      </c>
      <c r="E139" s="88" t="s">
        <v>624</v>
      </c>
      <c r="F139" s="17">
        <v>912</v>
      </c>
      <c r="G139" s="16">
        <v>43127</v>
      </c>
      <c r="H139" s="14" t="s">
        <v>717</v>
      </c>
      <c r="I139" s="14" t="s">
        <v>752</v>
      </c>
      <c r="J139" s="17">
        <v>180</v>
      </c>
      <c r="K139" s="17">
        <v>204</v>
      </c>
      <c r="L139" s="21">
        <v>0.88235294117647056</v>
      </c>
      <c r="M139" s="22">
        <v>5</v>
      </c>
      <c r="N139" s="96">
        <f t="shared" si="18"/>
        <v>3.0138797091870458E-2</v>
      </c>
      <c r="O139" s="96">
        <f t="shared" si="19"/>
        <v>2.6593056257532756E-2</v>
      </c>
      <c r="P139" s="96"/>
    </row>
    <row r="140" spans="1:16" s="2" customFormat="1" ht="21" hidden="1" customHeight="1">
      <c r="A140" s="17">
        <v>201710</v>
      </c>
      <c r="B140" s="14" t="s">
        <v>168</v>
      </c>
      <c r="C140" s="14" t="s">
        <v>34</v>
      </c>
      <c r="D140" s="15">
        <v>43124</v>
      </c>
      <c r="E140" s="88" t="s">
        <v>625</v>
      </c>
      <c r="F140" s="17">
        <v>600</v>
      </c>
      <c r="G140" s="16">
        <v>43138</v>
      </c>
      <c r="H140" s="14" t="s">
        <v>717</v>
      </c>
      <c r="I140" s="14" t="s">
        <v>752</v>
      </c>
      <c r="J140" s="17">
        <v>180</v>
      </c>
      <c r="K140" s="17">
        <v>204</v>
      </c>
      <c r="L140" s="21">
        <v>0.88235294117647056</v>
      </c>
      <c r="M140" s="22">
        <v>5</v>
      </c>
      <c r="N140" s="96">
        <f t="shared" si="18"/>
        <v>1.982815598149372E-2</v>
      </c>
      <c r="O140" s="96">
        <f t="shared" si="19"/>
        <v>1.7495431748376811E-2</v>
      </c>
      <c r="P140" s="96"/>
    </row>
    <row r="141" spans="1:16" s="2" customFormat="1" ht="21" hidden="1" customHeight="1">
      <c r="A141" s="17">
        <v>201710</v>
      </c>
      <c r="B141" s="14" t="s">
        <v>169</v>
      </c>
      <c r="C141" s="14" t="s">
        <v>34</v>
      </c>
      <c r="D141" s="15">
        <v>43124</v>
      </c>
      <c r="E141" s="88" t="s">
        <v>625</v>
      </c>
      <c r="F141" s="17">
        <v>1032</v>
      </c>
      <c r="G141" s="16">
        <v>43138</v>
      </c>
      <c r="H141" s="14" t="s">
        <v>717</v>
      </c>
      <c r="I141" s="14" t="s">
        <v>752</v>
      </c>
      <c r="J141" s="17">
        <v>180</v>
      </c>
      <c r="K141" s="17">
        <v>204</v>
      </c>
      <c r="L141" s="21">
        <v>0.88235294117647056</v>
      </c>
      <c r="M141" s="22">
        <v>5</v>
      </c>
      <c r="N141" s="96">
        <f t="shared" si="18"/>
        <v>3.4104428288169203E-2</v>
      </c>
      <c r="O141" s="96">
        <f t="shared" si="19"/>
        <v>3.0092142607208119E-2</v>
      </c>
      <c r="P141" s="96"/>
    </row>
    <row r="142" spans="1:16" s="2" customFormat="1" ht="21" hidden="1" customHeight="1">
      <c r="A142" s="17">
        <v>201710</v>
      </c>
      <c r="B142" s="14" t="s">
        <v>171</v>
      </c>
      <c r="C142" s="14" t="s">
        <v>34</v>
      </c>
      <c r="D142" s="15">
        <v>43125</v>
      </c>
      <c r="E142" s="88" t="s">
        <v>621</v>
      </c>
      <c r="F142" s="17">
        <v>600</v>
      </c>
      <c r="G142" s="16">
        <v>43138</v>
      </c>
      <c r="H142" s="14" t="s">
        <v>717</v>
      </c>
      <c r="I142" s="14" t="s">
        <v>752</v>
      </c>
      <c r="J142" s="17">
        <v>180</v>
      </c>
      <c r="K142" s="17">
        <v>204</v>
      </c>
      <c r="L142" s="21">
        <v>0.88235294117647056</v>
      </c>
      <c r="M142" s="22">
        <v>5</v>
      </c>
      <c r="N142" s="96">
        <f t="shared" si="18"/>
        <v>1.982815598149372E-2</v>
      </c>
      <c r="O142" s="96">
        <f t="shared" si="19"/>
        <v>1.7495431748376811E-2</v>
      </c>
      <c r="P142" s="96"/>
    </row>
    <row r="143" spans="1:16" s="2" customFormat="1" ht="21" hidden="1" customHeight="1">
      <c r="A143" s="17">
        <v>201710</v>
      </c>
      <c r="B143" s="14" t="s">
        <v>172</v>
      </c>
      <c r="C143" s="14" t="s">
        <v>34</v>
      </c>
      <c r="D143" s="15">
        <v>43125</v>
      </c>
      <c r="E143" s="88" t="s">
        <v>621</v>
      </c>
      <c r="F143" s="17">
        <v>1080</v>
      </c>
      <c r="G143" s="16">
        <v>43138</v>
      </c>
      <c r="H143" s="14" t="s">
        <v>717</v>
      </c>
      <c r="I143" s="14" t="s">
        <v>752</v>
      </c>
      <c r="J143" s="17">
        <v>180</v>
      </c>
      <c r="K143" s="17">
        <v>204</v>
      </c>
      <c r="L143" s="21">
        <v>0.88235294117647056</v>
      </c>
      <c r="M143" s="22">
        <v>5</v>
      </c>
      <c r="N143" s="96">
        <f t="shared" si="18"/>
        <v>3.5690680766688701E-2</v>
      </c>
      <c r="O143" s="96">
        <f t="shared" si="19"/>
        <v>3.1491777147078265E-2</v>
      </c>
      <c r="P143" s="96"/>
    </row>
    <row r="144" spans="1:16" s="2" customFormat="1" ht="21" hidden="1" customHeight="1">
      <c r="A144" s="17">
        <v>201710</v>
      </c>
      <c r="B144" s="14" t="s">
        <v>174</v>
      </c>
      <c r="C144" s="14" t="s">
        <v>34</v>
      </c>
      <c r="D144" s="15">
        <v>43126</v>
      </c>
      <c r="E144" s="88" t="s">
        <v>621</v>
      </c>
      <c r="F144" s="17">
        <v>504</v>
      </c>
      <c r="G144" s="16">
        <v>43139</v>
      </c>
      <c r="H144" s="14" t="s">
        <v>718</v>
      </c>
      <c r="I144" s="14" t="s">
        <v>752</v>
      </c>
      <c r="J144" s="17">
        <v>180</v>
      </c>
      <c r="K144" s="17">
        <v>204</v>
      </c>
      <c r="L144" s="21">
        <v>0.88235294117647056</v>
      </c>
      <c r="M144" s="22">
        <v>5</v>
      </c>
      <c r="N144" s="96">
        <f t="shared" si="18"/>
        <v>1.6655651024454727E-2</v>
      </c>
      <c r="O144" s="96">
        <f t="shared" si="19"/>
        <v>1.4696162668636523E-2</v>
      </c>
      <c r="P144" s="96"/>
    </row>
    <row r="145" spans="1:16" s="2" customFormat="1" ht="21" hidden="1" customHeight="1">
      <c r="A145" s="17">
        <v>201710</v>
      </c>
      <c r="B145" s="14" t="s">
        <v>175</v>
      </c>
      <c r="C145" s="14" t="s">
        <v>34</v>
      </c>
      <c r="D145" s="15">
        <v>43126</v>
      </c>
      <c r="E145" s="88" t="s">
        <v>622</v>
      </c>
      <c r="F145" s="17">
        <v>192</v>
      </c>
      <c r="G145" s="16">
        <v>43136</v>
      </c>
      <c r="H145" s="14" t="s">
        <v>729</v>
      </c>
      <c r="I145" s="14" t="s">
        <v>752</v>
      </c>
      <c r="J145" s="17">
        <v>180</v>
      </c>
      <c r="K145" s="17">
        <v>204</v>
      </c>
      <c r="L145" s="21">
        <v>0.88235294117647056</v>
      </c>
      <c r="M145" s="22">
        <v>5</v>
      </c>
      <c r="N145" s="96">
        <f t="shared" si="18"/>
        <v>6.3450099140779908E-3</v>
      </c>
      <c r="O145" s="96">
        <f t="shared" si="19"/>
        <v>5.5985381594805799E-3</v>
      </c>
      <c r="P145" s="96"/>
    </row>
    <row r="146" spans="1:16" s="2" customFormat="1" ht="21" hidden="1" customHeight="1">
      <c r="A146" s="17">
        <v>201710</v>
      </c>
      <c r="B146" s="14" t="s">
        <v>173</v>
      </c>
      <c r="C146" s="14" t="s">
        <v>34</v>
      </c>
      <c r="D146" s="15">
        <v>43127</v>
      </c>
      <c r="E146" s="88" t="s">
        <v>622</v>
      </c>
      <c r="F146" s="17">
        <v>1572</v>
      </c>
      <c r="G146" s="16">
        <v>43138</v>
      </c>
      <c r="H146" s="14" t="s">
        <v>717</v>
      </c>
      <c r="I146" s="14" t="s">
        <v>752</v>
      </c>
      <c r="J146" s="17">
        <v>180</v>
      </c>
      <c r="K146" s="17">
        <v>204</v>
      </c>
      <c r="L146" s="21">
        <v>0.88235294117647056</v>
      </c>
      <c r="M146" s="22">
        <v>5</v>
      </c>
      <c r="N146" s="96">
        <f t="shared" si="18"/>
        <v>5.1949768671513546E-2</v>
      </c>
      <c r="O146" s="96">
        <f t="shared" si="19"/>
        <v>4.5838031180747245E-2</v>
      </c>
      <c r="P146" s="96"/>
    </row>
    <row r="147" spans="1:16" s="2" customFormat="1" ht="21" hidden="1" customHeight="1">
      <c r="A147" s="17">
        <v>201710</v>
      </c>
      <c r="B147" s="14" t="s">
        <v>176</v>
      </c>
      <c r="C147" s="14" t="s">
        <v>34</v>
      </c>
      <c r="D147" s="15">
        <v>43129</v>
      </c>
      <c r="E147" s="88" t="s">
        <v>622</v>
      </c>
      <c r="F147" s="17">
        <v>504</v>
      </c>
      <c r="G147" s="16">
        <v>43139</v>
      </c>
      <c r="H147" s="14" t="s">
        <v>718</v>
      </c>
      <c r="I147" s="14" t="s">
        <v>752</v>
      </c>
      <c r="J147" s="17">
        <v>180</v>
      </c>
      <c r="K147" s="17">
        <v>204</v>
      </c>
      <c r="L147" s="21">
        <v>0.88235294117647056</v>
      </c>
      <c r="M147" s="22">
        <v>5</v>
      </c>
      <c r="N147" s="96">
        <f t="shared" si="18"/>
        <v>1.6655651024454727E-2</v>
      </c>
      <c r="O147" s="96">
        <f t="shared" si="19"/>
        <v>1.4696162668636523E-2</v>
      </c>
      <c r="P147" s="96"/>
    </row>
    <row r="148" spans="1:16" s="2" customFormat="1" ht="21" hidden="1" customHeight="1">
      <c r="A148" s="17">
        <v>201710</v>
      </c>
      <c r="B148" s="14" t="s">
        <v>177</v>
      </c>
      <c r="C148" s="14" t="s">
        <v>34</v>
      </c>
      <c r="D148" s="15">
        <v>43129</v>
      </c>
      <c r="E148" s="88" t="s">
        <v>622</v>
      </c>
      <c r="F148" s="17">
        <v>888</v>
      </c>
      <c r="G148" s="16">
        <v>43165</v>
      </c>
      <c r="H148" s="14" t="s">
        <v>726</v>
      </c>
      <c r="I148" s="14" t="s">
        <v>752</v>
      </c>
      <c r="J148" s="17">
        <v>180</v>
      </c>
      <c r="K148" s="17">
        <v>204</v>
      </c>
      <c r="L148" s="21">
        <v>0.88235294117647056</v>
      </c>
      <c r="M148" s="22">
        <v>5</v>
      </c>
      <c r="N148" s="96">
        <f t="shared" si="18"/>
        <v>2.9345670852610709E-2</v>
      </c>
      <c r="O148" s="96">
        <f t="shared" si="19"/>
        <v>2.5893238987597683E-2</v>
      </c>
      <c r="P148" s="96"/>
    </row>
    <row r="149" spans="1:16" s="2" customFormat="1" ht="21" hidden="1" customHeight="1">
      <c r="A149" s="17">
        <v>201710</v>
      </c>
      <c r="B149" s="14" t="s">
        <v>179</v>
      </c>
      <c r="C149" s="14" t="s">
        <v>34</v>
      </c>
      <c r="D149" s="15">
        <v>43130</v>
      </c>
      <c r="E149" s="88" t="s">
        <v>623</v>
      </c>
      <c r="F149" s="17">
        <v>252</v>
      </c>
      <c r="G149" s="16">
        <v>43136</v>
      </c>
      <c r="H149" s="14" t="s">
        <v>729</v>
      </c>
      <c r="I149" s="14" t="s">
        <v>752</v>
      </c>
      <c r="J149" s="17">
        <v>180</v>
      </c>
      <c r="K149" s="17">
        <v>204</v>
      </c>
      <c r="L149" s="21">
        <v>0.88235294117647056</v>
      </c>
      <c r="M149" s="22">
        <v>5</v>
      </c>
      <c r="N149" s="96">
        <f t="shared" si="18"/>
        <v>8.3278255122273635E-3</v>
      </c>
      <c r="O149" s="96">
        <f t="shared" si="19"/>
        <v>7.3480813343182617E-3</v>
      </c>
      <c r="P149" s="96"/>
    </row>
    <row r="150" spans="1:16" s="2" customFormat="1" ht="21" hidden="1" customHeight="1">
      <c r="A150" s="17">
        <v>201710</v>
      </c>
      <c r="B150" s="14" t="s">
        <v>178</v>
      </c>
      <c r="C150" s="14" t="s">
        <v>34</v>
      </c>
      <c r="D150" s="15">
        <v>43130</v>
      </c>
      <c r="E150" s="88" t="s">
        <v>623</v>
      </c>
      <c r="F150" s="17">
        <v>1572</v>
      </c>
      <c r="G150" s="16">
        <v>43138</v>
      </c>
      <c r="H150" s="14" t="s">
        <v>717</v>
      </c>
      <c r="I150" s="14" t="s">
        <v>752</v>
      </c>
      <c r="J150" s="17">
        <v>180</v>
      </c>
      <c r="K150" s="17">
        <v>204</v>
      </c>
      <c r="L150" s="21">
        <v>0.88235294117647056</v>
      </c>
      <c r="M150" s="22">
        <v>5</v>
      </c>
      <c r="N150" s="96">
        <f t="shared" si="18"/>
        <v>5.1949768671513546E-2</v>
      </c>
      <c r="O150" s="96">
        <f t="shared" si="19"/>
        <v>4.5838031180747245E-2</v>
      </c>
      <c r="P150" s="96"/>
    </row>
    <row r="151" spans="1:16" s="2" customFormat="1" ht="21" hidden="1" customHeight="1">
      <c r="A151" s="17">
        <v>201710</v>
      </c>
      <c r="B151" s="14" t="s">
        <v>180</v>
      </c>
      <c r="C151" s="14" t="s">
        <v>34</v>
      </c>
      <c r="D151" s="15">
        <v>43131</v>
      </c>
      <c r="E151" s="88" t="s">
        <v>624</v>
      </c>
      <c r="F151" s="17">
        <v>804</v>
      </c>
      <c r="G151" s="16">
        <v>43138</v>
      </c>
      <c r="H151" s="14" t="s">
        <v>717</v>
      </c>
      <c r="I151" s="14" t="s">
        <v>752</v>
      </c>
      <c r="J151" s="17">
        <v>180</v>
      </c>
      <c r="K151" s="17">
        <v>204</v>
      </c>
      <c r="L151" s="21">
        <v>0.88235294117647056</v>
      </c>
      <c r="M151" s="22">
        <v>5</v>
      </c>
      <c r="N151" s="96">
        <f t="shared" si="18"/>
        <v>2.6569729015201587E-2</v>
      </c>
      <c r="O151" s="96"/>
      <c r="P151" s="96"/>
    </row>
    <row r="152" spans="1:16" s="2" customFormat="1" ht="21" hidden="1" customHeight="1">
      <c r="A152" s="17">
        <v>201710</v>
      </c>
      <c r="B152" s="14" t="s">
        <v>181</v>
      </c>
      <c r="C152" s="14" t="s">
        <v>34</v>
      </c>
      <c r="D152" s="15">
        <v>43131</v>
      </c>
      <c r="E152" s="88" t="s">
        <v>624</v>
      </c>
      <c r="F152" s="17">
        <v>900</v>
      </c>
      <c r="G152" s="16">
        <v>43138</v>
      </c>
      <c r="H152" s="14" t="s">
        <v>717</v>
      </c>
      <c r="I152" s="14" t="s">
        <v>752</v>
      </c>
      <c r="J152" s="17">
        <v>180</v>
      </c>
      <c r="K152" s="17">
        <v>204</v>
      </c>
      <c r="L152" s="21">
        <v>0.88235294117647056</v>
      </c>
      <c r="M152" s="22">
        <v>5</v>
      </c>
      <c r="N152" s="96">
        <f t="shared" si="18"/>
        <v>2.9742233972240583E-2</v>
      </c>
      <c r="O152" s="96"/>
      <c r="P152" s="96"/>
    </row>
    <row r="153" spans="1:16" s="2" customFormat="1" ht="21" hidden="1" customHeight="1">
      <c r="A153" s="17">
        <v>201710</v>
      </c>
      <c r="B153" s="14" t="s">
        <v>182</v>
      </c>
      <c r="C153" s="14" t="s">
        <v>34</v>
      </c>
      <c r="D153" s="15">
        <v>43131</v>
      </c>
      <c r="E153" s="88" t="s">
        <v>623</v>
      </c>
      <c r="F153" s="17">
        <v>216</v>
      </c>
      <c r="G153" s="16">
        <v>43155</v>
      </c>
      <c r="H153" s="14" t="s">
        <v>718</v>
      </c>
      <c r="I153" s="14" t="s">
        <v>752</v>
      </c>
      <c r="J153" s="17">
        <v>180</v>
      </c>
      <c r="K153" s="17">
        <v>204</v>
      </c>
      <c r="L153" s="21">
        <v>0.88235294117647056</v>
      </c>
      <c r="M153" s="22">
        <v>5</v>
      </c>
      <c r="N153" s="96">
        <f t="shared" si="18"/>
        <v>7.1381361533377399E-3</v>
      </c>
      <c r="O153" s="96"/>
      <c r="P153" s="96"/>
    </row>
    <row r="154" spans="1:16" s="2" customFormat="1" ht="21" hidden="1" customHeight="1">
      <c r="A154" s="17"/>
      <c r="B154" s="14"/>
      <c r="C154" s="14"/>
      <c r="D154" s="15"/>
      <c r="E154" s="88"/>
      <c r="F154" s="39">
        <f>SUM(F122:F153)</f>
        <v>36320</v>
      </c>
      <c r="G154" s="17"/>
      <c r="H154" s="14"/>
      <c r="I154" s="14"/>
      <c r="J154" s="17"/>
      <c r="K154" s="17"/>
      <c r="L154" s="21"/>
      <c r="M154" s="22"/>
      <c r="N154" s="96"/>
      <c r="O154" s="96"/>
      <c r="P154" s="96"/>
    </row>
    <row r="155" spans="1:16" s="2" customFormat="1" ht="21" hidden="1" customHeight="1">
      <c r="A155" s="17">
        <v>201710</v>
      </c>
      <c r="B155" s="14" t="s">
        <v>811</v>
      </c>
      <c r="C155" s="14" t="s">
        <v>33</v>
      </c>
      <c r="D155" s="15">
        <v>43102</v>
      </c>
      <c r="E155" s="88" t="s">
        <v>626</v>
      </c>
      <c r="F155" s="17">
        <f>2880-360</f>
        <v>2520</v>
      </c>
      <c r="G155" s="16">
        <v>43120</v>
      </c>
      <c r="H155" s="14" t="s">
        <v>730</v>
      </c>
      <c r="I155" s="14" t="s">
        <v>753</v>
      </c>
      <c r="J155" s="17">
        <v>185</v>
      </c>
      <c r="K155" s="17">
        <v>201</v>
      </c>
      <c r="L155" s="21">
        <v>0.92039800995024879</v>
      </c>
      <c r="M155" s="22">
        <v>5</v>
      </c>
      <c r="N155" s="96">
        <f>F155/$F$614</f>
        <v>0.1025390625</v>
      </c>
      <c r="O155" s="96">
        <f>L155*N155</f>
        <v>9.4376749067164187E-2</v>
      </c>
      <c r="P155" s="96"/>
    </row>
    <row r="156" spans="1:16" s="2" customFormat="1" ht="21" hidden="1" customHeight="1">
      <c r="A156" s="17">
        <v>201710</v>
      </c>
      <c r="B156" s="14" t="s">
        <v>183</v>
      </c>
      <c r="C156" s="14" t="s">
        <v>33</v>
      </c>
      <c r="D156" s="15">
        <v>43104</v>
      </c>
      <c r="E156" s="88" t="s">
        <v>626</v>
      </c>
      <c r="F156" s="17">
        <v>1044</v>
      </c>
      <c r="G156" s="16">
        <v>43125</v>
      </c>
      <c r="H156" s="14" t="s">
        <v>718</v>
      </c>
      <c r="I156" s="14" t="s">
        <v>753</v>
      </c>
      <c r="J156" s="17">
        <v>185</v>
      </c>
      <c r="K156" s="17">
        <v>201</v>
      </c>
      <c r="L156" s="21">
        <v>0.92039800995024879</v>
      </c>
      <c r="M156" s="22">
        <v>5</v>
      </c>
      <c r="N156" s="96">
        <f t="shared" ref="N156:N170" si="20">F156/$F$614</f>
        <v>4.248046875E-2</v>
      </c>
      <c r="O156" s="96">
        <f t="shared" ref="O156:O170" si="21">L156*N156</f>
        <v>3.9098938899253734E-2</v>
      </c>
      <c r="P156" s="96"/>
    </row>
    <row r="157" spans="1:16" s="2" customFormat="1" ht="21" hidden="1" customHeight="1">
      <c r="A157" s="17">
        <v>201710</v>
      </c>
      <c r="B157" s="14" t="s">
        <v>184</v>
      </c>
      <c r="C157" s="14" t="s">
        <v>33</v>
      </c>
      <c r="D157" s="15">
        <v>43104</v>
      </c>
      <c r="E157" s="88" t="s">
        <v>626</v>
      </c>
      <c r="F157" s="17">
        <v>504</v>
      </c>
      <c r="G157" s="16">
        <v>43120</v>
      </c>
      <c r="H157" s="14" t="s">
        <v>725</v>
      </c>
      <c r="I157" s="14" t="s">
        <v>753</v>
      </c>
      <c r="J157" s="17">
        <v>185</v>
      </c>
      <c r="K157" s="17">
        <v>201</v>
      </c>
      <c r="L157" s="21">
        <v>0.92039800995024879</v>
      </c>
      <c r="M157" s="22">
        <v>5</v>
      </c>
      <c r="N157" s="96">
        <f t="shared" si="20"/>
        <v>2.05078125E-2</v>
      </c>
      <c r="O157" s="96">
        <f t="shared" si="21"/>
        <v>1.8875349813432838E-2</v>
      </c>
      <c r="P157" s="96"/>
    </row>
    <row r="158" spans="1:16" s="2" customFormat="1" ht="21" hidden="1" customHeight="1">
      <c r="A158" s="17">
        <v>201710</v>
      </c>
      <c r="B158" s="14" t="s">
        <v>185</v>
      </c>
      <c r="C158" s="14" t="s">
        <v>33</v>
      </c>
      <c r="D158" s="15">
        <v>43104</v>
      </c>
      <c r="E158" s="88" t="s">
        <v>626</v>
      </c>
      <c r="F158" s="17">
        <v>288</v>
      </c>
      <c r="G158" s="16">
        <v>43122</v>
      </c>
      <c r="H158" s="14" t="s">
        <v>729</v>
      </c>
      <c r="I158" s="14" t="s">
        <v>753</v>
      </c>
      <c r="J158" s="17">
        <v>185</v>
      </c>
      <c r="K158" s="17">
        <v>201</v>
      </c>
      <c r="L158" s="21">
        <v>0.92039800995024879</v>
      </c>
      <c r="M158" s="22">
        <v>5</v>
      </c>
      <c r="N158" s="96">
        <f t="shared" si="20"/>
        <v>1.171875E-2</v>
      </c>
      <c r="O158" s="96">
        <f t="shared" si="21"/>
        <v>1.0785914179104478E-2</v>
      </c>
      <c r="P158" s="96"/>
    </row>
    <row r="159" spans="1:16" s="2" customFormat="1" ht="21" hidden="1" customHeight="1">
      <c r="A159" s="17">
        <v>201710</v>
      </c>
      <c r="B159" s="14" t="s">
        <v>186</v>
      </c>
      <c r="C159" s="14" t="s">
        <v>33</v>
      </c>
      <c r="D159" s="15">
        <v>43105</v>
      </c>
      <c r="E159" s="88" t="s">
        <v>626</v>
      </c>
      <c r="F159" s="17">
        <v>1932</v>
      </c>
      <c r="G159" s="16">
        <v>43132</v>
      </c>
      <c r="H159" s="14" t="s">
        <v>720</v>
      </c>
      <c r="I159" s="14" t="s">
        <v>753</v>
      </c>
      <c r="J159" s="17">
        <v>185</v>
      </c>
      <c r="K159" s="17">
        <v>201</v>
      </c>
      <c r="L159" s="21">
        <v>0.92039800995024879</v>
      </c>
      <c r="M159" s="22">
        <v>5</v>
      </c>
      <c r="N159" s="96">
        <f t="shared" si="20"/>
        <v>7.861328125E-2</v>
      </c>
      <c r="O159" s="96">
        <f t="shared" si="21"/>
        <v>7.2355507618159204E-2</v>
      </c>
      <c r="P159" s="96"/>
    </row>
    <row r="160" spans="1:16" s="2" customFormat="1" ht="21" hidden="1" customHeight="1">
      <c r="A160" s="17">
        <v>201710</v>
      </c>
      <c r="B160" s="14" t="s">
        <v>187</v>
      </c>
      <c r="C160" s="14" t="s">
        <v>33</v>
      </c>
      <c r="D160" s="15">
        <v>43105</v>
      </c>
      <c r="E160" s="88" t="s">
        <v>626</v>
      </c>
      <c r="F160" s="17">
        <v>120</v>
      </c>
      <c r="G160" s="16">
        <v>43127</v>
      </c>
      <c r="H160" s="14" t="s">
        <v>717</v>
      </c>
      <c r="I160" s="14" t="s">
        <v>753</v>
      </c>
      <c r="J160" s="17">
        <v>185</v>
      </c>
      <c r="K160" s="17">
        <v>201</v>
      </c>
      <c r="L160" s="21">
        <v>0.92039800995024879</v>
      </c>
      <c r="M160" s="22">
        <v>5</v>
      </c>
      <c r="N160" s="96">
        <f t="shared" si="20"/>
        <v>4.8828125E-3</v>
      </c>
      <c r="O160" s="96">
        <f t="shared" si="21"/>
        <v>4.494130907960199E-3</v>
      </c>
      <c r="P160" s="96"/>
    </row>
    <row r="161" spans="1:16" s="2" customFormat="1" ht="21" hidden="1" customHeight="1">
      <c r="A161" s="17">
        <v>201710</v>
      </c>
      <c r="B161" s="14" t="s">
        <v>188</v>
      </c>
      <c r="C161" s="14" t="s">
        <v>33</v>
      </c>
      <c r="D161" s="15">
        <v>43108</v>
      </c>
      <c r="E161" s="88" t="s">
        <v>626</v>
      </c>
      <c r="F161" s="17">
        <v>4452</v>
      </c>
      <c r="G161" s="16">
        <v>43138</v>
      </c>
      <c r="H161" s="14" t="s">
        <v>717</v>
      </c>
      <c r="I161" s="14" t="s">
        <v>753</v>
      </c>
      <c r="J161" s="17">
        <v>185</v>
      </c>
      <c r="K161" s="17">
        <v>201</v>
      </c>
      <c r="L161" s="21">
        <v>0.92039800995024879</v>
      </c>
      <c r="M161" s="22">
        <v>5</v>
      </c>
      <c r="N161" s="96">
        <f t="shared" si="20"/>
        <v>0.18115234375</v>
      </c>
      <c r="O161" s="96">
        <f t="shared" si="21"/>
        <v>0.16673225668532338</v>
      </c>
      <c r="P161" s="96"/>
    </row>
    <row r="162" spans="1:16" s="2" customFormat="1" ht="21" hidden="1" customHeight="1">
      <c r="A162" s="17">
        <v>201710</v>
      </c>
      <c r="B162" s="14" t="s">
        <v>189</v>
      </c>
      <c r="C162" s="14" t="s">
        <v>33</v>
      </c>
      <c r="D162" s="15">
        <v>43111</v>
      </c>
      <c r="E162" s="88" t="s">
        <v>626</v>
      </c>
      <c r="F162" s="17">
        <v>252</v>
      </c>
      <c r="G162" s="16">
        <v>43138</v>
      </c>
      <c r="H162" s="14" t="s">
        <v>717</v>
      </c>
      <c r="I162" s="14" t="s">
        <v>753</v>
      </c>
      <c r="J162" s="17">
        <v>185</v>
      </c>
      <c r="K162" s="17">
        <v>201</v>
      </c>
      <c r="L162" s="21">
        <v>0.92039800995024879</v>
      </c>
      <c r="M162" s="22">
        <v>5</v>
      </c>
      <c r="N162" s="96">
        <f t="shared" si="20"/>
        <v>1.025390625E-2</v>
      </c>
      <c r="O162" s="96">
        <f t="shared" si="21"/>
        <v>9.437674906716419E-3</v>
      </c>
      <c r="P162" s="96"/>
    </row>
    <row r="163" spans="1:16" s="2" customFormat="1" ht="21" hidden="1" customHeight="1">
      <c r="A163" s="17">
        <v>201709</v>
      </c>
      <c r="B163" s="14" t="s">
        <v>190</v>
      </c>
      <c r="C163" s="14" t="s">
        <v>33</v>
      </c>
      <c r="D163" s="15">
        <v>43111</v>
      </c>
      <c r="E163" s="88" t="s">
        <v>627</v>
      </c>
      <c r="F163" s="17">
        <v>1908</v>
      </c>
      <c r="G163" s="16">
        <v>43123</v>
      </c>
      <c r="H163" s="14" t="s">
        <v>717</v>
      </c>
      <c r="I163" s="14" t="s">
        <v>753</v>
      </c>
      <c r="J163" s="17">
        <v>185</v>
      </c>
      <c r="K163" s="17">
        <v>201</v>
      </c>
      <c r="L163" s="21">
        <v>0.92039800995024879</v>
      </c>
      <c r="M163" s="22">
        <v>5</v>
      </c>
      <c r="N163" s="96">
        <f t="shared" si="20"/>
        <v>7.763671875E-2</v>
      </c>
      <c r="O163" s="96">
        <f t="shared" si="21"/>
        <v>7.1456681436567165E-2</v>
      </c>
      <c r="P163" s="96"/>
    </row>
    <row r="164" spans="1:16" s="2" customFormat="1" ht="21" hidden="1" customHeight="1">
      <c r="A164" s="17">
        <v>201710</v>
      </c>
      <c r="B164" s="14" t="s">
        <v>191</v>
      </c>
      <c r="C164" s="14" t="s">
        <v>33</v>
      </c>
      <c r="D164" s="15">
        <v>43111</v>
      </c>
      <c r="E164" s="88" t="s">
        <v>627</v>
      </c>
      <c r="F164" s="17">
        <v>216</v>
      </c>
      <c r="G164" s="16">
        <v>43122</v>
      </c>
      <c r="H164" s="14" t="s">
        <v>729</v>
      </c>
      <c r="I164" s="14" t="s">
        <v>753</v>
      </c>
      <c r="J164" s="17">
        <v>185</v>
      </c>
      <c r="K164" s="17">
        <v>201</v>
      </c>
      <c r="L164" s="21">
        <v>0.92039800995024879</v>
      </c>
      <c r="M164" s="22">
        <v>5</v>
      </c>
      <c r="N164" s="96">
        <f t="shared" si="20"/>
        <v>8.7890625E-3</v>
      </c>
      <c r="O164" s="96">
        <f t="shared" si="21"/>
        <v>8.0894356343283579E-3</v>
      </c>
      <c r="P164" s="96"/>
    </row>
    <row r="165" spans="1:16" s="2" customFormat="1" ht="21" hidden="1" customHeight="1">
      <c r="A165" s="17">
        <v>201710</v>
      </c>
      <c r="B165" s="14" t="s">
        <v>192</v>
      </c>
      <c r="C165" s="14" t="s">
        <v>33</v>
      </c>
      <c r="D165" s="15">
        <v>43112</v>
      </c>
      <c r="E165" s="88" t="s">
        <v>627</v>
      </c>
      <c r="F165" s="17">
        <v>1620</v>
      </c>
      <c r="G165" s="16">
        <v>43125</v>
      </c>
      <c r="H165" s="14" t="s">
        <v>718</v>
      </c>
      <c r="I165" s="14" t="s">
        <v>753</v>
      </c>
      <c r="J165" s="17">
        <v>185</v>
      </c>
      <c r="K165" s="17">
        <v>201</v>
      </c>
      <c r="L165" s="21">
        <v>0.92039800995024879</v>
      </c>
      <c r="M165" s="22">
        <v>5</v>
      </c>
      <c r="N165" s="96">
        <f t="shared" si="20"/>
        <v>6.591796875E-2</v>
      </c>
      <c r="O165" s="96">
        <f t="shared" si="21"/>
        <v>6.0670767257462691E-2</v>
      </c>
      <c r="P165" s="96"/>
    </row>
    <row r="166" spans="1:16" s="2" customFormat="1" ht="21" hidden="1" customHeight="1">
      <c r="A166" s="17">
        <v>201710</v>
      </c>
      <c r="B166" s="14" t="s">
        <v>193</v>
      </c>
      <c r="C166" s="14" t="s">
        <v>33</v>
      </c>
      <c r="D166" s="15">
        <v>43112</v>
      </c>
      <c r="E166" s="88" t="s">
        <v>627</v>
      </c>
      <c r="F166" s="17">
        <v>120</v>
      </c>
      <c r="G166" s="16">
        <v>43127</v>
      </c>
      <c r="H166" s="14" t="s">
        <v>717</v>
      </c>
      <c r="I166" s="14" t="s">
        <v>753</v>
      </c>
      <c r="J166" s="17">
        <v>185</v>
      </c>
      <c r="K166" s="17">
        <v>201</v>
      </c>
      <c r="L166" s="21">
        <v>0.92039800995024879</v>
      </c>
      <c r="M166" s="22">
        <v>5</v>
      </c>
      <c r="N166" s="96">
        <f t="shared" si="20"/>
        <v>4.8828125E-3</v>
      </c>
      <c r="O166" s="96">
        <f t="shared" si="21"/>
        <v>4.494130907960199E-3</v>
      </c>
      <c r="P166" s="96"/>
    </row>
    <row r="167" spans="1:16" s="2" customFormat="1" ht="21" hidden="1" customHeight="1">
      <c r="A167" s="17">
        <v>201710</v>
      </c>
      <c r="B167" s="14" t="s">
        <v>194</v>
      </c>
      <c r="C167" s="14" t="s">
        <v>33</v>
      </c>
      <c r="D167" s="15">
        <v>43113</v>
      </c>
      <c r="E167" s="88" t="s">
        <v>627</v>
      </c>
      <c r="F167" s="17">
        <v>2808</v>
      </c>
      <c r="G167" s="16">
        <v>43132</v>
      </c>
      <c r="H167" s="14" t="s">
        <v>720</v>
      </c>
      <c r="I167" s="14" t="s">
        <v>753</v>
      </c>
      <c r="J167" s="17">
        <v>185</v>
      </c>
      <c r="K167" s="17">
        <v>201</v>
      </c>
      <c r="L167" s="21">
        <v>0.92039800995024879</v>
      </c>
      <c r="M167" s="22">
        <v>5</v>
      </c>
      <c r="N167" s="96">
        <f t="shared" si="20"/>
        <v>0.1142578125</v>
      </c>
      <c r="O167" s="96">
        <f t="shared" si="21"/>
        <v>0.10516266324626866</v>
      </c>
      <c r="P167" s="96"/>
    </row>
    <row r="168" spans="1:16" s="2" customFormat="1" ht="21" hidden="1" customHeight="1">
      <c r="A168" s="17">
        <v>201710</v>
      </c>
      <c r="B168" s="14" t="s">
        <v>195</v>
      </c>
      <c r="C168" s="14" t="s">
        <v>33</v>
      </c>
      <c r="D168" s="15">
        <v>43116</v>
      </c>
      <c r="E168" s="88" t="s">
        <v>628</v>
      </c>
      <c r="F168" s="17">
        <v>1812</v>
      </c>
      <c r="G168" s="16">
        <v>43132</v>
      </c>
      <c r="H168" s="14" t="s">
        <v>720</v>
      </c>
      <c r="I168" s="14" t="s">
        <v>753</v>
      </c>
      <c r="J168" s="17">
        <v>185</v>
      </c>
      <c r="K168" s="17">
        <v>201</v>
      </c>
      <c r="L168" s="21">
        <v>0.92039800995024879</v>
      </c>
      <c r="M168" s="22">
        <v>5</v>
      </c>
      <c r="N168" s="96">
        <f t="shared" si="20"/>
        <v>7.373046875E-2</v>
      </c>
      <c r="O168" s="96">
        <f t="shared" si="21"/>
        <v>6.7861376710199012E-2</v>
      </c>
      <c r="P168" s="96"/>
    </row>
    <row r="169" spans="1:16" s="2" customFormat="1" ht="21" hidden="1" customHeight="1">
      <c r="A169" s="17">
        <v>201710</v>
      </c>
      <c r="B169" s="14" t="s">
        <v>196</v>
      </c>
      <c r="C169" s="14" t="s">
        <v>33</v>
      </c>
      <c r="D169" s="15">
        <v>43117</v>
      </c>
      <c r="E169" s="88" t="s">
        <v>628</v>
      </c>
      <c r="F169" s="17">
        <v>528</v>
      </c>
      <c r="G169" s="16">
        <v>43138</v>
      </c>
      <c r="H169" s="14" t="s">
        <v>717</v>
      </c>
      <c r="I169" s="14" t="s">
        <v>753</v>
      </c>
      <c r="J169" s="17">
        <v>185</v>
      </c>
      <c r="K169" s="17">
        <v>201</v>
      </c>
      <c r="L169" s="21">
        <v>0.92039800995024879</v>
      </c>
      <c r="M169" s="22">
        <v>5</v>
      </c>
      <c r="N169" s="96">
        <f t="shared" si="20"/>
        <v>2.1484375E-2</v>
      </c>
      <c r="O169" s="96">
        <f t="shared" si="21"/>
        <v>1.9774175995024876E-2</v>
      </c>
      <c r="P169" s="96"/>
    </row>
    <row r="170" spans="1:16" s="2" customFormat="1" ht="21" hidden="1" customHeight="1">
      <c r="A170" s="17">
        <v>201710</v>
      </c>
      <c r="B170" s="14" t="s">
        <v>197</v>
      </c>
      <c r="C170" s="14" t="s">
        <v>33</v>
      </c>
      <c r="D170" s="15">
        <v>43118</v>
      </c>
      <c r="E170" s="88" t="s">
        <v>628</v>
      </c>
      <c r="F170" s="17">
        <v>4452</v>
      </c>
      <c r="G170" s="16">
        <v>43138</v>
      </c>
      <c r="H170" s="14" t="s">
        <v>717</v>
      </c>
      <c r="I170" s="14" t="s">
        <v>753</v>
      </c>
      <c r="J170" s="17">
        <v>185</v>
      </c>
      <c r="K170" s="17">
        <v>201</v>
      </c>
      <c r="L170" s="21">
        <v>0.92039800995024879</v>
      </c>
      <c r="M170" s="22">
        <v>5</v>
      </c>
      <c r="N170" s="96">
        <f t="shared" si="20"/>
        <v>0.18115234375</v>
      </c>
      <c r="O170" s="96">
        <f t="shared" si="21"/>
        <v>0.16673225668532338</v>
      </c>
      <c r="P170" s="96"/>
    </row>
    <row r="171" spans="1:16" s="2" customFormat="1" ht="21" hidden="1" customHeight="1">
      <c r="A171" s="17">
        <v>201711</v>
      </c>
      <c r="B171" s="14" t="s">
        <v>199</v>
      </c>
      <c r="C171" s="14" t="s">
        <v>33</v>
      </c>
      <c r="D171" s="15">
        <v>43122</v>
      </c>
      <c r="E171" s="88" t="s">
        <v>629</v>
      </c>
      <c r="F171" s="17">
        <v>816</v>
      </c>
      <c r="G171" s="16">
        <v>43155</v>
      </c>
      <c r="H171" s="14" t="s">
        <v>717</v>
      </c>
      <c r="I171" s="14" t="s">
        <v>748</v>
      </c>
      <c r="J171" s="17">
        <v>180</v>
      </c>
      <c r="K171" s="17">
        <v>257</v>
      </c>
      <c r="L171" s="21">
        <v>0.70038910505836571</v>
      </c>
      <c r="M171" s="22">
        <v>7</v>
      </c>
      <c r="N171" s="96">
        <f>F171/$F$615</f>
        <v>6.4231738035264482E-2</v>
      </c>
      <c r="O171" s="96">
        <f>L171*N171</f>
        <v>4.498720951886228E-2</v>
      </c>
      <c r="P171" s="96"/>
    </row>
    <row r="172" spans="1:16" s="2" customFormat="1" ht="21" hidden="1" customHeight="1">
      <c r="A172" s="17">
        <v>201711</v>
      </c>
      <c r="B172" s="14" t="s">
        <v>200</v>
      </c>
      <c r="C172" s="14" t="s">
        <v>33</v>
      </c>
      <c r="D172" s="15">
        <v>43123</v>
      </c>
      <c r="E172" s="88" t="s">
        <v>629</v>
      </c>
      <c r="F172" s="17">
        <v>120</v>
      </c>
      <c r="G172" s="16">
        <v>43155</v>
      </c>
      <c r="H172" s="14" t="s">
        <v>719</v>
      </c>
      <c r="I172" s="14" t="s">
        <v>748</v>
      </c>
      <c r="J172" s="17">
        <v>180</v>
      </c>
      <c r="K172" s="17">
        <v>257</v>
      </c>
      <c r="L172" s="21">
        <v>0.70038910505836571</v>
      </c>
      <c r="M172" s="22">
        <v>7</v>
      </c>
      <c r="N172" s="96">
        <f t="shared" ref="N172:N186" si="22">F172/$F$615</f>
        <v>9.4458438287153661E-3</v>
      </c>
      <c r="O172" s="96">
        <f t="shared" ref="O172:O186" si="23">L172*N172</f>
        <v>6.6157661057150421E-3</v>
      </c>
      <c r="P172" s="96"/>
    </row>
    <row r="173" spans="1:16" s="2" customFormat="1" ht="21" hidden="1" customHeight="1">
      <c r="A173" s="17">
        <v>201711</v>
      </c>
      <c r="B173" s="14" t="s">
        <v>201</v>
      </c>
      <c r="C173" s="14" t="s">
        <v>33</v>
      </c>
      <c r="D173" s="15">
        <v>43123</v>
      </c>
      <c r="E173" s="88" t="s">
        <v>629</v>
      </c>
      <c r="F173" s="17">
        <v>461</v>
      </c>
      <c r="G173" s="16">
        <v>43155</v>
      </c>
      <c r="H173" s="14" t="s">
        <v>718</v>
      </c>
      <c r="I173" s="14" t="s">
        <v>748</v>
      </c>
      <c r="J173" s="17">
        <v>180</v>
      </c>
      <c r="K173" s="17">
        <v>257</v>
      </c>
      <c r="L173" s="21">
        <v>0.70038910505836571</v>
      </c>
      <c r="M173" s="22">
        <v>7</v>
      </c>
      <c r="N173" s="96">
        <f t="shared" si="22"/>
        <v>3.628778337531486E-2</v>
      </c>
      <c r="O173" s="96">
        <f t="shared" si="23"/>
        <v>2.5415568122788616E-2</v>
      </c>
      <c r="P173" s="96"/>
    </row>
    <row r="174" spans="1:16" s="2" customFormat="1" ht="21" hidden="1" customHeight="1">
      <c r="A174" s="17">
        <v>201711</v>
      </c>
      <c r="B174" s="14" t="s">
        <v>202</v>
      </c>
      <c r="C174" s="14" t="s">
        <v>33</v>
      </c>
      <c r="D174" s="15">
        <v>43123</v>
      </c>
      <c r="E174" s="88" t="s">
        <v>629</v>
      </c>
      <c r="F174" s="17">
        <v>1200</v>
      </c>
      <c r="G174" s="16">
        <v>43155</v>
      </c>
      <c r="H174" s="14" t="s">
        <v>718</v>
      </c>
      <c r="I174" s="14" t="s">
        <v>748</v>
      </c>
      <c r="J174" s="17">
        <v>180</v>
      </c>
      <c r="K174" s="17">
        <v>257</v>
      </c>
      <c r="L174" s="21">
        <v>0.70038910505836571</v>
      </c>
      <c r="M174" s="22">
        <v>7</v>
      </c>
      <c r="N174" s="96">
        <f t="shared" si="22"/>
        <v>9.4458438287153654E-2</v>
      </c>
      <c r="O174" s="96">
        <f t="shared" si="23"/>
        <v>6.6157661057150416E-2</v>
      </c>
      <c r="P174" s="96"/>
    </row>
    <row r="175" spans="1:16" s="2" customFormat="1" ht="21" hidden="1" customHeight="1">
      <c r="A175" s="17">
        <v>201711</v>
      </c>
      <c r="B175" s="14" t="s">
        <v>203</v>
      </c>
      <c r="C175" s="14" t="s">
        <v>33</v>
      </c>
      <c r="D175" s="15">
        <v>43124</v>
      </c>
      <c r="E175" s="88" t="s">
        <v>630</v>
      </c>
      <c r="F175" s="17">
        <v>2431</v>
      </c>
      <c r="G175" s="16">
        <v>43155</v>
      </c>
      <c r="H175" s="14" t="s">
        <v>718</v>
      </c>
      <c r="I175" s="14" t="s">
        <v>748</v>
      </c>
      <c r="J175" s="17">
        <v>180</v>
      </c>
      <c r="K175" s="17">
        <v>257</v>
      </c>
      <c r="L175" s="21">
        <v>0.70038910505836571</v>
      </c>
      <c r="M175" s="22">
        <v>7</v>
      </c>
      <c r="N175" s="96">
        <f t="shared" si="22"/>
        <v>0.19135705289672544</v>
      </c>
      <c r="O175" s="96">
        <f t="shared" si="23"/>
        <v>0.13402439502494387</v>
      </c>
      <c r="P175" s="96"/>
    </row>
    <row r="176" spans="1:16" s="2" customFormat="1" ht="21" hidden="1" customHeight="1">
      <c r="A176" s="17">
        <v>201711</v>
      </c>
      <c r="B176" s="14" t="s">
        <v>204</v>
      </c>
      <c r="C176" s="14" t="s">
        <v>33</v>
      </c>
      <c r="D176" s="15">
        <v>43124</v>
      </c>
      <c r="E176" s="88" t="s">
        <v>629</v>
      </c>
      <c r="F176" s="17">
        <v>120</v>
      </c>
      <c r="G176" s="16">
        <v>43155</v>
      </c>
      <c r="H176" s="14" t="s">
        <v>730</v>
      </c>
      <c r="I176" s="14" t="s">
        <v>748</v>
      </c>
      <c r="J176" s="17">
        <v>180</v>
      </c>
      <c r="K176" s="17">
        <v>257</v>
      </c>
      <c r="L176" s="21">
        <v>0.70038910505836571</v>
      </c>
      <c r="M176" s="22">
        <v>7</v>
      </c>
      <c r="N176" s="96">
        <f t="shared" si="22"/>
        <v>9.4458438287153661E-3</v>
      </c>
      <c r="O176" s="96">
        <f t="shared" si="23"/>
        <v>6.6157661057150421E-3</v>
      </c>
      <c r="P176" s="96"/>
    </row>
    <row r="177" spans="1:16" s="2" customFormat="1" ht="21" hidden="1" customHeight="1">
      <c r="A177" s="17">
        <v>201711</v>
      </c>
      <c r="B177" s="14" t="s">
        <v>205</v>
      </c>
      <c r="C177" s="14" t="s">
        <v>33</v>
      </c>
      <c r="D177" s="15">
        <v>43124</v>
      </c>
      <c r="E177" s="88" t="s">
        <v>629</v>
      </c>
      <c r="F177" s="17">
        <v>137</v>
      </c>
      <c r="G177" s="16">
        <v>43155</v>
      </c>
      <c r="H177" s="14" t="s">
        <v>718</v>
      </c>
      <c r="I177" s="14" t="s">
        <v>748</v>
      </c>
      <c r="J177" s="17">
        <v>180</v>
      </c>
      <c r="K177" s="17">
        <v>257</v>
      </c>
      <c r="L177" s="21">
        <v>0.70038910505836571</v>
      </c>
      <c r="M177" s="22">
        <v>7</v>
      </c>
      <c r="N177" s="96">
        <f t="shared" si="22"/>
        <v>1.0784005037783375E-2</v>
      </c>
      <c r="O177" s="96">
        <f t="shared" si="23"/>
        <v>7.5529996373580053E-3</v>
      </c>
      <c r="P177" s="96"/>
    </row>
    <row r="178" spans="1:16" s="2" customFormat="1" ht="21" hidden="1" customHeight="1">
      <c r="A178" s="17">
        <v>201711</v>
      </c>
      <c r="B178" s="14" t="s">
        <v>206</v>
      </c>
      <c r="C178" s="14" t="s">
        <v>33</v>
      </c>
      <c r="D178" s="15">
        <v>43125</v>
      </c>
      <c r="E178" s="88" t="s">
        <v>630</v>
      </c>
      <c r="F178" s="17">
        <v>6</v>
      </c>
      <c r="G178" s="16">
        <v>43155</v>
      </c>
      <c r="H178" s="14" t="s">
        <v>727</v>
      </c>
      <c r="I178" s="14" t="s">
        <v>748</v>
      </c>
      <c r="J178" s="17">
        <v>180</v>
      </c>
      <c r="K178" s="17">
        <v>257</v>
      </c>
      <c r="L178" s="21">
        <v>0.70038910505836571</v>
      </c>
      <c r="M178" s="22">
        <v>7</v>
      </c>
      <c r="N178" s="96">
        <f t="shared" si="22"/>
        <v>4.7229219143576825E-4</v>
      </c>
      <c r="O178" s="96">
        <f t="shared" si="23"/>
        <v>3.3078830528575207E-4</v>
      </c>
      <c r="P178" s="96"/>
    </row>
    <row r="179" spans="1:16" s="2" customFormat="1" ht="21" hidden="1" customHeight="1">
      <c r="A179" s="17">
        <v>201711</v>
      </c>
      <c r="B179" s="14" t="s">
        <v>207</v>
      </c>
      <c r="C179" s="14" t="s">
        <v>33</v>
      </c>
      <c r="D179" s="15">
        <v>43125</v>
      </c>
      <c r="E179" s="88" t="s">
        <v>630</v>
      </c>
      <c r="F179" s="17">
        <v>9</v>
      </c>
      <c r="G179" s="16">
        <v>43155</v>
      </c>
      <c r="H179" s="14" t="s">
        <v>727</v>
      </c>
      <c r="I179" s="14" t="s">
        <v>748</v>
      </c>
      <c r="J179" s="17">
        <v>180</v>
      </c>
      <c r="K179" s="17">
        <v>257</v>
      </c>
      <c r="L179" s="21">
        <v>0.70038910505836571</v>
      </c>
      <c r="M179" s="22">
        <v>7</v>
      </c>
      <c r="N179" s="96">
        <f t="shared" si="22"/>
        <v>7.0843828715365235E-4</v>
      </c>
      <c r="O179" s="96">
        <f t="shared" si="23"/>
        <v>4.9618245792862803E-4</v>
      </c>
      <c r="P179" s="96"/>
    </row>
    <row r="180" spans="1:16" s="2" customFormat="1" ht="21" hidden="1" customHeight="1">
      <c r="A180" s="17">
        <v>201711</v>
      </c>
      <c r="B180" s="14" t="s">
        <v>208</v>
      </c>
      <c r="C180" s="14" t="s">
        <v>33</v>
      </c>
      <c r="D180" s="15">
        <v>43125</v>
      </c>
      <c r="E180" s="88" t="s">
        <v>630</v>
      </c>
      <c r="F180" s="17">
        <v>12</v>
      </c>
      <c r="G180" s="16">
        <v>43155</v>
      </c>
      <c r="H180" s="14" t="s">
        <v>727</v>
      </c>
      <c r="I180" s="14" t="s">
        <v>748</v>
      </c>
      <c r="J180" s="17">
        <v>180</v>
      </c>
      <c r="K180" s="17">
        <v>257</v>
      </c>
      <c r="L180" s="21">
        <v>0.70038910505836571</v>
      </c>
      <c r="M180" s="22">
        <v>7</v>
      </c>
      <c r="N180" s="96">
        <f t="shared" si="22"/>
        <v>9.445843828715365E-4</v>
      </c>
      <c r="O180" s="96">
        <f t="shared" si="23"/>
        <v>6.6157661057150415E-4</v>
      </c>
      <c r="P180" s="96"/>
    </row>
    <row r="181" spans="1:16" s="2" customFormat="1" ht="21" hidden="1" customHeight="1">
      <c r="A181" s="17">
        <v>201711</v>
      </c>
      <c r="B181" s="14" t="s">
        <v>209</v>
      </c>
      <c r="C181" s="14" t="s">
        <v>33</v>
      </c>
      <c r="D181" s="15">
        <v>43125</v>
      </c>
      <c r="E181" s="88" t="s">
        <v>630</v>
      </c>
      <c r="F181" s="17">
        <v>87</v>
      </c>
      <c r="G181" s="16">
        <v>43155</v>
      </c>
      <c r="H181" s="14" t="s">
        <v>720</v>
      </c>
      <c r="I181" s="14" t="s">
        <v>748</v>
      </c>
      <c r="J181" s="17">
        <v>180</v>
      </c>
      <c r="K181" s="17">
        <v>257</v>
      </c>
      <c r="L181" s="21">
        <v>0.70038910505836571</v>
      </c>
      <c r="M181" s="22">
        <v>7</v>
      </c>
      <c r="N181" s="96">
        <f t="shared" si="22"/>
        <v>6.84823677581864E-3</v>
      </c>
      <c r="O181" s="96">
        <f t="shared" si="23"/>
        <v>4.7964304266434055E-3</v>
      </c>
      <c r="P181" s="96"/>
    </row>
    <row r="182" spans="1:16" s="2" customFormat="1" ht="21" hidden="1" customHeight="1">
      <c r="A182" s="17">
        <v>201711</v>
      </c>
      <c r="B182" s="14" t="s">
        <v>210</v>
      </c>
      <c r="C182" s="14" t="s">
        <v>33</v>
      </c>
      <c r="D182" s="15">
        <v>43126</v>
      </c>
      <c r="E182" s="88" t="s">
        <v>630</v>
      </c>
      <c r="F182" s="17">
        <v>360</v>
      </c>
      <c r="G182" s="16">
        <v>43155</v>
      </c>
      <c r="H182" s="14" t="s">
        <v>719</v>
      </c>
      <c r="I182" s="14" t="s">
        <v>748</v>
      </c>
      <c r="J182" s="17">
        <v>180</v>
      </c>
      <c r="K182" s="17">
        <v>257</v>
      </c>
      <c r="L182" s="21">
        <v>0.70038910505836571</v>
      </c>
      <c r="M182" s="22">
        <v>7</v>
      </c>
      <c r="N182" s="96">
        <f t="shared" si="22"/>
        <v>2.8337531486146095E-2</v>
      </c>
      <c r="O182" s="96">
        <f t="shared" si="23"/>
        <v>1.9847298317145122E-2</v>
      </c>
      <c r="P182" s="96"/>
    </row>
    <row r="183" spans="1:16" s="2" customFormat="1" ht="21" hidden="1" customHeight="1">
      <c r="A183" s="17">
        <v>201711</v>
      </c>
      <c r="B183" s="14" t="s">
        <v>211</v>
      </c>
      <c r="C183" s="14" t="s">
        <v>33</v>
      </c>
      <c r="D183" s="15">
        <v>43126</v>
      </c>
      <c r="E183" s="88" t="s">
        <v>630</v>
      </c>
      <c r="F183" s="17">
        <v>4212</v>
      </c>
      <c r="G183" s="16">
        <v>43155</v>
      </c>
      <c r="H183" s="14" t="s">
        <v>717</v>
      </c>
      <c r="I183" s="14" t="s">
        <v>748</v>
      </c>
      <c r="J183" s="17">
        <v>180</v>
      </c>
      <c r="K183" s="17">
        <v>257</v>
      </c>
      <c r="L183" s="21">
        <v>0.70038910505836571</v>
      </c>
      <c r="M183" s="22">
        <v>7</v>
      </c>
      <c r="N183" s="96">
        <f t="shared" si="22"/>
        <v>0.33154911838790935</v>
      </c>
      <c r="O183" s="96">
        <f t="shared" si="23"/>
        <v>0.23221339031059798</v>
      </c>
      <c r="P183" s="96"/>
    </row>
    <row r="184" spans="1:16" s="2" customFormat="1" ht="21" hidden="1" customHeight="1">
      <c r="A184" s="17">
        <v>201711</v>
      </c>
      <c r="B184" s="14" t="s">
        <v>212</v>
      </c>
      <c r="C184" s="14" t="s">
        <v>33</v>
      </c>
      <c r="D184" s="15">
        <v>43126</v>
      </c>
      <c r="E184" s="88" t="s">
        <v>630</v>
      </c>
      <c r="F184" s="17">
        <v>20</v>
      </c>
      <c r="G184" s="16">
        <v>43155</v>
      </c>
      <c r="H184" s="14" t="s">
        <v>731</v>
      </c>
      <c r="I184" s="14" t="s">
        <v>748</v>
      </c>
      <c r="J184" s="17">
        <v>180</v>
      </c>
      <c r="K184" s="17">
        <v>257</v>
      </c>
      <c r="L184" s="21">
        <v>0.70038910505836571</v>
      </c>
      <c r="M184" s="22">
        <v>7</v>
      </c>
      <c r="N184" s="96">
        <f t="shared" si="22"/>
        <v>1.5743073047858943E-3</v>
      </c>
      <c r="O184" s="96">
        <f t="shared" si="23"/>
        <v>1.1026276842858404E-3</v>
      </c>
      <c r="P184" s="96"/>
    </row>
    <row r="185" spans="1:16" s="2" customFormat="1" ht="21" hidden="1" customHeight="1">
      <c r="A185" s="17">
        <v>201711</v>
      </c>
      <c r="B185" s="14" t="s">
        <v>213</v>
      </c>
      <c r="C185" s="14" t="s">
        <v>33</v>
      </c>
      <c r="D185" s="15">
        <v>43126</v>
      </c>
      <c r="E185" s="88" t="s">
        <v>630</v>
      </c>
      <c r="F185" s="17">
        <v>66</v>
      </c>
      <c r="G185" s="16">
        <v>43155</v>
      </c>
      <c r="H185" s="14" t="s">
        <v>722</v>
      </c>
      <c r="I185" s="14" t="s">
        <v>748</v>
      </c>
      <c r="J185" s="17">
        <v>180</v>
      </c>
      <c r="K185" s="17">
        <v>257</v>
      </c>
      <c r="L185" s="21">
        <v>0.70038910505836571</v>
      </c>
      <c r="M185" s="22">
        <v>7</v>
      </c>
      <c r="N185" s="96">
        <f t="shared" si="22"/>
        <v>5.1952141057934505E-3</v>
      </c>
      <c r="O185" s="96">
        <f t="shared" si="23"/>
        <v>3.6386713581432724E-3</v>
      </c>
      <c r="P185" s="96"/>
    </row>
    <row r="186" spans="1:16" s="2" customFormat="1" ht="21" hidden="1" customHeight="1">
      <c r="A186" s="17">
        <v>201711</v>
      </c>
      <c r="B186" s="14" t="s">
        <v>214</v>
      </c>
      <c r="C186" s="14" t="s">
        <v>33</v>
      </c>
      <c r="D186" s="15">
        <v>43130</v>
      </c>
      <c r="E186" s="88" t="s">
        <v>630</v>
      </c>
      <c r="F186" s="17">
        <f>7500-4853</f>
        <v>2647</v>
      </c>
      <c r="G186" s="16">
        <v>43155</v>
      </c>
      <c r="H186" s="14" t="s">
        <v>718</v>
      </c>
      <c r="I186" s="14" t="s">
        <v>748</v>
      </c>
      <c r="J186" s="17">
        <v>180</v>
      </c>
      <c r="K186" s="17">
        <v>257</v>
      </c>
      <c r="L186" s="21">
        <v>0.70038910505836571</v>
      </c>
      <c r="M186" s="22">
        <v>7</v>
      </c>
      <c r="N186" s="96">
        <f t="shared" si="22"/>
        <v>0.20835957178841311</v>
      </c>
      <c r="O186" s="96">
        <f t="shared" si="23"/>
        <v>0.14593277401523097</v>
      </c>
      <c r="P186" s="96"/>
    </row>
    <row r="187" spans="1:16" s="2" customFormat="1" ht="21" hidden="1" customHeight="1">
      <c r="A187" s="17"/>
      <c r="B187" s="14"/>
      <c r="C187" s="14"/>
      <c r="D187" s="15"/>
      <c r="E187" s="88"/>
      <c r="F187" s="39">
        <f>SUM(F155:F186)</f>
        <v>37280</v>
      </c>
      <c r="G187" s="17"/>
      <c r="H187" s="14"/>
      <c r="I187" s="14"/>
      <c r="J187" s="17"/>
      <c r="K187" s="17"/>
      <c r="L187" s="21"/>
      <c r="M187" s="22"/>
      <c r="N187" s="96"/>
      <c r="O187" s="96"/>
      <c r="P187" s="96"/>
    </row>
    <row r="188" spans="1:16" s="2" customFormat="1" ht="21" hidden="1" customHeight="1">
      <c r="A188" s="17">
        <v>201710</v>
      </c>
      <c r="B188" s="14" t="s">
        <v>215</v>
      </c>
      <c r="C188" s="14" t="s">
        <v>32</v>
      </c>
      <c r="D188" s="15">
        <v>43104</v>
      </c>
      <c r="E188" s="88" t="s">
        <v>631</v>
      </c>
      <c r="F188" s="17">
        <v>1476</v>
      </c>
      <c r="G188" s="16">
        <v>43138</v>
      </c>
      <c r="H188" s="14" t="s">
        <v>717</v>
      </c>
      <c r="I188" s="14" t="s">
        <v>754</v>
      </c>
      <c r="J188" s="17">
        <v>200</v>
      </c>
      <c r="K188" s="17">
        <v>201</v>
      </c>
      <c r="L188" s="21">
        <v>0.99502487562189057</v>
      </c>
      <c r="M188" s="22">
        <v>5</v>
      </c>
      <c r="N188" s="96">
        <f>F188/$F$617</f>
        <v>9.9293642785065583E-2</v>
      </c>
      <c r="O188" s="96">
        <f>L188*N188</f>
        <v>9.8799644562254318E-2</v>
      </c>
      <c r="P188" s="96"/>
    </row>
    <row r="189" spans="1:16" s="2" customFormat="1" ht="21" hidden="1" customHeight="1">
      <c r="A189" s="17">
        <v>201710</v>
      </c>
      <c r="B189" s="14" t="s">
        <v>216</v>
      </c>
      <c r="C189" s="14" t="s">
        <v>32</v>
      </c>
      <c r="D189" s="15">
        <v>43104</v>
      </c>
      <c r="E189" s="88" t="s">
        <v>631</v>
      </c>
      <c r="F189" s="17">
        <v>396</v>
      </c>
      <c r="G189" s="16">
        <v>43138</v>
      </c>
      <c r="H189" s="14" t="s">
        <v>717</v>
      </c>
      <c r="I189" s="14" t="s">
        <v>754</v>
      </c>
      <c r="J189" s="17">
        <v>200</v>
      </c>
      <c r="K189" s="17">
        <v>201</v>
      </c>
      <c r="L189" s="21">
        <v>0.99502487562189057</v>
      </c>
      <c r="M189" s="22">
        <v>5</v>
      </c>
      <c r="N189" s="96">
        <f t="shared" ref="N189:N191" si="24">F189/$F$617</f>
        <v>2.6639757820383452E-2</v>
      </c>
      <c r="O189" s="96">
        <f t="shared" ref="O189:O191" si="25">L189*N189</f>
        <v>2.650722171182433E-2</v>
      </c>
      <c r="P189" s="96"/>
    </row>
    <row r="190" spans="1:16" s="2" customFormat="1" ht="21" hidden="1" customHeight="1">
      <c r="A190" s="17">
        <v>201710</v>
      </c>
      <c r="B190" s="14" t="s">
        <v>217</v>
      </c>
      <c r="C190" s="14" t="s">
        <v>32</v>
      </c>
      <c r="D190" s="15">
        <v>43104</v>
      </c>
      <c r="E190" s="88" t="s">
        <v>631</v>
      </c>
      <c r="F190" s="17">
        <v>144</v>
      </c>
      <c r="G190" s="16">
        <v>43138</v>
      </c>
      <c r="H190" s="14" t="s">
        <v>717</v>
      </c>
      <c r="I190" s="14" t="s">
        <v>754</v>
      </c>
      <c r="J190" s="17">
        <v>200</v>
      </c>
      <c r="K190" s="17">
        <v>201</v>
      </c>
      <c r="L190" s="21">
        <v>0.99502487562189057</v>
      </c>
      <c r="M190" s="22">
        <v>5</v>
      </c>
      <c r="N190" s="96">
        <f t="shared" si="24"/>
        <v>9.6871846619576187E-3</v>
      </c>
      <c r="O190" s="96">
        <f t="shared" si="25"/>
        <v>9.6389897133906648E-3</v>
      </c>
      <c r="P190" s="96"/>
    </row>
    <row r="191" spans="1:16" s="2" customFormat="1" ht="21" hidden="1" customHeight="1">
      <c r="A191" s="17">
        <v>201710</v>
      </c>
      <c r="B191" s="14" t="s">
        <v>218</v>
      </c>
      <c r="C191" s="14" t="s">
        <v>32</v>
      </c>
      <c r="D191" s="15">
        <v>43105</v>
      </c>
      <c r="E191" s="88" t="s">
        <v>631</v>
      </c>
      <c r="F191" s="17">
        <v>1236</v>
      </c>
      <c r="G191" s="16">
        <v>43139</v>
      </c>
      <c r="H191" s="14" t="s">
        <v>720</v>
      </c>
      <c r="I191" s="14" t="s">
        <v>754</v>
      </c>
      <c r="J191" s="17">
        <v>200</v>
      </c>
      <c r="K191" s="17">
        <v>201</v>
      </c>
      <c r="L191" s="21">
        <v>0.99502487562189057</v>
      </c>
      <c r="M191" s="22">
        <v>5</v>
      </c>
      <c r="N191" s="96">
        <f t="shared" si="24"/>
        <v>8.3148335015136229E-2</v>
      </c>
      <c r="O191" s="96">
        <f t="shared" si="25"/>
        <v>8.2734661706603221E-2</v>
      </c>
      <c r="P191" s="96"/>
    </row>
    <row r="192" spans="1:16" s="2" customFormat="1" ht="21" hidden="1" customHeight="1">
      <c r="A192" s="17">
        <v>201710</v>
      </c>
      <c r="B192" s="14" t="s">
        <v>219</v>
      </c>
      <c r="C192" s="14" t="s">
        <v>32</v>
      </c>
      <c r="D192" s="15">
        <v>43106</v>
      </c>
      <c r="E192" s="88" t="s">
        <v>632</v>
      </c>
      <c r="F192" s="17">
        <v>816</v>
      </c>
      <c r="G192" s="16">
        <v>43134</v>
      </c>
      <c r="H192" s="14" t="s">
        <v>718</v>
      </c>
      <c r="I192" s="14" t="s">
        <v>754</v>
      </c>
      <c r="J192" s="17">
        <v>200</v>
      </c>
      <c r="K192" s="17">
        <v>193</v>
      </c>
      <c r="L192" s="21">
        <v>1.0362694300518134</v>
      </c>
      <c r="M192" s="22">
        <v>4</v>
      </c>
      <c r="N192" s="96"/>
      <c r="O192" s="96"/>
      <c r="P192" s="96"/>
    </row>
    <row r="193" spans="1:16" s="2" customFormat="1" ht="21" hidden="1" customHeight="1">
      <c r="A193" s="17">
        <v>201710</v>
      </c>
      <c r="B193" s="14" t="s">
        <v>220</v>
      </c>
      <c r="C193" s="14" t="s">
        <v>32</v>
      </c>
      <c r="D193" s="15">
        <v>43106</v>
      </c>
      <c r="E193" s="88" t="s">
        <v>632</v>
      </c>
      <c r="F193" s="17">
        <v>252</v>
      </c>
      <c r="G193" s="16">
        <v>43125</v>
      </c>
      <c r="H193" s="14" t="s">
        <v>718</v>
      </c>
      <c r="I193" s="14" t="s">
        <v>754</v>
      </c>
      <c r="J193" s="17">
        <v>200</v>
      </c>
      <c r="K193" s="17">
        <v>193</v>
      </c>
      <c r="L193" s="21">
        <v>1.0362694300518134</v>
      </c>
      <c r="M193" s="22">
        <v>4</v>
      </c>
      <c r="N193" s="96"/>
      <c r="O193" s="96"/>
      <c r="P193" s="96"/>
    </row>
    <row r="194" spans="1:16" s="2" customFormat="1" ht="21" hidden="1" customHeight="1">
      <c r="A194" s="17">
        <v>201710</v>
      </c>
      <c r="B194" s="14" t="s">
        <v>222</v>
      </c>
      <c r="C194" s="14" t="s">
        <v>32</v>
      </c>
      <c r="D194" s="15">
        <v>43106</v>
      </c>
      <c r="E194" s="88" t="s">
        <v>632</v>
      </c>
      <c r="F194" s="17">
        <v>984</v>
      </c>
      <c r="G194" s="16">
        <v>43134</v>
      </c>
      <c r="H194" s="14" t="s">
        <v>718</v>
      </c>
      <c r="I194" s="14" t="s">
        <v>754</v>
      </c>
      <c r="J194" s="17">
        <v>200</v>
      </c>
      <c r="K194" s="17">
        <v>193</v>
      </c>
      <c r="L194" s="21">
        <v>1.0362694300518134</v>
      </c>
      <c r="M194" s="22">
        <v>4</v>
      </c>
      <c r="N194" s="96"/>
      <c r="O194" s="96"/>
      <c r="P194" s="96"/>
    </row>
    <row r="195" spans="1:16" s="2" customFormat="1" ht="21" hidden="1" customHeight="1">
      <c r="A195" s="17">
        <v>201710</v>
      </c>
      <c r="B195" s="14" t="s">
        <v>221</v>
      </c>
      <c r="C195" s="14" t="s">
        <v>32</v>
      </c>
      <c r="D195" s="15">
        <v>43108</v>
      </c>
      <c r="E195" s="88" t="s">
        <v>632</v>
      </c>
      <c r="F195" s="17">
        <v>4836</v>
      </c>
      <c r="G195" s="16">
        <v>43138</v>
      </c>
      <c r="H195" s="14" t="s">
        <v>717</v>
      </c>
      <c r="I195" s="14" t="s">
        <v>754</v>
      </c>
      <c r="J195" s="17">
        <v>200</v>
      </c>
      <c r="K195" s="17">
        <v>193</v>
      </c>
      <c r="L195" s="21">
        <v>1.0362694300518134</v>
      </c>
      <c r="M195" s="22">
        <v>4</v>
      </c>
      <c r="N195" s="96"/>
      <c r="O195" s="96"/>
      <c r="P195" s="96"/>
    </row>
    <row r="196" spans="1:16" s="2" customFormat="1" ht="21" hidden="1" customHeight="1">
      <c r="A196" s="17">
        <v>201710</v>
      </c>
      <c r="B196" s="14" t="s">
        <v>223</v>
      </c>
      <c r="C196" s="14" t="s">
        <v>32</v>
      </c>
      <c r="D196" s="15">
        <v>43108</v>
      </c>
      <c r="E196" s="88" t="s">
        <v>632</v>
      </c>
      <c r="F196" s="17">
        <v>144</v>
      </c>
      <c r="G196" s="16">
        <v>43138</v>
      </c>
      <c r="H196" s="14" t="s">
        <v>717</v>
      </c>
      <c r="I196" s="14" t="s">
        <v>754</v>
      </c>
      <c r="J196" s="17">
        <v>200</v>
      </c>
      <c r="K196" s="17">
        <v>193</v>
      </c>
      <c r="L196" s="21">
        <v>1.0362694300518134</v>
      </c>
      <c r="M196" s="22">
        <v>4</v>
      </c>
      <c r="N196" s="96"/>
      <c r="O196" s="96"/>
      <c r="P196" s="96"/>
    </row>
    <row r="197" spans="1:16" s="2" customFormat="1" ht="21" hidden="1" customHeight="1">
      <c r="A197" s="17">
        <v>201710</v>
      </c>
      <c r="B197" s="14" t="s">
        <v>224</v>
      </c>
      <c r="C197" s="14" t="s">
        <v>32</v>
      </c>
      <c r="D197" s="15">
        <v>43111</v>
      </c>
      <c r="E197" s="88" t="s">
        <v>632</v>
      </c>
      <c r="F197" s="17">
        <v>600</v>
      </c>
      <c r="G197" s="16">
        <v>43139</v>
      </c>
      <c r="H197" s="14" t="s">
        <v>718</v>
      </c>
      <c r="I197" s="14" t="s">
        <v>754</v>
      </c>
      <c r="J197" s="17">
        <v>200</v>
      </c>
      <c r="K197" s="17">
        <v>193</v>
      </c>
      <c r="L197" s="21">
        <v>1.0362694300518134</v>
      </c>
      <c r="M197" s="22">
        <v>4</v>
      </c>
      <c r="N197" s="96"/>
      <c r="O197" s="96"/>
      <c r="P197" s="96"/>
    </row>
    <row r="198" spans="1:16" s="2" customFormat="1" ht="21" hidden="1" customHeight="1">
      <c r="A198" s="17">
        <v>201710</v>
      </c>
      <c r="B198" s="14" t="s">
        <v>225</v>
      </c>
      <c r="C198" s="14" t="s">
        <v>32</v>
      </c>
      <c r="D198" s="15">
        <v>43111</v>
      </c>
      <c r="E198" s="88" t="s">
        <v>633</v>
      </c>
      <c r="F198" s="17">
        <v>2400</v>
      </c>
      <c r="G198" s="16">
        <v>43134</v>
      </c>
      <c r="H198" s="14" t="s">
        <v>718</v>
      </c>
      <c r="I198" s="14" t="s">
        <v>754</v>
      </c>
      <c r="J198" s="17">
        <v>200</v>
      </c>
      <c r="K198" s="17">
        <v>201</v>
      </c>
      <c r="L198" s="21">
        <v>0.99502487562189057</v>
      </c>
      <c r="M198" s="22">
        <v>5</v>
      </c>
      <c r="N198" s="96">
        <f t="shared" ref="N198:N205" si="26">F198/$F$617</f>
        <v>0.16145307769929365</v>
      </c>
      <c r="O198" s="96">
        <f t="shared" ref="O198:O205" si="27">L198*N198</f>
        <v>0.16064982855651111</v>
      </c>
      <c r="P198" s="96"/>
    </row>
    <row r="199" spans="1:16" s="2" customFormat="1" ht="21" hidden="1" customHeight="1">
      <c r="A199" s="17">
        <v>201710</v>
      </c>
      <c r="B199" s="14" t="s">
        <v>226</v>
      </c>
      <c r="C199" s="14" t="s">
        <v>32</v>
      </c>
      <c r="D199" s="15">
        <v>43113</v>
      </c>
      <c r="E199" s="88" t="s">
        <v>633</v>
      </c>
      <c r="F199" s="17">
        <v>144</v>
      </c>
      <c r="G199" s="16">
        <v>43138</v>
      </c>
      <c r="H199" s="14" t="s">
        <v>717</v>
      </c>
      <c r="I199" s="14" t="s">
        <v>754</v>
      </c>
      <c r="J199" s="17">
        <v>200</v>
      </c>
      <c r="K199" s="17">
        <v>201</v>
      </c>
      <c r="L199" s="21">
        <v>0.99502487562189057</v>
      </c>
      <c r="M199" s="22">
        <v>5</v>
      </c>
      <c r="N199" s="96">
        <f t="shared" si="26"/>
        <v>9.6871846619576187E-3</v>
      </c>
      <c r="O199" s="96">
        <f t="shared" si="27"/>
        <v>9.6389897133906648E-3</v>
      </c>
      <c r="P199" s="96"/>
    </row>
    <row r="200" spans="1:16" s="2" customFormat="1" ht="21" hidden="1" customHeight="1">
      <c r="A200" s="17">
        <v>201710</v>
      </c>
      <c r="B200" s="14" t="s">
        <v>227</v>
      </c>
      <c r="C200" s="14" t="s">
        <v>32</v>
      </c>
      <c r="D200" s="15">
        <v>43113</v>
      </c>
      <c r="E200" s="88" t="s">
        <v>633</v>
      </c>
      <c r="F200" s="17">
        <v>1236</v>
      </c>
      <c r="G200" s="16">
        <v>43139</v>
      </c>
      <c r="H200" s="14" t="s">
        <v>720</v>
      </c>
      <c r="I200" s="14" t="s">
        <v>754</v>
      </c>
      <c r="J200" s="17">
        <v>200</v>
      </c>
      <c r="K200" s="17">
        <v>201</v>
      </c>
      <c r="L200" s="21">
        <v>0.99502487562189057</v>
      </c>
      <c r="M200" s="22">
        <v>5</v>
      </c>
      <c r="N200" s="96">
        <f t="shared" si="26"/>
        <v>8.3148335015136229E-2</v>
      </c>
      <c r="O200" s="96">
        <f t="shared" si="27"/>
        <v>8.2734661706603221E-2</v>
      </c>
      <c r="P200" s="96"/>
    </row>
    <row r="201" spans="1:16" s="2" customFormat="1" ht="21" hidden="1" customHeight="1">
      <c r="A201" s="17">
        <v>201710</v>
      </c>
      <c r="B201" s="14" t="s">
        <v>228</v>
      </c>
      <c r="C201" s="14" t="s">
        <v>32</v>
      </c>
      <c r="D201" s="15">
        <v>43115</v>
      </c>
      <c r="E201" s="88" t="s">
        <v>634</v>
      </c>
      <c r="F201" s="17">
        <v>420</v>
      </c>
      <c r="G201" s="16">
        <v>43138</v>
      </c>
      <c r="H201" s="14" t="s">
        <v>717</v>
      </c>
      <c r="I201" s="14" t="s">
        <v>754</v>
      </c>
      <c r="J201" s="17">
        <v>200</v>
      </c>
      <c r="K201" s="17">
        <v>201</v>
      </c>
      <c r="L201" s="21">
        <v>0.99502487562189057</v>
      </c>
      <c r="M201" s="22">
        <v>5</v>
      </c>
      <c r="N201" s="96">
        <f t="shared" si="26"/>
        <v>2.8254288597376387E-2</v>
      </c>
      <c r="O201" s="96">
        <f t="shared" si="27"/>
        <v>2.8113719997389441E-2</v>
      </c>
      <c r="P201" s="96"/>
    </row>
    <row r="202" spans="1:16" s="2" customFormat="1" ht="21" hidden="1" customHeight="1">
      <c r="A202" s="17">
        <v>201710</v>
      </c>
      <c r="B202" s="14" t="s">
        <v>229</v>
      </c>
      <c r="C202" s="14" t="s">
        <v>32</v>
      </c>
      <c r="D202" s="15">
        <v>43115</v>
      </c>
      <c r="E202" s="88" t="s">
        <v>635</v>
      </c>
      <c r="F202" s="17">
        <v>2352</v>
      </c>
      <c r="G202" s="16">
        <v>43138</v>
      </c>
      <c r="H202" s="14" t="s">
        <v>717</v>
      </c>
      <c r="I202" s="14" t="s">
        <v>754</v>
      </c>
      <c r="J202" s="17">
        <v>200</v>
      </c>
      <c r="K202" s="17">
        <v>201</v>
      </c>
      <c r="L202" s="21">
        <v>0.99502487562189057</v>
      </c>
      <c r="M202" s="22">
        <v>5</v>
      </c>
      <c r="N202" s="96">
        <f t="shared" si="26"/>
        <v>0.15822401614530776</v>
      </c>
      <c r="O202" s="96">
        <f t="shared" si="27"/>
        <v>0.15743683198538086</v>
      </c>
      <c r="P202" s="96"/>
    </row>
    <row r="203" spans="1:16" s="2" customFormat="1" ht="21" hidden="1" customHeight="1">
      <c r="A203" s="17">
        <v>201710</v>
      </c>
      <c r="B203" s="14" t="s">
        <v>230</v>
      </c>
      <c r="C203" s="14" t="s">
        <v>32</v>
      </c>
      <c r="D203" s="15">
        <v>43115</v>
      </c>
      <c r="E203" s="88" t="s">
        <v>634</v>
      </c>
      <c r="F203" s="17">
        <v>120</v>
      </c>
      <c r="G203" s="16">
        <v>43138</v>
      </c>
      <c r="H203" s="14" t="s">
        <v>717</v>
      </c>
      <c r="I203" s="14" t="s">
        <v>754</v>
      </c>
      <c r="J203" s="17">
        <v>200</v>
      </c>
      <c r="K203" s="17">
        <v>201</v>
      </c>
      <c r="L203" s="21">
        <v>0.99502487562189057</v>
      </c>
      <c r="M203" s="22">
        <v>5</v>
      </c>
      <c r="N203" s="96">
        <f t="shared" si="26"/>
        <v>8.0726538849646822E-3</v>
      </c>
      <c r="O203" s="96">
        <f t="shared" si="27"/>
        <v>8.0324914278255555E-3</v>
      </c>
      <c r="P203" s="96"/>
    </row>
    <row r="204" spans="1:16" s="2" customFormat="1" ht="21" hidden="1" customHeight="1">
      <c r="A204" s="17">
        <v>201710</v>
      </c>
      <c r="B204" s="14" t="s">
        <v>231</v>
      </c>
      <c r="C204" s="14" t="s">
        <v>32</v>
      </c>
      <c r="D204" s="15">
        <v>43117</v>
      </c>
      <c r="E204" s="88" t="s">
        <v>627</v>
      </c>
      <c r="F204" s="17">
        <v>2421</v>
      </c>
      <c r="G204" s="16">
        <v>43139</v>
      </c>
      <c r="H204" s="14" t="s">
        <v>718</v>
      </c>
      <c r="I204" s="14" t="s">
        <v>753</v>
      </c>
      <c r="J204" s="17">
        <v>185</v>
      </c>
      <c r="K204" s="17">
        <v>201</v>
      </c>
      <c r="L204" s="21">
        <v>0.92039800995024879</v>
      </c>
      <c r="M204" s="22">
        <v>5</v>
      </c>
      <c r="N204" s="96">
        <f t="shared" si="26"/>
        <v>0.16286579212916247</v>
      </c>
      <c r="O204" s="96">
        <f t="shared" si="27"/>
        <v>0.14990135096465201</v>
      </c>
      <c r="P204" s="96"/>
    </row>
    <row r="205" spans="1:16" s="2" customFormat="1" ht="21" hidden="1" customHeight="1">
      <c r="A205" s="17">
        <v>201710</v>
      </c>
      <c r="B205" s="14" t="s">
        <v>198</v>
      </c>
      <c r="C205" s="14" t="s">
        <v>32</v>
      </c>
      <c r="D205" s="15">
        <v>43118</v>
      </c>
      <c r="E205" s="88" t="s">
        <v>627</v>
      </c>
      <c r="F205" s="17">
        <v>2520</v>
      </c>
      <c r="G205" s="16">
        <v>43138</v>
      </c>
      <c r="H205" s="14" t="s">
        <v>717</v>
      </c>
      <c r="I205" s="14" t="s">
        <v>753</v>
      </c>
      <c r="J205" s="17">
        <v>185</v>
      </c>
      <c r="K205" s="17">
        <v>201</v>
      </c>
      <c r="L205" s="21">
        <v>0.92039800995024879</v>
      </c>
      <c r="M205" s="22">
        <v>5</v>
      </c>
      <c r="N205" s="96">
        <f t="shared" si="26"/>
        <v>0.16952573158425832</v>
      </c>
      <c r="O205" s="96">
        <f t="shared" si="27"/>
        <v>0.1560311459855114</v>
      </c>
      <c r="P205" s="96"/>
    </row>
    <row r="206" spans="1:16" s="2" customFormat="1" ht="21" hidden="1" customHeight="1">
      <c r="A206" s="17">
        <v>201710</v>
      </c>
      <c r="B206" s="14" t="s">
        <v>232</v>
      </c>
      <c r="C206" s="14" t="s">
        <v>32</v>
      </c>
      <c r="D206" s="15">
        <v>43120</v>
      </c>
      <c r="E206" s="88" t="s">
        <v>636</v>
      </c>
      <c r="F206" s="17">
        <v>1416</v>
      </c>
      <c r="G206" s="16">
        <v>43139</v>
      </c>
      <c r="H206" s="14" t="s">
        <v>720</v>
      </c>
      <c r="I206" s="14" t="s">
        <v>755</v>
      </c>
      <c r="J206" s="17">
        <v>150</v>
      </c>
      <c r="K206" s="17">
        <v>197</v>
      </c>
      <c r="L206" s="21">
        <v>0.76142131979695427</v>
      </c>
      <c r="M206" s="22">
        <v>6</v>
      </c>
      <c r="N206" s="96">
        <f>F206/$F$618</f>
        <v>0.43422263109475623</v>
      </c>
      <c r="O206" s="96">
        <f>L206*N206</f>
        <v>0.33062636885387525</v>
      </c>
      <c r="P206" s="96"/>
    </row>
    <row r="207" spans="1:16" s="2" customFormat="1" ht="21" hidden="1" customHeight="1">
      <c r="A207" s="17">
        <v>201710</v>
      </c>
      <c r="B207" s="14" t="s">
        <v>233</v>
      </c>
      <c r="C207" s="14" t="s">
        <v>32</v>
      </c>
      <c r="D207" s="15">
        <v>43120</v>
      </c>
      <c r="E207" s="88" t="s">
        <v>636</v>
      </c>
      <c r="F207" s="17">
        <v>756</v>
      </c>
      <c r="G207" s="16">
        <v>43139</v>
      </c>
      <c r="H207" s="14" t="s">
        <v>720</v>
      </c>
      <c r="I207" s="14" t="s">
        <v>755</v>
      </c>
      <c r="J207" s="17">
        <v>150</v>
      </c>
      <c r="K207" s="17">
        <v>197</v>
      </c>
      <c r="L207" s="21">
        <v>0.76142131979695427</v>
      </c>
      <c r="M207" s="22">
        <v>6</v>
      </c>
      <c r="N207" s="96">
        <f t="shared" ref="N207:N208" si="28">F207/$F$618</f>
        <v>0.23183072677092917</v>
      </c>
      <c r="O207" s="96">
        <f t="shared" ref="O207:O208" si="29">L207*N207</f>
        <v>0.17652085794740799</v>
      </c>
      <c r="P207" s="96"/>
    </row>
    <row r="208" spans="1:16" s="2" customFormat="1" ht="21" hidden="1" customHeight="1">
      <c r="A208" s="17">
        <v>201710</v>
      </c>
      <c r="B208" s="14" t="s">
        <v>234</v>
      </c>
      <c r="C208" s="14" t="s">
        <v>32</v>
      </c>
      <c r="D208" s="15">
        <v>43122</v>
      </c>
      <c r="E208" s="88" t="s">
        <v>637</v>
      </c>
      <c r="F208" s="17">
        <v>1089</v>
      </c>
      <c r="G208" s="16">
        <v>43139</v>
      </c>
      <c r="H208" s="14" t="s">
        <v>718</v>
      </c>
      <c r="I208" s="14" t="s">
        <v>756</v>
      </c>
      <c r="J208" s="17">
        <v>160</v>
      </c>
      <c r="K208" s="17">
        <v>194</v>
      </c>
      <c r="L208" s="21">
        <v>0.82474226804123707</v>
      </c>
      <c r="M208" s="22">
        <v>6</v>
      </c>
      <c r="N208" s="96">
        <f t="shared" si="28"/>
        <v>0.33394664213431463</v>
      </c>
      <c r="O208" s="96">
        <f t="shared" si="29"/>
        <v>0.27541991103860997</v>
      </c>
      <c r="P208" s="96"/>
    </row>
    <row r="209" spans="1:16" s="2" customFormat="1" ht="21" hidden="1" customHeight="1">
      <c r="A209" s="17"/>
      <c r="B209" s="14"/>
      <c r="C209" s="50" t="s">
        <v>32</v>
      </c>
      <c r="D209" s="51" t="s">
        <v>812</v>
      </c>
      <c r="E209" s="89" t="s">
        <v>806</v>
      </c>
      <c r="F209" s="52">
        <v>5000</v>
      </c>
      <c r="G209" s="53" t="s">
        <v>1341</v>
      </c>
      <c r="H209" s="50"/>
      <c r="I209" s="14"/>
      <c r="J209" s="17">
        <v>210</v>
      </c>
      <c r="K209" s="17">
        <v>143</v>
      </c>
      <c r="L209" s="21">
        <v>1.4685314685314685</v>
      </c>
      <c r="M209" s="22">
        <v>2</v>
      </c>
      <c r="N209" s="96">
        <f>F209/$F$616</f>
        <v>0.32632815559326461</v>
      </c>
      <c r="O209" s="96">
        <f>L209*N209</f>
        <v>0.47922316555654243</v>
      </c>
      <c r="P209" s="96"/>
    </row>
    <row r="210" spans="1:16" s="2" customFormat="1" ht="21" hidden="1" customHeight="1">
      <c r="A210" s="17">
        <v>201711</v>
      </c>
      <c r="B210" s="14" t="s">
        <v>235</v>
      </c>
      <c r="C210" s="14" t="s">
        <v>32</v>
      </c>
      <c r="D210" s="15">
        <v>43126</v>
      </c>
      <c r="E210" s="88" t="s">
        <v>638</v>
      </c>
      <c r="F210" s="17">
        <f>19992-9670</f>
        <v>10322</v>
      </c>
      <c r="G210" s="16">
        <v>43155</v>
      </c>
      <c r="H210" s="14" t="s">
        <v>717</v>
      </c>
      <c r="I210" s="14" t="s">
        <v>757</v>
      </c>
      <c r="J210" s="17">
        <v>210</v>
      </c>
      <c r="K210" s="17">
        <v>143</v>
      </c>
      <c r="L210" s="21">
        <v>1.4685314685314685</v>
      </c>
      <c r="M210" s="22">
        <v>2</v>
      </c>
      <c r="N210" s="96">
        <f>F210/$F$616</f>
        <v>0.67367184440673544</v>
      </c>
      <c r="O210" s="96">
        <f>L210*N210</f>
        <v>0.98930830297492622</v>
      </c>
      <c r="P210" s="96"/>
    </row>
    <row r="211" spans="1:16" s="2" customFormat="1" ht="21" hidden="1" customHeight="1">
      <c r="A211" s="17"/>
      <c r="B211" s="14"/>
      <c r="C211" s="14"/>
      <c r="D211" s="15"/>
      <c r="E211" s="88"/>
      <c r="F211" s="39">
        <f>SUM(F188:F210)</f>
        <v>41080</v>
      </c>
      <c r="G211" s="17"/>
      <c r="H211" s="14"/>
      <c r="I211" s="14"/>
      <c r="J211" s="17"/>
      <c r="K211" s="17"/>
      <c r="L211" s="21"/>
      <c r="M211" s="22"/>
      <c r="N211" s="96"/>
      <c r="O211" s="96"/>
      <c r="P211" s="96"/>
    </row>
    <row r="212" spans="1:16" s="2" customFormat="1" ht="21" hidden="1" customHeight="1">
      <c r="A212" s="17">
        <v>201712</v>
      </c>
      <c r="B212" s="14" t="s">
        <v>813</v>
      </c>
      <c r="C212" s="14" t="s">
        <v>31</v>
      </c>
      <c r="D212" s="15">
        <v>43102</v>
      </c>
      <c r="E212" s="88" t="s">
        <v>814</v>
      </c>
      <c r="F212" s="17">
        <v>3376</v>
      </c>
      <c r="G212" s="16">
        <v>43110</v>
      </c>
      <c r="H212" s="14" t="s">
        <v>717</v>
      </c>
      <c r="I212" s="14" t="s">
        <v>796</v>
      </c>
      <c r="J212" s="17">
        <v>210</v>
      </c>
      <c r="K212" s="17">
        <v>143</v>
      </c>
      <c r="L212" s="21">
        <v>1.4685314685314685</v>
      </c>
      <c r="M212" s="22">
        <v>2</v>
      </c>
      <c r="N212" s="96">
        <f>F212/$F$620</f>
        <v>0.40635532017332693</v>
      </c>
      <c r="O212" s="96">
        <f t="shared" ref="O212:O218" si="30">L212*N212</f>
        <v>0.59674557507971093</v>
      </c>
      <c r="P212" s="96"/>
    </row>
    <row r="213" spans="1:16" s="2" customFormat="1" ht="21" hidden="1" customHeight="1">
      <c r="A213" s="17">
        <v>201709</v>
      </c>
      <c r="B213" s="14" t="s">
        <v>236</v>
      </c>
      <c r="C213" s="14" t="s">
        <v>31</v>
      </c>
      <c r="D213" s="15">
        <v>43104</v>
      </c>
      <c r="E213" s="88" t="s">
        <v>639</v>
      </c>
      <c r="F213" s="17">
        <v>1908</v>
      </c>
      <c r="G213" s="16">
        <v>43111</v>
      </c>
      <c r="H213" s="14" t="s">
        <v>717</v>
      </c>
      <c r="I213" s="14" t="s">
        <v>758</v>
      </c>
      <c r="J213" s="17">
        <v>210</v>
      </c>
      <c r="K213" s="17">
        <v>153</v>
      </c>
      <c r="L213" s="21">
        <v>1.3725490196078431</v>
      </c>
      <c r="M213" s="22">
        <v>2</v>
      </c>
      <c r="N213" s="96">
        <f>F213/$F$620</f>
        <v>0.22965816080885892</v>
      </c>
      <c r="O213" s="96">
        <f t="shared" si="30"/>
        <v>0.3152170834631397</v>
      </c>
      <c r="P213" s="96"/>
    </row>
    <row r="214" spans="1:16" s="2" customFormat="1" ht="21" hidden="1" customHeight="1">
      <c r="A214" s="17">
        <v>201710</v>
      </c>
      <c r="B214" s="14" t="s">
        <v>237</v>
      </c>
      <c r="C214" s="14" t="s">
        <v>31</v>
      </c>
      <c r="D214" s="15">
        <v>43105</v>
      </c>
      <c r="E214" s="88" t="s">
        <v>640</v>
      </c>
      <c r="F214" s="17">
        <v>5112</v>
      </c>
      <c r="G214" s="16">
        <v>43111</v>
      </c>
      <c r="H214" s="14" t="s">
        <v>718</v>
      </c>
      <c r="I214" s="14" t="s">
        <v>759</v>
      </c>
      <c r="J214" s="17">
        <v>180</v>
      </c>
      <c r="K214" s="17">
        <v>186</v>
      </c>
      <c r="L214" s="21">
        <f t="shared" ref="L214:L224" si="31">+J214/K214</f>
        <v>0.967741935483871</v>
      </c>
      <c r="M214" s="22">
        <v>5</v>
      </c>
      <c r="N214" s="96">
        <f>F214/$F$621</f>
        <v>0.1748768472906404</v>
      </c>
      <c r="O214" s="96">
        <f t="shared" si="30"/>
        <v>0.16923565866836168</v>
      </c>
      <c r="P214" s="96"/>
    </row>
    <row r="215" spans="1:16" s="2" customFormat="1" ht="21" hidden="1" customHeight="1">
      <c r="A215" s="17">
        <v>201710</v>
      </c>
      <c r="B215" s="14" t="s">
        <v>242</v>
      </c>
      <c r="C215" s="14" t="s">
        <v>31</v>
      </c>
      <c r="D215" s="15">
        <v>43110</v>
      </c>
      <c r="E215" s="88" t="s">
        <v>645</v>
      </c>
      <c r="F215" s="17">
        <v>540</v>
      </c>
      <c r="G215" s="16">
        <v>43120</v>
      </c>
      <c r="H215" s="14" t="s">
        <v>721</v>
      </c>
      <c r="I215" s="14" t="s">
        <v>760</v>
      </c>
      <c r="J215" s="17">
        <v>210</v>
      </c>
      <c r="K215" s="17">
        <v>162</v>
      </c>
      <c r="L215" s="21">
        <f t="shared" si="31"/>
        <v>1.2962962962962963</v>
      </c>
      <c r="M215" s="22">
        <v>2</v>
      </c>
      <c r="N215" s="96">
        <f>F215/$F$620</f>
        <v>6.4997592681752522E-2</v>
      </c>
      <c r="O215" s="96">
        <f t="shared" si="30"/>
        <v>8.4256138661531046E-2</v>
      </c>
      <c r="P215" s="96"/>
    </row>
    <row r="216" spans="1:16" s="2" customFormat="1" ht="21" hidden="1" customHeight="1">
      <c r="A216" s="17">
        <v>201710</v>
      </c>
      <c r="B216" s="14" t="s">
        <v>243</v>
      </c>
      <c r="C216" s="14" t="s">
        <v>31</v>
      </c>
      <c r="D216" s="15">
        <v>43110</v>
      </c>
      <c r="E216" s="88" t="s">
        <v>646</v>
      </c>
      <c r="F216" s="17">
        <v>384</v>
      </c>
      <c r="G216" s="16">
        <v>43120</v>
      </c>
      <c r="H216" s="14" t="s">
        <v>721</v>
      </c>
      <c r="I216" s="14" t="s">
        <v>760</v>
      </c>
      <c r="J216" s="17">
        <v>210</v>
      </c>
      <c r="K216" s="17">
        <v>162</v>
      </c>
      <c r="L216" s="21">
        <f t="shared" si="31"/>
        <v>1.2962962962962963</v>
      </c>
      <c r="M216" s="22">
        <v>2</v>
      </c>
      <c r="N216" s="96">
        <f>F216/$F$620</f>
        <v>4.6220510351468465E-2</v>
      </c>
      <c r="O216" s="96">
        <f t="shared" si="30"/>
        <v>5.9915476381533196E-2</v>
      </c>
      <c r="P216" s="96"/>
    </row>
    <row r="217" spans="1:16" s="2" customFormat="1" ht="21" hidden="1" customHeight="1">
      <c r="A217" s="17">
        <v>201710</v>
      </c>
      <c r="B217" s="14" t="s">
        <v>238</v>
      </c>
      <c r="C217" s="14" t="s">
        <v>31</v>
      </c>
      <c r="D217" s="15">
        <v>43110</v>
      </c>
      <c r="E217" s="88" t="s">
        <v>641</v>
      </c>
      <c r="F217" s="17">
        <v>276</v>
      </c>
      <c r="G217" s="16">
        <v>43120</v>
      </c>
      <c r="H217" s="14" t="s">
        <v>721</v>
      </c>
      <c r="I217" s="14" t="s">
        <v>759</v>
      </c>
      <c r="J217" s="17">
        <v>180</v>
      </c>
      <c r="K217" s="17">
        <v>186</v>
      </c>
      <c r="L217" s="21">
        <f t="shared" si="31"/>
        <v>0.967741935483871</v>
      </c>
      <c r="M217" s="22">
        <v>5</v>
      </c>
      <c r="N217" s="96">
        <f>F217/$F$621</f>
        <v>9.4417077175697871E-3</v>
      </c>
      <c r="O217" s="96">
        <f t="shared" si="30"/>
        <v>9.1371365008739887E-3</v>
      </c>
      <c r="P217" s="96"/>
    </row>
    <row r="218" spans="1:16" s="2" customFormat="1" ht="21" hidden="1" customHeight="1">
      <c r="A218" s="17">
        <v>201710</v>
      </c>
      <c r="B218" s="14" t="s">
        <v>240</v>
      </c>
      <c r="C218" s="14" t="s">
        <v>31</v>
      </c>
      <c r="D218" s="15">
        <v>43111</v>
      </c>
      <c r="E218" s="88" t="s">
        <v>643</v>
      </c>
      <c r="F218" s="17">
        <v>840</v>
      </c>
      <c r="G218" s="16">
        <v>43125</v>
      </c>
      <c r="H218" s="14" t="s">
        <v>718</v>
      </c>
      <c r="I218" s="14" t="s">
        <v>760</v>
      </c>
      <c r="J218" s="17">
        <v>210</v>
      </c>
      <c r="K218" s="17">
        <v>162</v>
      </c>
      <c r="L218" s="21">
        <f t="shared" si="31"/>
        <v>1.2962962962962963</v>
      </c>
      <c r="M218" s="22">
        <v>2</v>
      </c>
      <c r="N218" s="96">
        <f>F218/$F$620</f>
        <v>0.10110736639383726</v>
      </c>
      <c r="O218" s="96">
        <f t="shared" si="30"/>
        <v>0.13106510458460385</v>
      </c>
      <c r="P218" s="96"/>
    </row>
    <row r="219" spans="1:16" s="2" customFormat="1" ht="21" hidden="1" customHeight="1">
      <c r="A219" s="17">
        <v>201710</v>
      </c>
      <c r="B219" s="14" t="s">
        <v>241</v>
      </c>
      <c r="C219" s="14" t="s">
        <v>31</v>
      </c>
      <c r="D219" s="15">
        <v>43111</v>
      </c>
      <c r="E219" s="88" t="s">
        <v>644</v>
      </c>
      <c r="F219" s="17">
        <v>3492</v>
      </c>
      <c r="G219" s="16">
        <v>43122</v>
      </c>
      <c r="H219" s="14" t="s">
        <v>718</v>
      </c>
      <c r="I219" s="14" t="s">
        <v>759</v>
      </c>
      <c r="J219" s="17">
        <v>180</v>
      </c>
      <c r="K219" s="17">
        <v>186</v>
      </c>
      <c r="L219" s="21">
        <f t="shared" si="31"/>
        <v>0.967741935483871</v>
      </c>
      <c r="M219" s="22">
        <v>5</v>
      </c>
      <c r="N219" s="96">
        <f t="shared" ref="N219:N234" si="32">F219/$F$621</f>
        <v>0.11945812807881774</v>
      </c>
      <c r="O219" s="96">
        <f t="shared" ref="O219:O234" si="33">L219*N219</f>
        <v>0.11560464007627523</v>
      </c>
      <c r="P219" s="96"/>
    </row>
    <row r="220" spans="1:16" s="2" customFormat="1" ht="21" hidden="1" customHeight="1">
      <c r="A220" s="17">
        <v>201710</v>
      </c>
      <c r="B220" s="14" t="s">
        <v>239</v>
      </c>
      <c r="C220" s="14" t="s">
        <v>31</v>
      </c>
      <c r="D220" s="15">
        <v>43113</v>
      </c>
      <c r="E220" s="88" t="s">
        <v>642</v>
      </c>
      <c r="F220" s="17">
        <v>408</v>
      </c>
      <c r="G220" s="16">
        <v>43120</v>
      </c>
      <c r="H220" s="14" t="s">
        <v>721</v>
      </c>
      <c r="I220" s="14" t="s">
        <v>759</v>
      </c>
      <c r="J220" s="17">
        <v>180</v>
      </c>
      <c r="K220" s="17">
        <v>186</v>
      </c>
      <c r="L220" s="21">
        <f t="shared" si="31"/>
        <v>0.967741935483871</v>
      </c>
      <c r="M220" s="22">
        <v>5</v>
      </c>
      <c r="N220" s="96">
        <f t="shared" si="32"/>
        <v>1.3957307060755337E-2</v>
      </c>
      <c r="O220" s="96">
        <f t="shared" si="33"/>
        <v>1.3507071349118068E-2</v>
      </c>
      <c r="P220" s="96"/>
    </row>
    <row r="221" spans="1:16" s="2" customFormat="1" ht="21" hidden="1" customHeight="1">
      <c r="A221" s="17">
        <v>201710</v>
      </c>
      <c r="B221" s="14" t="s">
        <v>244</v>
      </c>
      <c r="C221" s="14" t="s">
        <v>31</v>
      </c>
      <c r="D221" s="15">
        <v>43115</v>
      </c>
      <c r="E221" s="88" t="s">
        <v>647</v>
      </c>
      <c r="F221" s="17">
        <v>4416</v>
      </c>
      <c r="G221" s="16">
        <v>43122</v>
      </c>
      <c r="H221" s="14" t="s">
        <v>718</v>
      </c>
      <c r="I221" s="14" t="s">
        <v>759</v>
      </c>
      <c r="J221" s="17">
        <v>180</v>
      </c>
      <c r="K221" s="17">
        <v>186</v>
      </c>
      <c r="L221" s="21">
        <f t="shared" si="31"/>
        <v>0.967741935483871</v>
      </c>
      <c r="M221" s="22">
        <v>5</v>
      </c>
      <c r="N221" s="96">
        <f t="shared" si="32"/>
        <v>0.15106732348111659</v>
      </c>
      <c r="O221" s="96">
        <f t="shared" si="33"/>
        <v>0.14619418401398382</v>
      </c>
      <c r="P221" s="96"/>
    </row>
    <row r="222" spans="1:16" s="2" customFormat="1" ht="21" hidden="1" customHeight="1">
      <c r="A222" s="17">
        <v>201710</v>
      </c>
      <c r="B222" s="14" t="s">
        <v>245</v>
      </c>
      <c r="C222" s="14" t="s">
        <v>31</v>
      </c>
      <c r="D222" s="15">
        <v>43118</v>
      </c>
      <c r="E222" s="88" t="s">
        <v>642</v>
      </c>
      <c r="F222" s="17">
        <v>3336</v>
      </c>
      <c r="G222" s="16">
        <v>43124</v>
      </c>
      <c r="H222" s="14" t="s">
        <v>717</v>
      </c>
      <c r="I222" s="14" t="s">
        <v>759</v>
      </c>
      <c r="J222" s="17">
        <v>180</v>
      </c>
      <c r="K222" s="17">
        <v>186</v>
      </c>
      <c r="L222" s="21">
        <f t="shared" si="31"/>
        <v>0.967741935483871</v>
      </c>
      <c r="M222" s="22">
        <v>5</v>
      </c>
      <c r="N222" s="96">
        <f t="shared" si="32"/>
        <v>0.11412151067323481</v>
      </c>
      <c r="O222" s="96">
        <f t="shared" si="33"/>
        <v>0.11044017161925949</v>
      </c>
      <c r="P222" s="96"/>
    </row>
    <row r="223" spans="1:16" s="2" customFormat="1" ht="21" hidden="1" customHeight="1">
      <c r="A223" s="17">
        <v>201710</v>
      </c>
      <c r="B223" s="14" t="s">
        <v>246</v>
      </c>
      <c r="C223" s="14" t="s">
        <v>31</v>
      </c>
      <c r="D223" s="15">
        <v>43120</v>
      </c>
      <c r="E223" s="88" t="s">
        <v>641</v>
      </c>
      <c r="F223" s="17">
        <v>2952</v>
      </c>
      <c r="G223" s="16">
        <v>43124</v>
      </c>
      <c r="H223" s="14" t="s">
        <v>717</v>
      </c>
      <c r="I223" s="14" t="s">
        <v>759</v>
      </c>
      <c r="J223" s="17">
        <v>180</v>
      </c>
      <c r="K223" s="17">
        <v>186</v>
      </c>
      <c r="L223" s="21">
        <f t="shared" si="31"/>
        <v>0.967741935483871</v>
      </c>
      <c r="M223" s="22">
        <v>5</v>
      </c>
      <c r="N223" s="96">
        <f t="shared" si="32"/>
        <v>0.10098522167487685</v>
      </c>
      <c r="O223" s="96">
        <f t="shared" si="33"/>
        <v>9.7727633878913076E-2</v>
      </c>
      <c r="P223" s="96"/>
    </row>
    <row r="224" spans="1:16" s="2" customFormat="1" ht="21" hidden="1" customHeight="1">
      <c r="A224" s="17">
        <v>201710</v>
      </c>
      <c r="B224" s="14" t="s">
        <v>247</v>
      </c>
      <c r="C224" s="14" t="s">
        <v>31</v>
      </c>
      <c r="D224" s="15">
        <v>43123</v>
      </c>
      <c r="E224" s="88" t="s">
        <v>640</v>
      </c>
      <c r="F224" s="17">
        <v>636</v>
      </c>
      <c r="G224" s="16">
        <v>43125</v>
      </c>
      <c r="H224" s="14" t="s">
        <v>718</v>
      </c>
      <c r="I224" s="14" t="s">
        <v>759</v>
      </c>
      <c r="J224" s="17">
        <v>180</v>
      </c>
      <c r="K224" s="17">
        <v>186</v>
      </c>
      <c r="L224" s="21">
        <f t="shared" si="31"/>
        <v>0.967741935483871</v>
      </c>
      <c r="M224" s="22">
        <v>5</v>
      </c>
      <c r="N224" s="96">
        <f t="shared" si="32"/>
        <v>2.1756978653530379E-2</v>
      </c>
      <c r="O224" s="96">
        <f t="shared" si="33"/>
        <v>2.1055140632448753E-2</v>
      </c>
      <c r="P224" s="96"/>
    </row>
    <row r="225" spans="1:16" s="2" customFormat="1" ht="21" hidden="1" customHeight="1">
      <c r="A225" s="17">
        <v>201710</v>
      </c>
      <c r="B225" s="14" t="s">
        <v>248</v>
      </c>
      <c r="C225" s="14" t="s">
        <v>31</v>
      </c>
      <c r="D225" s="15">
        <v>43124</v>
      </c>
      <c r="E225" s="88" t="s">
        <v>648</v>
      </c>
      <c r="F225" s="17">
        <v>600</v>
      </c>
      <c r="G225" s="16">
        <v>43135</v>
      </c>
      <c r="H225" s="14" t="s">
        <v>718</v>
      </c>
      <c r="I225" s="14" t="s">
        <v>761</v>
      </c>
      <c r="J225" s="17">
        <v>170</v>
      </c>
      <c r="K225" s="17">
        <v>172</v>
      </c>
      <c r="L225" s="21">
        <v>0.98837209302325579</v>
      </c>
      <c r="M225" s="22">
        <v>5</v>
      </c>
      <c r="N225" s="96">
        <f t="shared" si="32"/>
        <v>2.0525451559934318E-2</v>
      </c>
      <c r="O225" s="96">
        <f t="shared" si="33"/>
        <v>2.0286783518539731E-2</v>
      </c>
      <c r="P225" s="96"/>
    </row>
    <row r="226" spans="1:16" s="2" customFormat="1" ht="21" hidden="1" customHeight="1">
      <c r="A226" s="17">
        <v>201710</v>
      </c>
      <c r="B226" s="14" t="s">
        <v>249</v>
      </c>
      <c r="C226" s="14" t="s">
        <v>31</v>
      </c>
      <c r="D226" s="15">
        <v>43124</v>
      </c>
      <c r="E226" s="88" t="s">
        <v>648</v>
      </c>
      <c r="F226" s="17">
        <v>600</v>
      </c>
      <c r="G226" s="16">
        <v>43135</v>
      </c>
      <c r="H226" s="14" t="s">
        <v>718</v>
      </c>
      <c r="I226" s="14" t="s">
        <v>761</v>
      </c>
      <c r="J226" s="17">
        <v>170</v>
      </c>
      <c r="K226" s="17">
        <v>172</v>
      </c>
      <c r="L226" s="21">
        <v>0.98837209302325579</v>
      </c>
      <c r="M226" s="22">
        <v>5</v>
      </c>
      <c r="N226" s="96">
        <f t="shared" si="32"/>
        <v>2.0525451559934318E-2</v>
      </c>
      <c r="O226" s="96">
        <f t="shared" si="33"/>
        <v>2.0286783518539731E-2</v>
      </c>
      <c r="P226" s="96"/>
    </row>
    <row r="227" spans="1:16" s="2" customFormat="1" ht="21" hidden="1" customHeight="1">
      <c r="A227" s="17">
        <v>201710</v>
      </c>
      <c r="B227" s="14" t="s">
        <v>250</v>
      </c>
      <c r="C227" s="14" t="s">
        <v>31</v>
      </c>
      <c r="D227" s="15">
        <v>43124</v>
      </c>
      <c r="E227" s="88" t="s">
        <v>648</v>
      </c>
      <c r="F227" s="17">
        <v>408</v>
      </c>
      <c r="G227" s="16">
        <v>43125</v>
      </c>
      <c r="H227" s="14" t="s">
        <v>718</v>
      </c>
      <c r="I227" s="14" t="s">
        <v>761</v>
      </c>
      <c r="J227" s="17">
        <v>170</v>
      </c>
      <c r="K227" s="17">
        <v>172</v>
      </c>
      <c r="L227" s="21">
        <v>0.98837209302325579</v>
      </c>
      <c r="M227" s="22">
        <v>5</v>
      </c>
      <c r="N227" s="96">
        <f t="shared" si="32"/>
        <v>1.3957307060755337E-2</v>
      </c>
      <c r="O227" s="96">
        <f t="shared" si="33"/>
        <v>1.3795012792607019E-2</v>
      </c>
      <c r="P227" s="96"/>
    </row>
    <row r="228" spans="1:16" s="2" customFormat="1" ht="21" hidden="1" customHeight="1">
      <c r="A228" s="17">
        <v>201710</v>
      </c>
      <c r="B228" s="14" t="s">
        <v>251</v>
      </c>
      <c r="C228" s="14" t="s">
        <v>31</v>
      </c>
      <c r="D228" s="15">
        <v>43125</v>
      </c>
      <c r="E228" s="88" t="s">
        <v>649</v>
      </c>
      <c r="F228" s="17">
        <v>2916</v>
      </c>
      <c r="G228" s="16">
        <v>43133</v>
      </c>
      <c r="H228" s="14" t="s">
        <v>717</v>
      </c>
      <c r="I228" s="14" t="s">
        <v>759</v>
      </c>
      <c r="J228" s="17">
        <v>180</v>
      </c>
      <c r="K228" s="17">
        <v>186</v>
      </c>
      <c r="L228" s="21">
        <f t="shared" ref="L228:L235" si="34">+J228/K228</f>
        <v>0.967741935483871</v>
      </c>
      <c r="M228" s="22">
        <v>5</v>
      </c>
      <c r="N228" s="96">
        <f t="shared" si="32"/>
        <v>9.9753694581280791E-2</v>
      </c>
      <c r="O228" s="96">
        <f t="shared" si="33"/>
        <v>9.6535833465755602E-2</v>
      </c>
      <c r="P228" s="96"/>
    </row>
    <row r="229" spans="1:16" s="2" customFormat="1" ht="21" hidden="1" customHeight="1">
      <c r="A229" s="17">
        <v>201710</v>
      </c>
      <c r="B229" s="14" t="s">
        <v>252</v>
      </c>
      <c r="C229" s="14" t="s">
        <v>31</v>
      </c>
      <c r="D229" s="15">
        <v>43125</v>
      </c>
      <c r="E229" s="88" t="s">
        <v>641</v>
      </c>
      <c r="F229" s="17">
        <v>156</v>
      </c>
      <c r="G229" s="16">
        <v>43130</v>
      </c>
      <c r="H229" s="14" t="s">
        <v>719</v>
      </c>
      <c r="I229" s="14" t="s">
        <v>759</v>
      </c>
      <c r="J229" s="17">
        <v>180</v>
      </c>
      <c r="K229" s="17">
        <v>186</v>
      </c>
      <c r="L229" s="21">
        <f t="shared" si="34"/>
        <v>0.967741935483871</v>
      </c>
      <c r="M229" s="22">
        <v>5</v>
      </c>
      <c r="N229" s="96">
        <f t="shared" si="32"/>
        <v>5.3366174055829232E-3</v>
      </c>
      <c r="O229" s="96">
        <f t="shared" si="33"/>
        <v>5.1644684570157327E-3</v>
      </c>
      <c r="P229" s="96"/>
    </row>
    <row r="230" spans="1:16" s="2" customFormat="1" ht="21" hidden="1" customHeight="1">
      <c r="A230" s="17">
        <v>201710</v>
      </c>
      <c r="B230" s="14" t="s">
        <v>253</v>
      </c>
      <c r="C230" s="14" t="s">
        <v>31</v>
      </c>
      <c r="D230" s="15">
        <v>43125</v>
      </c>
      <c r="E230" s="88" t="s">
        <v>649</v>
      </c>
      <c r="F230" s="17">
        <v>180</v>
      </c>
      <c r="G230" s="16">
        <v>43130</v>
      </c>
      <c r="H230" s="14" t="s">
        <v>719</v>
      </c>
      <c r="I230" s="14" t="s">
        <v>759</v>
      </c>
      <c r="J230" s="17">
        <v>180</v>
      </c>
      <c r="K230" s="17">
        <v>186</v>
      </c>
      <c r="L230" s="21">
        <f t="shared" si="34"/>
        <v>0.967741935483871</v>
      </c>
      <c r="M230" s="22">
        <v>5</v>
      </c>
      <c r="N230" s="96">
        <f t="shared" si="32"/>
        <v>6.1576354679802959E-3</v>
      </c>
      <c r="O230" s="96">
        <f t="shared" si="33"/>
        <v>5.9590020657873831E-3</v>
      </c>
      <c r="P230" s="96"/>
    </row>
    <row r="231" spans="1:16" s="2" customFormat="1" ht="21" hidden="1" customHeight="1">
      <c r="A231" s="17">
        <v>201710</v>
      </c>
      <c r="B231" s="14" t="s">
        <v>254</v>
      </c>
      <c r="C231" s="14" t="s">
        <v>31</v>
      </c>
      <c r="D231" s="15">
        <v>43127</v>
      </c>
      <c r="E231" s="88" t="s">
        <v>649</v>
      </c>
      <c r="F231" s="17">
        <v>1200</v>
      </c>
      <c r="G231" s="16">
        <v>43138</v>
      </c>
      <c r="H231" s="14" t="s">
        <v>717</v>
      </c>
      <c r="I231" s="14" t="s">
        <v>759</v>
      </c>
      <c r="J231" s="17">
        <v>180</v>
      </c>
      <c r="K231" s="17">
        <v>186</v>
      </c>
      <c r="L231" s="21">
        <f t="shared" si="34"/>
        <v>0.967741935483871</v>
      </c>
      <c r="M231" s="22">
        <v>5</v>
      </c>
      <c r="N231" s="96">
        <f t="shared" si="32"/>
        <v>4.1050903119868636E-2</v>
      </c>
      <c r="O231" s="96">
        <f t="shared" si="33"/>
        <v>3.9726680438582553E-2</v>
      </c>
      <c r="P231" s="96"/>
    </row>
    <row r="232" spans="1:16" s="2" customFormat="1" ht="21" hidden="1" customHeight="1">
      <c r="A232" s="17">
        <v>201710</v>
      </c>
      <c r="B232" s="14" t="s">
        <v>255</v>
      </c>
      <c r="C232" s="14" t="s">
        <v>31</v>
      </c>
      <c r="D232" s="15">
        <v>43129</v>
      </c>
      <c r="E232" s="88" t="s">
        <v>641</v>
      </c>
      <c r="F232" s="17">
        <v>984</v>
      </c>
      <c r="G232" s="16">
        <v>43138</v>
      </c>
      <c r="H232" s="14" t="s">
        <v>717</v>
      </c>
      <c r="I232" s="14" t="s">
        <v>759</v>
      </c>
      <c r="J232" s="17">
        <v>180</v>
      </c>
      <c r="K232" s="17">
        <v>186</v>
      </c>
      <c r="L232" s="21">
        <f t="shared" si="34"/>
        <v>0.967741935483871</v>
      </c>
      <c r="M232" s="22">
        <v>5</v>
      </c>
      <c r="N232" s="96">
        <f t="shared" si="32"/>
        <v>3.3661740558292283E-2</v>
      </c>
      <c r="O232" s="96">
        <f t="shared" si="33"/>
        <v>3.2575877959637692E-2</v>
      </c>
      <c r="P232" s="96"/>
    </row>
    <row r="233" spans="1:16" s="2" customFormat="1" ht="21" hidden="1" customHeight="1">
      <c r="A233" s="17">
        <v>201710</v>
      </c>
      <c r="B233" s="14" t="s">
        <v>256</v>
      </c>
      <c r="C233" s="14" t="s">
        <v>31</v>
      </c>
      <c r="D233" s="15">
        <v>43130</v>
      </c>
      <c r="E233" s="88" t="s">
        <v>642</v>
      </c>
      <c r="F233" s="17">
        <v>1200</v>
      </c>
      <c r="G233" s="16">
        <v>43138</v>
      </c>
      <c r="H233" s="14" t="s">
        <v>717</v>
      </c>
      <c r="I233" s="14" t="s">
        <v>759</v>
      </c>
      <c r="J233" s="17">
        <v>180</v>
      </c>
      <c r="K233" s="17">
        <v>186</v>
      </c>
      <c r="L233" s="21">
        <f t="shared" si="34"/>
        <v>0.967741935483871</v>
      </c>
      <c r="M233" s="22">
        <v>5</v>
      </c>
      <c r="N233" s="96">
        <f t="shared" si="32"/>
        <v>4.1050903119868636E-2</v>
      </c>
      <c r="O233" s="96">
        <f t="shared" si="33"/>
        <v>3.9726680438582553E-2</v>
      </c>
      <c r="P233" s="96"/>
    </row>
    <row r="234" spans="1:16" s="2" customFormat="1" ht="21" hidden="1" customHeight="1">
      <c r="A234" s="17">
        <v>201711</v>
      </c>
      <c r="B234" s="14" t="s">
        <v>258</v>
      </c>
      <c r="C234" s="14" t="s">
        <v>31</v>
      </c>
      <c r="D234" s="15">
        <v>43130</v>
      </c>
      <c r="E234" s="88" t="s">
        <v>647</v>
      </c>
      <c r="F234" s="17">
        <v>360</v>
      </c>
      <c r="G234" s="16">
        <v>43146</v>
      </c>
      <c r="H234" s="14" t="s">
        <v>718</v>
      </c>
      <c r="I234" s="14" t="s">
        <v>759</v>
      </c>
      <c r="J234" s="17">
        <v>180</v>
      </c>
      <c r="K234" s="17">
        <v>186</v>
      </c>
      <c r="L234" s="21">
        <f t="shared" si="34"/>
        <v>0.967741935483871</v>
      </c>
      <c r="M234" s="22">
        <v>5</v>
      </c>
      <c r="N234" s="96">
        <f t="shared" si="32"/>
        <v>1.2315270935960592E-2</v>
      </c>
      <c r="O234" s="96">
        <f t="shared" si="33"/>
        <v>1.1918004131574766E-2</v>
      </c>
      <c r="P234" s="96"/>
    </row>
    <row r="235" spans="1:16" s="2" customFormat="1" ht="21" hidden="1" customHeight="1">
      <c r="A235" s="17">
        <v>201710</v>
      </c>
      <c r="B235" s="14" t="s">
        <v>257</v>
      </c>
      <c r="C235" s="14" t="s">
        <v>31</v>
      </c>
      <c r="D235" s="15">
        <v>43131</v>
      </c>
      <c r="E235" s="88" t="s">
        <v>643</v>
      </c>
      <c r="F235" s="17">
        <v>1260</v>
      </c>
      <c r="G235" s="16">
        <v>43155</v>
      </c>
      <c r="H235" s="14" t="s">
        <v>718</v>
      </c>
      <c r="I235" s="14" t="s">
        <v>760</v>
      </c>
      <c r="J235" s="17">
        <v>210</v>
      </c>
      <c r="K235" s="17">
        <v>162</v>
      </c>
      <c r="L235" s="21">
        <f t="shared" si="34"/>
        <v>1.2962962962962963</v>
      </c>
      <c r="M235" s="22">
        <v>2</v>
      </c>
      <c r="N235" s="96">
        <f>F235/$F$620</f>
        <v>0.15166104959075591</v>
      </c>
      <c r="O235" s="96">
        <f>L235*N235</f>
        <v>0.19659765687690581</v>
      </c>
      <c r="P235" s="96"/>
    </row>
    <row r="236" spans="1:16" s="2" customFormat="1" ht="21" hidden="1" customHeight="1">
      <c r="A236" s="17"/>
      <c r="B236" s="14"/>
      <c r="C236" s="14"/>
      <c r="D236" s="15"/>
      <c r="E236" s="88"/>
      <c r="F236" s="39">
        <f>SUM(F212:F235)</f>
        <v>37540</v>
      </c>
      <c r="G236" s="17">
        <f>37540-F236</f>
        <v>0</v>
      </c>
      <c r="H236" s="14"/>
      <c r="I236" s="14"/>
      <c r="J236" s="17"/>
      <c r="K236" s="17"/>
      <c r="L236" s="21"/>
      <c r="M236" s="22"/>
      <c r="N236" s="96"/>
      <c r="O236" s="96"/>
      <c r="P236" s="96"/>
    </row>
    <row r="237" spans="1:16" s="2" customFormat="1" ht="21" hidden="1" customHeight="1">
      <c r="A237" s="17">
        <v>201710</v>
      </c>
      <c r="B237" s="14" t="s">
        <v>799</v>
      </c>
      <c r="C237" s="14" t="s">
        <v>30</v>
      </c>
      <c r="D237" s="15">
        <v>43102</v>
      </c>
      <c r="E237" s="88" t="s">
        <v>800</v>
      </c>
      <c r="F237" s="17">
        <f>5184-196</f>
        <v>4988</v>
      </c>
      <c r="G237" s="16">
        <v>43138</v>
      </c>
      <c r="H237" s="14" t="s">
        <v>717</v>
      </c>
      <c r="I237" s="14" t="s">
        <v>765</v>
      </c>
      <c r="J237" s="17">
        <v>160</v>
      </c>
      <c r="K237" s="17">
        <v>225</v>
      </c>
      <c r="L237" s="21">
        <v>0.71</v>
      </c>
      <c r="M237" s="22">
        <v>7</v>
      </c>
      <c r="N237" s="96"/>
      <c r="O237" s="96"/>
      <c r="P237" s="96"/>
    </row>
    <row r="238" spans="1:16" s="2" customFormat="1" ht="21" hidden="1" customHeight="1">
      <c r="A238" s="17">
        <v>201710</v>
      </c>
      <c r="B238" s="14" t="s">
        <v>259</v>
      </c>
      <c r="C238" s="14" t="s">
        <v>30</v>
      </c>
      <c r="D238" s="15">
        <v>43106</v>
      </c>
      <c r="E238" s="88" t="s">
        <v>650</v>
      </c>
      <c r="F238" s="17">
        <v>3180</v>
      </c>
      <c r="G238" s="16">
        <v>43138</v>
      </c>
      <c r="H238" s="14" t="s">
        <v>717</v>
      </c>
      <c r="I238" s="14" t="s">
        <v>762</v>
      </c>
      <c r="J238" s="17">
        <v>210</v>
      </c>
      <c r="K238" s="17">
        <v>173</v>
      </c>
      <c r="L238" s="21">
        <v>1.2138728323699421</v>
      </c>
      <c r="M238" s="22">
        <v>3</v>
      </c>
      <c r="N238" s="96"/>
      <c r="O238" s="96"/>
      <c r="P238" s="96"/>
    </row>
    <row r="239" spans="1:16" s="2" customFormat="1" ht="21" hidden="1" customHeight="1">
      <c r="A239" s="17">
        <v>201709</v>
      </c>
      <c r="B239" s="14" t="s">
        <v>260</v>
      </c>
      <c r="C239" s="14" t="s">
        <v>30</v>
      </c>
      <c r="D239" s="15">
        <v>43106</v>
      </c>
      <c r="E239" s="88" t="s">
        <v>650</v>
      </c>
      <c r="F239" s="17">
        <v>600</v>
      </c>
      <c r="G239" s="16">
        <v>43116</v>
      </c>
      <c r="H239" s="14" t="s">
        <v>717</v>
      </c>
      <c r="I239" s="14" t="s">
        <v>762</v>
      </c>
      <c r="J239" s="17">
        <v>210</v>
      </c>
      <c r="K239" s="17">
        <v>173</v>
      </c>
      <c r="L239" s="21">
        <v>1.2138728323699421</v>
      </c>
      <c r="M239" s="22">
        <v>3</v>
      </c>
      <c r="N239" s="96"/>
      <c r="O239" s="96"/>
      <c r="P239" s="96"/>
    </row>
    <row r="240" spans="1:16" s="2" customFormat="1" ht="21" hidden="1" customHeight="1">
      <c r="A240" s="17">
        <v>201710</v>
      </c>
      <c r="B240" s="14" t="s">
        <v>261</v>
      </c>
      <c r="C240" s="14" t="s">
        <v>30</v>
      </c>
      <c r="D240" s="15">
        <v>43109</v>
      </c>
      <c r="E240" s="88" t="s">
        <v>651</v>
      </c>
      <c r="F240" s="17">
        <v>548</v>
      </c>
      <c r="G240" s="16">
        <v>43119</v>
      </c>
      <c r="H240" s="14" t="s">
        <v>718</v>
      </c>
      <c r="I240" s="14" t="s">
        <v>763</v>
      </c>
      <c r="J240" s="17">
        <v>160</v>
      </c>
      <c r="K240" s="17">
        <v>170</v>
      </c>
      <c r="L240" s="21">
        <v>0.94117647058823528</v>
      </c>
      <c r="M240" s="22">
        <v>5</v>
      </c>
      <c r="N240" s="96">
        <f>F240/$F$623</f>
        <v>3.0451211380306736E-2</v>
      </c>
      <c r="O240" s="96">
        <f>L240*N240</f>
        <v>2.8659963652053397E-2</v>
      </c>
      <c r="P240" s="96"/>
    </row>
    <row r="241" spans="1:16" s="2" customFormat="1" ht="21" hidden="1" customHeight="1">
      <c r="A241" s="17">
        <v>201710</v>
      </c>
      <c r="B241" s="14" t="s">
        <v>262</v>
      </c>
      <c r="C241" s="14" t="s">
        <v>30</v>
      </c>
      <c r="D241" s="15">
        <v>43110</v>
      </c>
      <c r="E241" s="88" t="s">
        <v>652</v>
      </c>
      <c r="F241" s="17">
        <v>120</v>
      </c>
      <c r="G241" s="16">
        <v>43127</v>
      </c>
      <c r="H241" s="14" t="s">
        <v>717</v>
      </c>
      <c r="I241" s="14" t="s">
        <v>763</v>
      </c>
      <c r="J241" s="17">
        <v>160</v>
      </c>
      <c r="K241" s="17">
        <v>170</v>
      </c>
      <c r="L241" s="21">
        <v>0.94117647058823528</v>
      </c>
      <c r="M241" s="22">
        <v>5</v>
      </c>
      <c r="N241" s="96">
        <f t="shared" ref="N241:N282" si="35">F241/$F$623</f>
        <v>6.6681484774394314E-3</v>
      </c>
      <c r="O241" s="96">
        <f t="shared" ref="O241:O282" si="36">L241*N241</f>
        <v>6.2759044493547588E-3</v>
      </c>
      <c r="P241" s="96"/>
    </row>
    <row r="242" spans="1:16" s="2" customFormat="1" ht="21" hidden="1" customHeight="1">
      <c r="A242" s="17">
        <v>201710</v>
      </c>
      <c r="B242" s="14" t="s">
        <v>263</v>
      </c>
      <c r="C242" s="14" t="s">
        <v>30</v>
      </c>
      <c r="D242" s="15">
        <v>43110</v>
      </c>
      <c r="E242" s="88" t="s">
        <v>652</v>
      </c>
      <c r="F242" s="17">
        <v>324</v>
      </c>
      <c r="G242" s="16">
        <v>43127</v>
      </c>
      <c r="H242" s="14" t="s">
        <v>717</v>
      </c>
      <c r="I242" s="14" t="s">
        <v>763</v>
      </c>
      <c r="J242" s="17">
        <v>160</v>
      </c>
      <c r="K242" s="17">
        <v>170</v>
      </c>
      <c r="L242" s="21">
        <v>0.94117647058823528</v>
      </c>
      <c r="M242" s="22">
        <v>5</v>
      </c>
      <c r="N242" s="96">
        <f t="shared" si="35"/>
        <v>1.8004000889086463E-2</v>
      </c>
      <c r="O242" s="96">
        <f t="shared" si="36"/>
        <v>1.6944942013257847E-2</v>
      </c>
      <c r="P242" s="96"/>
    </row>
    <row r="243" spans="1:16" s="2" customFormat="1" ht="21" hidden="1" customHeight="1">
      <c r="A243" s="17">
        <v>201710</v>
      </c>
      <c r="B243" s="14" t="s">
        <v>264</v>
      </c>
      <c r="C243" s="14" t="s">
        <v>30</v>
      </c>
      <c r="D243" s="15">
        <v>43110</v>
      </c>
      <c r="E243" s="88" t="s">
        <v>652</v>
      </c>
      <c r="F243" s="17">
        <v>132</v>
      </c>
      <c r="G243" s="16">
        <v>43127</v>
      </c>
      <c r="H243" s="14" t="s">
        <v>717</v>
      </c>
      <c r="I243" s="14" t="s">
        <v>763</v>
      </c>
      <c r="J243" s="17">
        <v>160</v>
      </c>
      <c r="K243" s="17">
        <v>170</v>
      </c>
      <c r="L243" s="21">
        <v>0.94117647058823528</v>
      </c>
      <c r="M243" s="22">
        <v>5</v>
      </c>
      <c r="N243" s="96">
        <f t="shared" si="35"/>
        <v>7.3349633251833741E-3</v>
      </c>
      <c r="O243" s="96">
        <f t="shared" si="36"/>
        <v>6.9034948942902344E-3</v>
      </c>
      <c r="P243" s="96"/>
    </row>
    <row r="244" spans="1:16" s="2" customFormat="1" ht="21" hidden="1" customHeight="1">
      <c r="A244" s="17">
        <v>201710</v>
      </c>
      <c r="B244" s="14" t="s">
        <v>265</v>
      </c>
      <c r="C244" s="14" t="s">
        <v>30</v>
      </c>
      <c r="D244" s="15">
        <v>43110</v>
      </c>
      <c r="E244" s="88" t="s">
        <v>653</v>
      </c>
      <c r="F244" s="17">
        <v>732</v>
      </c>
      <c r="G244" s="16">
        <v>43119</v>
      </c>
      <c r="H244" s="14" t="s">
        <v>718</v>
      </c>
      <c r="I244" s="14" t="s">
        <v>763</v>
      </c>
      <c r="J244" s="17">
        <v>160</v>
      </c>
      <c r="K244" s="17">
        <v>170</v>
      </c>
      <c r="L244" s="21">
        <v>0.94117647058823528</v>
      </c>
      <c r="M244" s="22">
        <v>5</v>
      </c>
      <c r="N244" s="96">
        <f t="shared" si="35"/>
        <v>4.0675705712380529E-2</v>
      </c>
      <c r="O244" s="96">
        <f t="shared" si="36"/>
        <v>3.8283017141064024E-2</v>
      </c>
      <c r="P244" s="96"/>
    </row>
    <row r="245" spans="1:16" s="2" customFormat="1" ht="21" hidden="1" customHeight="1">
      <c r="A245" s="17">
        <v>201710</v>
      </c>
      <c r="B245" s="14" t="s">
        <v>266</v>
      </c>
      <c r="C245" s="14" t="s">
        <v>30</v>
      </c>
      <c r="D245" s="15">
        <v>43111</v>
      </c>
      <c r="E245" s="88" t="s">
        <v>654</v>
      </c>
      <c r="F245" s="17">
        <v>288</v>
      </c>
      <c r="G245" s="16">
        <v>43121</v>
      </c>
      <c r="H245" s="14" t="s">
        <v>731</v>
      </c>
      <c r="I245" s="14" t="s">
        <v>763</v>
      </c>
      <c r="J245" s="17">
        <v>160</v>
      </c>
      <c r="K245" s="17">
        <v>170</v>
      </c>
      <c r="L245" s="21">
        <v>0.94117647058823528</v>
      </c>
      <c r="M245" s="22">
        <v>5</v>
      </c>
      <c r="N245" s="96">
        <f t="shared" si="35"/>
        <v>1.6003556345854635E-2</v>
      </c>
      <c r="O245" s="96">
        <f t="shared" si="36"/>
        <v>1.5062170678451422E-2</v>
      </c>
      <c r="P245" s="96"/>
    </row>
    <row r="246" spans="1:16" s="2" customFormat="1" ht="21" hidden="1" customHeight="1">
      <c r="A246" s="17">
        <v>201710</v>
      </c>
      <c r="B246" s="14" t="s">
        <v>267</v>
      </c>
      <c r="C246" s="14" t="s">
        <v>30</v>
      </c>
      <c r="D246" s="15">
        <v>43111</v>
      </c>
      <c r="E246" s="88" t="s">
        <v>653</v>
      </c>
      <c r="F246" s="17">
        <v>360</v>
      </c>
      <c r="G246" s="16">
        <v>43122</v>
      </c>
      <c r="H246" s="14" t="s">
        <v>718</v>
      </c>
      <c r="I246" s="14" t="s">
        <v>763</v>
      </c>
      <c r="J246" s="17">
        <v>160</v>
      </c>
      <c r="K246" s="17">
        <v>170</v>
      </c>
      <c r="L246" s="21">
        <v>0.94117647058823528</v>
      </c>
      <c r="M246" s="22">
        <v>5</v>
      </c>
      <c r="N246" s="96">
        <f t="shared" si="35"/>
        <v>2.0004445432318291E-2</v>
      </c>
      <c r="O246" s="96">
        <f t="shared" si="36"/>
        <v>1.8827713348064275E-2</v>
      </c>
      <c r="P246" s="96"/>
    </row>
    <row r="247" spans="1:16" s="2" customFormat="1" ht="21" hidden="1" customHeight="1">
      <c r="A247" s="17">
        <v>201710</v>
      </c>
      <c r="B247" s="14" t="s">
        <v>270</v>
      </c>
      <c r="C247" s="14" t="s">
        <v>30</v>
      </c>
      <c r="D247" s="15">
        <v>43111</v>
      </c>
      <c r="E247" s="88" t="s">
        <v>654</v>
      </c>
      <c r="F247" s="17">
        <v>132</v>
      </c>
      <c r="G247" s="16">
        <v>43127</v>
      </c>
      <c r="H247" s="14" t="s">
        <v>717</v>
      </c>
      <c r="I247" s="14" t="s">
        <v>763</v>
      </c>
      <c r="J247" s="17">
        <v>160</v>
      </c>
      <c r="K247" s="17">
        <v>170</v>
      </c>
      <c r="L247" s="21">
        <v>0.94117647058823528</v>
      </c>
      <c r="M247" s="22">
        <v>5</v>
      </c>
      <c r="N247" s="96">
        <f t="shared" si="35"/>
        <v>7.3349633251833741E-3</v>
      </c>
      <c r="O247" s="96">
        <f t="shared" si="36"/>
        <v>6.9034948942902344E-3</v>
      </c>
      <c r="P247" s="96"/>
    </row>
    <row r="248" spans="1:16" s="2" customFormat="1" ht="21" hidden="1" customHeight="1">
      <c r="A248" s="17">
        <v>201710</v>
      </c>
      <c r="B248" s="14" t="s">
        <v>271</v>
      </c>
      <c r="C248" s="14" t="s">
        <v>30</v>
      </c>
      <c r="D248" s="15">
        <v>43111</v>
      </c>
      <c r="E248" s="88" t="s">
        <v>654</v>
      </c>
      <c r="F248" s="17">
        <v>324</v>
      </c>
      <c r="G248" s="16">
        <v>43127</v>
      </c>
      <c r="H248" s="14" t="s">
        <v>717</v>
      </c>
      <c r="I248" s="14" t="s">
        <v>763</v>
      </c>
      <c r="J248" s="17">
        <v>160</v>
      </c>
      <c r="K248" s="17">
        <v>170</v>
      </c>
      <c r="L248" s="21">
        <v>0.94117647058823528</v>
      </c>
      <c r="M248" s="22">
        <v>5</v>
      </c>
      <c r="N248" s="96">
        <f t="shared" si="35"/>
        <v>1.8004000889086463E-2</v>
      </c>
      <c r="O248" s="96">
        <f t="shared" si="36"/>
        <v>1.6944942013257847E-2</v>
      </c>
      <c r="P248" s="96"/>
    </row>
    <row r="249" spans="1:16" s="2" customFormat="1" ht="21" hidden="1" customHeight="1">
      <c r="A249" s="17">
        <v>201710</v>
      </c>
      <c r="B249" s="14" t="s">
        <v>268</v>
      </c>
      <c r="C249" s="14" t="s">
        <v>30</v>
      </c>
      <c r="D249" s="15">
        <v>43112</v>
      </c>
      <c r="E249" s="88" t="s">
        <v>655</v>
      </c>
      <c r="F249" s="17">
        <v>408</v>
      </c>
      <c r="G249" s="16">
        <v>43119</v>
      </c>
      <c r="H249" s="14" t="s">
        <v>718</v>
      </c>
      <c r="I249" s="14" t="s">
        <v>763</v>
      </c>
      <c r="J249" s="17">
        <v>160</v>
      </c>
      <c r="K249" s="17">
        <v>170</v>
      </c>
      <c r="L249" s="21">
        <v>0.94117647058823528</v>
      </c>
      <c r="M249" s="22">
        <v>5</v>
      </c>
      <c r="N249" s="96">
        <f t="shared" si="35"/>
        <v>2.2671704823294066E-2</v>
      </c>
      <c r="O249" s="96">
        <f t="shared" si="36"/>
        <v>2.133807512780618E-2</v>
      </c>
      <c r="P249" s="96"/>
    </row>
    <row r="250" spans="1:16" s="2" customFormat="1" ht="21" hidden="1" customHeight="1">
      <c r="A250" s="17">
        <v>201710</v>
      </c>
      <c r="B250" s="14" t="s">
        <v>269</v>
      </c>
      <c r="C250" s="14" t="s">
        <v>30</v>
      </c>
      <c r="D250" s="15">
        <v>43112</v>
      </c>
      <c r="E250" s="88" t="s">
        <v>654</v>
      </c>
      <c r="F250" s="17">
        <v>120</v>
      </c>
      <c r="G250" s="16">
        <v>43127</v>
      </c>
      <c r="H250" s="14" t="s">
        <v>717</v>
      </c>
      <c r="I250" s="14" t="s">
        <v>763</v>
      </c>
      <c r="J250" s="17">
        <v>160</v>
      </c>
      <c r="K250" s="17">
        <v>170</v>
      </c>
      <c r="L250" s="21">
        <v>0.94117647058823528</v>
      </c>
      <c r="M250" s="22">
        <v>5</v>
      </c>
      <c r="N250" s="96">
        <f t="shared" si="35"/>
        <v>6.6681484774394314E-3</v>
      </c>
      <c r="O250" s="96">
        <f t="shared" si="36"/>
        <v>6.2759044493547588E-3</v>
      </c>
      <c r="P250" s="96"/>
    </row>
    <row r="251" spans="1:16" s="2" customFormat="1" ht="21" hidden="1" customHeight="1">
      <c r="A251" s="17">
        <v>201710</v>
      </c>
      <c r="B251" s="14" t="s">
        <v>273</v>
      </c>
      <c r="C251" s="14" t="s">
        <v>30</v>
      </c>
      <c r="D251" s="15">
        <v>43112</v>
      </c>
      <c r="E251" s="88" t="s">
        <v>657</v>
      </c>
      <c r="F251" s="17">
        <v>324</v>
      </c>
      <c r="G251" s="16">
        <v>43127</v>
      </c>
      <c r="H251" s="14" t="s">
        <v>717</v>
      </c>
      <c r="I251" s="14" t="s">
        <v>763</v>
      </c>
      <c r="J251" s="17">
        <v>160</v>
      </c>
      <c r="K251" s="17">
        <v>170</v>
      </c>
      <c r="L251" s="21">
        <v>0.94117647058823528</v>
      </c>
      <c r="M251" s="22">
        <v>5</v>
      </c>
      <c r="N251" s="96">
        <f t="shared" si="35"/>
        <v>1.8004000889086463E-2</v>
      </c>
      <c r="O251" s="96">
        <f t="shared" si="36"/>
        <v>1.6944942013257847E-2</v>
      </c>
      <c r="P251" s="96"/>
    </row>
    <row r="252" spans="1:16" s="2" customFormat="1" ht="21" hidden="1" customHeight="1">
      <c r="A252" s="17">
        <v>201710</v>
      </c>
      <c r="B252" s="14" t="s">
        <v>275</v>
      </c>
      <c r="C252" s="14" t="s">
        <v>30</v>
      </c>
      <c r="D252" s="15">
        <v>43112</v>
      </c>
      <c r="E252" s="88" t="s">
        <v>657</v>
      </c>
      <c r="F252" s="17">
        <v>120</v>
      </c>
      <c r="G252" s="16">
        <v>43127</v>
      </c>
      <c r="H252" s="14" t="s">
        <v>717</v>
      </c>
      <c r="I252" s="14" t="s">
        <v>763</v>
      </c>
      <c r="J252" s="17">
        <v>160</v>
      </c>
      <c r="K252" s="17">
        <v>170</v>
      </c>
      <c r="L252" s="21">
        <v>0.94117647058823528</v>
      </c>
      <c r="M252" s="22">
        <v>5</v>
      </c>
      <c r="N252" s="96">
        <f t="shared" si="35"/>
        <v>6.6681484774394314E-3</v>
      </c>
      <c r="O252" s="96">
        <f t="shared" si="36"/>
        <v>6.2759044493547588E-3</v>
      </c>
      <c r="P252" s="96"/>
    </row>
    <row r="253" spans="1:16" s="2" customFormat="1" ht="21" hidden="1" customHeight="1">
      <c r="A253" s="17">
        <v>201710</v>
      </c>
      <c r="B253" s="14" t="s">
        <v>272</v>
      </c>
      <c r="C253" s="14" t="s">
        <v>30</v>
      </c>
      <c r="D253" s="15">
        <v>43113</v>
      </c>
      <c r="E253" s="88" t="s">
        <v>656</v>
      </c>
      <c r="F253" s="17">
        <v>348</v>
      </c>
      <c r="G253" s="16">
        <v>43119</v>
      </c>
      <c r="H253" s="14" t="s">
        <v>718</v>
      </c>
      <c r="I253" s="14" t="s">
        <v>763</v>
      </c>
      <c r="J253" s="17">
        <v>160</v>
      </c>
      <c r="K253" s="17">
        <v>170</v>
      </c>
      <c r="L253" s="21">
        <v>0.94117647058823528</v>
      </c>
      <c r="M253" s="22">
        <v>5</v>
      </c>
      <c r="N253" s="96">
        <f t="shared" si="35"/>
        <v>1.9337630584574349E-2</v>
      </c>
      <c r="O253" s="96">
        <f t="shared" si="36"/>
        <v>1.82001229031288E-2</v>
      </c>
      <c r="P253" s="96"/>
    </row>
    <row r="254" spans="1:16" s="2" customFormat="1" ht="21" hidden="1" customHeight="1">
      <c r="A254" s="17">
        <v>201710</v>
      </c>
      <c r="B254" s="14" t="s">
        <v>276</v>
      </c>
      <c r="C254" s="14" t="s">
        <v>30</v>
      </c>
      <c r="D254" s="15">
        <v>43113</v>
      </c>
      <c r="E254" s="88" t="s">
        <v>658</v>
      </c>
      <c r="F254" s="17">
        <v>288</v>
      </c>
      <c r="G254" s="16">
        <v>43120</v>
      </c>
      <c r="H254" s="14" t="s">
        <v>731</v>
      </c>
      <c r="I254" s="14" t="s">
        <v>763</v>
      </c>
      <c r="J254" s="17">
        <v>160</v>
      </c>
      <c r="K254" s="17">
        <v>170</v>
      </c>
      <c r="L254" s="21">
        <v>0.94117647058823528</v>
      </c>
      <c r="M254" s="22">
        <v>5</v>
      </c>
      <c r="N254" s="96">
        <f t="shared" si="35"/>
        <v>1.6003556345854635E-2</v>
      </c>
      <c r="O254" s="96">
        <f t="shared" si="36"/>
        <v>1.5062170678451422E-2</v>
      </c>
      <c r="P254" s="96"/>
    </row>
    <row r="255" spans="1:16" s="2" customFormat="1" ht="21" hidden="1" customHeight="1">
      <c r="A255" s="17">
        <v>201710</v>
      </c>
      <c r="B255" s="14" t="s">
        <v>274</v>
      </c>
      <c r="C255" s="14" t="s">
        <v>30</v>
      </c>
      <c r="D255" s="15">
        <v>43113</v>
      </c>
      <c r="E255" s="88" t="s">
        <v>658</v>
      </c>
      <c r="F255" s="17">
        <v>324</v>
      </c>
      <c r="G255" s="16">
        <v>43127</v>
      </c>
      <c r="H255" s="14" t="s">
        <v>717</v>
      </c>
      <c r="I255" s="14" t="s">
        <v>763</v>
      </c>
      <c r="J255" s="17">
        <v>160</v>
      </c>
      <c r="K255" s="17">
        <v>170</v>
      </c>
      <c r="L255" s="21">
        <v>0.94117647058823528</v>
      </c>
      <c r="M255" s="22">
        <v>5</v>
      </c>
      <c r="N255" s="96">
        <f t="shared" si="35"/>
        <v>1.8004000889086463E-2</v>
      </c>
      <c r="O255" s="96">
        <f t="shared" si="36"/>
        <v>1.6944942013257847E-2</v>
      </c>
      <c r="P255" s="96"/>
    </row>
    <row r="256" spans="1:16" s="2" customFormat="1" ht="21" hidden="1" customHeight="1">
      <c r="A256" s="17">
        <v>201710</v>
      </c>
      <c r="B256" s="14" t="s">
        <v>278</v>
      </c>
      <c r="C256" s="14" t="s">
        <v>30</v>
      </c>
      <c r="D256" s="15">
        <v>43113</v>
      </c>
      <c r="E256" s="88" t="s">
        <v>658</v>
      </c>
      <c r="F256" s="17">
        <v>144</v>
      </c>
      <c r="G256" s="16">
        <v>43138</v>
      </c>
      <c r="H256" s="14" t="s">
        <v>717</v>
      </c>
      <c r="I256" s="14" t="s">
        <v>763</v>
      </c>
      <c r="J256" s="17">
        <v>160</v>
      </c>
      <c r="K256" s="17">
        <v>170</v>
      </c>
      <c r="L256" s="21">
        <v>0.94117647058823528</v>
      </c>
      <c r="M256" s="22">
        <v>5</v>
      </c>
      <c r="N256" s="96">
        <f t="shared" si="35"/>
        <v>8.0017781729273176E-3</v>
      </c>
      <c r="O256" s="96">
        <f t="shared" si="36"/>
        <v>7.5310853392257108E-3</v>
      </c>
      <c r="P256" s="96"/>
    </row>
    <row r="257" spans="1:16" s="2" customFormat="1" ht="21" hidden="1" customHeight="1">
      <c r="A257" s="17">
        <v>201710</v>
      </c>
      <c r="B257" s="14" t="s">
        <v>281</v>
      </c>
      <c r="C257" s="14" t="s">
        <v>30</v>
      </c>
      <c r="D257" s="15">
        <v>43113</v>
      </c>
      <c r="E257" s="88" t="s">
        <v>658</v>
      </c>
      <c r="F257" s="17">
        <v>120</v>
      </c>
      <c r="G257" s="16">
        <v>43127</v>
      </c>
      <c r="H257" s="14" t="s">
        <v>717</v>
      </c>
      <c r="I257" s="14" t="s">
        <v>763</v>
      </c>
      <c r="J257" s="17">
        <v>160</v>
      </c>
      <c r="K257" s="17">
        <v>170</v>
      </c>
      <c r="L257" s="21">
        <v>0.94117647058823528</v>
      </c>
      <c r="M257" s="22">
        <v>5</v>
      </c>
      <c r="N257" s="96">
        <f t="shared" si="35"/>
        <v>6.6681484774394314E-3</v>
      </c>
      <c r="O257" s="96">
        <f t="shared" si="36"/>
        <v>6.2759044493547588E-3</v>
      </c>
      <c r="P257" s="96"/>
    </row>
    <row r="258" spans="1:16" s="2" customFormat="1" ht="21" hidden="1" customHeight="1">
      <c r="A258" s="17">
        <v>201710</v>
      </c>
      <c r="B258" s="14" t="s">
        <v>279</v>
      </c>
      <c r="C258" s="14" t="s">
        <v>30</v>
      </c>
      <c r="D258" s="15">
        <v>43115</v>
      </c>
      <c r="E258" s="88" t="s">
        <v>658</v>
      </c>
      <c r="F258" s="17">
        <v>276</v>
      </c>
      <c r="G258" s="16">
        <v>43139</v>
      </c>
      <c r="H258" s="14" t="s">
        <v>720</v>
      </c>
      <c r="I258" s="14" t="s">
        <v>763</v>
      </c>
      <c r="J258" s="17">
        <v>160</v>
      </c>
      <c r="K258" s="17">
        <v>170</v>
      </c>
      <c r="L258" s="21">
        <v>0.94117647058823528</v>
      </c>
      <c r="M258" s="22">
        <v>5</v>
      </c>
      <c r="N258" s="96">
        <f t="shared" si="35"/>
        <v>1.5336741498110691E-2</v>
      </c>
      <c r="O258" s="96">
        <f t="shared" si="36"/>
        <v>1.4434580233515943E-2</v>
      </c>
      <c r="P258" s="96"/>
    </row>
    <row r="259" spans="1:16" s="2" customFormat="1" ht="21" hidden="1" customHeight="1">
      <c r="A259" s="17">
        <v>201710</v>
      </c>
      <c r="B259" s="14" t="s">
        <v>280</v>
      </c>
      <c r="C259" s="14" t="s">
        <v>30</v>
      </c>
      <c r="D259" s="15">
        <v>43115</v>
      </c>
      <c r="E259" s="88" t="s">
        <v>658</v>
      </c>
      <c r="F259" s="17">
        <v>144</v>
      </c>
      <c r="G259" s="16">
        <v>43139</v>
      </c>
      <c r="H259" s="14" t="s">
        <v>720</v>
      </c>
      <c r="I259" s="14" t="s">
        <v>763</v>
      </c>
      <c r="J259" s="17">
        <v>160</v>
      </c>
      <c r="K259" s="17">
        <v>170</v>
      </c>
      <c r="L259" s="21">
        <v>0.94117647058823528</v>
      </c>
      <c r="M259" s="22">
        <v>5</v>
      </c>
      <c r="N259" s="96">
        <f t="shared" si="35"/>
        <v>8.0017781729273176E-3</v>
      </c>
      <c r="O259" s="96">
        <f t="shared" si="36"/>
        <v>7.5310853392257108E-3</v>
      </c>
      <c r="P259" s="96"/>
    </row>
    <row r="260" spans="1:16" s="2" customFormat="1" ht="21" hidden="1" customHeight="1">
      <c r="A260" s="17">
        <v>201710</v>
      </c>
      <c r="B260" s="14" t="s">
        <v>277</v>
      </c>
      <c r="C260" s="14" t="s">
        <v>30</v>
      </c>
      <c r="D260" s="15">
        <v>43115</v>
      </c>
      <c r="E260" s="88" t="s">
        <v>658</v>
      </c>
      <c r="F260" s="17">
        <v>1248</v>
      </c>
      <c r="G260" s="16">
        <v>43140</v>
      </c>
      <c r="H260" s="14" t="s">
        <v>717</v>
      </c>
      <c r="I260" s="14" t="s">
        <v>763</v>
      </c>
      <c r="J260" s="17">
        <v>160</v>
      </c>
      <c r="K260" s="17">
        <v>170</v>
      </c>
      <c r="L260" s="21">
        <v>0.94117647058823528</v>
      </c>
      <c r="M260" s="22">
        <v>5</v>
      </c>
      <c r="N260" s="96">
        <f t="shared" si="35"/>
        <v>6.9348744165370083E-2</v>
      </c>
      <c r="O260" s="96">
        <f t="shared" si="36"/>
        <v>6.526940627328949E-2</v>
      </c>
      <c r="P260" s="96"/>
    </row>
    <row r="261" spans="1:16" s="2" customFormat="1" ht="21" hidden="1" customHeight="1">
      <c r="A261" s="17">
        <v>201710</v>
      </c>
      <c r="B261" s="14" t="s">
        <v>283</v>
      </c>
      <c r="C261" s="14" t="s">
        <v>30</v>
      </c>
      <c r="D261" s="15">
        <v>43116</v>
      </c>
      <c r="E261" s="88" t="s">
        <v>658</v>
      </c>
      <c r="F261" s="17">
        <v>360</v>
      </c>
      <c r="G261" s="16">
        <v>43159</v>
      </c>
      <c r="H261" s="14" t="s">
        <v>722</v>
      </c>
      <c r="I261" s="14" t="s">
        <v>763</v>
      </c>
      <c r="J261" s="17">
        <v>160</v>
      </c>
      <c r="K261" s="17">
        <v>170</v>
      </c>
      <c r="L261" s="21">
        <v>0.94117647058823528</v>
      </c>
      <c r="M261" s="22">
        <v>5</v>
      </c>
      <c r="N261" s="96">
        <f t="shared" si="35"/>
        <v>2.0004445432318291E-2</v>
      </c>
      <c r="O261" s="96">
        <f t="shared" si="36"/>
        <v>1.8827713348064275E-2</v>
      </c>
      <c r="P261" s="96"/>
    </row>
    <row r="262" spans="1:16" s="2" customFormat="1" ht="21" hidden="1" customHeight="1">
      <c r="A262" s="17">
        <v>201710</v>
      </c>
      <c r="B262" s="14" t="s">
        <v>282</v>
      </c>
      <c r="C262" s="14" t="s">
        <v>30</v>
      </c>
      <c r="D262" s="15">
        <v>43116</v>
      </c>
      <c r="E262" s="88" t="s">
        <v>658</v>
      </c>
      <c r="F262" s="17">
        <v>936</v>
      </c>
      <c r="G262" s="16">
        <v>43165</v>
      </c>
      <c r="H262" s="14" t="s">
        <v>730</v>
      </c>
      <c r="I262" s="14" t="s">
        <v>763</v>
      </c>
      <c r="J262" s="17">
        <v>160</v>
      </c>
      <c r="K262" s="17">
        <v>170</v>
      </c>
      <c r="L262" s="21">
        <v>0.94117647058823528</v>
      </c>
      <c r="M262" s="22">
        <v>5</v>
      </c>
      <c r="N262" s="96">
        <f t="shared" si="35"/>
        <v>5.2011558124027558E-2</v>
      </c>
      <c r="O262" s="96">
        <f t="shared" si="36"/>
        <v>4.8952054704967114E-2</v>
      </c>
      <c r="P262" s="96"/>
    </row>
    <row r="263" spans="1:16" s="2" customFormat="1" ht="21" hidden="1" customHeight="1">
      <c r="A263" s="17">
        <v>201710</v>
      </c>
      <c r="B263" s="14" t="s">
        <v>284</v>
      </c>
      <c r="C263" s="14" t="s">
        <v>30</v>
      </c>
      <c r="D263" s="15">
        <v>43117</v>
      </c>
      <c r="E263" s="88" t="s">
        <v>658</v>
      </c>
      <c r="F263" s="17">
        <v>168</v>
      </c>
      <c r="G263" s="16">
        <v>43165</v>
      </c>
      <c r="H263" s="14" t="s">
        <v>725</v>
      </c>
      <c r="I263" s="14" t="s">
        <v>763</v>
      </c>
      <c r="J263" s="17">
        <v>160</v>
      </c>
      <c r="K263" s="17">
        <v>170</v>
      </c>
      <c r="L263" s="21">
        <v>0.94117647058823528</v>
      </c>
      <c r="M263" s="22">
        <v>5</v>
      </c>
      <c r="N263" s="96">
        <f t="shared" si="35"/>
        <v>9.335407868415203E-3</v>
      </c>
      <c r="O263" s="96">
        <f t="shared" si="36"/>
        <v>8.786266229096661E-3</v>
      </c>
      <c r="P263" s="96"/>
    </row>
    <row r="264" spans="1:16" s="2" customFormat="1" ht="21" hidden="1" customHeight="1">
      <c r="A264" s="17">
        <v>201710</v>
      </c>
      <c r="B264" s="14" t="s">
        <v>285</v>
      </c>
      <c r="C264" s="14" t="s">
        <v>30</v>
      </c>
      <c r="D264" s="15">
        <v>43117</v>
      </c>
      <c r="E264" s="88" t="s">
        <v>659</v>
      </c>
      <c r="F264" s="17">
        <v>396</v>
      </c>
      <c r="G264" s="16">
        <v>43138</v>
      </c>
      <c r="H264" s="14" t="s">
        <v>717</v>
      </c>
      <c r="I264" s="14" t="s">
        <v>763</v>
      </c>
      <c r="J264" s="17">
        <v>160</v>
      </c>
      <c r="K264" s="17">
        <v>170</v>
      </c>
      <c r="L264" s="21">
        <v>0.94117647058823528</v>
      </c>
      <c r="M264" s="22">
        <v>5</v>
      </c>
      <c r="N264" s="96">
        <f t="shared" si="35"/>
        <v>2.2004889975550123E-2</v>
      </c>
      <c r="O264" s="96">
        <f t="shared" si="36"/>
        <v>2.0710484682870702E-2</v>
      </c>
      <c r="P264" s="96"/>
    </row>
    <row r="265" spans="1:16" s="2" customFormat="1" ht="21" hidden="1" customHeight="1">
      <c r="A265" s="17">
        <v>201710</v>
      </c>
      <c r="B265" s="14" t="s">
        <v>286</v>
      </c>
      <c r="C265" s="14" t="s">
        <v>30</v>
      </c>
      <c r="D265" s="15">
        <v>43117</v>
      </c>
      <c r="E265" s="88" t="s">
        <v>659</v>
      </c>
      <c r="F265" s="17">
        <v>204</v>
      </c>
      <c r="G265" s="16">
        <v>43138</v>
      </c>
      <c r="H265" s="14" t="s">
        <v>717</v>
      </c>
      <c r="I265" s="14" t="s">
        <v>763</v>
      </c>
      <c r="J265" s="17">
        <v>160</v>
      </c>
      <c r="K265" s="17">
        <v>170</v>
      </c>
      <c r="L265" s="21">
        <v>0.94117647058823528</v>
      </c>
      <c r="M265" s="22">
        <v>5</v>
      </c>
      <c r="N265" s="96">
        <f t="shared" si="35"/>
        <v>1.1335852411647033E-2</v>
      </c>
      <c r="O265" s="96">
        <f t="shared" si="36"/>
        <v>1.066903756390309E-2</v>
      </c>
      <c r="P265" s="96"/>
    </row>
    <row r="266" spans="1:16" s="2" customFormat="1" ht="21" hidden="1" customHeight="1">
      <c r="A266" s="17">
        <v>201710</v>
      </c>
      <c r="B266" s="14" t="s">
        <v>287</v>
      </c>
      <c r="C266" s="14" t="s">
        <v>30</v>
      </c>
      <c r="D266" s="15">
        <v>43117</v>
      </c>
      <c r="E266" s="88" t="s">
        <v>659</v>
      </c>
      <c r="F266" s="17">
        <v>1200</v>
      </c>
      <c r="G266" s="16">
        <v>43140</v>
      </c>
      <c r="H266" s="14" t="s">
        <v>717</v>
      </c>
      <c r="I266" s="14" t="s">
        <v>763</v>
      </c>
      <c r="J266" s="17">
        <v>160</v>
      </c>
      <c r="K266" s="17">
        <v>170</v>
      </c>
      <c r="L266" s="21">
        <v>0.94117647058823528</v>
      </c>
      <c r="M266" s="22">
        <v>5</v>
      </c>
      <c r="N266" s="96">
        <f t="shared" si="35"/>
        <v>6.6681484774394312E-2</v>
      </c>
      <c r="O266" s="96">
        <f t="shared" si="36"/>
        <v>6.2759044493547592E-2</v>
      </c>
      <c r="P266" s="96"/>
    </row>
    <row r="267" spans="1:16" s="2" customFormat="1" ht="21" hidden="1" customHeight="1">
      <c r="A267" s="17">
        <v>201710</v>
      </c>
      <c r="B267" s="14" t="s">
        <v>288</v>
      </c>
      <c r="C267" s="14" t="s">
        <v>30</v>
      </c>
      <c r="D267" s="15">
        <v>43118</v>
      </c>
      <c r="E267" s="88" t="s">
        <v>657</v>
      </c>
      <c r="F267" s="17">
        <v>144</v>
      </c>
      <c r="G267" s="16">
        <v>43138</v>
      </c>
      <c r="H267" s="14" t="s">
        <v>717</v>
      </c>
      <c r="I267" s="14" t="s">
        <v>763</v>
      </c>
      <c r="J267" s="17">
        <v>160</v>
      </c>
      <c r="K267" s="17">
        <v>170</v>
      </c>
      <c r="L267" s="21">
        <v>0.94117647058823528</v>
      </c>
      <c r="M267" s="22">
        <v>5</v>
      </c>
      <c r="N267" s="96">
        <f t="shared" si="35"/>
        <v>8.0017781729273176E-3</v>
      </c>
      <c r="O267" s="96">
        <f t="shared" si="36"/>
        <v>7.5310853392257108E-3</v>
      </c>
      <c r="P267" s="96"/>
    </row>
    <row r="268" spans="1:16" s="2" customFormat="1" ht="21" hidden="1" customHeight="1">
      <c r="A268" s="17">
        <v>201710</v>
      </c>
      <c r="B268" s="14" t="s">
        <v>289</v>
      </c>
      <c r="C268" s="14" t="s">
        <v>30</v>
      </c>
      <c r="D268" s="15">
        <v>43118</v>
      </c>
      <c r="E268" s="88" t="s">
        <v>657</v>
      </c>
      <c r="F268" s="17">
        <v>1128</v>
      </c>
      <c r="G268" s="16">
        <v>43138</v>
      </c>
      <c r="H268" s="14" t="s">
        <v>717</v>
      </c>
      <c r="I268" s="14" t="s">
        <v>763</v>
      </c>
      <c r="J268" s="17">
        <v>160</v>
      </c>
      <c r="K268" s="17">
        <v>170</v>
      </c>
      <c r="L268" s="21">
        <v>0.94117647058823528</v>
      </c>
      <c r="M268" s="22">
        <v>5</v>
      </c>
      <c r="N268" s="96">
        <f t="shared" si="35"/>
        <v>6.2680595687930649E-2</v>
      </c>
      <c r="O268" s="96">
        <f t="shared" si="36"/>
        <v>5.899350182393473E-2</v>
      </c>
      <c r="P268" s="96"/>
    </row>
    <row r="269" spans="1:16" s="2" customFormat="1" ht="21" hidden="1" customHeight="1">
      <c r="A269" s="17">
        <v>201710</v>
      </c>
      <c r="B269" s="14" t="s">
        <v>290</v>
      </c>
      <c r="C269" s="14" t="s">
        <v>30</v>
      </c>
      <c r="D269" s="15">
        <v>43119</v>
      </c>
      <c r="E269" s="88" t="s">
        <v>657</v>
      </c>
      <c r="F269" s="17">
        <v>276</v>
      </c>
      <c r="G269" s="16">
        <v>43139</v>
      </c>
      <c r="H269" s="14" t="s">
        <v>720</v>
      </c>
      <c r="I269" s="14" t="s">
        <v>763</v>
      </c>
      <c r="J269" s="17">
        <v>160</v>
      </c>
      <c r="K269" s="17">
        <v>170</v>
      </c>
      <c r="L269" s="21">
        <v>0.94117647058823528</v>
      </c>
      <c r="M269" s="22">
        <v>5</v>
      </c>
      <c r="N269" s="96">
        <f t="shared" si="35"/>
        <v>1.5336741498110691E-2</v>
      </c>
      <c r="O269" s="96">
        <f t="shared" si="36"/>
        <v>1.4434580233515943E-2</v>
      </c>
      <c r="P269" s="96"/>
    </row>
    <row r="270" spans="1:16" s="2" customFormat="1" ht="21" hidden="1" customHeight="1">
      <c r="A270" s="17">
        <v>201710</v>
      </c>
      <c r="B270" s="14" t="s">
        <v>294</v>
      </c>
      <c r="C270" s="14" t="s">
        <v>30</v>
      </c>
      <c r="D270" s="15">
        <v>43120</v>
      </c>
      <c r="E270" s="88" t="s">
        <v>657</v>
      </c>
      <c r="F270" s="17">
        <v>204</v>
      </c>
      <c r="G270" s="16">
        <v>43139</v>
      </c>
      <c r="H270" s="14" t="s">
        <v>720</v>
      </c>
      <c r="I270" s="14" t="s">
        <v>763</v>
      </c>
      <c r="J270" s="17">
        <v>160</v>
      </c>
      <c r="K270" s="17">
        <v>170</v>
      </c>
      <c r="L270" s="21">
        <v>0.94117647058823528</v>
      </c>
      <c r="M270" s="22">
        <v>5</v>
      </c>
      <c r="N270" s="96">
        <f t="shared" si="35"/>
        <v>1.1335852411647033E-2</v>
      </c>
      <c r="O270" s="96">
        <f t="shared" si="36"/>
        <v>1.066903756390309E-2</v>
      </c>
      <c r="P270" s="96"/>
    </row>
    <row r="271" spans="1:16" s="2" customFormat="1" ht="21" hidden="1" customHeight="1">
      <c r="A271" s="17">
        <v>201710</v>
      </c>
      <c r="B271" s="14" t="s">
        <v>295</v>
      </c>
      <c r="C271" s="14" t="s">
        <v>30</v>
      </c>
      <c r="D271" s="15">
        <v>43120</v>
      </c>
      <c r="E271" s="88" t="s">
        <v>657</v>
      </c>
      <c r="F271" s="17">
        <v>324</v>
      </c>
      <c r="G271" s="16">
        <v>43159</v>
      </c>
      <c r="H271" s="14" t="s">
        <v>722</v>
      </c>
      <c r="I271" s="14" t="s">
        <v>763</v>
      </c>
      <c r="J271" s="17">
        <v>160</v>
      </c>
      <c r="K271" s="17">
        <v>170</v>
      </c>
      <c r="L271" s="21">
        <v>0.94117647058823528</v>
      </c>
      <c r="M271" s="22">
        <v>5</v>
      </c>
      <c r="N271" s="96">
        <f t="shared" si="35"/>
        <v>1.8004000889086463E-2</v>
      </c>
      <c r="O271" s="96">
        <f t="shared" si="36"/>
        <v>1.6944942013257847E-2</v>
      </c>
      <c r="P271" s="96"/>
    </row>
    <row r="272" spans="1:16" s="2" customFormat="1" ht="21" hidden="1" customHeight="1">
      <c r="A272" s="17">
        <v>201710</v>
      </c>
      <c r="B272" s="14" t="s">
        <v>291</v>
      </c>
      <c r="C272" s="14" t="s">
        <v>30</v>
      </c>
      <c r="D272" s="15">
        <v>43120</v>
      </c>
      <c r="E272" s="88" t="s">
        <v>654</v>
      </c>
      <c r="F272" s="17">
        <v>552</v>
      </c>
      <c r="G272" s="16">
        <v>43138</v>
      </c>
      <c r="H272" s="14" t="s">
        <v>717</v>
      </c>
      <c r="I272" s="14" t="s">
        <v>763</v>
      </c>
      <c r="J272" s="17">
        <v>160</v>
      </c>
      <c r="K272" s="17">
        <v>170</v>
      </c>
      <c r="L272" s="21">
        <v>0.94117647058823528</v>
      </c>
      <c r="M272" s="22">
        <v>5</v>
      </c>
      <c r="N272" s="96">
        <f t="shared" si="35"/>
        <v>3.0673482996221382E-2</v>
      </c>
      <c r="O272" s="96">
        <f t="shared" si="36"/>
        <v>2.8869160467031887E-2</v>
      </c>
      <c r="P272" s="96"/>
    </row>
    <row r="273" spans="1:16" s="2" customFormat="1" ht="21" hidden="1" customHeight="1">
      <c r="A273" s="17">
        <v>201710</v>
      </c>
      <c r="B273" s="14" t="s">
        <v>292</v>
      </c>
      <c r="C273" s="14" t="s">
        <v>30</v>
      </c>
      <c r="D273" s="15">
        <v>43120</v>
      </c>
      <c r="E273" s="88" t="s">
        <v>654</v>
      </c>
      <c r="F273" s="17">
        <v>180</v>
      </c>
      <c r="G273" s="16">
        <v>43138</v>
      </c>
      <c r="H273" s="14" t="s">
        <v>717</v>
      </c>
      <c r="I273" s="14" t="s">
        <v>763</v>
      </c>
      <c r="J273" s="17">
        <v>160</v>
      </c>
      <c r="K273" s="17">
        <v>170</v>
      </c>
      <c r="L273" s="21">
        <v>0.94117647058823528</v>
      </c>
      <c r="M273" s="22">
        <v>5</v>
      </c>
      <c r="N273" s="96">
        <f t="shared" si="35"/>
        <v>1.0002222716159146E-2</v>
      </c>
      <c r="O273" s="96">
        <f t="shared" si="36"/>
        <v>9.4138566740321374E-3</v>
      </c>
      <c r="P273" s="96"/>
    </row>
    <row r="274" spans="1:16" s="2" customFormat="1" ht="21" hidden="1" customHeight="1">
      <c r="A274" s="17">
        <v>201710</v>
      </c>
      <c r="B274" s="14" t="s">
        <v>293</v>
      </c>
      <c r="C274" s="14" t="s">
        <v>30</v>
      </c>
      <c r="D274" s="15">
        <v>43122</v>
      </c>
      <c r="E274" s="88" t="s">
        <v>654</v>
      </c>
      <c r="F274" s="17">
        <v>180</v>
      </c>
      <c r="G274" s="16">
        <v>43139</v>
      </c>
      <c r="H274" s="14" t="s">
        <v>720</v>
      </c>
      <c r="I274" s="14" t="s">
        <v>763</v>
      </c>
      <c r="J274" s="17">
        <v>160</v>
      </c>
      <c r="K274" s="17">
        <v>170</v>
      </c>
      <c r="L274" s="21">
        <v>0.94117647058823528</v>
      </c>
      <c r="M274" s="22">
        <v>5</v>
      </c>
      <c r="N274" s="96">
        <f t="shared" si="35"/>
        <v>1.0002222716159146E-2</v>
      </c>
      <c r="O274" s="96">
        <f t="shared" si="36"/>
        <v>9.4138566740321374E-3</v>
      </c>
      <c r="P274" s="96"/>
    </row>
    <row r="275" spans="1:16" s="2" customFormat="1" ht="21" hidden="1" customHeight="1">
      <c r="A275" s="17">
        <v>201710</v>
      </c>
      <c r="B275" s="14" t="s">
        <v>297</v>
      </c>
      <c r="C275" s="14" t="s">
        <v>30</v>
      </c>
      <c r="D275" s="15">
        <v>43122</v>
      </c>
      <c r="E275" s="88" t="s">
        <v>654</v>
      </c>
      <c r="F275" s="17">
        <v>276</v>
      </c>
      <c r="G275" s="16">
        <v>43139</v>
      </c>
      <c r="H275" s="14" t="s">
        <v>720</v>
      </c>
      <c r="I275" s="14" t="s">
        <v>763</v>
      </c>
      <c r="J275" s="17">
        <v>160</v>
      </c>
      <c r="K275" s="17">
        <v>170</v>
      </c>
      <c r="L275" s="21">
        <v>0.94117647058823528</v>
      </c>
      <c r="M275" s="22">
        <v>5</v>
      </c>
      <c r="N275" s="96">
        <f t="shared" si="35"/>
        <v>1.5336741498110691E-2</v>
      </c>
      <c r="O275" s="96">
        <f t="shared" si="36"/>
        <v>1.4434580233515943E-2</v>
      </c>
      <c r="P275" s="96"/>
    </row>
    <row r="276" spans="1:16" s="2" customFormat="1" ht="21" hidden="1" customHeight="1">
      <c r="A276" s="17">
        <v>201710</v>
      </c>
      <c r="B276" s="14" t="s">
        <v>298</v>
      </c>
      <c r="C276" s="14" t="s">
        <v>30</v>
      </c>
      <c r="D276" s="15">
        <v>43122</v>
      </c>
      <c r="E276" s="88" t="s">
        <v>654</v>
      </c>
      <c r="F276" s="17">
        <v>144</v>
      </c>
      <c r="G276" s="16">
        <v>43139</v>
      </c>
      <c r="H276" s="14" t="s">
        <v>720</v>
      </c>
      <c r="I276" s="14" t="s">
        <v>763</v>
      </c>
      <c r="J276" s="17">
        <v>160</v>
      </c>
      <c r="K276" s="17">
        <v>170</v>
      </c>
      <c r="L276" s="21">
        <v>0.94117647058823528</v>
      </c>
      <c r="M276" s="22">
        <v>5</v>
      </c>
      <c r="N276" s="96">
        <f t="shared" si="35"/>
        <v>8.0017781729273176E-3</v>
      </c>
      <c r="O276" s="96">
        <f t="shared" si="36"/>
        <v>7.5310853392257108E-3</v>
      </c>
      <c r="P276" s="96"/>
    </row>
    <row r="277" spans="1:16" s="2" customFormat="1" ht="21" hidden="1" customHeight="1">
      <c r="A277" s="17">
        <v>201710</v>
      </c>
      <c r="B277" s="14" t="s">
        <v>296</v>
      </c>
      <c r="C277" s="14" t="s">
        <v>30</v>
      </c>
      <c r="D277" s="15">
        <v>43122</v>
      </c>
      <c r="E277" s="88" t="s">
        <v>654</v>
      </c>
      <c r="F277" s="17">
        <v>1392</v>
      </c>
      <c r="G277" s="16">
        <v>43140</v>
      </c>
      <c r="H277" s="14" t="s">
        <v>717</v>
      </c>
      <c r="I277" s="14" t="s">
        <v>763</v>
      </c>
      <c r="J277" s="17">
        <v>160</v>
      </c>
      <c r="K277" s="17">
        <v>170</v>
      </c>
      <c r="L277" s="21">
        <v>0.94117647058823528</v>
      </c>
      <c r="M277" s="22">
        <v>5</v>
      </c>
      <c r="N277" s="96">
        <f t="shared" si="35"/>
        <v>7.7350522338297395E-2</v>
      </c>
      <c r="O277" s="96">
        <f t="shared" si="36"/>
        <v>7.28004916125152E-2</v>
      </c>
      <c r="P277" s="96"/>
    </row>
    <row r="278" spans="1:16" s="2" customFormat="1" ht="21" hidden="1" customHeight="1">
      <c r="A278" s="17">
        <v>201710</v>
      </c>
      <c r="B278" s="14" t="s">
        <v>299</v>
      </c>
      <c r="C278" s="14" t="s">
        <v>30</v>
      </c>
      <c r="D278" s="15">
        <v>43122</v>
      </c>
      <c r="E278" s="88" t="s">
        <v>654</v>
      </c>
      <c r="F278" s="17">
        <v>120</v>
      </c>
      <c r="G278" s="16">
        <v>43139</v>
      </c>
      <c r="H278" s="14" t="s">
        <v>720</v>
      </c>
      <c r="I278" s="14" t="s">
        <v>763</v>
      </c>
      <c r="J278" s="17">
        <v>160</v>
      </c>
      <c r="K278" s="17">
        <v>170</v>
      </c>
      <c r="L278" s="21">
        <v>0.94117647058823528</v>
      </c>
      <c r="M278" s="22">
        <v>5</v>
      </c>
      <c r="N278" s="96">
        <f t="shared" si="35"/>
        <v>6.6681484774394314E-3</v>
      </c>
      <c r="O278" s="96">
        <f t="shared" si="36"/>
        <v>6.2759044493547588E-3</v>
      </c>
      <c r="P278" s="96"/>
    </row>
    <row r="279" spans="1:16" s="2" customFormat="1" ht="21" hidden="1" customHeight="1">
      <c r="A279" s="17">
        <v>201710</v>
      </c>
      <c r="B279" s="14" t="s">
        <v>300</v>
      </c>
      <c r="C279" s="14" t="s">
        <v>30</v>
      </c>
      <c r="D279" s="15">
        <v>43123</v>
      </c>
      <c r="E279" s="88" t="s">
        <v>654</v>
      </c>
      <c r="F279" s="17">
        <v>1092</v>
      </c>
      <c r="G279" s="16">
        <v>43166</v>
      </c>
      <c r="H279" s="14" t="s">
        <v>730</v>
      </c>
      <c r="I279" s="14" t="s">
        <v>763</v>
      </c>
      <c r="J279" s="17">
        <v>160</v>
      </c>
      <c r="K279" s="17">
        <v>170</v>
      </c>
      <c r="L279" s="21">
        <v>0.94117647058823528</v>
      </c>
      <c r="M279" s="22">
        <v>5</v>
      </c>
      <c r="N279" s="96">
        <f t="shared" si="35"/>
        <v>6.0680151144698824E-2</v>
      </c>
      <c r="O279" s="96">
        <f t="shared" si="36"/>
        <v>5.7110730489128306E-2</v>
      </c>
      <c r="P279" s="96"/>
    </row>
    <row r="280" spans="1:16" s="2" customFormat="1" ht="21" hidden="1" customHeight="1">
      <c r="A280" s="17">
        <v>201710</v>
      </c>
      <c r="B280" s="14" t="s">
        <v>301</v>
      </c>
      <c r="C280" s="14" t="s">
        <v>30</v>
      </c>
      <c r="D280" s="15">
        <v>43124</v>
      </c>
      <c r="E280" s="88" t="s">
        <v>654</v>
      </c>
      <c r="F280" s="17">
        <v>120</v>
      </c>
      <c r="G280" s="16">
        <v>43166</v>
      </c>
      <c r="H280" s="14" t="s">
        <v>725</v>
      </c>
      <c r="I280" s="14" t="s">
        <v>763</v>
      </c>
      <c r="J280" s="17">
        <v>160</v>
      </c>
      <c r="K280" s="17">
        <v>170</v>
      </c>
      <c r="L280" s="21">
        <v>0.94117647058823528</v>
      </c>
      <c r="M280" s="22">
        <v>5</v>
      </c>
      <c r="N280" s="96">
        <f t="shared" si="35"/>
        <v>6.6681484774394314E-3</v>
      </c>
      <c r="O280" s="96">
        <f t="shared" si="36"/>
        <v>6.2759044493547588E-3</v>
      </c>
      <c r="P280" s="96"/>
    </row>
    <row r="281" spans="1:16" s="2" customFormat="1" ht="21" hidden="1" customHeight="1">
      <c r="A281" s="17">
        <v>201710</v>
      </c>
      <c r="B281" s="14" t="s">
        <v>302</v>
      </c>
      <c r="C281" s="14" t="s">
        <v>30</v>
      </c>
      <c r="D281" s="15">
        <v>43124</v>
      </c>
      <c r="E281" s="88" t="s">
        <v>652</v>
      </c>
      <c r="F281" s="17">
        <v>1044</v>
      </c>
      <c r="G281" s="16">
        <v>43138</v>
      </c>
      <c r="H281" s="14" t="s">
        <v>717</v>
      </c>
      <c r="I281" s="14" t="s">
        <v>763</v>
      </c>
      <c r="J281" s="17">
        <v>160</v>
      </c>
      <c r="K281" s="17">
        <v>170</v>
      </c>
      <c r="L281" s="21">
        <v>0.94117647058823528</v>
      </c>
      <c r="M281" s="22">
        <v>5</v>
      </c>
      <c r="N281" s="96">
        <f t="shared" si="35"/>
        <v>5.8012891753723046E-2</v>
      </c>
      <c r="O281" s="96">
        <f t="shared" si="36"/>
        <v>5.4600368709386393E-2</v>
      </c>
      <c r="P281" s="96"/>
    </row>
    <row r="282" spans="1:16" s="2" customFormat="1" ht="21" hidden="1" customHeight="1">
      <c r="A282" s="17">
        <v>201710</v>
      </c>
      <c r="B282" s="14" t="s">
        <v>303</v>
      </c>
      <c r="C282" s="14" t="s">
        <v>30</v>
      </c>
      <c r="D282" s="15">
        <v>43124</v>
      </c>
      <c r="E282" s="88" t="s">
        <v>652</v>
      </c>
      <c r="F282" s="17">
        <v>180</v>
      </c>
      <c r="G282" s="16">
        <v>43138</v>
      </c>
      <c r="H282" s="14" t="s">
        <v>717</v>
      </c>
      <c r="I282" s="14" t="s">
        <v>763</v>
      </c>
      <c r="J282" s="17">
        <v>160</v>
      </c>
      <c r="K282" s="17">
        <v>170</v>
      </c>
      <c r="L282" s="21">
        <v>0.94117647058823528</v>
      </c>
      <c r="M282" s="22">
        <v>5</v>
      </c>
      <c r="N282" s="96">
        <f t="shared" si="35"/>
        <v>1.0002222716159146E-2</v>
      </c>
      <c r="O282" s="96">
        <f t="shared" si="36"/>
        <v>9.4138566740321374E-3</v>
      </c>
      <c r="P282" s="96"/>
    </row>
    <row r="283" spans="1:16" s="2" customFormat="1" ht="21" hidden="1" customHeight="1">
      <c r="A283" s="17">
        <v>201710</v>
      </c>
      <c r="B283" s="14" t="s">
        <v>304</v>
      </c>
      <c r="C283" s="14" t="s">
        <v>30</v>
      </c>
      <c r="D283" s="15">
        <v>43125</v>
      </c>
      <c r="E283" s="88" t="s">
        <v>660</v>
      </c>
      <c r="F283" s="17">
        <v>1548</v>
      </c>
      <c r="G283" s="16">
        <v>43138</v>
      </c>
      <c r="H283" s="14" t="s">
        <v>717</v>
      </c>
      <c r="I283" s="14" t="s">
        <v>764</v>
      </c>
      <c r="J283" s="17">
        <v>180</v>
      </c>
      <c r="K283" s="17">
        <v>177</v>
      </c>
      <c r="L283" s="21">
        <v>1.0169491525423728</v>
      </c>
      <c r="M283" s="22">
        <v>4</v>
      </c>
      <c r="N283" s="96">
        <f>F283/$F$622</f>
        <v>0.22912966252220249</v>
      </c>
      <c r="O283" s="96">
        <f>L283*N283</f>
        <v>0.2330132161242737</v>
      </c>
      <c r="P283" s="96"/>
    </row>
    <row r="284" spans="1:16" s="2" customFormat="1" ht="21" hidden="1" customHeight="1">
      <c r="A284" s="17">
        <v>201710</v>
      </c>
      <c r="B284" s="14" t="s">
        <v>305</v>
      </c>
      <c r="C284" s="14" t="s">
        <v>30</v>
      </c>
      <c r="D284" s="15">
        <v>43125</v>
      </c>
      <c r="E284" s="88" t="s">
        <v>652</v>
      </c>
      <c r="F284" s="17">
        <v>204</v>
      </c>
      <c r="G284" s="16">
        <v>43139</v>
      </c>
      <c r="H284" s="14" t="s">
        <v>720</v>
      </c>
      <c r="I284" s="14" t="s">
        <v>763</v>
      </c>
      <c r="J284" s="17">
        <v>160</v>
      </c>
      <c r="K284" s="17">
        <v>170</v>
      </c>
      <c r="L284" s="21">
        <v>0.94117647058823528</v>
      </c>
      <c r="M284" s="22">
        <v>5</v>
      </c>
      <c r="N284" s="96">
        <f t="shared" ref="N284:N285" si="37">F284/$F$623</f>
        <v>1.1335852411647033E-2</v>
      </c>
      <c r="O284" s="96">
        <f t="shared" ref="O284:O285" si="38">L284*N284</f>
        <v>1.066903756390309E-2</v>
      </c>
      <c r="P284" s="96"/>
    </row>
    <row r="285" spans="1:16" s="2" customFormat="1" ht="21" hidden="1" customHeight="1">
      <c r="A285" s="17">
        <v>201710</v>
      </c>
      <c r="B285" s="14" t="s">
        <v>306</v>
      </c>
      <c r="C285" s="14" t="s">
        <v>30</v>
      </c>
      <c r="D285" s="15">
        <v>43125</v>
      </c>
      <c r="E285" s="88" t="s">
        <v>652</v>
      </c>
      <c r="F285" s="17">
        <v>348</v>
      </c>
      <c r="G285" s="16">
        <v>43139</v>
      </c>
      <c r="H285" s="14" t="s">
        <v>720</v>
      </c>
      <c r="I285" s="14" t="s">
        <v>763</v>
      </c>
      <c r="J285" s="17">
        <v>160</v>
      </c>
      <c r="K285" s="17">
        <v>170</v>
      </c>
      <c r="L285" s="21">
        <v>0.94117647058823528</v>
      </c>
      <c r="M285" s="22">
        <v>5</v>
      </c>
      <c r="N285" s="96">
        <f t="shared" si="37"/>
        <v>1.9337630584574349E-2</v>
      </c>
      <c r="O285" s="96">
        <f t="shared" si="38"/>
        <v>1.82001229031288E-2</v>
      </c>
      <c r="P285" s="96"/>
    </row>
    <row r="286" spans="1:16" s="2" customFormat="1" ht="21" hidden="1" customHeight="1">
      <c r="A286" s="17">
        <v>201710</v>
      </c>
      <c r="B286" s="14" t="s">
        <v>307</v>
      </c>
      <c r="C286" s="14" t="s">
        <v>30</v>
      </c>
      <c r="D286" s="15">
        <v>43127</v>
      </c>
      <c r="E286" s="88" t="s">
        <v>661</v>
      </c>
      <c r="F286" s="17">
        <v>456</v>
      </c>
      <c r="G286" s="16">
        <v>43138</v>
      </c>
      <c r="H286" s="14" t="s">
        <v>717</v>
      </c>
      <c r="I286" s="14" t="s">
        <v>764</v>
      </c>
      <c r="J286" s="17">
        <v>180</v>
      </c>
      <c r="K286" s="17">
        <v>177</v>
      </c>
      <c r="L286" s="21">
        <v>1.0169491525423728</v>
      </c>
      <c r="M286" s="22">
        <v>4</v>
      </c>
      <c r="N286" s="96">
        <f t="shared" ref="N286:N288" si="39">F286/$F$622</f>
        <v>6.7495559502664296E-2</v>
      </c>
      <c r="O286" s="96">
        <f t="shared" ref="O286:O288" si="40">L286*N286</f>
        <v>6.8639552036607751E-2</v>
      </c>
      <c r="P286" s="96"/>
    </row>
    <row r="287" spans="1:16" s="2" customFormat="1" ht="21" hidden="1" customHeight="1">
      <c r="A287" s="17">
        <v>201710</v>
      </c>
      <c r="B287" s="14" t="s">
        <v>308</v>
      </c>
      <c r="C287" s="14" t="s">
        <v>30</v>
      </c>
      <c r="D287" s="15">
        <v>43127</v>
      </c>
      <c r="E287" s="88" t="s">
        <v>661</v>
      </c>
      <c r="F287" s="17">
        <v>3336</v>
      </c>
      <c r="G287" s="16">
        <v>43138</v>
      </c>
      <c r="H287" s="14" t="s">
        <v>717</v>
      </c>
      <c r="I287" s="14" t="s">
        <v>764</v>
      </c>
      <c r="J287" s="17">
        <v>180</v>
      </c>
      <c r="K287" s="17">
        <v>177</v>
      </c>
      <c r="L287" s="21">
        <v>1.0169491525423728</v>
      </c>
      <c r="M287" s="22">
        <v>4</v>
      </c>
      <c r="N287" s="96">
        <f t="shared" si="39"/>
        <v>0.49378330373001778</v>
      </c>
      <c r="O287" s="96">
        <f t="shared" si="40"/>
        <v>0.50215251226781465</v>
      </c>
      <c r="P287" s="96"/>
    </row>
    <row r="288" spans="1:16" s="2" customFormat="1" ht="21" hidden="1" customHeight="1">
      <c r="A288" s="17">
        <v>201711</v>
      </c>
      <c r="B288" s="14" t="s">
        <v>309</v>
      </c>
      <c r="C288" s="14" t="s">
        <v>30</v>
      </c>
      <c r="D288" s="15">
        <v>43131</v>
      </c>
      <c r="E288" s="88" t="s">
        <v>662</v>
      </c>
      <c r="F288" s="17">
        <v>1416</v>
      </c>
      <c r="G288" s="16">
        <v>43152</v>
      </c>
      <c r="H288" s="14" t="s">
        <v>717</v>
      </c>
      <c r="I288" s="14" t="s">
        <v>764</v>
      </c>
      <c r="J288" s="17">
        <v>180</v>
      </c>
      <c r="K288" s="17">
        <v>175</v>
      </c>
      <c r="L288" s="21">
        <v>1.0285714285714285</v>
      </c>
      <c r="M288" s="22">
        <v>4</v>
      </c>
      <c r="N288" s="96">
        <f t="shared" si="39"/>
        <v>0.20959147424511546</v>
      </c>
      <c r="O288" s="96">
        <f t="shared" si="40"/>
        <v>0.21557980208069016</v>
      </c>
      <c r="P288" s="96"/>
    </row>
    <row r="289" spans="1:16" s="2" customFormat="1" ht="21" hidden="1" customHeight="1">
      <c r="A289" s="17"/>
      <c r="B289" s="14"/>
      <c r="C289" s="14"/>
      <c r="D289" s="15"/>
      <c r="E289" s="88"/>
      <c r="F289" s="39">
        <f>SUM(F237:F288)</f>
        <v>33520</v>
      </c>
      <c r="G289" s="17"/>
      <c r="H289" s="14"/>
      <c r="I289" s="14"/>
      <c r="J289" s="17"/>
      <c r="K289" s="17"/>
      <c r="L289" s="21"/>
      <c r="M289" s="22"/>
      <c r="N289" s="96"/>
      <c r="O289" s="96"/>
      <c r="P289" s="96"/>
    </row>
    <row r="290" spans="1:16" s="2" customFormat="1" ht="20.25" hidden="1" customHeight="1">
      <c r="A290" s="17">
        <v>201709</v>
      </c>
      <c r="B290" s="14" t="s">
        <v>815</v>
      </c>
      <c r="C290" s="14" t="s">
        <v>29</v>
      </c>
      <c r="D290" s="15">
        <v>43102</v>
      </c>
      <c r="E290" s="88" t="s">
        <v>663</v>
      </c>
      <c r="F290" s="17">
        <v>2928</v>
      </c>
      <c r="G290" s="16">
        <v>43116</v>
      </c>
      <c r="H290" s="14" t="s">
        <v>717</v>
      </c>
      <c r="I290" s="14" t="s">
        <v>766</v>
      </c>
      <c r="J290" s="17">
        <v>140</v>
      </c>
      <c r="K290" s="17">
        <v>218</v>
      </c>
      <c r="L290" s="21">
        <v>0.64220183486238536</v>
      </c>
      <c r="M290" s="22">
        <v>7</v>
      </c>
      <c r="N290" s="96">
        <f>F290/$F$625</f>
        <v>0.39934533551554829</v>
      </c>
      <c r="O290" s="96">
        <f>L290*N290</f>
        <v>0.25646030721182</v>
      </c>
      <c r="P290" s="96"/>
    </row>
    <row r="291" spans="1:16" s="2" customFormat="1" ht="20.25" hidden="1" customHeight="1">
      <c r="A291" s="17">
        <v>201709</v>
      </c>
      <c r="B291" s="14" t="s">
        <v>310</v>
      </c>
      <c r="C291" s="14" t="s">
        <v>29</v>
      </c>
      <c r="D291" s="15">
        <v>43105</v>
      </c>
      <c r="E291" s="88" t="s">
        <v>663</v>
      </c>
      <c r="F291" s="17">
        <v>504</v>
      </c>
      <c r="G291" s="16">
        <v>43116</v>
      </c>
      <c r="H291" s="14" t="s">
        <v>717</v>
      </c>
      <c r="I291" s="14" t="s">
        <v>766</v>
      </c>
      <c r="J291" s="17">
        <v>140</v>
      </c>
      <c r="K291" s="17">
        <v>218</v>
      </c>
      <c r="L291" s="21">
        <v>0.64220183486238536</v>
      </c>
      <c r="M291" s="22">
        <v>7</v>
      </c>
      <c r="N291" s="96">
        <f t="shared" ref="N291:N293" si="41">F291/$F$625</f>
        <v>6.8739770867430439E-2</v>
      </c>
      <c r="O291" s="96">
        <f t="shared" ref="O291:O293" si="42">L291*N291</f>
        <v>4.4144806979083767E-2</v>
      </c>
      <c r="P291" s="96"/>
    </row>
    <row r="292" spans="1:16" s="2" customFormat="1" ht="21" hidden="1" customHeight="1">
      <c r="A292" s="17">
        <v>201709</v>
      </c>
      <c r="B292" s="14" t="s">
        <v>311</v>
      </c>
      <c r="C292" s="14" t="s">
        <v>29</v>
      </c>
      <c r="D292" s="15">
        <v>43106</v>
      </c>
      <c r="E292" s="88" t="s">
        <v>664</v>
      </c>
      <c r="F292" s="17">
        <v>3204</v>
      </c>
      <c r="G292" s="16">
        <v>43116</v>
      </c>
      <c r="H292" s="14" t="s">
        <v>717</v>
      </c>
      <c r="I292" s="14" t="s">
        <v>766</v>
      </c>
      <c r="J292" s="17">
        <v>140</v>
      </c>
      <c r="K292" s="17">
        <v>218</v>
      </c>
      <c r="L292" s="21">
        <v>0.64220183486238536</v>
      </c>
      <c r="M292" s="22">
        <v>7</v>
      </c>
      <c r="N292" s="96">
        <f t="shared" si="41"/>
        <v>0.4369885433715221</v>
      </c>
      <c r="O292" s="96">
        <f t="shared" si="42"/>
        <v>0.28063484436703257</v>
      </c>
      <c r="P292" s="96"/>
    </row>
    <row r="293" spans="1:16" s="2" customFormat="1" ht="21" hidden="1" customHeight="1">
      <c r="A293" s="17">
        <v>201709</v>
      </c>
      <c r="B293" s="14" t="s">
        <v>312</v>
      </c>
      <c r="C293" s="14" t="s">
        <v>29</v>
      </c>
      <c r="D293" s="15">
        <v>43111</v>
      </c>
      <c r="E293" s="88" t="s">
        <v>664</v>
      </c>
      <c r="F293" s="17">
        <v>696</v>
      </c>
      <c r="G293" s="16">
        <v>43116</v>
      </c>
      <c r="H293" s="14" t="s">
        <v>717</v>
      </c>
      <c r="I293" s="14" t="s">
        <v>766</v>
      </c>
      <c r="J293" s="17">
        <v>140</v>
      </c>
      <c r="K293" s="17">
        <v>218</v>
      </c>
      <c r="L293" s="21">
        <v>0.64220183486238536</v>
      </c>
      <c r="M293" s="22">
        <v>7</v>
      </c>
      <c r="N293" s="96">
        <f t="shared" si="41"/>
        <v>9.4926350245499183E-2</v>
      </c>
      <c r="O293" s="96">
        <f t="shared" si="42"/>
        <v>6.096187630444902E-2</v>
      </c>
      <c r="P293" s="96"/>
    </row>
    <row r="294" spans="1:16" s="2" customFormat="1" ht="21" hidden="1" customHeight="1">
      <c r="A294" s="17">
        <v>201710</v>
      </c>
      <c r="B294" s="14" t="s">
        <v>313</v>
      </c>
      <c r="C294" s="14" t="s">
        <v>29</v>
      </c>
      <c r="D294" s="15">
        <v>43112</v>
      </c>
      <c r="E294" s="88" t="s">
        <v>665</v>
      </c>
      <c r="F294" s="17">
        <v>1200</v>
      </c>
      <c r="G294" s="16">
        <v>43120</v>
      </c>
      <c r="H294" s="14" t="s">
        <v>730</v>
      </c>
      <c r="I294" s="14" t="s">
        <v>747</v>
      </c>
      <c r="J294" s="17">
        <v>180</v>
      </c>
      <c r="K294" s="17">
        <v>199</v>
      </c>
      <c r="L294" s="21">
        <v>0.90452261306532666</v>
      </c>
      <c r="M294" s="22">
        <v>5</v>
      </c>
      <c r="N294" s="96">
        <f>F294/$F$624</f>
        <v>5.0787201625190452E-2</v>
      </c>
      <c r="O294" s="96">
        <f>L294*N294</f>
        <v>4.593817232429287E-2</v>
      </c>
      <c r="P294" s="96"/>
    </row>
    <row r="295" spans="1:16" s="2" customFormat="1" ht="21" hidden="1" customHeight="1">
      <c r="A295" s="17">
        <v>201710</v>
      </c>
      <c r="B295" s="14" t="s">
        <v>314</v>
      </c>
      <c r="C295" s="14" t="s">
        <v>29</v>
      </c>
      <c r="D295" s="15">
        <v>43113</v>
      </c>
      <c r="E295" s="88" t="s">
        <v>665</v>
      </c>
      <c r="F295" s="17">
        <v>6144</v>
      </c>
      <c r="G295" s="16">
        <v>43124</v>
      </c>
      <c r="H295" s="14" t="s">
        <v>717</v>
      </c>
      <c r="I295" s="14" t="s">
        <v>747</v>
      </c>
      <c r="J295" s="17">
        <v>180</v>
      </c>
      <c r="K295" s="17">
        <v>199</v>
      </c>
      <c r="L295" s="21">
        <v>0.90452261306532666</v>
      </c>
      <c r="M295" s="22">
        <v>5</v>
      </c>
      <c r="N295" s="96">
        <f t="shared" ref="N295:N303" si="43">F295/$F$624</f>
        <v>0.26003047232097509</v>
      </c>
      <c r="O295" s="96">
        <f t="shared" ref="O295:O303" si="44">L295*N295</f>
        <v>0.23520344230037948</v>
      </c>
      <c r="P295" s="96"/>
    </row>
    <row r="296" spans="1:16" s="2" customFormat="1" ht="21" hidden="1" customHeight="1">
      <c r="A296" s="17">
        <v>201710</v>
      </c>
      <c r="B296" s="14" t="s">
        <v>315</v>
      </c>
      <c r="C296" s="14" t="s">
        <v>29</v>
      </c>
      <c r="D296" s="15">
        <v>43118</v>
      </c>
      <c r="E296" s="88" t="s">
        <v>666</v>
      </c>
      <c r="F296" s="17">
        <v>7764</v>
      </c>
      <c r="G296" s="16">
        <v>43127</v>
      </c>
      <c r="H296" s="14" t="s">
        <v>717</v>
      </c>
      <c r="I296" s="14" t="s">
        <v>747</v>
      </c>
      <c r="J296" s="17">
        <v>180</v>
      </c>
      <c r="K296" s="17">
        <v>199</v>
      </c>
      <c r="L296" s="21">
        <v>0.90452261306532666</v>
      </c>
      <c r="M296" s="22">
        <v>5</v>
      </c>
      <c r="N296" s="96">
        <f t="shared" si="43"/>
        <v>0.3285931945149822</v>
      </c>
      <c r="O296" s="96">
        <f t="shared" si="44"/>
        <v>0.29721997493817487</v>
      </c>
      <c r="P296" s="96"/>
    </row>
    <row r="297" spans="1:16" s="2" customFormat="1" ht="21" hidden="1" customHeight="1">
      <c r="A297" s="17">
        <v>201710</v>
      </c>
      <c r="B297" s="14" t="s">
        <v>317</v>
      </c>
      <c r="C297" s="14" t="s">
        <v>29</v>
      </c>
      <c r="D297" s="15">
        <v>43125</v>
      </c>
      <c r="E297" s="88" t="s">
        <v>665</v>
      </c>
      <c r="F297" s="17">
        <v>612</v>
      </c>
      <c r="G297" s="16">
        <v>43138</v>
      </c>
      <c r="H297" s="14" t="s">
        <v>717</v>
      </c>
      <c r="I297" s="14" t="s">
        <v>747</v>
      </c>
      <c r="J297" s="17">
        <v>180</v>
      </c>
      <c r="K297" s="17">
        <v>199</v>
      </c>
      <c r="L297" s="21">
        <v>0.90452261306532666</v>
      </c>
      <c r="M297" s="22">
        <v>5</v>
      </c>
      <c r="N297" s="96">
        <f t="shared" si="43"/>
        <v>2.5901472828847132E-2</v>
      </c>
      <c r="O297" s="96">
        <f t="shared" si="44"/>
        <v>2.3428467885389367E-2</v>
      </c>
      <c r="P297" s="96"/>
    </row>
    <row r="298" spans="1:16" s="2" customFormat="1" ht="21" hidden="1" customHeight="1">
      <c r="A298" s="17">
        <v>201710</v>
      </c>
      <c r="B298" s="14" t="s">
        <v>319</v>
      </c>
      <c r="C298" s="14" t="s">
        <v>29</v>
      </c>
      <c r="D298" s="15">
        <v>43125</v>
      </c>
      <c r="E298" s="88" t="s">
        <v>665</v>
      </c>
      <c r="F298" s="17">
        <v>960</v>
      </c>
      <c r="G298" s="16">
        <v>43138</v>
      </c>
      <c r="H298" s="14" t="s">
        <v>717</v>
      </c>
      <c r="I298" s="14" t="s">
        <v>747</v>
      </c>
      <c r="J298" s="17">
        <v>180</v>
      </c>
      <c r="K298" s="17">
        <v>199</v>
      </c>
      <c r="L298" s="21">
        <v>0.90452261306532666</v>
      </c>
      <c r="M298" s="22">
        <v>5</v>
      </c>
      <c r="N298" s="96">
        <f t="shared" si="43"/>
        <v>4.0629761300152362E-2</v>
      </c>
      <c r="O298" s="96">
        <f t="shared" si="44"/>
        <v>3.6750537859434301E-2</v>
      </c>
      <c r="P298" s="96"/>
    </row>
    <row r="299" spans="1:16" s="2" customFormat="1" ht="21" hidden="1" customHeight="1">
      <c r="A299" s="17">
        <v>201710</v>
      </c>
      <c r="B299" s="14" t="s">
        <v>320</v>
      </c>
      <c r="C299" s="14" t="s">
        <v>29</v>
      </c>
      <c r="D299" s="15">
        <v>43126</v>
      </c>
      <c r="E299" s="88" t="s">
        <v>666</v>
      </c>
      <c r="F299" s="17">
        <v>960</v>
      </c>
      <c r="G299" s="16">
        <v>43138</v>
      </c>
      <c r="H299" s="14" t="s">
        <v>717</v>
      </c>
      <c r="I299" s="14" t="s">
        <v>747</v>
      </c>
      <c r="J299" s="17">
        <v>180</v>
      </c>
      <c r="K299" s="17">
        <v>199</v>
      </c>
      <c r="L299" s="21">
        <v>0.90452261306532666</v>
      </c>
      <c r="M299" s="22">
        <v>5</v>
      </c>
      <c r="N299" s="96">
        <f t="shared" si="43"/>
        <v>4.0629761300152362E-2</v>
      </c>
      <c r="O299" s="96">
        <f t="shared" si="44"/>
        <v>3.6750537859434301E-2</v>
      </c>
      <c r="P299" s="96"/>
    </row>
    <row r="300" spans="1:16" s="2" customFormat="1" ht="21" hidden="1" customHeight="1">
      <c r="A300" s="17">
        <v>201710</v>
      </c>
      <c r="B300" s="14" t="s">
        <v>321</v>
      </c>
      <c r="C300" s="14" t="s">
        <v>29</v>
      </c>
      <c r="D300" s="15">
        <v>43126</v>
      </c>
      <c r="E300" s="88" t="s">
        <v>665</v>
      </c>
      <c r="F300" s="17">
        <v>372</v>
      </c>
      <c r="G300" s="16">
        <v>43138</v>
      </c>
      <c r="H300" s="14" t="s">
        <v>717</v>
      </c>
      <c r="I300" s="14" t="s">
        <v>747</v>
      </c>
      <c r="J300" s="17">
        <v>180</v>
      </c>
      <c r="K300" s="17">
        <v>199</v>
      </c>
      <c r="L300" s="21">
        <v>0.90452261306532666</v>
      </c>
      <c r="M300" s="22">
        <v>5</v>
      </c>
      <c r="N300" s="96">
        <f t="shared" si="43"/>
        <v>1.5744032503809041E-2</v>
      </c>
      <c r="O300" s="96">
        <f t="shared" si="44"/>
        <v>1.4240833420530792E-2</v>
      </c>
      <c r="P300" s="96"/>
    </row>
    <row r="301" spans="1:16" s="2" customFormat="1" ht="21" hidden="1" customHeight="1">
      <c r="A301" s="17">
        <v>201710</v>
      </c>
      <c r="B301" s="14" t="s">
        <v>322</v>
      </c>
      <c r="C301" s="14" t="s">
        <v>29</v>
      </c>
      <c r="D301" s="15">
        <v>43127</v>
      </c>
      <c r="E301" s="88" t="s">
        <v>666</v>
      </c>
      <c r="F301" s="17">
        <v>3000</v>
      </c>
      <c r="G301" s="16">
        <v>43138</v>
      </c>
      <c r="H301" s="14" t="s">
        <v>717</v>
      </c>
      <c r="I301" s="14" t="s">
        <v>747</v>
      </c>
      <c r="J301" s="17">
        <v>180</v>
      </c>
      <c r="K301" s="17">
        <v>199</v>
      </c>
      <c r="L301" s="21">
        <v>0.90452261306532666</v>
      </c>
      <c r="M301" s="22">
        <v>5</v>
      </c>
      <c r="N301" s="96">
        <f t="shared" si="43"/>
        <v>0.12696800406297612</v>
      </c>
      <c r="O301" s="96">
        <f t="shared" si="44"/>
        <v>0.11484543081073217</v>
      </c>
      <c r="P301" s="96"/>
    </row>
    <row r="302" spans="1:16" s="2" customFormat="1" ht="21" hidden="1" customHeight="1">
      <c r="A302" s="17">
        <v>201710</v>
      </c>
      <c r="B302" s="14" t="s">
        <v>323</v>
      </c>
      <c r="C302" s="14" t="s">
        <v>29</v>
      </c>
      <c r="D302" s="15">
        <v>43130</v>
      </c>
      <c r="E302" s="88" t="s">
        <v>666</v>
      </c>
      <c r="F302" s="17">
        <v>1284</v>
      </c>
      <c r="G302" s="16">
        <v>43138</v>
      </c>
      <c r="H302" s="14" t="s">
        <v>717</v>
      </c>
      <c r="I302" s="14" t="s">
        <v>747</v>
      </c>
      <c r="J302" s="17">
        <v>180</v>
      </c>
      <c r="K302" s="17">
        <v>199</v>
      </c>
      <c r="L302" s="21">
        <v>0.90452261306532666</v>
      </c>
      <c r="M302" s="22">
        <v>5</v>
      </c>
      <c r="N302" s="96">
        <f t="shared" si="43"/>
        <v>5.4342305738953781E-2</v>
      </c>
      <c r="O302" s="96">
        <f t="shared" si="44"/>
        <v>4.915384438699337E-2</v>
      </c>
      <c r="P302" s="96"/>
    </row>
    <row r="303" spans="1:16" s="2" customFormat="1" ht="21" hidden="1" customHeight="1">
      <c r="A303" s="17">
        <v>201710</v>
      </c>
      <c r="B303" s="14" t="s">
        <v>324</v>
      </c>
      <c r="C303" s="14" t="s">
        <v>29</v>
      </c>
      <c r="D303" s="15">
        <v>43131</v>
      </c>
      <c r="E303" s="88" t="s">
        <v>666</v>
      </c>
      <c r="F303" s="17">
        <v>1332</v>
      </c>
      <c r="G303" s="16">
        <v>43138</v>
      </c>
      <c r="H303" s="14" t="s">
        <v>717</v>
      </c>
      <c r="I303" s="14" t="s">
        <v>747</v>
      </c>
      <c r="J303" s="17">
        <v>180</v>
      </c>
      <c r="K303" s="17">
        <v>199</v>
      </c>
      <c r="L303" s="21">
        <v>0.90452261306532666</v>
      </c>
      <c r="M303" s="22">
        <v>5</v>
      </c>
      <c r="N303" s="96">
        <f t="shared" si="43"/>
        <v>5.6373793803961403E-2</v>
      </c>
      <c r="O303" s="96">
        <f t="shared" si="44"/>
        <v>5.0991371279965086E-2</v>
      </c>
      <c r="P303" s="96"/>
    </row>
    <row r="304" spans="1:16" s="2" customFormat="1" ht="21" hidden="1" customHeight="1">
      <c r="A304" s="17"/>
      <c r="B304" s="14"/>
      <c r="C304" s="14"/>
      <c r="D304" s="15"/>
      <c r="E304" s="88"/>
      <c r="F304" s="39">
        <f>SUM(F290:F303)</f>
        <v>30960</v>
      </c>
      <c r="G304" s="17"/>
      <c r="H304" s="14"/>
      <c r="I304" s="14"/>
      <c r="J304" s="17"/>
      <c r="K304" s="17"/>
      <c r="L304" s="21"/>
      <c r="M304" s="22"/>
      <c r="N304" s="96"/>
      <c r="O304" s="96"/>
      <c r="P304" s="96"/>
    </row>
    <row r="305" spans="1:16" s="2" customFormat="1" ht="21" hidden="1" customHeight="1">
      <c r="A305" s="17">
        <v>201710</v>
      </c>
      <c r="B305" s="14" t="s">
        <v>816</v>
      </c>
      <c r="C305" s="14" t="s">
        <v>28</v>
      </c>
      <c r="D305" s="15">
        <v>42737</v>
      </c>
      <c r="E305" s="88" t="s">
        <v>817</v>
      </c>
      <c r="F305" s="17">
        <f>1848-682</f>
        <v>1166</v>
      </c>
      <c r="G305" s="16">
        <v>43138</v>
      </c>
      <c r="H305" s="14" t="s">
        <v>717</v>
      </c>
      <c r="I305" s="14" t="s">
        <v>764</v>
      </c>
      <c r="J305" s="17">
        <v>180</v>
      </c>
      <c r="K305" s="17">
        <v>177</v>
      </c>
      <c r="L305" s="21">
        <v>1.02</v>
      </c>
      <c r="M305" s="22">
        <v>4</v>
      </c>
      <c r="N305" s="96"/>
      <c r="O305" s="96"/>
      <c r="P305" s="96"/>
    </row>
    <row r="306" spans="1:16" s="2" customFormat="1" ht="21" hidden="1" customHeight="1">
      <c r="A306" s="17">
        <v>201710</v>
      </c>
      <c r="B306" s="14" t="s">
        <v>325</v>
      </c>
      <c r="C306" s="14" t="s">
        <v>28</v>
      </c>
      <c r="D306" s="15">
        <v>43103</v>
      </c>
      <c r="E306" s="88" t="s">
        <v>667</v>
      </c>
      <c r="F306" s="17">
        <v>168</v>
      </c>
      <c r="G306" s="16">
        <v>43124</v>
      </c>
      <c r="H306" s="14" t="s">
        <v>718</v>
      </c>
      <c r="I306" s="14" t="s">
        <v>767</v>
      </c>
      <c r="J306" s="17">
        <v>170</v>
      </c>
      <c r="K306" s="17">
        <v>208</v>
      </c>
      <c r="L306" s="21">
        <v>0.81730769230769229</v>
      </c>
      <c r="M306" s="22">
        <v>6</v>
      </c>
      <c r="N306" s="96">
        <f>F306/$F$626</f>
        <v>5.1104216097828071E-3</v>
      </c>
      <c r="O306" s="97">
        <f>L306*N306</f>
        <v>4.1767868926109479E-3</v>
      </c>
      <c r="P306" s="96"/>
    </row>
    <row r="307" spans="1:16" s="2" customFormat="1" ht="21" hidden="1" customHeight="1">
      <c r="A307" s="17">
        <v>201710</v>
      </c>
      <c r="B307" s="14" t="s">
        <v>326</v>
      </c>
      <c r="C307" s="14" t="s">
        <v>28</v>
      </c>
      <c r="D307" s="15">
        <v>43103</v>
      </c>
      <c r="E307" s="88" t="s">
        <v>667</v>
      </c>
      <c r="F307" s="17">
        <v>288</v>
      </c>
      <c r="G307" s="16">
        <v>43125</v>
      </c>
      <c r="H307" s="14" t="s">
        <v>718</v>
      </c>
      <c r="I307" s="14" t="s">
        <v>767</v>
      </c>
      <c r="J307" s="17">
        <v>170</v>
      </c>
      <c r="K307" s="17">
        <v>208</v>
      </c>
      <c r="L307" s="21">
        <v>0.81730769230769229</v>
      </c>
      <c r="M307" s="22">
        <v>6</v>
      </c>
      <c r="N307" s="96">
        <f t="shared" ref="N307:N334" si="45">F307/$F$626</f>
        <v>8.7607227596276701E-3</v>
      </c>
      <c r="O307" s="97">
        <f t="shared" ref="O307:O334" si="46">L307*N307</f>
        <v>7.1602061016187686E-3</v>
      </c>
      <c r="P307" s="96"/>
    </row>
    <row r="308" spans="1:16" s="2" customFormat="1" ht="21" hidden="1" customHeight="1">
      <c r="A308" s="17">
        <v>201710</v>
      </c>
      <c r="B308" s="14" t="s">
        <v>327</v>
      </c>
      <c r="C308" s="14" t="s">
        <v>28</v>
      </c>
      <c r="D308" s="15">
        <v>43103</v>
      </c>
      <c r="E308" s="88" t="s">
        <v>667</v>
      </c>
      <c r="F308" s="17">
        <v>528</v>
      </c>
      <c r="G308" s="16">
        <v>43127</v>
      </c>
      <c r="H308" s="14" t="s">
        <v>717</v>
      </c>
      <c r="I308" s="14" t="s">
        <v>767</v>
      </c>
      <c r="J308" s="17">
        <v>170</v>
      </c>
      <c r="K308" s="17">
        <v>208</v>
      </c>
      <c r="L308" s="21">
        <v>0.81730769230769229</v>
      </c>
      <c r="M308" s="22">
        <v>6</v>
      </c>
      <c r="N308" s="96">
        <f t="shared" si="45"/>
        <v>1.6061325059317393E-2</v>
      </c>
      <c r="O308" s="97">
        <f t="shared" si="46"/>
        <v>1.3127044519634408E-2</v>
      </c>
      <c r="P308" s="96"/>
    </row>
    <row r="309" spans="1:16" s="2" customFormat="1" ht="21" hidden="1" customHeight="1">
      <c r="A309" s="17">
        <v>201710</v>
      </c>
      <c r="B309" s="14" t="s">
        <v>328</v>
      </c>
      <c r="C309" s="14" t="s">
        <v>28</v>
      </c>
      <c r="D309" s="15">
        <v>43104</v>
      </c>
      <c r="E309" s="88" t="s">
        <v>667</v>
      </c>
      <c r="F309" s="17">
        <v>1632</v>
      </c>
      <c r="G309" s="16">
        <v>43129</v>
      </c>
      <c r="H309" s="14" t="s">
        <v>717</v>
      </c>
      <c r="I309" s="14" t="s">
        <v>767</v>
      </c>
      <c r="J309" s="17">
        <v>170</v>
      </c>
      <c r="K309" s="17">
        <v>208</v>
      </c>
      <c r="L309" s="21">
        <v>0.81730769230769229</v>
      </c>
      <c r="M309" s="22">
        <v>6</v>
      </c>
      <c r="N309" s="96">
        <f t="shared" si="45"/>
        <v>4.9644095637890129E-2</v>
      </c>
      <c r="O309" s="97">
        <f t="shared" si="46"/>
        <v>4.0574501242506354E-2</v>
      </c>
      <c r="P309" s="96"/>
    </row>
    <row r="310" spans="1:16" s="2" customFormat="1" ht="21" hidden="1" customHeight="1">
      <c r="A310" s="17">
        <v>201710</v>
      </c>
      <c r="B310" s="14" t="s">
        <v>329</v>
      </c>
      <c r="C310" s="14" t="s">
        <v>28</v>
      </c>
      <c r="D310" s="15">
        <v>43104</v>
      </c>
      <c r="E310" s="88" t="s">
        <v>667</v>
      </c>
      <c r="F310" s="17">
        <v>132</v>
      </c>
      <c r="G310" s="16">
        <v>43127</v>
      </c>
      <c r="H310" s="14" t="s">
        <v>717</v>
      </c>
      <c r="I310" s="14" t="s">
        <v>767</v>
      </c>
      <c r="J310" s="17">
        <v>170</v>
      </c>
      <c r="K310" s="17">
        <v>208</v>
      </c>
      <c r="L310" s="21">
        <v>0.81730769230769229</v>
      </c>
      <c r="M310" s="22">
        <v>6</v>
      </c>
      <c r="N310" s="96">
        <f t="shared" si="45"/>
        <v>4.0153312648293481E-3</v>
      </c>
      <c r="O310" s="97">
        <f t="shared" si="46"/>
        <v>3.2817611299086019E-3</v>
      </c>
      <c r="P310" s="96"/>
    </row>
    <row r="311" spans="1:16" s="2" customFormat="1" ht="21" hidden="1" customHeight="1">
      <c r="A311" s="17">
        <v>201710</v>
      </c>
      <c r="B311" s="14" t="s">
        <v>330</v>
      </c>
      <c r="C311" s="14" t="s">
        <v>28</v>
      </c>
      <c r="D311" s="15">
        <v>43105</v>
      </c>
      <c r="E311" s="88" t="s">
        <v>667</v>
      </c>
      <c r="F311" s="17">
        <v>780</v>
      </c>
      <c r="G311" s="16">
        <v>43139</v>
      </c>
      <c r="H311" s="14" t="s">
        <v>723</v>
      </c>
      <c r="I311" s="14" t="s">
        <v>767</v>
      </c>
      <c r="J311" s="17">
        <v>170</v>
      </c>
      <c r="K311" s="17">
        <v>208</v>
      </c>
      <c r="L311" s="21">
        <v>0.81730769230769229</v>
      </c>
      <c r="M311" s="22">
        <v>6</v>
      </c>
      <c r="N311" s="96">
        <f t="shared" si="45"/>
        <v>2.3726957473991603E-2</v>
      </c>
      <c r="O311" s="97">
        <f t="shared" si="46"/>
        <v>1.9392224858550827E-2</v>
      </c>
      <c r="P311" s="96"/>
    </row>
    <row r="312" spans="1:16" s="2" customFormat="1" ht="21" hidden="1" customHeight="1">
      <c r="A312" s="17">
        <v>201710</v>
      </c>
      <c r="B312" s="14" t="s">
        <v>331</v>
      </c>
      <c r="C312" s="14" t="s">
        <v>28</v>
      </c>
      <c r="D312" s="15">
        <v>43106</v>
      </c>
      <c r="E312" s="88" t="s">
        <v>668</v>
      </c>
      <c r="F312" s="17">
        <v>30</v>
      </c>
      <c r="G312" s="16">
        <v>43124</v>
      </c>
      <c r="H312" s="14" t="s">
        <v>718</v>
      </c>
      <c r="I312" s="14" t="s">
        <v>767</v>
      </c>
      <c r="J312" s="17">
        <v>170</v>
      </c>
      <c r="K312" s="17">
        <v>208</v>
      </c>
      <c r="L312" s="21">
        <v>0.81730769230769229</v>
      </c>
      <c r="M312" s="22">
        <v>6</v>
      </c>
      <c r="N312" s="96">
        <f t="shared" si="45"/>
        <v>9.1257528746121553E-4</v>
      </c>
      <c r="O312" s="97">
        <f t="shared" si="46"/>
        <v>7.4585480225195498E-4</v>
      </c>
      <c r="P312" s="96"/>
    </row>
    <row r="313" spans="1:16" s="2" customFormat="1" ht="21" hidden="1" customHeight="1">
      <c r="A313" s="17">
        <v>201710</v>
      </c>
      <c r="B313" s="14" t="s">
        <v>332</v>
      </c>
      <c r="C313" s="14" t="s">
        <v>28</v>
      </c>
      <c r="D313" s="15">
        <v>43106</v>
      </c>
      <c r="E313" s="88" t="s">
        <v>668</v>
      </c>
      <c r="F313" s="17">
        <v>2460</v>
      </c>
      <c r="G313" s="16">
        <v>43123</v>
      </c>
      <c r="H313" s="14" t="s">
        <v>730</v>
      </c>
      <c r="I313" s="14" t="s">
        <v>767</v>
      </c>
      <c r="J313" s="17">
        <v>170</v>
      </c>
      <c r="K313" s="17">
        <v>208</v>
      </c>
      <c r="L313" s="21">
        <v>0.81730769230769229</v>
      </c>
      <c r="M313" s="22">
        <v>6</v>
      </c>
      <c r="N313" s="96">
        <f t="shared" si="45"/>
        <v>7.4831173571819676E-2</v>
      </c>
      <c r="O313" s="97">
        <f t="shared" si="46"/>
        <v>6.1160093784660308E-2</v>
      </c>
      <c r="P313" s="96"/>
    </row>
    <row r="314" spans="1:16" s="2" customFormat="1" ht="21" hidden="1" customHeight="1">
      <c r="A314" s="17">
        <v>201710</v>
      </c>
      <c r="B314" s="14" t="s">
        <v>333</v>
      </c>
      <c r="C314" s="14" t="s">
        <v>28</v>
      </c>
      <c r="D314" s="15">
        <v>43109</v>
      </c>
      <c r="E314" s="88" t="s">
        <v>668</v>
      </c>
      <c r="F314" s="17">
        <v>324</v>
      </c>
      <c r="G314" s="16">
        <v>43123</v>
      </c>
      <c r="H314" s="14" t="s">
        <v>725</v>
      </c>
      <c r="I314" s="14" t="s">
        <v>767</v>
      </c>
      <c r="J314" s="17">
        <v>170</v>
      </c>
      <c r="K314" s="17">
        <v>208</v>
      </c>
      <c r="L314" s="21">
        <v>0.81730769230769229</v>
      </c>
      <c r="M314" s="22">
        <v>6</v>
      </c>
      <c r="N314" s="96">
        <f t="shared" si="45"/>
        <v>9.8558131045811282E-3</v>
      </c>
      <c r="O314" s="97">
        <f t="shared" si="46"/>
        <v>8.0552318643211142E-3</v>
      </c>
      <c r="P314" s="96"/>
    </row>
    <row r="315" spans="1:16" s="2" customFormat="1" ht="21" hidden="1" customHeight="1">
      <c r="A315" s="17">
        <v>201710</v>
      </c>
      <c r="B315" s="14" t="s">
        <v>334</v>
      </c>
      <c r="C315" s="14" t="s">
        <v>28</v>
      </c>
      <c r="D315" s="15">
        <v>43109</v>
      </c>
      <c r="E315" s="88" t="s">
        <v>668</v>
      </c>
      <c r="F315" s="17">
        <v>288</v>
      </c>
      <c r="G315" s="16">
        <v>43123</v>
      </c>
      <c r="H315" s="14" t="s">
        <v>731</v>
      </c>
      <c r="I315" s="14" t="s">
        <v>767</v>
      </c>
      <c r="J315" s="17">
        <v>170</v>
      </c>
      <c r="K315" s="17">
        <v>208</v>
      </c>
      <c r="L315" s="21">
        <v>0.81730769230769229</v>
      </c>
      <c r="M315" s="22">
        <v>6</v>
      </c>
      <c r="N315" s="96">
        <f t="shared" si="45"/>
        <v>8.7607227596276701E-3</v>
      </c>
      <c r="O315" s="97">
        <f t="shared" si="46"/>
        <v>7.1602061016187686E-3</v>
      </c>
      <c r="P315" s="96"/>
    </row>
    <row r="316" spans="1:16" s="2" customFormat="1" ht="21" hidden="1" customHeight="1">
      <c r="A316" s="17">
        <v>201710</v>
      </c>
      <c r="B316" s="14" t="s">
        <v>335</v>
      </c>
      <c r="C316" s="14" t="s">
        <v>28</v>
      </c>
      <c r="D316" s="15">
        <v>43110</v>
      </c>
      <c r="E316" s="88" t="s">
        <v>668</v>
      </c>
      <c r="F316" s="17">
        <v>216</v>
      </c>
      <c r="G316" s="16">
        <v>43123</v>
      </c>
      <c r="H316" s="14" t="s">
        <v>732</v>
      </c>
      <c r="I316" s="14" t="s">
        <v>767</v>
      </c>
      <c r="J316" s="17">
        <v>170</v>
      </c>
      <c r="K316" s="17">
        <v>208</v>
      </c>
      <c r="L316" s="21">
        <v>0.81730769230769229</v>
      </c>
      <c r="M316" s="22">
        <v>6</v>
      </c>
      <c r="N316" s="96">
        <f t="shared" si="45"/>
        <v>6.5705420697207521E-3</v>
      </c>
      <c r="O316" s="97">
        <f t="shared" si="46"/>
        <v>5.3701545762140758E-3</v>
      </c>
      <c r="P316" s="96"/>
    </row>
    <row r="317" spans="1:16" s="2" customFormat="1" ht="21" hidden="1" customHeight="1">
      <c r="A317" s="17">
        <v>201710</v>
      </c>
      <c r="B317" s="14" t="s">
        <v>336</v>
      </c>
      <c r="C317" s="14" t="s">
        <v>28</v>
      </c>
      <c r="D317" s="15">
        <v>43110</v>
      </c>
      <c r="E317" s="88" t="s">
        <v>668</v>
      </c>
      <c r="F317" s="17">
        <v>1548</v>
      </c>
      <c r="G317" s="16">
        <v>43124</v>
      </c>
      <c r="H317" s="14" t="s">
        <v>718</v>
      </c>
      <c r="I317" s="14" t="s">
        <v>767</v>
      </c>
      <c r="J317" s="17">
        <v>170</v>
      </c>
      <c r="K317" s="17">
        <v>208</v>
      </c>
      <c r="L317" s="21">
        <v>0.81730769230769229</v>
      </c>
      <c r="M317" s="22">
        <v>6</v>
      </c>
      <c r="N317" s="96">
        <f t="shared" si="45"/>
        <v>4.7088884832998723E-2</v>
      </c>
      <c r="O317" s="97">
        <f t="shared" si="46"/>
        <v>3.8486107796200882E-2</v>
      </c>
      <c r="P317" s="96"/>
    </row>
    <row r="318" spans="1:16" s="2" customFormat="1" ht="21" hidden="1" customHeight="1">
      <c r="A318" s="17">
        <v>201710</v>
      </c>
      <c r="B318" s="14" t="s">
        <v>337</v>
      </c>
      <c r="C318" s="14" t="s">
        <v>28</v>
      </c>
      <c r="D318" s="15">
        <v>43111</v>
      </c>
      <c r="E318" s="88" t="s">
        <v>668</v>
      </c>
      <c r="F318" s="17">
        <v>1884</v>
      </c>
      <c r="G318" s="16">
        <v>43125</v>
      </c>
      <c r="H318" s="14" t="s">
        <v>718</v>
      </c>
      <c r="I318" s="14" t="s">
        <v>767</v>
      </c>
      <c r="J318" s="17">
        <v>170</v>
      </c>
      <c r="K318" s="17">
        <v>208</v>
      </c>
      <c r="L318" s="21">
        <v>0.81730769230769229</v>
      </c>
      <c r="M318" s="22">
        <v>6</v>
      </c>
      <c r="N318" s="96">
        <f t="shared" si="45"/>
        <v>5.7309728052564339E-2</v>
      </c>
      <c r="O318" s="97">
        <f t="shared" si="46"/>
        <v>4.6839681581422779E-2</v>
      </c>
      <c r="P318" s="96"/>
    </row>
    <row r="319" spans="1:16" s="2" customFormat="1" ht="21" hidden="1" customHeight="1">
      <c r="A319" s="17">
        <v>201710</v>
      </c>
      <c r="B319" s="14" t="s">
        <v>338</v>
      </c>
      <c r="C319" s="14" t="s">
        <v>28</v>
      </c>
      <c r="D319" s="15">
        <v>43112</v>
      </c>
      <c r="E319" s="88" t="s">
        <v>668</v>
      </c>
      <c r="F319" s="17">
        <v>162</v>
      </c>
      <c r="G319" s="16">
        <v>43127</v>
      </c>
      <c r="H319" s="14" t="s">
        <v>717</v>
      </c>
      <c r="I319" s="14" t="s">
        <v>767</v>
      </c>
      <c r="J319" s="17">
        <v>170</v>
      </c>
      <c r="K319" s="17">
        <v>208</v>
      </c>
      <c r="L319" s="21">
        <v>0.81730769230769229</v>
      </c>
      <c r="M319" s="22">
        <v>6</v>
      </c>
      <c r="N319" s="96">
        <f t="shared" si="45"/>
        <v>4.9279065522905641E-3</v>
      </c>
      <c r="O319" s="97">
        <f t="shared" si="46"/>
        <v>4.0276159321605571E-3</v>
      </c>
      <c r="P319" s="96"/>
    </row>
    <row r="320" spans="1:16" s="2" customFormat="1" ht="21" hidden="1" customHeight="1">
      <c r="A320" s="17">
        <v>201710</v>
      </c>
      <c r="B320" s="14" t="s">
        <v>339</v>
      </c>
      <c r="C320" s="14" t="s">
        <v>28</v>
      </c>
      <c r="D320" s="15">
        <v>43112</v>
      </c>
      <c r="E320" s="88" t="s">
        <v>668</v>
      </c>
      <c r="F320" s="17">
        <v>780</v>
      </c>
      <c r="G320" s="16">
        <v>43127</v>
      </c>
      <c r="H320" s="14" t="s">
        <v>717</v>
      </c>
      <c r="I320" s="14" t="s">
        <v>767</v>
      </c>
      <c r="J320" s="17">
        <v>170</v>
      </c>
      <c r="K320" s="17">
        <v>208</v>
      </c>
      <c r="L320" s="21">
        <v>0.81730769230769229</v>
      </c>
      <c r="M320" s="22">
        <v>6</v>
      </c>
      <c r="N320" s="96">
        <f t="shared" si="45"/>
        <v>2.3726957473991603E-2</v>
      </c>
      <c r="O320" s="97">
        <f t="shared" si="46"/>
        <v>1.9392224858550827E-2</v>
      </c>
      <c r="P320" s="96"/>
    </row>
    <row r="321" spans="1:16" s="2" customFormat="1" ht="21" hidden="1" customHeight="1">
      <c r="A321" s="17">
        <v>201710</v>
      </c>
      <c r="B321" s="14" t="s">
        <v>340</v>
      </c>
      <c r="C321" s="14" t="s">
        <v>28</v>
      </c>
      <c r="D321" s="15">
        <v>43113</v>
      </c>
      <c r="E321" s="88" t="s">
        <v>668</v>
      </c>
      <c r="F321" s="17">
        <v>5892</v>
      </c>
      <c r="G321" s="16">
        <v>43129</v>
      </c>
      <c r="H321" s="14" t="s">
        <v>717</v>
      </c>
      <c r="I321" s="14" t="s">
        <v>767</v>
      </c>
      <c r="J321" s="17">
        <v>170</v>
      </c>
      <c r="K321" s="17">
        <v>208</v>
      </c>
      <c r="L321" s="21">
        <v>0.81730769230769229</v>
      </c>
      <c r="M321" s="22">
        <v>6</v>
      </c>
      <c r="N321" s="96">
        <f t="shared" si="45"/>
        <v>0.17922978645738274</v>
      </c>
      <c r="O321" s="97">
        <f t="shared" si="46"/>
        <v>0.14648588316228398</v>
      </c>
      <c r="P321" s="96"/>
    </row>
    <row r="322" spans="1:16" s="2" customFormat="1" ht="21" hidden="1" customHeight="1">
      <c r="A322" s="17">
        <v>201710</v>
      </c>
      <c r="B322" s="14" t="s">
        <v>341</v>
      </c>
      <c r="C322" s="14" t="s">
        <v>28</v>
      </c>
      <c r="D322" s="15">
        <v>43113</v>
      </c>
      <c r="E322" s="88" t="s">
        <v>668</v>
      </c>
      <c r="F322" s="17">
        <v>120</v>
      </c>
      <c r="G322" s="16">
        <v>43127</v>
      </c>
      <c r="H322" s="14" t="s">
        <v>717</v>
      </c>
      <c r="I322" s="14" t="s">
        <v>767</v>
      </c>
      <c r="J322" s="17">
        <v>170</v>
      </c>
      <c r="K322" s="17">
        <v>208</v>
      </c>
      <c r="L322" s="21">
        <v>0.81730769230769229</v>
      </c>
      <c r="M322" s="22">
        <v>6</v>
      </c>
      <c r="N322" s="96">
        <f t="shared" si="45"/>
        <v>3.6503011498448621E-3</v>
      </c>
      <c r="O322" s="97">
        <f t="shared" si="46"/>
        <v>2.9834192090078199E-3</v>
      </c>
      <c r="P322" s="96"/>
    </row>
    <row r="323" spans="1:16" s="2" customFormat="1" ht="21" hidden="1" customHeight="1">
      <c r="A323" s="17">
        <v>201710</v>
      </c>
      <c r="B323" s="14" t="s">
        <v>342</v>
      </c>
      <c r="C323" s="14" t="s">
        <v>28</v>
      </c>
      <c r="D323" s="15">
        <v>43113</v>
      </c>
      <c r="E323" s="88" t="s">
        <v>668</v>
      </c>
      <c r="F323" s="17">
        <v>132</v>
      </c>
      <c r="G323" s="16">
        <v>43127</v>
      </c>
      <c r="H323" s="14" t="s">
        <v>717</v>
      </c>
      <c r="I323" s="14" t="s">
        <v>767</v>
      </c>
      <c r="J323" s="17">
        <v>170</v>
      </c>
      <c r="K323" s="17">
        <v>208</v>
      </c>
      <c r="L323" s="21">
        <v>0.81730769230769229</v>
      </c>
      <c r="M323" s="22">
        <v>6</v>
      </c>
      <c r="N323" s="96">
        <f t="shared" si="45"/>
        <v>4.0153312648293481E-3</v>
      </c>
      <c r="O323" s="97">
        <f t="shared" si="46"/>
        <v>3.2817611299086019E-3</v>
      </c>
      <c r="P323" s="96"/>
    </row>
    <row r="324" spans="1:16" s="2" customFormat="1" ht="21" hidden="1" customHeight="1">
      <c r="A324" s="17">
        <v>201710</v>
      </c>
      <c r="B324" s="14" t="s">
        <v>344</v>
      </c>
      <c r="C324" s="14" t="s">
        <v>28</v>
      </c>
      <c r="D324" s="15">
        <v>43118</v>
      </c>
      <c r="E324" s="88" t="s">
        <v>668</v>
      </c>
      <c r="F324" s="17">
        <v>720</v>
      </c>
      <c r="G324" s="16">
        <v>43130</v>
      </c>
      <c r="H324" s="14" t="s">
        <v>719</v>
      </c>
      <c r="I324" s="14" t="s">
        <v>767</v>
      </c>
      <c r="J324" s="17">
        <v>170</v>
      </c>
      <c r="K324" s="17">
        <v>208</v>
      </c>
      <c r="L324" s="21">
        <v>0.81730769230769229</v>
      </c>
      <c r="M324" s="22">
        <v>6</v>
      </c>
      <c r="N324" s="96">
        <f t="shared" si="45"/>
        <v>2.1901806899069173E-2</v>
      </c>
      <c r="O324" s="97">
        <f t="shared" si="46"/>
        <v>1.7900515254046921E-2</v>
      </c>
      <c r="P324" s="96"/>
    </row>
    <row r="325" spans="1:16" s="2" customFormat="1" ht="21" hidden="1" customHeight="1">
      <c r="A325" s="17">
        <v>201710</v>
      </c>
      <c r="B325" s="14" t="s">
        <v>343</v>
      </c>
      <c r="C325" s="14" t="s">
        <v>28</v>
      </c>
      <c r="D325" s="15">
        <v>43119</v>
      </c>
      <c r="E325" s="88" t="s">
        <v>668</v>
      </c>
      <c r="F325" s="17">
        <v>1344</v>
      </c>
      <c r="G325" s="16">
        <v>43138</v>
      </c>
      <c r="H325" s="14" t="s">
        <v>717</v>
      </c>
      <c r="I325" s="14" t="s">
        <v>767</v>
      </c>
      <c r="J325" s="17">
        <v>170</v>
      </c>
      <c r="K325" s="17">
        <v>208</v>
      </c>
      <c r="L325" s="21">
        <v>0.81730769230769229</v>
      </c>
      <c r="M325" s="22">
        <v>6</v>
      </c>
      <c r="N325" s="96">
        <f t="shared" si="45"/>
        <v>4.0883372878262457E-2</v>
      </c>
      <c r="O325" s="97">
        <f t="shared" si="46"/>
        <v>3.3414295140887583E-2</v>
      </c>
      <c r="P325" s="96"/>
    </row>
    <row r="326" spans="1:16" s="2" customFormat="1" ht="21" hidden="1" customHeight="1">
      <c r="A326" s="17">
        <v>201710</v>
      </c>
      <c r="B326" s="14" t="s">
        <v>345</v>
      </c>
      <c r="C326" s="14" t="s">
        <v>28</v>
      </c>
      <c r="D326" s="15">
        <v>43120</v>
      </c>
      <c r="E326" s="88" t="s">
        <v>668</v>
      </c>
      <c r="F326" s="17">
        <v>7176</v>
      </c>
      <c r="G326" s="16">
        <v>43132</v>
      </c>
      <c r="H326" s="14" t="s">
        <v>723</v>
      </c>
      <c r="I326" s="14" t="s">
        <v>767</v>
      </c>
      <c r="J326" s="17">
        <v>170</v>
      </c>
      <c r="K326" s="17">
        <v>208</v>
      </c>
      <c r="L326" s="21">
        <v>0.81730769230769229</v>
      </c>
      <c r="M326" s="22">
        <v>6</v>
      </c>
      <c r="N326" s="96">
        <f t="shared" si="45"/>
        <v>0.21828800876072277</v>
      </c>
      <c r="O326" s="97">
        <f t="shared" si="46"/>
        <v>0.17840846869866764</v>
      </c>
      <c r="P326" s="96"/>
    </row>
    <row r="327" spans="1:16" s="2" customFormat="1" ht="21" hidden="1" customHeight="1">
      <c r="A327" s="17">
        <v>201710</v>
      </c>
      <c r="B327" s="14" t="s">
        <v>346</v>
      </c>
      <c r="C327" s="14" t="s">
        <v>28</v>
      </c>
      <c r="D327" s="15">
        <v>43126</v>
      </c>
      <c r="E327" s="88" t="s">
        <v>668</v>
      </c>
      <c r="F327" s="17">
        <v>3396</v>
      </c>
      <c r="G327" s="16">
        <v>43138</v>
      </c>
      <c r="H327" s="14" t="s">
        <v>717</v>
      </c>
      <c r="I327" s="14" t="s">
        <v>767</v>
      </c>
      <c r="J327" s="17">
        <v>170</v>
      </c>
      <c r="K327" s="17">
        <v>208</v>
      </c>
      <c r="L327" s="21">
        <v>0.81730769230769229</v>
      </c>
      <c r="M327" s="22">
        <v>6</v>
      </c>
      <c r="N327" s="96">
        <f t="shared" si="45"/>
        <v>0.10330352254060959</v>
      </c>
      <c r="O327" s="97">
        <f t="shared" si="46"/>
        <v>8.44307636149213E-2</v>
      </c>
      <c r="P327" s="96"/>
    </row>
    <row r="328" spans="1:16" s="2" customFormat="1" ht="21" hidden="1" customHeight="1">
      <c r="A328" s="17">
        <v>201710</v>
      </c>
      <c r="B328" s="14" t="s">
        <v>347</v>
      </c>
      <c r="C328" s="14" t="s">
        <v>28</v>
      </c>
      <c r="D328" s="15">
        <v>43130</v>
      </c>
      <c r="E328" s="88" t="s">
        <v>668</v>
      </c>
      <c r="F328" s="17">
        <v>612</v>
      </c>
      <c r="G328" s="16">
        <v>43138</v>
      </c>
      <c r="H328" s="14" t="s">
        <v>717</v>
      </c>
      <c r="I328" s="14" t="s">
        <v>767</v>
      </c>
      <c r="J328" s="17">
        <v>170</v>
      </c>
      <c r="K328" s="17">
        <v>208</v>
      </c>
      <c r="L328" s="21">
        <v>0.81730769230769229</v>
      </c>
      <c r="M328" s="22">
        <v>6</v>
      </c>
      <c r="N328" s="96">
        <f t="shared" si="45"/>
        <v>1.8616535864208798E-2</v>
      </c>
      <c r="O328" s="97">
        <f t="shared" si="46"/>
        <v>1.5215437965939884E-2</v>
      </c>
      <c r="P328" s="96"/>
    </row>
    <row r="329" spans="1:16" s="2" customFormat="1" ht="21" hidden="1" customHeight="1">
      <c r="A329" s="17">
        <v>201710</v>
      </c>
      <c r="B329" s="14" t="s">
        <v>348</v>
      </c>
      <c r="C329" s="14" t="s">
        <v>28</v>
      </c>
      <c r="D329" s="15">
        <v>43130</v>
      </c>
      <c r="E329" s="88" t="s">
        <v>668</v>
      </c>
      <c r="F329" s="17">
        <v>240</v>
      </c>
      <c r="G329" s="16">
        <v>43139</v>
      </c>
      <c r="H329" s="14" t="s">
        <v>720</v>
      </c>
      <c r="I329" s="14" t="s">
        <v>767</v>
      </c>
      <c r="J329" s="17">
        <v>170</v>
      </c>
      <c r="K329" s="17">
        <v>208</v>
      </c>
      <c r="L329" s="21">
        <v>0.81730769230769229</v>
      </c>
      <c r="M329" s="22">
        <v>6</v>
      </c>
      <c r="N329" s="96">
        <f t="shared" si="45"/>
        <v>7.3006022996897242E-3</v>
      </c>
      <c r="O329" s="97">
        <f t="shared" si="46"/>
        <v>5.9668384180156398E-3</v>
      </c>
      <c r="P329" s="96"/>
    </row>
    <row r="330" spans="1:16" s="2" customFormat="1" ht="21" hidden="1" customHeight="1">
      <c r="A330" s="17">
        <v>201711</v>
      </c>
      <c r="B330" s="14" t="s">
        <v>350</v>
      </c>
      <c r="C330" s="14" t="s">
        <v>28</v>
      </c>
      <c r="D330" s="15">
        <v>43130</v>
      </c>
      <c r="E330" s="88" t="s">
        <v>668</v>
      </c>
      <c r="F330" s="17">
        <v>216</v>
      </c>
      <c r="G330" s="16">
        <v>43152</v>
      </c>
      <c r="H330" s="14" t="s">
        <v>718</v>
      </c>
      <c r="I330" s="14" t="s">
        <v>767</v>
      </c>
      <c r="J330" s="17">
        <v>170</v>
      </c>
      <c r="K330" s="17">
        <v>208</v>
      </c>
      <c r="L330" s="21">
        <v>0.81730769230769229</v>
      </c>
      <c r="M330" s="22">
        <v>6</v>
      </c>
      <c r="N330" s="96">
        <f t="shared" si="45"/>
        <v>6.5705420697207521E-3</v>
      </c>
      <c r="O330" s="97">
        <f t="shared" si="46"/>
        <v>5.3701545762140758E-3</v>
      </c>
      <c r="P330" s="96"/>
    </row>
    <row r="331" spans="1:16" s="2" customFormat="1" ht="21" hidden="1" customHeight="1">
      <c r="A331" s="17">
        <v>201711</v>
      </c>
      <c r="B331" s="14" t="s">
        <v>349</v>
      </c>
      <c r="C331" s="14" t="s">
        <v>28</v>
      </c>
      <c r="D331" s="15">
        <v>43131</v>
      </c>
      <c r="E331" s="88" t="s">
        <v>668</v>
      </c>
      <c r="F331" s="17">
        <v>570</v>
      </c>
      <c r="G331" s="16">
        <v>43152</v>
      </c>
      <c r="H331" s="14" t="s">
        <v>719</v>
      </c>
      <c r="I331" s="14" t="s">
        <v>767</v>
      </c>
      <c r="J331" s="17">
        <v>170</v>
      </c>
      <c r="K331" s="17">
        <v>208</v>
      </c>
      <c r="L331" s="21">
        <v>0.81730769230769229</v>
      </c>
      <c r="M331" s="22">
        <v>6</v>
      </c>
      <c r="N331" s="96">
        <f t="shared" si="45"/>
        <v>1.7338930461763095E-2</v>
      </c>
      <c r="O331" s="97">
        <f t="shared" si="46"/>
        <v>1.4171241242787146E-2</v>
      </c>
      <c r="P331" s="96"/>
    </row>
    <row r="332" spans="1:16" s="2" customFormat="1" ht="21" hidden="1" customHeight="1">
      <c r="A332" s="17">
        <v>201711</v>
      </c>
      <c r="B332" s="14" t="s">
        <v>351</v>
      </c>
      <c r="C332" s="14" t="s">
        <v>28</v>
      </c>
      <c r="D332" s="15">
        <v>43131</v>
      </c>
      <c r="E332" s="88" t="s">
        <v>668</v>
      </c>
      <c r="F332" s="17">
        <v>120</v>
      </c>
      <c r="G332" s="16">
        <v>43151</v>
      </c>
      <c r="H332" s="14" t="s">
        <v>720</v>
      </c>
      <c r="I332" s="14" t="s">
        <v>767</v>
      </c>
      <c r="J332" s="17">
        <v>170</v>
      </c>
      <c r="K332" s="17">
        <v>208</v>
      </c>
      <c r="L332" s="21">
        <v>0.81730769230769229</v>
      </c>
      <c r="M332" s="22">
        <v>6</v>
      </c>
      <c r="N332" s="96">
        <f t="shared" si="45"/>
        <v>3.6503011498448621E-3</v>
      </c>
      <c r="O332" s="97">
        <f t="shared" si="46"/>
        <v>2.9834192090078199E-3</v>
      </c>
      <c r="P332" s="96"/>
    </row>
    <row r="333" spans="1:16" s="2" customFormat="1" ht="21" hidden="1" customHeight="1">
      <c r="A333" s="17">
        <v>201710</v>
      </c>
      <c r="B333" s="14" t="s">
        <v>352</v>
      </c>
      <c r="C333" s="14" t="s">
        <v>28</v>
      </c>
      <c r="D333" s="15">
        <v>43131</v>
      </c>
      <c r="E333" s="88" t="s">
        <v>668</v>
      </c>
      <c r="F333" s="17">
        <v>816</v>
      </c>
      <c r="G333" s="16">
        <v>43153</v>
      </c>
      <c r="H333" s="14" t="s">
        <v>717</v>
      </c>
      <c r="I333" s="14" t="s">
        <v>767</v>
      </c>
      <c r="J333" s="17">
        <v>170</v>
      </c>
      <c r="K333" s="17">
        <v>208</v>
      </c>
      <c r="L333" s="21">
        <v>0.81730769230769229</v>
      </c>
      <c r="M333" s="22">
        <v>6</v>
      </c>
      <c r="N333" s="96">
        <f t="shared" si="45"/>
        <v>2.4822047818945064E-2</v>
      </c>
      <c r="O333" s="97">
        <f t="shared" si="46"/>
        <v>2.0287250621253177E-2</v>
      </c>
      <c r="P333" s="96"/>
    </row>
    <row r="334" spans="1:16" s="2" customFormat="1" ht="21" hidden="1" customHeight="1">
      <c r="A334" s="17">
        <v>201710</v>
      </c>
      <c r="B334" s="14" t="s">
        <v>353</v>
      </c>
      <c r="C334" s="14" t="s">
        <v>28</v>
      </c>
      <c r="D334" s="15">
        <v>43131</v>
      </c>
      <c r="E334" s="88" t="s">
        <v>668</v>
      </c>
      <c r="F334" s="17">
        <v>300</v>
      </c>
      <c r="G334" s="16">
        <v>43154</v>
      </c>
      <c r="H334" s="14" t="s">
        <v>724</v>
      </c>
      <c r="I334" s="14" t="s">
        <v>767</v>
      </c>
      <c r="J334" s="17">
        <v>170</v>
      </c>
      <c r="K334" s="17">
        <v>208</v>
      </c>
      <c r="L334" s="21">
        <v>0.81730769230769229</v>
      </c>
      <c r="M334" s="22">
        <v>6</v>
      </c>
      <c r="N334" s="96">
        <f t="shared" si="45"/>
        <v>9.1257528746121561E-3</v>
      </c>
      <c r="O334" s="97">
        <f t="shared" si="46"/>
        <v>7.4585480225195502E-3</v>
      </c>
      <c r="P334" s="96"/>
    </row>
    <row r="335" spans="1:16" s="2" customFormat="1" ht="21" hidden="1" customHeight="1">
      <c r="A335" s="17"/>
      <c r="B335" s="14"/>
      <c r="C335" s="14"/>
      <c r="D335" s="15"/>
      <c r="E335" s="88"/>
      <c r="F335" s="39">
        <f>SUM(F305:F334)</f>
        <v>34040</v>
      </c>
      <c r="G335" s="17"/>
      <c r="H335" s="14"/>
      <c r="I335" s="14"/>
      <c r="J335" s="17"/>
      <c r="K335" s="17"/>
      <c r="L335" s="21"/>
      <c r="M335" s="22"/>
      <c r="N335" s="96"/>
      <c r="O335" s="96"/>
      <c r="P335" s="96"/>
    </row>
    <row r="336" spans="1:16" s="2" customFormat="1" ht="21" hidden="1" customHeight="1">
      <c r="A336" s="17">
        <v>201708</v>
      </c>
      <c r="B336" s="14" t="s">
        <v>354</v>
      </c>
      <c r="C336" s="14" t="s">
        <v>27</v>
      </c>
      <c r="D336" s="15">
        <v>43102</v>
      </c>
      <c r="E336" s="88" t="s">
        <v>669</v>
      </c>
      <c r="F336" s="17">
        <v>336</v>
      </c>
      <c r="G336" s="16">
        <v>43109</v>
      </c>
      <c r="H336" s="14" t="s">
        <v>735</v>
      </c>
      <c r="I336" s="14" t="s">
        <v>768</v>
      </c>
      <c r="J336" s="17">
        <v>190</v>
      </c>
      <c r="K336" s="17">
        <v>165</v>
      </c>
      <c r="L336" s="21">
        <v>1.1515151515151516</v>
      </c>
      <c r="M336" s="22">
        <v>3</v>
      </c>
      <c r="N336" s="96">
        <f>F336/$F$628</f>
        <v>7.2351421188630485E-2</v>
      </c>
      <c r="O336" s="96">
        <f>L336*N336</f>
        <v>8.3313757732362381E-2</v>
      </c>
      <c r="P336" s="96"/>
    </row>
    <row r="337" spans="1:16" s="2" customFormat="1" ht="21" hidden="1" customHeight="1">
      <c r="A337" s="17">
        <v>201709</v>
      </c>
      <c r="B337" s="14" t="s">
        <v>355</v>
      </c>
      <c r="C337" s="14" t="s">
        <v>27</v>
      </c>
      <c r="D337" s="15">
        <v>43102</v>
      </c>
      <c r="E337" s="88" t="s">
        <v>670</v>
      </c>
      <c r="F337" s="17">
        <v>156</v>
      </c>
      <c r="G337" s="16">
        <v>43118</v>
      </c>
      <c r="H337" s="14" t="s">
        <v>717</v>
      </c>
      <c r="I337" s="14" t="s">
        <v>769</v>
      </c>
      <c r="J337" s="17">
        <v>160</v>
      </c>
      <c r="K337" s="17">
        <v>151</v>
      </c>
      <c r="L337" s="21">
        <v>1.0596026490066226</v>
      </c>
      <c r="M337" s="22">
        <v>4</v>
      </c>
      <c r="N337" s="96"/>
      <c r="O337" s="96"/>
      <c r="P337" s="96"/>
    </row>
    <row r="338" spans="1:16" s="2" customFormat="1" ht="21" hidden="1" customHeight="1">
      <c r="A338" s="17">
        <v>201709</v>
      </c>
      <c r="B338" s="14" t="s">
        <v>356</v>
      </c>
      <c r="C338" s="14" t="s">
        <v>27</v>
      </c>
      <c r="D338" s="15">
        <v>43102</v>
      </c>
      <c r="E338" s="88" t="s">
        <v>670</v>
      </c>
      <c r="F338" s="17">
        <v>168</v>
      </c>
      <c r="G338" s="16">
        <v>43115</v>
      </c>
      <c r="H338" s="14" t="s">
        <v>717</v>
      </c>
      <c r="I338" s="14" t="s">
        <v>769</v>
      </c>
      <c r="J338" s="17">
        <v>160</v>
      </c>
      <c r="K338" s="17">
        <v>151</v>
      </c>
      <c r="L338" s="21">
        <v>1.0596026490066226</v>
      </c>
      <c r="M338" s="22">
        <v>4</v>
      </c>
      <c r="N338" s="96"/>
      <c r="O338" s="96"/>
      <c r="P338" s="96"/>
    </row>
    <row r="339" spans="1:16" s="2" customFormat="1" ht="21" hidden="1" customHeight="1">
      <c r="A339" s="17">
        <v>201709</v>
      </c>
      <c r="B339" s="14" t="s">
        <v>357</v>
      </c>
      <c r="C339" s="14" t="s">
        <v>27</v>
      </c>
      <c r="D339" s="15">
        <v>43102</v>
      </c>
      <c r="E339" s="88" t="s">
        <v>670</v>
      </c>
      <c r="F339" s="17">
        <v>168</v>
      </c>
      <c r="G339" s="16">
        <v>43118</v>
      </c>
      <c r="H339" s="14" t="s">
        <v>717</v>
      </c>
      <c r="I339" s="14" t="s">
        <v>769</v>
      </c>
      <c r="J339" s="17">
        <v>160</v>
      </c>
      <c r="K339" s="17">
        <v>151</v>
      </c>
      <c r="L339" s="21">
        <v>1.0596026490066226</v>
      </c>
      <c r="M339" s="22">
        <v>4</v>
      </c>
      <c r="N339" s="96"/>
      <c r="O339" s="96"/>
      <c r="P339" s="96"/>
    </row>
    <row r="340" spans="1:16" s="2" customFormat="1" ht="21" hidden="1" customHeight="1">
      <c r="A340" s="17">
        <v>201709</v>
      </c>
      <c r="B340" s="14" t="s">
        <v>358</v>
      </c>
      <c r="C340" s="14" t="s">
        <v>27</v>
      </c>
      <c r="D340" s="15">
        <v>43103</v>
      </c>
      <c r="E340" s="88" t="s">
        <v>669</v>
      </c>
      <c r="F340" s="17">
        <v>2628</v>
      </c>
      <c r="G340" s="16">
        <v>43110</v>
      </c>
      <c r="H340" s="14" t="s">
        <v>717</v>
      </c>
      <c r="I340" s="14" t="s">
        <v>768</v>
      </c>
      <c r="J340" s="17">
        <v>190</v>
      </c>
      <c r="K340" s="17">
        <v>165</v>
      </c>
      <c r="L340" s="21">
        <v>1.1515151515151516</v>
      </c>
      <c r="M340" s="22">
        <v>3</v>
      </c>
      <c r="N340" s="96">
        <f t="shared" ref="N340:N344" si="47">F340/$F$628</f>
        <v>0.56589147286821706</v>
      </c>
      <c r="O340" s="96">
        <f t="shared" ref="O340:O344" si="48">L340*N340</f>
        <v>0.65163260512097732</v>
      </c>
      <c r="P340" s="96"/>
    </row>
    <row r="341" spans="1:16" s="2" customFormat="1" ht="21" hidden="1" customHeight="1">
      <c r="A341" s="17">
        <v>201709</v>
      </c>
      <c r="B341" s="14" t="s">
        <v>359</v>
      </c>
      <c r="C341" s="14" t="s">
        <v>27</v>
      </c>
      <c r="D341" s="15">
        <v>43104</v>
      </c>
      <c r="E341" s="88" t="s">
        <v>669</v>
      </c>
      <c r="F341" s="17">
        <v>636</v>
      </c>
      <c r="G341" s="16">
        <v>43116</v>
      </c>
      <c r="H341" s="14" t="s">
        <v>717</v>
      </c>
      <c r="I341" s="14" t="s">
        <v>768</v>
      </c>
      <c r="J341" s="17">
        <v>190</v>
      </c>
      <c r="K341" s="17">
        <v>165</v>
      </c>
      <c r="L341" s="21">
        <v>1.1515151515151516</v>
      </c>
      <c r="M341" s="22">
        <v>3</v>
      </c>
      <c r="N341" s="96">
        <f t="shared" si="47"/>
        <v>0.13695090439276486</v>
      </c>
      <c r="O341" s="96">
        <f t="shared" si="48"/>
        <v>0.15770104142197167</v>
      </c>
      <c r="P341" s="96"/>
    </row>
    <row r="342" spans="1:16" s="2" customFormat="1" ht="21" hidden="1" customHeight="1">
      <c r="A342" s="17">
        <v>201709</v>
      </c>
      <c r="B342" s="14" t="s">
        <v>360</v>
      </c>
      <c r="C342" s="14" t="s">
        <v>27</v>
      </c>
      <c r="D342" s="15">
        <v>43104</v>
      </c>
      <c r="E342" s="88" t="s">
        <v>669</v>
      </c>
      <c r="F342" s="17">
        <v>288</v>
      </c>
      <c r="G342" s="16">
        <v>43115</v>
      </c>
      <c r="H342" s="14" t="s">
        <v>717</v>
      </c>
      <c r="I342" s="14" t="s">
        <v>768</v>
      </c>
      <c r="J342" s="17">
        <v>190</v>
      </c>
      <c r="K342" s="17">
        <v>165</v>
      </c>
      <c r="L342" s="21">
        <v>1.1515151515151516</v>
      </c>
      <c r="M342" s="22">
        <v>3</v>
      </c>
      <c r="N342" s="96">
        <f t="shared" si="47"/>
        <v>6.2015503875968991E-2</v>
      </c>
      <c r="O342" s="96">
        <f t="shared" si="48"/>
        <v>7.141179234202491E-2</v>
      </c>
      <c r="P342" s="96"/>
    </row>
    <row r="343" spans="1:16" s="2" customFormat="1" ht="21" hidden="1" customHeight="1">
      <c r="A343" s="17">
        <v>201709</v>
      </c>
      <c r="B343" s="14" t="s">
        <v>361</v>
      </c>
      <c r="C343" s="14" t="s">
        <v>27</v>
      </c>
      <c r="D343" s="15">
        <v>43104</v>
      </c>
      <c r="E343" s="88" t="s">
        <v>669</v>
      </c>
      <c r="F343" s="17">
        <v>120</v>
      </c>
      <c r="G343" s="16">
        <v>43118</v>
      </c>
      <c r="H343" s="14" t="s">
        <v>717</v>
      </c>
      <c r="I343" s="14" t="s">
        <v>768</v>
      </c>
      <c r="J343" s="17">
        <v>190</v>
      </c>
      <c r="K343" s="17">
        <v>165</v>
      </c>
      <c r="L343" s="21">
        <v>1.1515151515151516</v>
      </c>
      <c r="M343" s="22">
        <v>3</v>
      </c>
      <c r="N343" s="96">
        <f t="shared" si="47"/>
        <v>2.5839793281653745E-2</v>
      </c>
      <c r="O343" s="96">
        <f t="shared" si="48"/>
        <v>2.9754913475843709E-2</v>
      </c>
      <c r="P343" s="96"/>
    </row>
    <row r="344" spans="1:16" s="2" customFormat="1" ht="21" hidden="1" customHeight="1">
      <c r="A344" s="17">
        <v>201709</v>
      </c>
      <c r="B344" s="14" t="s">
        <v>362</v>
      </c>
      <c r="C344" s="14" t="s">
        <v>27</v>
      </c>
      <c r="D344" s="15">
        <v>43104</v>
      </c>
      <c r="E344" s="88" t="s">
        <v>671</v>
      </c>
      <c r="F344" s="17">
        <v>636</v>
      </c>
      <c r="G344" s="16">
        <v>43116</v>
      </c>
      <c r="H344" s="14" t="s">
        <v>717</v>
      </c>
      <c r="I344" s="14" t="s">
        <v>770</v>
      </c>
      <c r="J344" s="17">
        <v>190</v>
      </c>
      <c r="K344" s="17">
        <v>156</v>
      </c>
      <c r="L344" s="21">
        <v>1.2179487179487178</v>
      </c>
      <c r="M344" s="22">
        <v>3</v>
      </c>
      <c r="N344" s="96">
        <f t="shared" si="47"/>
        <v>0.13695090439276486</v>
      </c>
      <c r="O344" s="96">
        <f t="shared" si="48"/>
        <v>0.16679917842708539</v>
      </c>
      <c r="P344" s="96"/>
    </row>
    <row r="345" spans="1:16" s="2" customFormat="1" ht="21" hidden="1" customHeight="1">
      <c r="A345" s="17">
        <v>201710</v>
      </c>
      <c r="B345" s="14" t="s">
        <v>819</v>
      </c>
      <c r="C345" s="14" t="s">
        <v>27</v>
      </c>
      <c r="D345" s="15">
        <v>43105</v>
      </c>
      <c r="E345" s="88" t="s">
        <v>689</v>
      </c>
      <c r="F345" s="17">
        <v>7320</v>
      </c>
      <c r="G345" s="16">
        <v>43124</v>
      </c>
      <c r="H345" s="14" t="s">
        <v>717</v>
      </c>
      <c r="I345" s="14" t="s">
        <v>757</v>
      </c>
      <c r="J345" s="17">
        <v>210</v>
      </c>
      <c r="K345" s="17">
        <v>143</v>
      </c>
      <c r="L345" s="21">
        <v>1.4685314685314685</v>
      </c>
      <c r="M345" s="22">
        <v>2</v>
      </c>
      <c r="N345" s="96">
        <f>F345/$F$627</f>
        <v>0.19517918088737202</v>
      </c>
      <c r="O345" s="96">
        <f>L345*N345</f>
        <v>0.28662676913530155</v>
      </c>
      <c r="P345" s="96"/>
    </row>
    <row r="346" spans="1:16" s="2" customFormat="1" ht="21" hidden="1" customHeight="1">
      <c r="A346" s="17">
        <v>201710</v>
      </c>
      <c r="B346" s="14" t="s">
        <v>363</v>
      </c>
      <c r="C346" s="14" t="s">
        <v>27</v>
      </c>
      <c r="D346" s="15">
        <v>43110</v>
      </c>
      <c r="E346" s="88" t="s">
        <v>672</v>
      </c>
      <c r="F346" s="17">
        <v>2280</v>
      </c>
      <c r="G346" s="16">
        <v>43132</v>
      </c>
      <c r="H346" s="14" t="s">
        <v>723</v>
      </c>
      <c r="I346" s="14" t="s">
        <v>771</v>
      </c>
      <c r="J346" s="17">
        <v>200</v>
      </c>
      <c r="K346" s="17">
        <v>147</v>
      </c>
      <c r="L346" s="21">
        <v>1.3605442176870748</v>
      </c>
      <c r="M346" s="22">
        <v>2</v>
      </c>
      <c r="N346" s="96">
        <f t="shared" ref="N346:N351" si="49">F346/$F$627</f>
        <v>6.0793515358361777E-2</v>
      </c>
      <c r="O346" s="96">
        <f t="shared" ref="O346:O351" si="50">L346*N346</f>
        <v>8.2712265793689496E-2</v>
      </c>
      <c r="P346" s="96"/>
    </row>
    <row r="347" spans="1:16" s="2" customFormat="1" ht="21" hidden="1" customHeight="1">
      <c r="A347" s="17">
        <v>201710</v>
      </c>
      <c r="B347" s="14" t="s">
        <v>365</v>
      </c>
      <c r="C347" s="14" t="s">
        <v>27</v>
      </c>
      <c r="D347" s="15">
        <v>43112</v>
      </c>
      <c r="E347" s="88" t="s">
        <v>672</v>
      </c>
      <c r="F347" s="17">
        <v>456</v>
      </c>
      <c r="G347" s="16">
        <v>43139</v>
      </c>
      <c r="H347" s="14" t="s">
        <v>719</v>
      </c>
      <c r="I347" s="14" t="s">
        <v>771</v>
      </c>
      <c r="J347" s="17">
        <v>200</v>
      </c>
      <c r="K347" s="17">
        <v>147</v>
      </c>
      <c r="L347" s="21">
        <v>1.3605442176870748</v>
      </c>
      <c r="M347" s="22">
        <v>2</v>
      </c>
      <c r="N347" s="96">
        <f t="shared" si="49"/>
        <v>1.2158703071672355E-2</v>
      </c>
      <c r="O347" s="96">
        <f t="shared" si="50"/>
        <v>1.6542453158737896E-2</v>
      </c>
      <c r="P347" s="96"/>
    </row>
    <row r="348" spans="1:16" s="2" customFormat="1" ht="21" hidden="1" customHeight="1">
      <c r="A348" s="17">
        <v>201710</v>
      </c>
      <c r="B348" s="14" t="s">
        <v>366</v>
      </c>
      <c r="C348" s="14" t="s">
        <v>27</v>
      </c>
      <c r="D348" s="15">
        <v>43112</v>
      </c>
      <c r="E348" s="88" t="s">
        <v>673</v>
      </c>
      <c r="F348" s="17">
        <v>876</v>
      </c>
      <c r="G348" s="16">
        <v>43120</v>
      </c>
      <c r="H348" s="14" t="s">
        <v>721</v>
      </c>
      <c r="I348" s="14" t="s">
        <v>771</v>
      </c>
      <c r="J348" s="17">
        <v>200</v>
      </c>
      <c r="K348" s="17">
        <v>147</v>
      </c>
      <c r="L348" s="21">
        <v>1.3605442176870748</v>
      </c>
      <c r="M348" s="22">
        <v>2</v>
      </c>
      <c r="N348" s="96">
        <f t="shared" si="49"/>
        <v>2.3357508532423209E-2</v>
      </c>
      <c r="O348" s="96">
        <f t="shared" si="50"/>
        <v>3.1778923173364906E-2</v>
      </c>
      <c r="P348" s="96"/>
    </row>
    <row r="349" spans="1:16" s="2" customFormat="1" ht="21" hidden="1" customHeight="1">
      <c r="A349" s="17">
        <v>201710</v>
      </c>
      <c r="B349" s="14" t="s">
        <v>364</v>
      </c>
      <c r="C349" s="14" t="s">
        <v>27</v>
      </c>
      <c r="D349" s="15">
        <v>43113</v>
      </c>
      <c r="E349" s="88" t="s">
        <v>673</v>
      </c>
      <c r="F349" s="17">
        <v>276</v>
      </c>
      <c r="G349" s="16">
        <v>43139</v>
      </c>
      <c r="H349" s="14" t="s">
        <v>719</v>
      </c>
      <c r="I349" s="14" t="s">
        <v>771</v>
      </c>
      <c r="J349" s="17">
        <v>200</v>
      </c>
      <c r="K349" s="17">
        <v>147</v>
      </c>
      <c r="L349" s="21">
        <v>1.3605442176870748</v>
      </c>
      <c r="M349" s="22">
        <v>2</v>
      </c>
      <c r="N349" s="96">
        <f t="shared" si="49"/>
        <v>7.3592150170648466E-3</v>
      </c>
      <c r="O349" s="96">
        <f t="shared" si="50"/>
        <v>1.0012537438183464E-2</v>
      </c>
      <c r="P349" s="96"/>
    </row>
    <row r="350" spans="1:16" s="2" customFormat="1" ht="21" hidden="1" customHeight="1">
      <c r="A350" s="17">
        <v>201710</v>
      </c>
      <c r="B350" s="14" t="s">
        <v>367</v>
      </c>
      <c r="C350" s="14" t="s">
        <v>27</v>
      </c>
      <c r="D350" s="15">
        <v>43113</v>
      </c>
      <c r="E350" s="88" t="s">
        <v>673</v>
      </c>
      <c r="F350" s="17">
        <v>7080</v>
      </c>
      <c r="G350" s="16">
        <v>43132</v>
      </c>
      <c r="H350" s="14" t="s">
        <v>723</v>
      </c>
      <c r="I350" s="14" t="s">
        <v>771</v>
      </c>
      <c r="J350" s="17">
        <v>200</v>
      </c>
      <c r="K350" s="17">
        <v>147</v>
      </c>
      <c r="L350" s="21">
        <v>1.3605442176870748</v>
      </c>
      <c r="M350" s="22">
        <v>2</v>
      </c>
      <c r="N350" s="96">
        <f t="shared" si="49"/>
        <v>0.18877986348122866</v>
      </c>
      <c r="O350" s="96">
        <f t="shared" si="50"/>
        <v>0.25684335167514105</v>
      </c>
      <c r="P350" s="96"/>
    </row>
    <row r="351" spans="1:16" s="2" customFormat="1" ht="21" hidden="1" customHeight="1">
      <c r="A351" s="17"/>
      <c r="B351" s="14"/>
      <c r="C351" s="50" t="s">
        <v>27</v>
      </c>
      <c r="D351" s="51" t="s">
        <v>818</v>
      </c>
      <c r="E351" s="89" t="s">
        <v>806</v>
      </c>
      <c r="F351" s="52">
        <v>19216</v>
      </c>
      <c r="G351" s="53" t="s">
        <v>1341</v>
      </c>
      <c r="H351" s="50"/>
      <c r="I351" s="14"/>
      <c r="J351" s="17">
        <v>210</v>
      </c>
      <c r="K351" s="17">
        <v>143</v>
      </c>
      <c r="L351" s="21">
        <v>1.4685314685314685</v>
      </c>
      <c r="M351" s="22">
        <v>2</v>
      </c>
      <c r="N351" s="96">
        <f t="shared" si="49"/>
        <v>0.51237201365187712</v>
      </c>
      <c r="O351" s="96">
        <f t="shared" si="50"/>
        <v>0.75243442564261676</v>
      </c>
      <c r="P351" s="96"/>
    </row>
    <row r="352" spans="1:16" s="2" customFormat="1" ht="21" hidden="1" customHeight="1">
      <c r="A352" s="17"/>
      <c r="B352" s="14"/>
      <c r="C352" s="14"/>
      <c r="D352" s="15"/>
      <c r="E352" s="88"/>
      <c r="F352" s="39">
        <f>SUM(F336:F351)</f>
        <v>42640</v>
      </c>
      <c r="G352" s="17"/>
      <c r="H352" s="14"/>
      <c r="I352" s="14"/>
      <c r="J352" s="17"/>
      <c r="K352" s="17"/>
      <c r="L352" s="21"/>
      <c r="M352" s="22"/>
      <c r="N352" s="96"/>
      <c r="O352" s="96"/>
      <c r="P352" s="96"/>
    </row>
    <row r="353" spans="1:16" s="2" customFormat="1" ht="21" hidden="1" customHeight="1">
      <c r="A353" s="17">
        <v>201709</v>
      </c>
      <c r="B353" s="14" t="s">
        <v>820</v>
      </c>
      <c r="C353" s="14" t="s">
        <v>26</v>
      </c>
      <c r="D353" s="15">
        <v>43102</v>
      </c>
      <c r="E353" s="88" t="s">
        <v>821</v>
      </c>
      <c r="F353" s="17">
        <f>6180-1616</f>
        <v>4564</v>
      </c>
      <c r="G353" s="16">
        <v>43111</v>
      </c>
      <c r="H353" s="14" t="s">
        <v>717</v>
      </c>
      <c r="I353" s="14" t="s">
        <v>822</v>
      </c>
      <c r="J353" s="17">
        <v>210</v>
      </c>
      <c r="K353" s="17">
        <v>146</v>
      </c>
      <c r="L353" s="21">
        <v>1.44</v>
      </c>
      <c r="M353" s="22">
        <v>2</v>
      </c>
      <c r="N353" s="96"/>
      <c r="O353" s="96"/>
      <c r="P353" s="96"/>
    </row>
    <row r="354" spans="1:16" s="2" customFormat="1" ht="21" hidden="1" customHeight="1">
      <c r="A354" s="17">
        <v>201710</v>
      </c>
      <c r="B354" s="14" t="s">
        <v>370</v>
      </c>
      <c r="C354" s="14" t="s">
        <v>26</v>
      </c>
      <c r="D354" s="15">
        <v>43105</v>
      </c>
      <c r="E354" s="88" t="s">
        <v>674</v>
      </c>
      <c r="F354" s="17">
        <v>300</v>
      </c>
      <c r="G354" s="16">
        <v>43111</v>
      </c>
      <c r="H354" s="14" t="s">
        <v>718</v>
      </c>
      <c r="I354" s="14" t="s">
        <v>772</v>
      </c>
      <c r="J354" s="17">
        <v>190</v>
      </c>
      <c r="K354" s="17">
        <v>199</v>
      </c>
      <c r="L354" s="21">
        <v>0.95477386934673369</v>
      </c>
      <c r="M354" s="22">
        <v>5</v>
      </c>
      <c r="N354" s="96">
        <f>F354/$F$630</f>
        <v>2.2747952684258416E-2</v>
      </c>
      <c r="O354" s="96">
        <f>L354*N354</f>
        <v>2.1719150804065824E-2</v>
      </c>
      <c r="P354" s="96"/>
    </row>
    <row r="355" spans="1:16" s="2" customFormat="1" ht="21" hidden="1" customHeight="1">
      <c r="A355" s="17">
        <v>201710</v>
      </c>
      <c r="B355" s="14" t="s">
        <v>368</v>
      </c>
      <c r="C355" s="14" t="s">
        <v>26</v>
      </c>
      <c r="D355" s="15">
        <v>43106</v>
      </c>
      <c r="E355" s="88" t="s">
        <v>674</v>
      </c>
      <c r="F355" s="17">
        <v>552</v>
      </c>
      <c r="G355" s="16">
        <v>43112</v>
      </c>
      <c r="H355" s="14" t="s">
        <v>719</v>
      </c>
      <c r="I355" s="14" t="s">
        <v>772</v>
      </c>
      <c r="J355" s="17">
        <v>190</v>
      </c>
      <c r="K355" s="17">
        <v>199</v>
      </c>
      <c r="L355" s="21">
        <v>0.95477386934673369</v>
      </c>
      <c r="M355" s="22">
        <v>5</v>
      </c>
      <c r="N355" s="96">
        <f t="shared" ref="N355:N363" si="51">F355/$F$630</f>
        <v>4.1856232939035488E-2</v>
      </c>
      <c r="O355" s="96">
        <f t="shared" ref="O355:O363" si="52">L355*N355</f>
        <v>3.996323747948112E-2</v>
      </c>
      <c r="P355" s="96"/>
    </row>
    <row r="356" spans="1:16" s="2" customFormat="1" ht="21" hidden="1" customHeight="1">
      <c r="A356" s="17">
        <v>201710</v>
      </c>
      <c r="B356" s="14" t="s">
        <v>369</v>
      </c>
      <c r="C356" s="14" t="s">
        <v>26</v>
      </c>
      <c r="D356" s="15">
        <v>43106</v>
      </c>
      <c r="E356" s="88" t="s">
        <v>674</v>
      </c>
      <c r="F356" s="17">
        <v>168</v>
      </c>
      <c r="G356" s="16">
        <v>43122</v>
      </c>
      <c r="H356" s="14" t="s">
        <v>724</v>
      </c>
      <c r="I356" s="14" t="s">
        <v>772</v>
      </c>
      <c r="J356" s="17">
        <v>190</v>
      </c>
      <c r="K356" s="17">
        <v>199</v>
      </c>
      <c r="L356" s="21">
        <v>0.95477386934673369</v>
      </c>
      <c r="M356" s="22">
        <v>5</v>
      </c>
      <c r="N356" s="96">
        <f t="shared" si="51"/>
        <v>1.2738853503184714E-2</v>
      </c>
      <c r="O356" s="96">
        <f t="shared" si="52"/>
        <v>1.2162724450276862E-2</v>
      </c>
      <c r="P356" s="96"/>
    </row>
    <row r="357" spans="1:16" s="2" customFormat="1" ht="21" hidden="1" customHeight="1">
      <c r="A357" s="17">
        <v>201710</v>
      </c>
      <c r="B357" s="14" t="s">
        <v>373</v>
      </c>
      <c r="C357" s="14" t="s">
        <v>26</v>
      </c>
      <c r="D357" s="15">
        <v>43106</v>
      </c>
      <c r="E357" s="88" t="s">
        <v>674</v>
      </c>
      <c r="F357" s="17">
        <v>252</v>
      </c>
      <c r="G357" s="16">
        <v>43125</v>
      </c>
      <c r="H357" s="14" t="s">
        <v>718</v>
      </c>
      <c r="I357" s="14" t="s">
        <v>772</v>
      </c>
      <c r="J357" s="17">
        <v>190</v>
      </c>
      <c r="K357" s="17">
        <v>199</v>
      </c>
      <c r="L357" s="21">
        <v>0.95477386934673369</v>
      </c>
      <c r="M357" s="22">
        <v>5</v>
      </c>
      <c r="N357" s="96">
        <f t="shared" si="51"/>
        <v>1.9108280254777069E-2</v>
      </c>
      <c r="O357" s="96">
        <f t="shared" si="52"/>
        <v>1.8244086675415293E-2</v>
      </c>
      <c r="P357" s="96"/>
    </row>
    <row r="358" spans="1:16" s="2" customFormat="1" ht="21" hidden="1" customHeight="1">
      <c r="A358" s="17">
        <v>201710</v>
      </c>
      <c r="B358" s="14" t="s">
        <v>371</v>
      </c>
      <c r="C358" s="14" t="s">
        <v>26</v>
      </c>
      <c r="D358" s="15">
        <v>43108</v>
      </c>
      <c r="E358" s="88" t="s">
        <v>674</v>
      </c>
      <c r="F358" s="17">
        <v>408</v>
      </c>
      <c r="G358" s="16">
        <v>43130</v>
      </c>
      <c r="H358" s="14" t="s">
        <v>719</v>
      </c>
      <c r="I358" s="14" t="s">
        <v>772</v>
      </c>
      <c r="J358" s="17">
        <v>190</v>
      </c>
      <c r="K358" s="17">
        <v>199</v>
      </c>
      <c r="L358" s="21">
        <v>0.95477386934673369</v>
      </c>
      <c r="M358" s="22">
        <v>5</v>
      </c>
      <c r="N358" s="96">
        <f t="shared" si="51"/>
        <v>3.0937215650591446E-2</v>
      </c>
      <c r="O358" s="96">
        <f t="shared" si="52"/>
        <v>2.9538045093529523E-2</v>
      </c>
      <c r="P358" s="96"/>
    </row>
    <row r="359" spans="1:16" s="2" customFormat="1" ht="21" hidden="1" customHeight="1">
      <c r="A359" s="17">
        <v>201710</v>
      </c>
      <c r="B359" s="14" t="s">
        <v>372</v>
      </c>
      <c r="C359" s="14" t="s">
        <v>26</v>
      </c>
      <c r="D359" s="15">
        <v>43108</v>
      </c>
      <c r="E359" s="88" t="s">
        <v>674</v>
      </c>
      <c r="F359" s="17">
        <v>588</v>
      </c>
      <c r="G359" s="16">
        <v>43130</v>
      </c>
      <c r="H359" s="14" t="s">
        <v>719</v>
      </c>
      <c r="I359" s="14" t="s">
        <v>772</v>
      </c>
      <c r="J359" s="17">
        <v>190</v>
      </c>
      <c r="K359" s="17">
        <v>199</v>
      </c>
      <c r="L359" s="21">
        <v>0.95477386934673369</v>
      </c>
      <c r="M359" s="22">
        <v>5</v>
      </c>
      <c r="N359" s="96">
        <f t="shared" si="51"/>
        <v>4.4585987261146494E-2</v>
      </c>
      <c r="O359" s="96">
        <f t="shared" si="52"/>
        <v>4.2569535575969014E-2</v>
      </c>
      <c r="P359" s="96"/>
    </row>
    <row r="360" spans="1:16" s="2" customFormat="1" ht="21" hidden="1" customHeight="1">
      <c r="A360" s="17">
        <v>201709</v>
      </c>
      <c r="B360" s="14" t="s">
        <v>376</v>
      </c>
      <c r="C360" s="14" t="s">
        <v>26</v>
      </c>
      <c r="D360" s="15">
        <v>43108</v>
      </c>
      <c r="E360" s="88" t="s">
        <v>675</v>
      </c>
      <c r="F360" s="17">
        <v>192</v>
      </c>
      <c r="G360" s="16">
        <v>43115</v>
      </c>
      <c r="H360" s="14" t="s">
        <v>717</v>
      </c>
      <c r="I360" s="14" t="s">
        <v>772</v>
      </c>
      <c r="J360" s="17">
        <v>190</v>
      </c>
      <c r="K360" s="17">
        <v>199</v>
      </c>
      <c r="L360" s="21">
        <v>0.95477386934673369</v>
      </c>
      <c r="M360" s="22">
        <v>5</v>
      </c>
      <c r="N360" s="96">
        <f t="shared" si="51"/>
        <v>1.4558689717925387E-2</v>
      </c>
      <c r="O360" s="96">
        <f t="shared" si="52"/>
        <v>1.390025651460213E-2</v>
      </c>
      <c r="P360" s="96"/>
    </row>
    <row r="361" spans="1:16" s="2" customFormat="1" ht="21" hidden="1" customHeight="1">
      <c r="A361" s="17">
        <v>201710</v>
      </c>
      <c r="B361" s="14" t="s">
        <v>374</v>
      </c>
      <c r="C361" s="14" t="s">
        <v>26</v>
      </c>
      <c r="D361" s="15">
        <v>43109</v>
      </c>
      <c r="E361" s="88" t="s">
        <v>675</v>
      </c>
      <c r="F361" s="17">
        <v>5556</v>
      </c>
      <c r="G361" s="16">
        <v>43132</v>
      </c>
      <c r="H361" s="14" t="s">
        <v>723</v>
      </c>
      <c r="I361" s="14" t="s">
        <v>772</v>
      </c>
      <c r="J361" s="17">
        <v>190</v>
      </c>
      <c r="K361" s="17">
        <v>199</v>
      </c>
      <c r="L361" s="21">
        <v>0.95477386934673369</v>
      </c>
      <c r="M361" s="22">
        <v>5</v>
      </c>
      <c r="N361" s="96">
        <f t="shared" si="51"/>
        <v>0.4212920837124659</v>
      </c>
      <c r="O361" s="96">
        <f t="shared" si="52"/>
        <v>0.40223867289129911</v>
      </c>
      <c r="P361" s="96"/>
    </row>
    <row r="362" spans="1:16" s="2" customFormat="1" ht="21" hidden="1" customHeight="1">
      <c r="A362" s="17">
        <v>201709</v>
      </c>
      <c r="B362" s="14" t="s">
        <v>375</v>
      </c>
      <c r="C362" s="14" t="s">
        <v>26</v>
      </c>
      <c r="D362" s="15">
        <v>43109</v>
      </c>
      <c r="E362" s="88" t="s">
        <v>675</v>
      </c>
      <c r="F362" s="17">
        <v>264</v>
      </c>
      <c r="G362" s="16">
        <v>43125</v>
      </c>
      <c r="H362" s="14" t="s">
        <v>718</v>
      </c>
      <c r="I362" s="14" t="s">
        <v>772</v>
      </c>
      <c r="J362" s="17">
        <v>190</v>
      </c>
      <c r="K362" s="17">
        <v>199</v>
      </c>
      <c r="L362" s="21">
        <v>0.95477386934673369</v>
      </c>
      <c r="M362" s="22">
        <v>5</v>
      </c>
      <c r="N362" s="96">
        <f t="shared" si="51"/>
        <v>2.0018198362147407E-2</v>
      </c>
      <c r="O362" s="96">
        <f t="shared" si="52"/>
        <v>1.9112852707577926E-2</v>
      </c>
      <c r="P362" s="96"/>
    </row>
    <row r="363" spans="1:16" s="2" customFormat="1" ht="21" hidden="1" customHeight="1">
      <c r="A363" s="17">
        <v>201710</v>
      </c>
      <c r="B363" s="14" t="s">
        <v>377</v>
      </c>
      <c r="C363" s="14" t="s">
        <v>26</v>
      </c>
      <c r="D363" s="15">
        <v>43109</v>
      </c>
      <c r="E363" s="88" t="s">
        <v>675</v>
      </c>
      <c r="F363" s="17">
        <v>144</v>
      </c>
      <c r="G363" s="16">
        <v>43122</v>
      </c>
      <c r="H363" s="14" t="s">
        <v>724</v>
      </c>
      <c r="I363" s="14" t="s">
        <v>772</v>
      </c>
      <c r="J363" s="17">
        <v>190</v>
      </c>
      <c r="K363" s="17">
        <v>199</v>
      </c>
      <c r="L363" s="21">
        <v>0.95477386934673369</v>
      </c>
      <c r="M363" s="22">
        <v>5</v>
      </c>
      <c r="N363" s="96">
        <f t="shared" si="51"/>
        <v>1.0919017288444041E-2</v>
      </c>
      <c r="O363" s="96">
        <f t="shared" si="52"/>
        <v>1.0425192385951597E-2</v>
      </c>
      <c r="P363" s="96"/>
    </row>
    <row r="364" spans="1:16" s="2" customFormat="1" ht="21" hidden="1" customHeight="1">
      <c r="A364" s="17">
        <v>201710</v>
      </c>
      <c r="B364" s="14" t="s">
        <v>379</v>
      </c>
      <c r="C364" s="14" t="s">
        <v>26</v>
      </c>
      <c r="D364" s="15">
        <v>43113</v>
      </c>
      <c r="E364" s="88" t="s">
        <v>676</v>
      </c>
      <c r="F364" s="17">
        <v>1404</v>
      </c>
      <c r="G364" s="16">
        <v>43121</v>
      </c>
      <c r="H364" s="14" t="s">
        <v>718</v>
      </c>
      <c r="I364" s="14" t="s">
        <v>773</v>
      </c>
      <c r="J364" s="17">
        <v>160</v>
      </c>
      <c r="K364" s="17">
        <v>152</v>
      </c>
      <c r="L364" s="21">
        <v>1.0526315789473684</v>
      </c>
      <c r="M364" s="22">
        <v>4</v>
      </c>
      <c r="N364" s="96">
        <f>F364/$F$629</f>
        <v>0.13995215311004786</v>
      </c>
      <c r="O364" s="96">
        <f>L364*N364</f>
        <v>0.14731805590531352</v>
      </c>
      <c r="P364" s="96"/>
    </row>
    <row r="365" spans="1:16" s="2" customFormat="1" ht="21" hidden="1" customHeight="1">
      <c r="A365" s="17">
        <v>201710</v>
      </c>
      <c r="B365" s="14" t="s">
        <v>380</v>
      </c>
      <c r="C365" s="14" t="s">
        <v>26</v>
      </c>
      <c r="D365" s="15">
        <v>43115</v>
      </c>
      <c r="E365" s="88" t="s">
        <v>676</v>
      </c>
      <c r="F365" s="17">
        <v>252</v>
      </c>
      <c r="G365" s="16">
        <v>43125</v>
      </c>
      <c r="H365" s="14" t="s">
        <v>718</v>
      </c>
      <c r="I365" s="14" t="s">
        <v>773</v>
      </c>
      <c r="J365" s="17">
        <v>160</v>
      </c>
      <c r="K365" s="17">
        <v>152</v>
      </c>
      <c r="L365" s="21">
        <v>1.0526315789473684</v>
      </c>
      <c r="M365" s="22">
        <v>4</v>
      </c>
      <c r="N365" s="96">
        <f t="shared" ref="N365:N371" si="53">F365/$F$629</f>
        <v>2.5119617224880382E-2</v>
      </c>
      <c r="O365" s="96">
        <f t="shared" ref="O365:O371" si="54">L365*N365</f>
        <v>2.6441702341979349E-2</v>
      </c>
      <c r="P365" s="96"/>
    </row>
    <row r="366" spans="1:16" s="2" customFormat="1" ht="21" hidden="1" customHeight="1">
      <c r="A366" s="17">
        <v>201710</v>
      </c>
      <c r="B366" s="14" t="s">
        <v>381</v>
      </c>
      <c r="C366" s="14" t="s">
        <v>26</v>
      </c>
      <c r="D366" s="15">
        <v>43115</v>
      </c>
      <c r="E366" s="88" t="s">
        <v>677</v>
      </c>
      <c r="F366" s="17">
        <v>504</v>
      </c>
      <c r="G366" s="16">
        <v>43121</v>
      </c>
      <c r="H366" s="14" t="s">
        <v>718</v>
      </c>
      <c r="I366" s="14" t="s">
        <v>773</v>
      </c>
      <c r="J366" s="17">
        <v>160</v>
      </c>
      <c r="K366" s="17">
        <v>152</v>
      </c>
      <c r="L366" s="21">
        <v>1.0526315789473684</v>
      </c>
      <c r="M366" s="22">
        <v>4</v>
      </c>
      <c r="N366" s="96">
        <f t="shared" si="53"/>
        <v>5.0239234449760764E-2</v>
      </c>
      <c r="O366" s="96">
        <f t="shared" si="54"/>
        <v>5.2883404683958697E-2</v>
      </c>
      <c r="P366" s="96"/>
    </row>
    <row r="367" spans="1:16" s="2" customFormat="1" ht="21" hidden="1" customHeight="1">
      <c r="A367" s="17">
        <v>201710</v>
      </c>
      <c r="B367" s="14" t="s">
        <v>383</v>
      </c>
      <c r="C367" s="14" t="s">
        <v>26</v>
      </c>
      <c r="D367" s="15">
        <v>43115</v>
      </c>
      <c r="E367" s="88" t="s">
        <v>677</v>
      </c>
      <c r="F367" s="17">
        <v>264</v>
      </c>
      <c r="G367" s="16">
        <v>43125</v>
      </c>
      <c r="H367" s="14" t="s">
        <v>718</v>
      </c>
      <c r="I367" s="14" t="s">
        <v>773</v>
      </c>
      <c r="J367" s="17">
        <v>160</v>
      </c>
      <c r="K367" s="17">
        <v>152</v>
      </c>
      <c r="L367" s="21">
        <v>1.0526315789473684</v>
      </c>
      <c r="M367" s="22">
        <v>4</v>
      </c>
      <c r="N367" s="96">
        <f t="shared" si="53"/>
        <v>2.6315789473684209E-2</v>
      </c>
      <c r="O367" s="96">
        <f t="shared" si="54"/>
        <v>2.7700831024930744E-2</v>
      </c>
      <c r="P367" s="96"/>
    </row>
    <row r="368" spans="1:16" s="2" customFormat="1" ht="21" hidden="1" customHeight="1">
      <c r="A368" s="17">
        <v>201710</v>
      </c>
      <c r="B368" s="14" t="s">
        <v>382</v>
      </c>
      <c r="C368" s="14" t="s">
        <v>26</v>
      </c>
      <c r="D368" s="15">
        <v>43116</v>
      </c>
      <c r="E368" s="88" t="s">
        <v>677</v>
      </c>
      <c r="F368" s="17">
        <v>1020</v>
      </c>
      <c r="G368" s="16">
        <v>43133</v>
      </c>
      <c r="H368" s="14" t="s">
        <v>717</v>
      </c>
      <c r="I368" s="14" t="s">
        <v>773</v>
      </c>
      <c r="J368" s="17">
        <v>160</v>
      </c>
      <c r="K368" s="17">
        <v>152</v>
      </c>
      <c r="L368" s="21">
        <v>1.0526315789473684</v>
      </c>
      <c r="M368" s="22">
        <v>4</v>
      </c>
      <c r="N368" s="96">
        <f t="shared" si="53"/>
        <v>0.10167464114832536</v>
      </c>
      <c r="O368" s="96">
        <f t="shared" si="54"/>
        <v>0.1070259380508688</v>
      </c>
      <c r="P368" s="96"/>
    </row>
    <row r="369" spans="1:16" s="2" customFormat="1" ht="21" hidden="1" customHeight="1">
      <c r="A369" s="17">
        <v>201710</v>
      </c>
      <c r="B369" s="14" t="s">
        <v>385</v>
      </c>
      <c r="C369" s="14" t="s">
        <v>26</v>
      </c>
      <c r="D369" s="15">
        <v>43116</v>
      </c>
      <c r="E369" s="88" t="s">
        <v>677</v>
      </c>
      <c r="F369" s="17">
        <v>156</v>
      </c>
      <c r="G369" s="16">
        <v>43154</v>
      </c>
      <c r="H369" s="14" t="s">
        <v>724</v>
      </c>
      <c r="I369" s="14" t="s">
        <v>773</v>
      </c>
      <c r="J369" s="17">
        <v>160</v>
      </c>
      <c r="K369" s="17">
        <v>152</v>
      </c>
      <c r="L369" s="21">
        <v>1.0526315789473684</v>
      </c>
      <c r="M369" s="22">
        <v>4</v>
      </c>
      <c r="N369" s="96">
        <f t="shared" si="53"/>
        <v>1.555023923444976E-2</v>
      </c>
      <c r="O369" s="96">
        <f t="shared" si="54"/>
        <v>1.6368672878368167E-2</v>
      </c>
      <c r="P369" s="96"/>
    </row>
    <row r="370" spans="1:16" s="2" customFormat="1" ht="21" hidden="1" customHeight="1">
      <c r="A370" s="17">
        <v>201710</v>
      </c>
      <c r="B370" s="14" t="s">
        <v>384</v>
      </c>
      <c r="C370" s="14" t="s">
        <v>26</v>
      </c>
      <c r="D370" s="15">
        <v>43117</v>
      </c>
      <c r="E370" s="88" t="s">
        <v>677</v>
      </c>
      <c r="F370" s="17">
        <v>300</v>
      </c>
      <c r="G370" s="16">
        <v>43159</v>
      </c>
      <c r="H370" s="14" t="s">
        <v>734</v>
      </c>
      <c r="I370" s="14" t="s">
        <v>773</v>
      </c>
      <c r="J370" s="17">
        <v>160</v>
      </c>
      <c r="K370" s="17">
        <v>152</v>
      </c>
      <c r="L370" s="21">
        <v>1.0526315789473684</v>
      </c>
      <c r="M370" s="22">
        <v>4</v>
      </c>
      <c r="N370" s="96">
        <f t="shared" si="53"/>
        <v>2.9904306220095694E-2</v>
      </c>
      <c r="O370" s="96">
        <f t="shared" si="54"/>
        <v>3.1478217073784939E-2</v>
      </c>
      <c r="P370" s="96"/>
    </row>
    <row r="371" spans="1:16" s="2" customFormat="1" ht="21" hidden="1" customHeight="1">
      <c r="A371" s="17">
        <v>201710</v>
      </c>
      <c r="B371" s="14" t="s">
        <v>386</v>
      </c>
      <c r="C371" s="14" t="s">
        <v>26</v>
      </c>
      <c r="D371" s="15">
        <v>43117</v>
      </c>
      <c r="E371" s="88" t="s">
        <v>676</v>
      </c>
      <c r="F371" s="17">
        <v>1860</v>
      </c>
      <c r="G371" s="16">
        <v>43133</v>
      </c>
      <c r="H371" s="14" t="s">
        <v>717</v>
      </c>
      <c r="I371" s="14" t="s">
        <v>773</v>
      </c>
      <c r="J371" s="17">
        <v>160</v>
      </c>
      <c r="K371" s="17">
        <v>152</v>
      </c>
      <c r="L371" s="21">
        <v>1.0526315789473684</v>
      </c>
      <c r="M371" s="22">
        <v>4</v>
      </c>
      <c r="N371" s="96">
        <f t="shared" si="53"/>
        <v>0.1854066985645933</v>
      </c>
      <c r="O371" s="96">
        <f t="shared" si="54"/>
        <v>0.19516494585746663</v>
      </c>
      <c r="P371" s="96"/>
    </row>
    <row r="372" spans="1:16" s="2" customFormat="1" ht="21" hidden="1" customHeight="1">
      <c r="A372" s="17">
        <v>201710</v>
      </c>
      <c r="B372" s="14" t="s">
        <v>378</v>
      </c>
      <c r="C372" s="14" t="s">
        <v>26</v>
      </c>
      <c r="D372" s="15">
        <v>43118</v>
      </c>
      <c r="E372" s="88" t="s">
        <v>674</v>
      </c>
      <c r="F372" s="17">
        <v>4764</v>
      </c>
      <c r="G372" s="16">
        <v>43132</v>
      </c>
      <c r="H372" s="14" t="s">
        <v>723</v>
      </c>
      <c r="I372" s="14" t="s">
        <v>772</v>
      </c>
      <c r="J372" s="17">
        <v>190</v>
      </c>
      <c r="K372" s="17">
        <v>199</v>
      </c>
      <c r="L372" s="21">
        <v>0.95477386934673369</v>
      </c>
      <c r="M372" s="22">
        <v>5</v>
      </c>
      <c r="N372" s="96">
        <f>F372/$F$630</f>
        <v>0.36123748862602367</v>
      </c>
      <c r="O372" s="96">
        <f>L372*N372</f>
        <v>0.3449001147685653</v>
      </c>
      <c r="P372" s="96"/>
    </row>
    <row r="373" spans="1:16" s="2" customFormat="1" ht="21" hidden="1" customHeight="1">
      <c r="A373" s="17">
        <v>201710</v>
      </c>
      <c r="B373" s="14" t="s">
        <v>387</v>
      </c>
      <c r="C373" s="14" t="s">
        <v>26</v>
      </c>
      <c r="D373" s="15">
        <v>43123</v>
      </c>
      <c r="E373" s="88" t="s">
        <v>677</v>
      </c>
      <c r="F373" s="17">
        <v>4272</v>
      </c>
      <c r="G373" s="16">
        <v>43132</v>
      </c>
      <c r="H373" s="14" t="s">
        <v>723</v>
      </c>
      <c r="I373" s="14" t="s">
        <v>773</v>
      </c>
      <c r="J373" s="17">
        <v>160</v>
      </c>
      <c r="K373" s="17">
        <v>152</v>
      </c>
      <c r="L373" s="21">
        <v>1.0526315789473684</v>
      </c>
      <c r="M373" s="22">
        <v>4</v>
      </c>
      <c r="N373" s="96">
        <f>F373/$F$629</f>
        <v>0.42583732057416268</v>
      </c>
      <c r="O373" s="96">
        <f>L373*N373</f>
        <v>0.44824981113069751</v>
      </c>
      <c r="P373" s="96"/>
    </row>
    <row r="374" spans="1:16" s="2" customFormat="1" ht="21" hidden="1" customHeight="1">
      <c r="A374" s="17">
        <v>201710</v>
      </c>
      <c r="B374" s="14" t="s">
        <v>388</v>
      </c>
      <c r="C374" s="14" t="s">
        <v>26</v>
      </c>
      <c r="D374" s="15">
        <v>43126</v>
      </c>
      <c r="E374" s="88" t="s">
        <v>678</v>
      </c>
      <c r="F374" s="17">
        <v>1668</v>
      </c>
      <c r="G374" s="16">
        <v>43138</v>
      </c>
      <c r="H374" s="14" t="s">
        <v>717</v>
      </c>
      <c r="I374" s="14" t="s">
        <v>774</v>
      </c>
      <c r="J374" s="17">
        <v>160</v>
      </c>
      <c r="K374" s="17">
        <v>255</v>
      </c>
      <c r="L374" s="21">
        <v>0.62745098039215685</v>
      </c>
      <c r="M374" s="22">
        <v>7</v>
      </c>
      <c r="N374" s="96"/>
      <c r="O374" s="96"/>
      <c r="P374" s="96"/>
    </row>
    <row r="375" spans="1:16" s="2" customFormat="1" ht="21" hidden="1" customHeight="1">
      <c r="A375" s="17">
        <v>201710</v>
      </c>
      <c r="B375" s="14" t="s">
        <v>389</v>
      </c>
      <c r="C375" s="14" t="s">
        <v>26</v>
      </c>
      <c r="D375" s="15">
        <v>43129</v>
      </c>
      <c r="E375" s="88" t="s">
        <v>679</v>
      </c>
      <c r="F375" s="17">
        <v>1668</v>
      </c>
      <c r="G375" s="16">
        <v>43138</v>
      </c>
      <c r="H375" s="14" t="s">
        <v>717</v>
      </c>
      <c r="I375" s="14" t="s">
        <v>774</v>
      </c>
      <c r="J375" s="17">
        <v>160</v>
      </c>
      <c r="K375" s="17">
        <v>255</v>
      </c>
      <c r="L375" s="21">
        <v>0.62745098039215685</v>
      </c>
      <c r="M375" s="22">
        <v>7</v>
      </c>
      <c r="N375" s="96"/>
      <c r="O375" s="96"/>
      <c r="P375" s="96"/>
    </row>
    <row r="376" spans="1:16" s="2" customFormat="1" ht="21" hidden="1" customHeight="1" thickBot="1">
      <c r="A376" s="17">
        <v>201711</v>
      </c>
      <c r="B376" s="14" t="s">
        <v>390</v>
      </c>
      <c r="C376" s="14" t="s">
        <v>26</v>
      </c>
      <c r="D376" s="15">
        <v>43130</v>
      </c>
      <c r="E376" s="88" t="s">
        <v>679</v>
      </c>
      <c r="F376" s="17">
        <v>3740</v>
      </c>
      <c r="G376" s="16">
        <v>43147</v>
      </c>
      <c r="H376" s="14" t="s">
        <v>718</v>
      </c>
      <c r="I376" s="14" t="s">
        <v>774</v>
      </c>
      <c r="J376" s="17">
        <v>160</v>
      </c>
      <c r="K376" s="17">
        <v>255</v>
      </c>
      <c r="L376" s="21">
        <v>0.62745098039215685</v>
      </c>
      <c r="M376" s="22">
        <v>7</v>
      </c>
      <c r="N376" s="96"/>
      <c r="O376" s="96"/>
      <c r="P376" s="96"/>
    </row>
    <row r="377" spans="1:16" s="2" customFormat="1" ht="21" hidden="1" customHeight="1" thickTop="1" thickBot="1">
      <c r="A377" s="17"/>
      <c r="B377" s="14"/>
      <c r="C377" s="14"/>
      <c r="D377" s="15"/>
      <c r="E377" s="88"/>
      <c r="F377" s="39">
        <f>SUM(F353:F376)</f>
        <v>34860</v>
      </c>
      <c r="G377" s="27"/>
      <c r="H377" s="14"/>
      <c r="I377" s="14"/>
      <c r="J377" s="17"/>
      <c r="K377" s="17"/>
      <c r="L377" s="21"/>
      <c r="M377" s="22"/>
      <c r="N377" s="96"/>
      <c r="O377" s="96"/>
      <c r="P377" s="96"/>
    </row>
    <row r="378" spans="1:16" s="2" customFormat="1" ht="21" customHeight="1">
      <c r="A378" s="17">
        <v>201712</v>
      </c>
      <c r="B378" s="14" t="s">
        <v>823</v>
      </c>
      <c r="C378" s="14" t="s">
        <v>25</v>
      </c>
      <c r="D378" s="15">
        <v>43102</v>
      </c>
      <c r="E378" s="88" t="s">
        <v>795</v>
      </c>
      <c r="F378" s="17">
        <v>5236</v>
      </c>
      <c r="G378" s="16">
        <v>43110</v>
      </c>
      <c r="H378" s="14" t="s">
        <v>717</v>
      </c>
      <c r="I378" s="14" t="s">
        <v>796</v>
      </c>
      <c r="J378" s="17">
        <v>210</v>
      </c>
      <c r="K378" s="17">
        <v>137</v>
      </c>
      <c r="L378" s="21">
        <v>1.53</v>
      </c>
      <c r="M378" s="22">
        <v>2</v>
      </c>
      <c r="N378" s="96">
        <f>F378/$F$631</f>
        <v>0.47307553306830502</v>
      </c>
      <c r="O378" s="96">
        <f>L378*N378</f>
        <v>0.72380556559450671</v>
      </c>
      <c r="P378" s="96"/>
    </row>
    <row r="379" spans="1:16" s="2" customFormat="1" ht="21" customHeight="1">
      <c r="A379" s="17">
        <v>201709</v>
      </c>
      <c r="B379" s="14" t="s">
        <v>391</v>
      </c>
      <c r="C379" s="14" t="s">
        <v>25</v>
      </c>
      <c r="D379" s="15">
        <v>43105</v>
      </c>
      <c r="E379" s="88" t="s">
        <v>680</v>
      </c>
      <c r="F379" s="17">
        <v>1908</v>
      </c>
      <c r="G379" s="16">
        <v>43110</v>
      </c>
      <c r="H379" s="14" t="s">
        <v>717</v>
      </c>
      <c r="I379" s="14" t="s">
        <v>775</v>
      </c>
      <c r="J379" s="17">
        <v>200</v>
      </c>
      <c r="K379" s="17">
        <v>157</v>
      </c>
      <c r="L379" s="21">
        <v>1.2738853503184713</v>
      </c>
      <c r="M379" s="22">
        <v>2</v>
      </c>
      <c r="N379" s="96">
        <f t="shared" ref="N379:N381" si="55">F379/$F$631</f>
        <v>0.17238886881098664</v>
      </c>
      <c r="O379" s="96">
        <f t="shared" ref="O379:O381" si="56">L379*N379</f>
        <v>0.21960365453628869</v>
      </c>
      <c r="P379" s="96"/>
    </row>
    <row r="380" spans="1:16" s="2" customFormat="1" ht="21" customHeight="1">
      <c r="A380" s="17">
        <v>201709</v>
      </c>
      <c r="B380" s="14" t="s">
        <v>392</v>
      </c>
      <c r="C380" s="14" t="s">
        <v>25</v>
      </c>
      <c r="D380" s="15">
        <v>43105</v>
      </c>
      <c r="E380" s="88" t="s">
        <v>681</v>
      </c>
      <c r="F380" s="17">
        <v>192</v>
      </c>
      <c r="G380" s="16">
        <v>43118</v>
      </c>
      <c r="H380" s="14" t="s">
        <v>717</v>
      </c>
      <c r="I380" s="14" t="s">
        <v>775</v>
      </c>
      <c r="J380" s="17">
        <v>200</v>
      </c>
      <c r="K380" s="17">
        <v>157</v>
      </c>
      <c r="L380" s="21">
        <v>1.2738853503184713</v>
      </c>
      <c r="M380" s="22">
        <v>2</v>
      </c>
      <c r="N380" s="96">
        <f t="shared" si="55"/>
        <v>1.734730755330683E-2</v>
      </c>
      <c r="O380" s="96">
        <f t="shared" si="56"/>
        <v>2.2098480959626535E-2</v>
      </c>
      <c r="P380" s="96"/>
    </row>
    <row r="381" spans="1:16" s="2" customFormat="1" ht="21" customHeight="1">
      <c r="A381" s="17">
        <v>201709</v>
      </c>
      <c r="B381" s="14" t="s">
        <v>393</v>
      </c>
      <c r="C381" s="14" t="s">
        <v>25</v>
      </c>
      <c r="D381" s="15">
        <v>43106</v>
      </c>
      <c r="E381" s="88" t="s">
        <v>680</v>
      </c>
      <c r="F381" s="17">
        <v>132</v>
      </c>
      <c r="G381" s="16">
        <v>43118</v>
      </c>
      <c r="H381" s="14" t="s">
        <v>717</v>
      </c>
      <c r="I381" s="14" t="s">
        <v>775</v>
      </c>
      <c r="J381" s="17">
        <v>200</v>
      </c>
      <c r="K381" s="17">
        <v>157</v>
      </c>
      <c r="L381" s="21">
        <v>1.2738853503184713</v>
      </c>
      <c r="M381" s="22">
        <v>2</v>
      </c>
      <c r="N381" s="96">
        <f t="shared" si="55"/>
        <v>1.1926273942898446E-2</v>
      </c>
      <c r="O381" s="96">
        <f t="shared" si="56"/>
        <v>1.5192705659743243E-2</v>
      </c>
      <c r="P381" s="96"/>
    </row>
    <row r="382" spans="1:16" s="2" customFormat="1" ht="21" customHeight="1">
      <c r="A382" s="17">
        <v>201710</v>
      </c>
      <c r="B382" s="14" t="s">
        <v>394</v>
      </c>
      <c r="C382" s="14" t="s">
        <v>25</v>
      </c>
      <c r="D382" s="15">
        <v>43106</v>
      </c>
      <c r="E382" s="88" t="s">
        <v>682</v>
      </c>
      <c r="F382" s="17">
        <v>4800</v>
      </c>
      <c r="G382" s="16">
        <v>43128</v>
      </c>
      <c r="H382" s="14" t="s">
        <v>718</v>
      </c>
      <c r="I382" s="14" t="s">
        <v>776</v>
      </c>
      <c r="J382" s="17">
        <v>190</v>
      </c>
      <c r="K382" s="17">
        <v>165</v>
      </c>
      <c r="L382" s="21">
        <v>1.1515151515151516</v>
      </c>
      <c r="M382" s="22">
        <v>3</v>
      </c>
      <c r="N382" s="96">
        <f>F382/$F$632</f>
        <v>0.4</v>
      </c>
      <c r="O382" s="96">
        <f>L382*N382</f>
        <v>0.46060606060606069</v>
      </c>
      <c r="P382" s="96"/>
    </row>
    <row r="383" spans="1:16" s="2" customFormat="1" ht="21" customHeight="1">
      <c r="A383" s="17">
        <v>201710</v>
      </c>
      <c r="B383" s="14" t="s">
        <v>395</v>
      </c>
      <c r="C383" s="14" t="s">
        <v>25</v>
      </c>
      <c r="D383" s="15">
        <v>43111</v>
      </c>
      <c r="E383" s="88" t="s">
        <v>683</v>
      </c>
      <c r="F383" s="17">
        <v>3444</v>
      </c>
      <c r="G383" s="16">
        <v>43125</v>
      </c>
      <c r="H383" s="14" t="s">
        <v>718</v>
      </c>
      <c r="I383" s="14" t="s">
        <v>777</v>
      </c>
      <c r="J383" s="17">
        <v>180</v>
      </c>
      <c r="K383" s="17">
        <v>163</v>
      </c>
      <c r="L383" s="21">
        <v>1.1042944785276074</v>
      </c>
      <c r="M383" s="22">
        <v>4</v>
      </c>
      <c r="N383" s="96"/>
      <c r="O383" s="96"/>
      <c r="P383" s="96"/>
    </row>
    <row r="384" spans="1:16" s="2" customFormat="1" ht="21" customHeight="1">
      <c r="A384" s="17">
        <v>201710</v>
      </c>
      <c r="B384" s="14" t="s">
        <v>396</v>
      </c>
      <c r="C384" s="14" t="s">
        <v>25</v>
      </c>
      <c r="D384" s="15">
        <v>43113</v>
      </c>
      <c r="E384" s="88" t="s">
        <v>684</v>
      </c>
      <c r="F384" s="17">
        <v>2184</v>
      </c>
      <c r="G384" s="16">
        <v>43125</v>
      </c>
      <c r="H384" s="14" t="s">
        <v>718</v>
      </c>
      <c r="I384" s="14" t="s">
        <v>778</v>
      </c>
      <c r="J384" s="17">
        <v>165</v>
      </c>
      <c r="K384" s="17">
        <v>185</v>
      </c>
      <c r="L384" s="21">
        <v>0.89189189189189189</v>
      </c>
      <c r="M384" s="22">
        <v>5</v>
      </c>
      <c r="N384" s="96">
        <f>F384/$F$633</f>
        <v>0.19347980155917788</v>
      </c>
      <c r="O384" s="96">
        <f>L384*N384</f>
        <v>0.17256306625548298</v>
      </c>
      <c r="P384" s="96"/>
    </row>
    <row r="385" spans="1:16" s="2" customFormat="1" ht="21" customHeight="1">
      <c r="A385" s="17">
        <v>201710</v>
      </c>
      <c r="B385" s="14" t="s">
        <v>397</v>
      </c>
      <c r="C385" s="14" t="s">
        <v>25</v>
      </c>
      <c r="D385" s="15">
        <v>43116</v>
      </c>
      <c r="E385" s="88" t="s">
        <v>685</v>
      </c>
      <c r="F385" s="17">
        <v>3600</v>
      </c>
      <c r="G385" s="16">
        <v>43128</v>
      </c>
      <c r="H385" s="14" t="s">
        <v>718</v>
      </c>
      <c r="I385" s="14" t="s">
        <v>779</v>
      </c>
      <c r="J385" s="17">
        <v>160</v>
      </c>
      <c r="K385" s="17">
        <v>185</v>
      </c>
      <c r="L385" s="21">
        <v>0.86486486486486491</v>
      </c>
      <c r="M385" s="22">
        <v>5</v>
      </c>
      <c r="N385" s="96">
        <f t="shared" ref="N385:N387" si="57">F385/$F$633</f>
        <v>0.31892274982282071</v>
      </c>
      <c r="O385" s="96">
        <f t="shared" ref="O385:O387" si="58">L385*N385</f>
        <v>0.27582508092784497</v>
      </c>
      <c r="P385" s="96"/>
    </row>
    <row r="386" spans="1:16" s="2" customFormat="1" ht="21" customHeight="1">
      <c r="A386" s="17">
        <v>201711</v>
      </c>
      <c r="B386" s="14" t="s">
        <v>398</v>
      </c>
      <c r="C386" s="14" t="s">
        <v>25</v>
      </c>
      <c r="D386" s="15">
        <v>43119</v>
      </c>
      <c r="E386" s="88" t="s">
        <v>685</v>
      </c>
      <c r="F386" s="17">
        <v>1824</v>
      </c>
      <c r="G386" s="16">
        <v>43149</v>
      </c>
      <c r="H386" s="14" t="s">
        <v>718</v>
      </c>
      <c r="I386" s="14" t="s">
        <v>779</v>
      </c>
      <c r="J386" s="17">
        <v>160</v>
      </c>
      <c r="K386" s="17">
        <v>185</v>
      </c>
      <c r="L386" s="21">
        <v>0.86486486486486491</v>
      </c>
      <c r="M386" s="22">
        <v>5</v>
      </c>
      <c r="N386" s="96">
        <f t="shared" si="57"/>
        <v>0.16158752657689582</v>
      </c>
      <c r="O386" s="96">
        <f t="shared" si="58"/>
        <v>0.13975137433677476</v>
      </c>
      <c r="P386" s="96"/>
    </row>
    <row r="387" spans="1:16" s="2" customFormat="1" ht="21" customHeight="1">
      <c r="A387" s="17">
        <v>201711</v>
      </c>
      <c r="B387" s="14" t="s">
        <v>399</v>
      </c>
      <c r="C387" s="14" t="s">
        <v>25</v>
      </c>
      <c r="D387" s="15">
        <v>43120</v>
      </c>
      <c r="E387" s="88" t="s">
        <v>685</v>
      </c>
      <c r="F387" s="17">
        <v>2400</v>
      </c>
      <c r="G387" s="16">
        <v>43160</v>
      </c>
      <c r="H387" s="14" t="s">
        <v>718</v>
      </c>
      <c r="I387" s="14" t="s">
        <v>779</v>
      </c>
      <c r="J387" s="17">
        <v>160</v>
      </c>
      <c r="K387" s="17">
        <v>185</v>
      </c>
      <c r="L387" s="21">
        <v>0.86486486486486491</v>
      </c>
      <c r="M387" s="22">
        <v>5</v>
      </c>
      <c r="N387" s="96">
        <f t="shared" si="57"/>
        <v>0.21261516654854712</v>
      </c>
      <c r="O387" s="96">
        <f t="shared" si="58"/>
        <v>0.18388338728522996</v>
      </c>
      <c r="P387" s="96"/>
    </row>
    <row r="388" spans="1:16" s="2" customFormat="1" ht="21" customHeight="1">
      <c r="A388" s="17">
        <v>201711</v>
      </c>
      <c r="B388" s="14" t="s">
        <v>400</v>
      </c>
      <c r="C388" s="14" t="s">
        <v>25</v>
      </c>
      <c r="D388" s="15">
        <v>43123</v>
      </c>
      <c r="E388" s="88" t="s">
        <v>686</v>
      </c>
      <c r="F388" s="17">
        <v>7200</v>
      </c>
      <c r="G388" s="16">
        <v>43160</v>
      </c>
      <c r="H388" s="14" t="s">
        <v>718</v>
      </c>
      <c r="I388" s="14" t="s">
        <v>780</v>
      </c>
      <c r="J388" s="17">
        <v>200</v>
      </c>
      <c r="K388" s="17">
        <v>171</v>
      </c>
      <c r="L388" s="21">
        <v>1.1695906432748537</v>
      </c>
      <c r="M388" s="22">
        <v>3</v>
      </c>
      <c r="N388" s="96">
        <f>F388/$F$632</f>
        <v>0.6</v>
      </c>
      <c r="O388" s="96">
        <f>L388*N388</f>
        <v>0.70175438596491224</v>
      </c>
      <c r="P388" s="96"/>
    </row>
    <row r="389" spans="1:16" s="2" customFormat="1" ht="21" customHeight="1">
      <c r="A389" s="17">
        <v>201711</v>
      </c>
      <c r="B389" s="14" t="s">
        <v>401</v>
      </c>
      <c r="C389" s="14" t="s">
        <v>25</v>
      </c>
      <c r="D389" s="15">
        <v>43127</v>
      </c>
      <c r="E389" s="88" t="s">
        <v>687</v>
      </c>
      <c r="F389" s="17">
        <v>3600</v>
      </c>
      <c r="G389" s="16">
        <v>43160</v>
      </c>
      <c r="H389" s="14" t="s">
        <v>718</v>
      </c>
      <c r="I389" s="14" t="s">
        <v>780</v>
      </c>
      <c r="J389" s="17">
        <v>220</v>
      </c>
      <c r="K389" s="17">
        <v>171</v>
      </c>
      <c r="L389" s="21">
        <v>1.2865497076023391</v>
      </c>
      <c r="M389" s="22">
        <v>2</v>
      </c>
      <c r="N389" s="96">
        <f>F389/$F$631</f>
        <v>0.32526201662450305</v>
      </c>
      <c r="O389" s="96">
        <f>L389*N389</f>
        <v>0.41846575238240158</v>
      </c>
      <c r="P389" s="96"/>
    </row>
    <row r="390" spans="1:16" s="2" customFormat="1" ht="21" customHeight="1">
      <c r="A390" s="17">
        <v>201711</v>
      </c>
      <c r="B390" s="14" t="s">
        <v>402</v>
      </c>
      <c r="C390" s="14" t="s">
        <v>25</v>
      </c>
      <c r="D390" s="15">
        <v>43131</v>
      </c>
      <c r="E390" s="88" t="s">
        <v>688</v>
      </c>
      <c r="F390" s="17">
        <v>1280</v>
      </c>
      <c r="G390" s="16">
        <v>43160</v>
      </c>
      <c r="H390" s="14" t="s">
        <v>718</v>
      </c>
      <c r="I390" s="14" t="s">
        <v>781</v>
      </c>
      <c r="J390" s="17">
        <v>160</v>
      </c>
      <c r="K390" s="17">
        <v>181</v>
      </c>
      <c r="L390" s="21">
        <v>0.88397790055248615</v>
      </c>
      <c r="M390" s="22">
        <v>5</v>
      </c>
      <c r="N390" s="96">
        <f>F390/$F$633</f>
        <v>0.11339475549255847</v>
      </c>
      <c r="O390" s="96">
        <f>L390*N390</f>
        <v>0.10023845789397433</v>
      </c>
      <c r="P390" s="96"/>
    </row>
    <row r="391" spans="1:16" s="2" customFormat="1" ht="21" hidden="1" customHeight="1">
      <c r="A391" s="17"/>
      <c r="B391" s="14"/>
      <c r="C391" s="14"/>
      <c r="D391" s="15"/>
      <c r="E391" s="88"/>
      <c r="F391" s="39">
        <f>SUM(F378:F390)</f>
        <v>37800</v>
      </c>
      <c r="G391" s="17"/>
      <c r="H391" s="14"/>
      <c r="I391" s="14"/>
      <c r="J391" s="17"/>
      <c r="K391" s="17"/>
      <c r="L391" s="21"/>
      <c r="M391" s="22"/>
      <c r="N391" s="96"/>
      <c r="O391" s="96"/>
      <c r="P391" s="96"/>
    </row>
    <row r="392" spans="1:16" s="2" customFormat="1" ht="21" hidden="1" customHeight="1">
      <c r="A392" s="17">
        <v>201712</v>
      </c>
      <c r="B392" s="14" t="s">
        <v>825</v>
      </c>
      <c r="C392" s="107" t="s">
        <v>1360</v>
      </c>
      <c r="D392" s="15">
        <v>43102</v>
      </c>
      <c r="E392" s="88" t="s">
        <v>795</v>
      </c>
      <c r="F392" s="17">
        <v>7160</v>
      </c>
      <c r="G392" s="16">
        <v>43110</v>
      </c>
      <c r="H392" s="14" t="s">
        <v>717</v>
      </c>
      <c r="I392" s="14" t="s">
        <v>796</v>
      </c>
      <c r="J392" s="17">
        <v>210</v>
      </c>
      <c r="K392" s="17">
        <v>137</v>
      </c>
      <c r="L392" s="21">
        <v>1.53</v>
      </c>
      <c r="M392" s="22">
        <v>2</v>
      </c>
      <c r="N392" s="96">
        <f>F392/$F$634</f>
        <v>0.16391941391941392</v>
      </c>
      <c r="O392" s="96">
        <f>L392*N392</f>
        <v>0.25079670329670328</v>
      </c>
      <c r="P392" s="96"/>
    </row>
    <row r="393" spans="1:16" s="2" customFormat="1" ht="21" hidden="1" customHeight="1">
      <c r="A393" s="17">
        <v>201710</v>
      </c>
      <c r="B393" s="14" t="s">
        <v>403</v>
      </c>
      <c r="C393" s="14" t="s">
        <v>24</v>
      </c>
      <c r="D393" s="15">
        <v>43106</v>
      </c>
      <c r="E393" s="88" t="s">
        <v>689</v>
      </c>
      <c r="F393" s="17">
        <v>1272</v>
      </c>
      <c r="G393" s="16">
        <v>43127</v>
      </c>
      <c r="H393" s="14" t="s">
        <v>717</v>
      </c>
      <c r="I393" s="14" t="s">
        <v>757</v>
      </c>
      <c r="J393" s="17">
        <v>210</v>
      </c>
      <c r="K393" s="17">
        <v>143</v>
      </c>
      <c r="L393" s="21">
        <v>1.4685314685314685</v>
      </c>
      <c r="M393" s="22">
        <v>2</v>
      </c>
      <c r="N393" s="96">
        <f t="shared" ref="N393:N399" si="59">F393/$F$634</f>
        <v>2.9120879120879122E-2</v>
      </c>
      <c r="O393" s="96">
        <f t="shared" ref="O393:O399" si="60">L393*N393</f>
        <v>4.2764927380311998E-2</v>
      </c>
      <c r="P393" s="96"/>
    </row>
    <row r="394" spans="1:16" s="2" customFormat="1" ht="21" hidden="1" customHeight="1">
      <c r="A394" s="17">
        <v>201710</v>
      </c>
      <c r="B394" s="14" t="s">
        <v>404</v>
      </c>
      <c r="C394" s="14" t="s">
        <v>24</v>
      </c>
      <c r="D394" s="15">
        <v>43108</v>
      </c>
      <c r="E394" s="88" t="s">
        <v>690</v>
      </c>
      <c r="F394" s="17">
        <v>672</v>
      </c>
      <c r="G394" s="16">
        <v>43155</v>
      </c>
      <c r="H394" s="14" t="s">
        <v>718</v>
      </c>
      <c r="I394" s="14" t="s">
        <v>757</v>
      </c>
      <c r="J394" s="17">
        <v>210</v>
      </c>
      <c r="K394" s="17">
        <v>143</v>
      </c>
      <c r="L394" s="21">
        <v>1.4685314685314685</v>
      </c>
      <c r="M394" s="22">
        <v>2</v>
      </c>
      <c r="N394" s="96">
        <f t="shared" si="59"/>
        <v>1.5384615384615385E-2</v>
      </c>
      <c r="O394" s="96">
        <f t="shared" si="60"/>
        <v>2.2592791823561057E-2</v>
      </c>
      <c r="P394" s="96"/>
    </row>
    <row r="395" spans="1:16" s="2" customFormat="1" ht="21" hidden="1" customHeight="1">
      <c r="A395" s="17">
        <v>201710</v>
      </c>
      <c r="B395" s="14" t="s">
        <v>405</v>
      </c>
      <c r="C395" s="14" t="s">
        <v>24</v>
      </c>
      <c r="D395" s="15">
        <v>43108</v>
      </c>
      <c r="E395" s="88" t="s">
        <v>638</v>
      </c>
      <c r="F395" s="17">
        <v>1980</v>
      </c>
      <c r="G395" s="16">
        <v>43138</v>
      </c>
      <c r="H395" s="14" t="s">
        <v>717</v>
      </c>
      <c r="I395" s="14" t="s">
        <v>757</v>
      </c>
      <c r="J395" s="17">
        <v>210</v>
      </c>
      <c r="K395" s="17">
        <v>143</v>
      </c>
      <c r="L395" s="21">
        <v>1.4685314685314685</v>
      </c>
      <c r="M395" s="22">
        <v>2</v>
      </c>
      <c r="N395" s="96">
        <f t="shared" si="59"/>
        <v>4.5329670329670328E-2</v>
      </c>
      <c r="O395" s="96">
        <f t="shared" si="60"/>
        <v>6.65680473372781E-2</v>
      </c>
      <c r="P395" s="96"/>
    </row>
    <row r="396" spans="1:16" s="2" customFormat="1" ht="21" hidden="1" customHeight="1">
      <c r="A396" s="17">
        <v>201710</v>
      </c>
      <c r="B396" s="14" t="s">
        <v>406</v>
      </c>
      <c r="C396" s="14" t="s">
        <v>24</v>
      </c>
      <c r="D396" s="15">
        <v>43109</v>
      </c>
      <c r="E396" s="88" t="s">
        <v>638</v>
      </c>
      <c r="F396" s="17">
        <v>1572</v>
      </c>
      <c r="G396" s="16">
        <v>43138</v>
      </c>
      <c r="H396" s="14" t="s">
        <v>717</v>
      </c>
      <c r="I396" s="14" t="s">
        <v>757</v>
      </c>
      <c r="J396" s="17">
        <v>210</v>
      </c>
      <c r="K396" s="17">
        <v>143</v>
      </c>
      <c r="L396" s="21">
        <v>1.4685314685314685</v>
      </c>
      <c r="M396" s="22">
        <v>2</v>
      </c>
      <c r="N396" s="96">
        <f t="shared" si="59"/>
        <v>3.5989010989010986E-2</v>
      </c>
      <c r="O396" s="96">
        <f t="shared" si="60"/>
        <v>5.2850995158687464E-2</v>
      </c>
      <c r="P396" s="96"/>
    </row>
    <row r="397" spans="1:16" s="2" customFormat="1" ht="21" hidden="1" customHeight="1">
      <c r="A397" s="17">
        <v>201711</v>
      </c>
      <c r="B397" s="14" t="s">
        <v>407</v>
      </c>
      <c r="C397" s="14" t="s">
        <v>24</v>
      </c>
      <c r="D397" s="15">
        <v>43110</v>
      </c>
      <c r="E397" s="88" t="s">
        <v>691</v>
      </c>
      <c r="F397" s="17">
        <v>4812</v>
      </c>
      <c r="G397" s="16">
        <v>43155</v>
      </c>
      <c r="H397" s="14" t="s">
        <v>717</v>
      </c>
      <c r="I397" s="14" t="s">
        <v>782</v>
      </c>
      <c r="J397" s="17">
        <v>210</v>
      </c>
      <c r="K397" s="17">
        <v>149</v>
      </c>
      <c r="L397" s="21">
        <v>1.4093959731543624</v>
      </c>
      <c r="M397" s="22">
        <v>2</v>
      </c>
      <c r="N397" s="96">
        <f t="shared" si="59"/>
        <v>0.11016483516483516</v>
      </c>
      <c r="O397" s="96">
        <f t="shared" si="60"/>
        <v>0.15526587506453277</v>
      </c>
      <c r="P397" s="96"/>
    </row>
    <row r="398" spans="1:16" s="2" customFormat="1" ht="21" hidden="1" customHeight="1">
      <c r="A398" s="17">
        <v>201710</v>
      </c>
      <c r="B398" s="14" t="s">
        <v>408</v>
      </c>
      <c r="C398" s="14" t="s">
        <v>24</v>
      </c>
      <c r="D398" s="15">
        <v>43113</v>
      </c>
      <c r="E398" s="88" t="s">
        <v>692</v>
      </c>
      <c r="F398" s="17">
        <v>660</v>
      </c>
      <c r="G398" s="16">
        <v>43160</v>
      </c>
      <c r="H398" s="14" t="s">
        <v>733</v>
      </c>
      <c r="I398" s="14" t="s">
        <v>757</v>
      </c>
      <c r="J398" s="17">
        <v>210</v>
      </c>
      <c r="K398" s="17">
        <v>143</v>
      </c>
      <c r="L398" s="21">
        <v>1.4685314685314685</v>
      </c>
      <c r="M398" s="22">
        <v>2</v>
      </c>
      <c r="N398" s="96">
        <f t="shared" si="59"/>
        <v>1.510989010989011E-2</v>
      </c>
      <c r="O398" s="96">
        <f t="shared" si="60"/>
        <v>2.2189349112426034E-2</v>
      </c>
      <c r="P398" s="96"/>
    </row>
    <row r="399" spans="1:16" s="2" customFormat="1" ht="21" hidden="1" customHeight="1">
      <c r="A399" s="17"/>
      <c r="B399" s="14"/>
      <c r="C399" s="50" t="s">
        <v>24</v>
      </c>
      <c r="D399" s="51" t="s">
        <v>824</v>
      </c>
      <c r="E399" s="89" t="s">
        <v>806</v>
      </c>
      <c r="F399" s="52">
        <v>25552</v>
      </c>
      <c r="G399" s="53" t="s">
        <v>1342</v>
      </c>
      <c r="H399" s="50"/>
      <c r="I399" s="14"/>
      <c r="J399" s="17">
        <v>210</v>
      </c>
      <c r="K399" s="17">
        <v>143</v>
      </c>
      <c r="L399" s="21">
        <v>1.4685314685314685</v>
      </c>
      <c r="M399" s="22">
        <v>2</v>
      </c>
      <c r="N399" s="96">
        <f t="shared" si="59"/>
        <v>0.58498168498168501</v>
      </c>
      <c r="O399" s="96">
        <f t="shared" si="60"/>
        <v>0.85906401291016676</v>
      </c>
      <c r="P399" s="96"/>
    </row>
    <row r="400" spans="1:16" s="2" customFormat="1" ht="21" hidden="1" customHeight="1">
      <c r="A400" s="17"/>
      <c r="B400" s="14"/>
      <c r="C400" s="14"/>
      <c r="D400" s="15"/>
      <c r="E400" s="88"/>
      <c r="F400" s="39">
        <f>SUM(F392:F399)</f>
        <v>43680</v>
      </c>
      <c r="G400" s="17"/>
      <c r="H400" s="14"/>
      <c r="I400" s="14"/>
      <c r="J400" s="17"/>
      <c r="K400" s="17"/>
      <c r="L400" s="21"/>
      <c r="M400" s="22"/>
      <c r="N400" s="96"/>
      <c r="O400" s="96"/>
      <c r="P400" s="96"/>
    </row>
    <row r="401" spans="1:16" s="2" customFormat="1" ht="21" hidden="1" customHeight="1">
      <c r="A401" s="17">
        <v>201710</v>
      </c>
      <c r="B401" s="14" t="s">
        <v>829</v>
      </c>
      <c r="C401" s="14" t="s">
        <v>23</v>
      </c>
      <c r="D401" s="15">
        <v>42737</v>
      </c>
      <c r="E401" s="88" t="s">
        <v>695</v>
      </c>
      <c r="F401" s="17">
        <v>300</v>
      </c>
      <c r="G401" s="16">
        <v>43127</v>
      </c>
      <c r="H401" s="14" t="s">
        <v>717</v>
      </c>
      <c r="I401" s="14" t="s">
        <v>783</v>
      </c>
      <c r="J401" s="17">
        <v>180</v>
      </c>
      <c r="K401" s="17">
        <v>208</v>
      </c>
      <c r="L401" s="21">
        <v>0.86538461538461542</v>
      </c>
      <c r="M401" s="22">
        <v>5</v>
      </c>
      <c r="N401" s="96">
        <f>F401/$F$635</f>
        <v>8.4099573895492271E-3</v>
      </c>
      <c r="O401" s="96">
        <f>L401*N401</f>
        <v>7.2778477409560626E-3</v>
      </c>
      <c r="P401" s="96"/>
    </row>
    <row r="402" spans="1:16" s="2" customFormat="1" ht="21" hidden="1" customHeight="1">
      <c r="A402" s="17">
        <v>201710</v>
      </c>
      <c r="B402" s="14" t="s">
        <v>828</v>
      </c>
      <c r="C402" s="14" t="s">
        <v>23</v>
      </c>
      <c r="D402" s="15">
        <v>42737</v>
      </c>
      <c r="E402" s="88" t="s">
        <v>695</v>
      </c>
      <c r="F402" s="17">
        <v>204</v>
      </c>
      <c r="G402" s="16">
        <v>43127</v>
      </c>
      <c r="H402" s="14" t="s">
        <v>717</v>
      </c>
      <c r="I402" s="14" t="s">
        <v>783</v>
      </c>
      <c r="J402" s="17">
        <v>180</v>
      </c>
      <c r="K402" s="17">
        <v>208</v>
      </c>
      <c r="L402" s="21">
        <v>0.86538461538461542</v>
      </c>
      <c r="M402" s="22">
        <v>5</v>
      </c>
      <c r="N402" s="96">
        <f t="shared" ref="N402:N432" si="61">F402/$F$635</f>
        <v>5.7187710248934737E-3</v>
      </c>
      <c r="O402" s="96">
        <f t="shared" ref="O402:O432" si="62">L402*N402</f>
        <v>4.9489364638501216E-3</v>
      </c>
      <c r="P402" s="96"/>
    </row>
    <row r="403" spans="1:16" s="2" customFormat="1" ht="21" hidden="1" customHeight="1">
      <c r="A403" s="17">
        <v>201710</v>
      </c>
      <c r="B403" s="14" t="s">
        <v>827</v>
      </c>
      <c r="C403" s="14" t="s">
        <v>23</v>
      </c>
      <c r="D403" s="15">
        <v>42737</v>
      </c>
      <c r="E403" s="88" t="s">
        <v>695</v>
      </c>
      <c r="F403" s="17">
        <v>180</v>
      </c>
      <c r="G403" s="16">
        <v>43127</v>
      </c>
      <c r="H403" s="14" t="s">
        <v>717</v>
      </c>
      <c r="I403" s="14" t="s">
        <v>783</v>
      </c>
      <c r="J403" s="17">
        <v>180</v>
      </c>
      <c r="K403" s="17">
        <v>208</v>
      </c>
      <c r="L403" s="21">
        <v>0.86538461538461542</v>
      </c>
      <c r="M403" s="22">
        <v>5</v>
      </c>
      <c r="N403" s="96">
        <f t="shared" si="61"/>
        <v>5.0459744337295357E-3</v>
      </c>
      <c r="O403" s="96">
        <f t="shared" si="62"/>
        <v>4.366708644573637E-3</v>
      </c>
      <c r="P403" s="96"/>
    </row>
    <row r="404" spans="1:16" s="2" customFormat="1" ht="21" hidden="1" customHeight="1">
      <c r="A404" s="17">
        <v>201710</v>
      </c>
      <c r="B404" s="14" t="s">
        <v>826</v>
      </c>
      <c r="C404" s="14" t="s">
        <v>23</v>
      </c>
      <c r="D404" s="15">
        <v>42737</v>
      </c>
      <c r="E404" s="88" t="s">
        <v>695</v>
      </c>
      <c r="F404" s="17">
        <v>216</v>
      </c>
      <c r="G404" s="16">
        <v>43130</v>
      </c>
      <c r="H404" s="14" t="s">
        <v>719</v>
      </c>
      <c r="I404" s="14" t="s">
        <v>783</v>
      </c>
      <c r="J404" s="17">
        <v>180</v>
      </c>
      <c r="K404" s="17">
        <v>208</v>
      </c>
      <c r="L404" s="21">
        <v>0.86538461538461542</v>
      </c>
      <c r="M404" s="22">
        <v>5</v>
      </c>
      <c r="N404" s="96">
        <f t="shared" si="61"/>
        <v>6.0551693204754431E-3</v>
      </c>
      <c r="O404" s="96">
        <f t="shared" si="62"/>
        <v>5.2400503734883648E-3</v>
      </c>
      <c r="P404" s="96"/>
    </row>
    <row r="405" spans="1:16" s="2" customFormat="1" ht="21" hidden="1" customHeight="1">
      <c r="A405" s="17">
        <v>201710</v>
      </c>
      <c r="B405" s="14" t="s">
        <v>830</v>
      </c>
      <c r="C405" s="14" t="s">
        <v>23</v>
      </c>
      <c r="D405" s="15">
        <v>42738</v>
      </c>
      <c r="E405" s="88" t="s">
        <v>695</v>
      </c>
      <c r="F405" s="17">
        <v>384</v>
      </c>
      <c r="G405" s="16">
        <v>43125</v>
      </c>
      <c r="H405" s="14" t="s">
        <v>718</v>
      </c>
      <c r="I405" s="14" t="s">
        <v>783</v>
      </c>
      <c r="J405" s="17">
        <v>180</v>
      </c>
      <c r="K405" s="17">
        <v>208</v>
      </c>
      <c r="L405" s="21">
        <v>0.86538461538461542</v>
      </c>
      <c r="M405" s="22">
        <v>5</v>
      </c>
      <c r="N405" s="96">
        <f t="shared" si="61"/>
        <v>1.076474545862301E-2</v>
      </c>
      <c r="O405" s="96">
        <f t="shared" si="62"/>
        <v>9.3156451084237587E-3</v>
      </c>
      <c r="P405" s="96"/>
    </row>
    <row r="406" spans="1:16" s="2" customFormat="1" ht="21" hidden="1" customHeight="1">
      <c r="A406" s="17">
        <v>201710</v>
      </c>
      <c r="B406" s="14" t="s">
        <v>831</v>
      </c>
      <c r="C406" s="14" t="s">
        <v>23</v>
      </c>
      <c r="D406" s="15">
        <v>42738</v>
      </c>
      <c r="E406" s="88" t="s">
        <v>695</v>
      </c>
      <c r="F406" s="17">
        <v>192</v>
      </c>
      <c r="G406" s="16">
        <v>43121</v>
      </c>
      <c r="H406" s="14" t="s">
        <v>718</v>
      </c>
      <c r="I406" s="14" t="s">
        <v>783</v>
      </c>
      <c r="J406" s="17">
        <v>180</v>
      </c>
      <c r="K406" s="17">
        <v>208</v>
      </c>
      <c r="L406" s="21">
        <v>0.86538461538461542</v>
      </c>
      <c r="M406" s="22">
        <v>5</v>
      </c>
      <c r="N406" s="96">
        <f t="shared" si="61"/>
        <v>5.3823727293115051E-3</v>
      </c>
      <c r="O406" s="96">
        <f t="shared" si="62"/>
        <v>4.6578225542118793E-3</v>
      </c>
      <c r="P406" s="96"/>
    </row>
    <row r="407" spans="1:16" s="2" customFormat="1" ht="21" hidden="1" customHeight="1">
      <c r="A407" s="17">
        <v>201710</v>
      </c>
      <c r="B407" s="14" t="s">
        <v>832</v>
      </c>
      <c r="C407" s="14" t="s">
        <v>23</v>
      </c>
      <c r="D407" s="15">
        <v>42738</v>
      </c>
      <c r="E407" s="88" t="s">
        <v>695</v>
      </c>
      <c r="F407" s="17">
        <v>216</v>
      </c>
      <c r="G407" s="16">
        <v>43123</v>
      </c>
      <c r="H407" s="14" t="s">
        <v>732</v>
      </c>
      <c r="I407" s="14" t="s">
        <v>783</v>
      </c>
      <c r="J407" s="17">
        <v>180</v>
      </c>
      <c r="K407" s="17">
        <v>208</v>
      </c>
      <c r="L407" s="21">
        <v>0.86538461538461542</v>
      </c>
      <c r="M407" s="22">
        <v>5</v>
      </c>
      <c r="N407" s="96">
        <f t="shared" si="61"/>
        <v>6.0551693204754431E-3</v>
      </c>
      <c r="O407" s="96">
        <f t="shared" si="62"/>
        <v>5.2400503734883648E-3</v>
      </c>
      <c r="P407" s="96"/>
    </row>
    <row r="408" spans="1:16" s="2" customFormat="1" ht="21" hidden="1" customHeight="1">
      <c r="A408" s="17">
        <v>201710</v>
      </c>
      <c r="B408" s="14" t="s">
        <v>833</v>
      </c>
      <c r="C408" s="14" t="s">
        <v>23</v>
      </c>
      <c r="D408" s="15">
        <v>42738</v>
      </c>
      <c r="E408" s="88" t="s">
        <v>695</v>
      </c>
      <c r="F408" s="17">
        <v>276</v>
      </c>
      <c r="G408" s="16">
        <v>43120</v>
      </c>
      <c r="H408" s="14" t="s">
        <v>730</v>
      </c>
      <c r="I408" s="14" t="s">
        <v>783</v>
      </c>
      <c r="J408" s="17">
        <v>180</v>
      </c>
      <c r="K408" s="17">
        <v>208</v>
      </c>
      <c r="L408" s="21">
        <v>0.86538461538461542</v>
      </c>
      <c r="M408" s="22">
        <v>5</v>
      </c>
      <c r="N408" s="96">
        <f t="shared" si="61"/>
        <v>7.7371607983852883E-3</v>
      </c>
      <c r="O408" s="96">
        <f t="shared" si="62"/>
        <v>6.6956199216795763E-3</v>
      </c>
      <c r="P408" s="96"/>
    </row>
    <row r="409" spans="1:16" s="2" customFormat="1" ht="21" hidden="1" customHeight="1">
      <c r="A409" s="17">
        <v>201710</v>
      </c>
      <c r="B409" s="14" t="s">
        <v>801</v>
      </c>
      <c r="C409" s="14" t="s">
        <v>23</v>
      </c>
      <c r="D409" s="15">
        <v>42739</v>
      </c>
      <c r="E409" s="88" t="s">
        <v>695</v>
      </c>
      <c r="F409" s="17">
        <f>2284+292</f>
        <v>2576</v>
      </c>
      <c r="G409" s="16">
        <v>43132</v>
      </c>
      <c r="H409" s="14" t="s">
        <v>723</v>
      </c>
      <c r="I409" s="14" t="s">
        <v>783</v>
      </c>
      <c r="J409" s="17">
        <v>180</v>
      </c>
      <c r="K409" s="17">
        <v>208</v>
      </c>
      <c r="L409" s="21">
        <v>0.86538461538461542</v>
      </c>
      <c r="M409" s="22">
        <v>5</v>
      </c>
      <c r="N409" s="96">
        <f t="shared" si="61"/>
        <v>7.2213500784929358E-2</v>
      </c>
      <c r="O409" s="96">
        <f t="shared" si="62"/>
        <v>6.2492452602342714E-2</v>
      </c>
      <c r="P409" s="96"/>
    </row>
    <row r="410" spans="1:16" s="2" customFormat="1" ht="21" hidden="1" customHeight="1">
      <c r="A410" s="17">
        <v>201710</v>
      </c>
      <c r="B410" s="14" t="s">
        <v>409</v>
      </c>
      <c r="C410" s="14" t="s">
        <v>23</v>
      </c>
      <c r="D410" s="15">
        <v>43105</v>
      </c>
      <c r="E410" s="88" t="s">
        <v>693</v>
      </c>
      <c r="F410" s="17">
        <v>2820</v>
      </c>
      <c r="G410" s="16">
        <v>43133</v>
      </c>
      <c r="H410" s="14" t="s">
        <v>717</v>
      </c>
      <c r="I410" s="14" t="s">
        <v>783</v>
      </c>
      <c r="J410" s="17">
        <v>180</v>
      </c>
      <c r="K410" s="17">
        <v>208</v>
      </c>
      <c r="L410" s="21">
        <v>0.86538461538461542</v>
      </c>
      <c r="M410" s="22">
        <v>5</v>
      </c>
      <c r="N410" s="96">
        <f t="shared" si="61"/>
        <v>7.9053599461762727E-2</v>
      </c>
      <c r="O410" s="96">
        <f t="shared" si="62"/>
        <v>6.8411768764986974E-2</v>
      </c>
      <c r="P410" s="96"/>
    </row>
    <row r="411" spans="1:16" s="2" customFormat="1" ht="21" hidden="1" customHeight="1">
      <c r="A411" s="17">
        <v>201710</v>
      </c>
      <c r="B411" s="14" t="s">
        <v>410</v>
      </c>
      <c r="C411" s="14" t="s">
        <v>23</v>
      </c>
      <c r="D411" s="15">
        <v>43108</v>
      </c>
      <c r="E411" s="88" t="s">
        <v>693</v>
      </c>
      <c r="F411" s="17">
        <v>1128</v>
      </c>
      <c r="G411" s="16">
        <v>43138</v>
      </c>
      <c r="H411" s="14" t="s">
        <v>717</v>
      </c>
      <c r="I411" s="14" t="s">
        <v>783</v>
      </c>
      <c r="J411" s="17">
        <v>180</v>
      </c>
      <c r="K411" s="17">
        <v>208</v>
      </c>
      <c r="L411" s="21">
        <v>0.86538461538461542</v>
      </c>
      <c r="M411" s="22">
        <v>5</v>
      </c>
      <c r="N411" s="96">
        <f t="shared" si="61"/>
        <v>3.1621439784705094E-2</v>
      </c>
      <c r="O411" s="96">
        <f t="shared" si="62"/>
        <v>2.7364707505994793E-2</v>
      </c>
      <c r="P411" s="96"/>
    </row>
    <row r="412" spans="1:16" s="2" customFormat="1" ht="21" hidden="1" customHeight="1">
      <c r="A412" s="17">
        <v>201710</v>
      </c>
      <c r="B412" s="14" t="s">
        <v>411</v>
      </c>
      <c r="C412" s="14" t="s">
        <v>23</v>
      </c>
      <c r="D412" s="15">
        <v>43108</v>
      </c>
      <c r="E412" s="88" t="s">
        <v>693</v>
      </c>
      <c r="F412" s="17">
        <v>576</v>
      </c>
      <c r="G412" s="16">
        <v>43133</v>
      </c>
      <c r="H412" s="14" t="s">
        <v>728</v>
      </c>
      <c r="I412" s="14" t="s">
        <v>783</v>
      </c>
      <c r="J412" s="17">
        <v>180</v>
      </c>
      <c r="K412" s="17">
        <v>208</v>
      </c>
      <c r="L412" s="21">
        <v>0.86538461538461542</v>
      </c>
      <c r="M412" s="22">
        <v>5</v>
      </c>
      <c r="N412" s="96">
        <f t="shared" si="61"/>
        <v>1.6147118187934514E-2</v>
      </c>
      <c r="O412" s="96">
        <f t="shared" si="62"/>
        <v>1.3973467662635637E-2</v>
      </c>
      <c r="P412" s="96"/>
    </row>
    <row r="413" spans="1:16" s="2" customFormat="1" ht="21" hidden="1" customHeight="1">
      <c r="A413" s="17">
        <v>201710</v>
      </c>
      <c r="B413" s="14" t="s">
        <v>412</v>
      </c>
      <c r="C413" s="14" t="s">
        <v>23</v>
      </c>
      <c r="D413" s="15">
        <v>43109</v>
      </c>
      <c r="E413" s="88" t="s">
        <v>693</v>
      </c>
      <c r="F413" s="17">
        <v>252</v>
      </c>
      <c r="G413" s="16">
        <v>43138</v>
      </c>
      <c r="H413" s="14" t="s">
        <v>717</v>
      </c>
      <c r="I413" s="14" t="s">
        <v>783</v>
      </c>
      <c r="J413" s="17">
        <v>180</v>
      </c>
      <c r="K413" s="17">
        <v>208</v>
      </c>
      <c r="L413" s="21">
        <v>0.86538461538461542</v>
      </c>
      <c r="M413" s="22">
        <v>5</v>
      </c>
      <c r="N413" s="96">
        <f t="shared" si="61"/>
        <v>7.0643642072213504E-3</v>
      </c>
      <c r="O413" s="96">
        <f t="shared" si="62"/>
        <v>6.1133921024030917E-3</v>
      </c>
      <c r="P413" s="96"/>
    </row>
    <row r="414" spans="1:16" s="2" customFormat="1" ht="21" hidden="1" customHeight="1">
      <c r="A414" s="17">
        <v>201710</v>
      </c>
      <c r="B414" s="14" t="s">
        <v>413</v>
      </c>
      <c r="C414" s="14" t="s">
        <v>23</v>
      </c>
      <c r="D414" s="15">
        <v>43109</v>
      </c>
      <c r="E414" s="88" t="s">
        <v>693</v>
      </c>
      <c r="F414" s="17">
        <v>468</v>
      </c>
      <c r="G414" s="16">
        <v>43138</v>
      </c>
      <c r="H414" s="14" t="s">
        <v>717</v>
      </c>
      <c r="I414" s="14" t="s">
        <v>783</v>
      </c>
      <c r="J414" s="17">
        <v>180</v>
      </c>
      <c r="K414" s="17">
        <v>208</v>
      </c>
      <c r="L414" s="21">
        <v>0.86538461538461542</v>
      </c>
      <c r="M414" s="22">
        <v>5</v>
      </c>
      <c r="N414" s="96">
        <f t="shared" si="61"/>
        <v>1.3119533527696793E-2</v>
      </c>
      <c r="O414" s="96">
        <f t="shared" si="62"/>
        <v>1.1353442475891456E-2</v>
      </c>
      <c r="P414" s="96"/>
    </row>
    <row r="415" spans="1:16" s="2" customFormat="1" ht="21" hidden="1" customHeight="1">
      <c r="A415" s="17">
        <v>201710</v>
      </c>
      <c r="B415" s="14" t="s">
        <v>414</v>
      </c>
      <c r="C415" s="14" t="s">
        <v>23</v>
      </c>
      <c r="D415" s="15">
        <v>43119</v>
      </c>
      <c r="E415" s="88" t="s">
        <v>694</v>
      </c>
      <c r="F415" s="17">
        <v>3756</v>
      </c>
      <c r="G415" s="16">
        <v>43132</v>
      </c>
      <c r="H415" s="14" t="s">
        <v>723</v>
      </c>
      <c r="I415" s="14" t="s">
        <v>783</v>
      </c>
      <c r="J415" s="17">
        <v>180</v>
      </c>
      <c r="K415" s="17">
        <v>208</v>
      </c>
      <c r="L415" s="21">
        <v>0.86538461538461542</v>
      </c>
      <c r="M415" s="22">
        <v>5</v>
      </c>
      <c r="N415" s="96">
        <f t="shared" si="61"/>
        <v>0.10529266651715631</v>
      </c>
      <c r="O415" s="96">
        <f t="shared" si="62"/>
        <v>9.1118653716769887E-2</v>
      </c>
      <c r="P415" s="96"/>
    </row>
    <row r="416" spans="1:16" s="2" customFormat="1" ht="21" hidden="1" customHeight="1">
      <c r="A416" s="17">
        <v>201710</v>
      </c>
      <c r="B416" s="14" t="s">
        <v>415</v>
      </c>
      <c r="C416" s="14" t="s">
        <v>23</v>
      </c>
      <c r="D416" s="15">
        <v>43110</v>
      </c>
      <c r="E416" s="88" t="s">
        <v>693</v>
      </c>
      <c r="F416" s="17">
        <v>120</v>
      </c>
      <c r="G416" s="16">
        <v>43139</v>
      </c>
      <c r="H416" s="14" t="s">
        <v>720</v>
      </c>
      <c r="I416" s="14" t="s">
        <v>783</v>
      </c>
      <c r="J416" s="17">
        <v>180</v>
      </c>
      <c r="K416" s="17">
        <v>208</v>
      </c>
      <c r="L416" s="21">
        <v>0.86538461538461542</v>
      </c>
      <c r="M416" s="22">
        <v>5</v>
      </c>
      <c r="N416" s="96">
        <f t="shared" si="61"/>
        <v>3.3639829558196905E-3</v>
      </c>
      <c r="O416" s="96">
        <f t="shared" si="62"/>
        <v>2.9111390963824247E-3</v>
      </c>
      <c r="P416" s="96"/>
    </row>
    <row r="417" spans="1:16" s="2" customFormat="1" ht="21" hidden="1" customHeight="1">
      <c r="A417" s="17">
        <v>201710</v>
      </c>
      <c r="B417" s="14" t="s">
        <v>416</v>
      </c>
      <c r="C417" s="14" t="s">
        <v>23</v>
      </c>
      <c r="D417" s="15">
        <v>43110</v>
      </c>
      <c r="E417" s="88" t="s">
        <v>693</v>
      </c>
      <c r="F417" s="17">
        <v>132</v>
      </c>
      <c r="G417" s="16">
        <v>43139</v>
      </c>
      <c r="H417" s="14" t="s">
        <v>720</v>
      </c>
      <c r="I417" s="14" t="s">
        <v>783</v>
      </c>
      <c r="J417" s="17">
        <v>180</v>
      </c>
      <c r="K417" s="17">
        <v>208</v>
      </c>
      <c r="L417" s="21">
        <v>0.86538461538461542</v>
      </c>
      <c r="M417" s="22">
        <v>5</v>
      </c>
      <c r="N417" s="96">
        <f t="shared" si="61"/>
        <v>3.7003812514016595E-3</v>
      </c>
      <c r="O417" s="96">
        <f t="shared" si="62"/>
        <v>3.202253006020667E-3</v>
      </c>
      <c r="P417" s="96"/>
    </row>
    <row r="418" spans="1:16" s="2" customFormat="1" ht="21" hidden="1" customHeight="1">
      <c r="A418" s="17">
        <v>201710</v>
      </c>
      <c r="B418" s="14" t="s">
        <v>417</v>
      </c>
      <c r="C418" s="14" t="s">
        <v>23</v>
      </c>
      <c r="D418" s="15">
        <v>43122</v>
      </c>
      <c r="E418" s="88" t="s">
        <v>694</v>
      </c>
      <c r="F418" s="17">
        <v>612</v>
      </c>
      <c r="G418" s="16">
        <v>43138</v>
      </c>
      <c r="H418" s="14" t="s">
        <v>717</v>
      </c>
      <c r="I418" s="14" t="s">
        <v>783</v>
      </c>
      <c r="J418" s="17">
        <v>180</v>
      </c>
      <c r="K418" s="17">
        <v>208</v>
      </c>
      <c r="L418" s="21">
        <v>0.86538461538461542</v>
      </c>
      <c r="M418" s="22">
        <v>5</v>
      </c>
      <c r="N418" s="96">
        <f t="shared" si="61"/>
        <v>1.7156313074680421E-2</v>
      </c>
      <c r="O418" s="96">
        <f t="shared" si="62"/>
        <v>1.4846809391550364E-2</v>
      </c>
      <c r="P418" s="96"/>
    </row>
    <row r="419" spans="1:16" s="2" customFormat="1" ht="21" hidden="1" customHeight="1">
      <c r="A419" s="17">
        <v>201710</v>
      </c>
      <c r="B419" s="14" t="s">
        <v>418</v>
      </c>
      <c r="C419" s="14" t="s">
        <v>23</v>
      </c>
      <c r="D419" s="15">
        <v>43123</v>
      </c>
      <c r="E419" s="88" t="s">
        <v>694</v>
      </c>
      <c r="F419" s="17">
        <v>3174</v>
      </c>
      <c r="G419" s="16">
        <v>43138</v>
      </c>
      <c r="H419" s="14" t="s">
        <v>717</v>
      </c>
      <c r="I419" s="14" t="s">
        <v>783</v>
      </c>
      <c r="J419" s="17">
        <v>180</v>
      </c>
      <c r="K419" s="17">
        <v>208</v>
      </c>
      <c r="L419" s="21">
        <v>0.86538461538461542</v>
      </c>
      <c r="M419" s="22">
        <v>5</v>
      </c>
      <c r="N419" s="96">
        <f t="shared" si="61"/>
        <v>8.8977349181430812E-2</v>
      </c>
      <c r="O419" s="96">
        <f t="shared" si="62"/>
        <v>7.6999629099315126E-2</v>
      </c>
      <c r="P419" s="96"/>
    </row>
    <row r="420" spans="1:16" s="2" customFormat="1" ht="21" hidden="1" customHeight="1">
      <c r="A420" s="17">
        <v>201710</v>
      </c>
      <c r="B420" s="14" t="s">
        <v>419</v>
      </c>
      <c r="C420" s="14" t="s">
        <v>23</v>
      </c>
      <c r="D420" s="15">
        <v>43125</v>
      </c>
      <c r="E420" s="88" t="s">
        <v>694</v>
      </c>
      <c r="F420" s="17">
        <v>180</v>
      </c>
      <c r="G420" s="16">
        <v>43138</v>
      </c>
      <c r="H420" s="14" t="s">
        <v>717</v>
      </c>
      <c r="I420" s="14" t="s">
        <v>783</v>
      </c>
      <c r="J420" s="17">
        <v>180</v>
      </c>
      <c r="K420" s="17">
        <v>208</v>
      </c>
      <c r="L420" s="21">
        <v>0.86538461538461542</v>
      </c>
      <c r="M420" s="22">
        <v>5</v>
      </c>
      <c r="N420" s="96">
        <f t="shared" si="61"/>
        <v>5.0459744337295357E-3</v>
      </c>
      <c r="O420" s="96">
        <f t="shared" si="62"/>
        <v>4.366708644573637E-3</v>
      </c>
      <c r="P420" s="96"/>
    </row>
    <row r="421" spans="1:16" s="2" customFormat="1" ht="21" hidden="1" customHeight="1">
      <c r="A421" s="17">
        <v>201710</v>
      </c>
      <c r="B421" s="14" t="s">
        <v>420</v>
      </c>
      <c r="C421" s="14" t="s">
        <v>23</v>
      </c>
      <c r="D421" s="15">
        <v>43125</v>
      </c>
      <c r="E421" s="88" t="s">
        <v>694</v>
      </c>
      <c r="F421" s="17">
        <v>444</v>
      </c>
      <c r="G421" s="16">
        <v>43138</v>
      </c>
      <c r="H421" s="14" t="s">
        <v>717</v>
      </c>
      <c r="I421" s="14" t="s">
        <v>783</v>
      </c>
      <c r="J421" s="17">
        <v>180</v>
      </c>
      <c r="K421" s="17">
        <v>208</v>
      </c>
      <c r="L421" s="21">
        <v>0.86538461538461542</v>
      </c>
      <c r="M421" s="22">
        <v>5</v>
      </c>
      <c r="N421" s="96">
        <f t="shared" si="61"/>
        <v>1.2446736936532855E-2</v>
      </c>
      <c r="O421" s="96">
        <f t="shared" si="62"/>
        <v>1.077121465661497E-2</v>
      </c>
      <c r="P421" s="96"/>
    </row>
    <row r="422" spans="1:16" s="2" customFormat="1" ht="21" hidden="1" customHeight="1">
      <c r="A422" s="17">
        <v>201710</v>
      </c>
      <c r="B422" s="14" t="s">
        <v>421</v>
      </c>
      <c r="C422" s="14" t="s">
        <v>23</v>
      </c>
      <c r="D422" s="15">
        <v>43110</v>
      </c>
      <c r="E422" s="88" t="s">
        <v>693</v>
      </c>
      <c r="F422" s="17">
        <v>11100</v>
      </c>
      <c r="G422" s="16">
        <v>43132</v>
      </c>
      <c r="H422" s="14" t="s">
        <v>723</v>
      </c>
      <c r="I422" s="14" t="s">
        <v>783</v>
      </c>
      <c r="J422" s="17">
        <v>180</v>
      </c>
      <c r="K422" s="17">
        <v>208</v>
      </c>
      <c r="L422" s="21">
        <v>0.86538461538461542</v>
      </c>
      <c r="M422" s="22">
        <v>5</v>
      </c>
      <c r="N422" s="96">
        <f t="shared" si="61"/>
        <v>0.31116842341332135</v>
      </c>
      <c r="O422" s="96">
        <f t="shared" si="62"/>
        <v>0.26928036641537423</v>
      </c>
      <c r="P422" s="96"/>
    </row>
    <row r="423" spans="1:16" s="2" customFormat="1" ht="21" hidden="1" customHeight="1">
      <c r="A423" s="17">
        <v>201710</v>
      </c>
      <c r="B423" s="14" t="s">
        <v>422</v>
      </c>
      <c r="C423" s="14" t="s">
        <v>23</v>
      </c>
      <c r="D423" s="15">
        <v>43125</v>
      </c>
      <c r="E423" s="88" t="s">
        <v>694</v>
      </c>
      <c r="F423" s="17">
        <v>120</v>
      </c>
      <c r="G423" s="16">
        <v>43139</v>
      </c>
      <c r="H423" s="14" t="s">
        <v>720</v>
      </c>
      <c r="I423" s="14" t="s">
        <v>783</v>
      </c>
      <c r="J423" s="17">
        <v>180</v>
      </c>
      <c r="K423" s="17">
        <v>208</v>
      </c>
      <c r="L423" s="21">
        <v>0.86538461538461542</v>
      </c>
      <c r="M423" s="22">
        <v>5</v>
      </c>
      <c r="N423" s="96">
        <f t="shared" si="61"/>
        <v>3.3639829558196905E-3</v>
      </c>
      <c r="O423" s="96">
        <f t="shared" si="62"/>
        <v>2.9111390963824247E-3</v>
      </c>
      <c r="P423" s="96"/>
    </row>
    <row r="424" spans="1:16" s="2" customFormat="1" ht="21" hidden="1" customHeight="1">
      <c r="A424" s="17">
        <v>201710</v>
      </c>
      <c r="B424" s="14" t="s">
        <v>423</v>
      </c>
      <c r="C424" s="14" t="s">
        <v>23</v>
      </c>
      <c r="D424" s="15">
        <v>43125</v>
      </c>
      <c r="E424" s="88" t="s">
        <v>695</v>
      </c>
      <c r="F424" s="17">
        <v>3054</v>
      </c>
      <c r="G424" s="16">
        <v>43133</v>
      </c>
      <c r="H424" s="14" t="s">
        <v>717</v>
      </c>
      <c r="I424" s="14" t="s">
        <v>783</v>
      </c>
      <c r="J424" s="17">
        <v>180</v>
      </c>
      <c r="K424" s="17">
        <v>208</v>
      </c>
      <c r="L424" s="21">
        <v>0.86538461538461542</v>
      </c>
      <c r="M424" s="22">
        <v>5</v>
      </c>
      <c r="N424" s="96">
        <f t="shared" si="61"/>
        <v>8.5613366225611123E-2</v>
      </c>
      <c r="O424" s="96">
        <f t="shared" si="62"/>
        <v>7.4088490002932703E-2</v>
      </c>
      <c r="P424" s="96"/>
    </row>
    <row r="425" spans="1:16" s="2" customFormat="1" ht="21" hidden="1" customHeight="1">
      <c r="A425" s="17">
        <v>201710</v>
      </c>
      <c r="B425" s="14" t="s">
        <v>424</v>
      </c>
      <c r="C425" s="14" t="s">
        <v>23</v>
      </c>
      <c r="D425" s="15">
        <v>43129</v>
      </c>
      <c r="E425" s="88" t="s">
        <v>695</v>
      </c>
      <c r="F425" s="17">
        <v>864</v>
      </c>
      <c r="G425" s="16">
        <v>43138</v>
      </c>
      <c r="H425" s="14" t="s">
        <v>717</v>
      </c>
      <c r="I425" s="14" t="s">
        <v>783</v>
      </c>
      <c r="J425" s="17">
        <v>180</v>
      </c>
      <c r="K425" s="17">
        <v>208</v>
      </c>
      <c r="L425" s="21">
        <v>0.86538461538461542</v>
      </c>
      <c r="M425" s="22">
        <v>5</v>
      </c>
      <c r="N425" s="96">
        <f t="shared" si="61"/>
        <v>2.4220677281901772E-2</v>
      </c>
      <c r="O425" s="96">
        <f t="shared" si="62"/>
        <v>2.0960201493953459E-2</v>
      </c>
      <c r="P425" s="96"/>
    </row>
    <row r="426" spans="1:16" s="2" customFormat="1" ht="21" hidden="1" customHeight="1">
      <c r="A426" s="17">
        <v>201710</v>
      </c>
      <c r="B426" s="14" t="s">
        <v>425</v>
      </c>
      <c r="C426" s="14" t="s">
        <v>23</v>
      </c>
      <c r="D426" s="15">
        <v>43129</v>
      </c>
      <c r="E426" s="88" t="s">
        <v>695</v>
      </c>
      <c r="F426" s="17">
        <v>432</v>
      </c>
      <c r="G426" s="16">
        <v>43138</v>
      </c>
      <c r="H426" s="14" t="s">
        <v>717</v>
      </c>
      <c r="I426" s="14" t="s">
        <v>783</v>
      </c>
      <c r="J426" s="17">
        <v>180</v>
      </c>
      <c r="K426" s="17">
        <v>208</v>
      </c>
      <c r="L426" s="21">
        <v>0.86538461538461542</v>
      </c>
      <c r="M426" s="22">
        <v>5</v>
      </c>
      <c r="N426" s="96">
        <f t="shared" si="61"/>
        <v>1.2110338640950886E-2</v>
      </c>
      <c r="O426" s="96">
        <f t="shared" si="62"/>
        <v>1.048010074697673E-2</v>
      </c>
      <c r="P426" s="96"/>
    </row>
    <row r="427" spans="1:16" s="2" customFormat="1" ht="21" hidden="1" customHeight="1">
      <c r="A427" s="17">
        <v>201710</v>
      </c>
      <c r="B427" s="14" t="s">
        <v>426</v>
      </c>
      <c r="C427" s="14" t="s">
        <v>23</v>
      </c>
      <c r="D427" s="15">
        <v>43129</v>
      </c>
      <c r="E427" s="88" t="s">
        <v>695</v>
      </c>
      <c r="F427" s="17">
        <v>120</v>
      </c>
      <c r="G427" s="16">
        <v>43139</v>
      </c>
      <c r="H427" s="14" t="s">
        <v>720</v>
      </c>
      <c r="I427" s="14" t="s">
        <v>783</v>
      </c>
      <c r="J427" s="17">
        <v>180</v>
      </c>
      <c r="K427" s="17">
        <v>208</v>
      </c>
      <c r="L427" s="21">
        <v>0.86538461538461542</v>
      </c>
      <c r="M427" s="22">
        <v>5</v>
      </c>
      <c r="N427" s="96">
        <f t="shared" si="61"/>
        <v>3.3639829558196905E-3</v>
      </c>
      <c r="O427" s="96">
        <f t="shared" si="62"/>
        <v>2.9111390963824247E-3</v>
      </c>
      <c r="P427" s="96"/>
    </row>
    <row r="428" spans="1:16" s="2" customFormat="1" ht="21" hidden="1" customHeight="1">
      <c r="A428" s="17">
        <v>201710</v>
      </c>
      <c r="B428" s="14" t="s">
        <v>427</v>
      </c>
      <c r="C428" s="14" t="s">
        <v>23</v>
      </c>
      <c r="D428" s="15">
        <v>43129</v>
      </c>
      <c r="E428" s="88" t="s">
        <v>695</v>
      </c>
      <c r="F428" s="17">
        <v>132</v>
      </c>
      <c r="G428" s="16">
        <v>43139</v>
      </c>
      <c r="H428" s="14" t="s">
        <v>720</v>
      </c>
      <c r="I428" s="14" t="s">
        <v>783</v>
      </c>
      <c r="J428" s="17">
        <v>180</v>
      </c>
      <c r="K428" s="17">
        <v>208</v>
      </c>
      <c r="L428" s="21">
        <v>0.86538461538461542</v>
      </c>
      <c r="M428" s="22">
        <v>5</v>
      </c>
      <c r="N428" s="96">
        <f t="shared" si="61"/>
        <v>3.7003812514016595E-3</v>
      </c>
      <c r="O428" s="96">
        <f t="shared" si="62"/>
        <v>3.202253006020667E-3</v>
      </c>
      <c r="P428" s="96"/>
    </row>
    <row r="429" spans="1:16" s="2" customFormat="1" ht="21" hidden="1" customHeight="1">
      <c r="A429" s="17">
        <v>201710</v>
      </c>
      <c r="B429" s="14" t="s">
        <v>428</v>
      </c>
      <c r="C429" s="14" t="s">
        <v>23</v>
      </c>
      <c r="D429" s="15">
        <v>43130</v>
      </c>
      <c r="E429" s="88" t="s">
        <v>695</v>
      </c>
      <c r="F429" s="17">
        <v>540</v>
      </c>
      <c r="G429" s="16">
        <v>43159</v>
      </c>
      <c r="H429" s="14" t="s">
        <v>734</v>
      </c>
      <c r="I429" s="14" t="s">
        <v>783</v>
      </c>
      <c r="J429" s="17">
        <v>180</v>
      </c>
      <c r="K429" s="17">
        <v>208</v>
      </c>
      <c r="L429" s="21">
        <v>0.86538461538461542</v>
      </c>
      <c r="M429" s="22">
        <v>5</v>
      </c>
      <c r="N429" s="96">
        <f t="shared" si="61"/>
        <v>1.5137923301188608E-2</v>
      </c>
      <c r="O429" s="96">
        <f t="shared" si="62"/>
        <v>1.3100125933720912E-2</v>
      </c>
      <c r="P429" s="96"/>
    </row>
    <row r="430" spans="1:16" s="2" customFormat="1" ht="21" hidden="1" customHeight="1">
      <c r="A430" s="17">
        <v>201710</v>
      </c>
      <c r="B430" s="14" t="s">
        <v>429</v>
      </c>
      <c r="C430" s="14" t="s">
        <v>23</v>
      </c>
      <c r="D430" s="15">
        <v>43130</v>
      </c>
      <c r="E430" s="88" t="s">
        <v>693</v>
      </c>
      <c r="F430" s="17">
        <v>696</v>
      </c>
      <c r="G430" s="16">
        <v>43154</v>
      </c>
      <c r="H430" s="14" t="s">
        <v>724</v>
      </c>
      <c r="I430" s="14" t="s">
        <v>783</v>
      </c>
      <c r="J430" s="17">
        <v>180</v>
      </c>
      <c r="K430" s="17">
        <v>208</v>
      </c>
      <c r="L430" s="21">
        <v>0.86538461538461542</v>
      </c>
      <c r="M430" s="22">
        <v>5</v>
      </c>
      <c r="N430" s="96">
        <f t="shared" si="61"/>
        <v>1.9511101143754206E-2</v>
      </c>
      <c r="O430" s="96">
        <f t="shared" si="62"/>
        <v>1.6884606759018064E-2</v>
      </c>
      <c r="P430" s="96"/>
    </row>
    <row r="431" spans="1:16" s="2" customFormat="1" ht="21" hidden="1" customHeight="1">
      <c r="A431" s="17">
        <v>201710</v>
      </c>
      <c r="B431" s="14" t="s">
        <v>430</v>
      </c>
      <c r="C431" s="14" t="s">
        <v>23</v>
      </c>
      <c r="D431" s="15">
        <v>43130</v>
      </c>
      <c r="E431" s="88" t="s">
        <v>695</v>
      </c>
      <c r="F431" s="17">
        <v>228</v>
      </c>
      <c r="G431" s="16">
        <v>43154</v>
      </c>
      <c r="H431" s="14" t="s">
        <v>724</v>
      </c>
      <c r="I431" s="14" t="s">
        <v>783</v>
      </c>
      <c r="J431" s="17">
        <v>180</v>
      </c>
      <c r="K431" s="17">
        <v>208</v>
      </c>
      <c r="L431" s="21">
        <v>0.86538461538461542</v>
      </c>
      <c r="M431" s="22">
        <v>5</v>
      </c>
      <c r="N431" s="96">
        <f t="shared" si="61"/>
        <v>6.3915676160574116E-3</v>
      </c>
      <c r="O431" s="96">
        <f t="shared" si="62"/>
        <v>5.5311642831266062E-3</v>
      </c>
      <c r="P431" s="96"/>
    </row>
    <row r="432" spans="1:16" s="2" customFormat="1" ht="21" hidden="1" customHeight="1">
      <c r="A432" s="17">
        <v>201710</v>
      </c>
      <c r="B432" s="14" t="s">
        <v>431</v>
      </c>
      <c r="C432" s="14" t="s">
        <v>23</v>
      </c>
      <c r="D432" s="15">
        <v>43130</v>
      </c>
      <c r="E432" s="88" t="s">
        <v>695</v>
      </c>
      <c r="F432" s="17">
        <v>180</v>
      </c>
      <c r="G432" s="16">
        <v>43159</v>
      </c>
      <c r="H432" s="14" t="s">
        <v>722</v>
      </c>
      <c r="I432" s="14" t="s">
        <v>783</v>
      </c>
      <c r="J432" s="17">
        <v>180</v>
      </c>
      <c r="K432" s="17">
        <v>208</v>
      </c>
      <c r="L432" s="21">
        <v>0.86538461538461542</v>
      </c>
      <c r="M432" s="22">
        <v>5</v>
      </c>
      <c r="N432" s="96">
        <f t="shared" si="61"/>
        <v>5.0459744337295357E-3</v>
      </c>
      <c r="O432" s="96">
        <f t="shared" si="62"/>
        <v>4.366708644573637E-3</v>
      </c>
      <c r="P432" s="96"/>
    </row>
    <row r="433" spans="1:16" s="2" customFormat="1" ht="21" hidden="1" customHeight="1">
      <c r="A433" s="17">
        <v>201711</v>
      </c>
      <c r="B433" s="14" t="s">
        <v>432</v>
      </c>
      <c r="C433" s="14" t="s">
        <v>23</v>
      </c>
      <c r="D433" s="15">
        <v>43131</v>
      </c>
      <c r="E433" s="88" t="s">
        <v>696</v>
      </c>
      <c r="F433" s="17">
        <v>1151</v>
      </c>
      <c r="G433" s="16">
        <v>43155</v>
      </c>
      <c r="H433" s="14" t="s">
        <v>718</v>
      </c>
      <c r="I433" s="14" t="s">
        <v>748</v>
      </c>
      <c r="J433" s="17">
        <v>180</v>
      </c>
      <c r="K433" s="17">
        <v>257</v>
      </c>
      <c r="L433" s="21">
        <v>0.70038910505836571</v>
      </c>
      <c r="M433" s="22">
        <v>7</v>
      </c>
      <c r="N433" s="96">
        <f>F433/$F$636</f>
        <v>0.81747159090909094</v>
      </c>
      <c r="O433" s="96">
        <f>L433*N433</f>
        <v>0.57254819596745665</v>
      </c>
      <c r="P433" s="96"/>
    </row>
    <row r="434" spans="1:16" s="2" customFormat="1" ht="21" hidden="1" customHeight="1">
      <c r="A434" s="17">
        <v>201711</v>
      </c>
      <c r="B434" s="14" t="s">
        <v>433</v>
      </c>
      <c r="C434" s="14" t="s">
        <v>23</v>
      </c>
      <c r="D434" s="15">
        <v>43131</v>
      </c>
      <c r="E434" s="88" t="s">
        <v>696</v>
      </c>
      <c r="F434" s="17">
        <v>120</v>
      </c>
      <c r="G434" s="16">
        <v>43155</v>
      </c>
      <c r="H434" s="14" t="s">
        <v>730</v>
      </c>
      <c r="I434" s="14" t="s">
        <v>748</v>
      </c>
      <c r="J434" s="17">
        <v>180</v>
      </c>
      <c r="K434" s="17">
        <v>257</v>
      </c>
      <c r="L434" s="21">
        <v>0.70038910505836571</v>
      </c>
      <c r="M434" s="22">
        <v>7</v>
      </c>
      <c r="N434" s="96">
        <f t="shared" ref="N434:N435" si="63">F434/$F$636</f>
        <v>8.5227272727272721E-2</v>
      </c>
      <c r="O434" s="96">
        <f t="shared" ref="O434:O435" si="64">L434*N434</f>
        <v>5.9692253272019803E-2</v>
      </c>
      <c r="P434" s="96"/>
    </row>
    <row r="435" spans="1:16" s="2" customFormat="1" ht="21" hidden="1" customHeight="1">
      <c r="A435" s="17">
        <v>201711</v>
      </c>
      <c r="B435" s="14" t="s">
        <v>434</v>
      </c>
      <c r="C435" s="14" t="s">
        <v>23</v>
      </c>
      <c r="D435" s="15">
        <v>43131</v>
      </c>
      <c r="E435" s="88" t="s">
        <v>696</v>
      </c>
      <c r="F435" s="17">
        <v>137</v>
      </c>
      <c r="G435" s="16">
        <v>43155</v>
      </c>
      <c r="H435" s="14" t="s">
        <v>718</v>
      </c>
      <c r="I435" s="14" t="s">
        <v>748</v>
      </c>
      <c r="J435" s="17">
        <v>180</v>
      </c>
      <c r="K435" s="17">
        <v>257</v>
      </c>
      <c r="L435" s="21">
        <v>0.70038910505836571</v>
      </c>
      <c r="M435" s="22">
        <v>7</v>
      </c>
      <c r="N435" s="96">
        <f t="shared" si="63"/>
        <v>9.7301136363636367E-2</v>
      </c>
      <c r="O435" s="96">
        <f t="shared" si="64"/>
        <v>6.8148655818889278E-2</v>
      </c>
      <c r="P435" s="96"/>
    </row>
    <row r="436" spans="1:16" s="2" customFormat="1" ht="21" hidden="1" customHeight="1">
      <c r="A436" s="17"/>
      <c r="B436" s="14"/>
      <c r="C436" s="14"/>
      <c r="D436" s="15"/>
      <c r="E436" s="88"/>
      <c r="F436" s="39">
        <f>SUM(F401:F435)</f>
        <v>37080</v>
      </c>
      <c r="G436" s="17"/>
      <c r="H436" s="14"/>
      <c r="I436" s="14"/>
      <c r="J436" s="17"/>
      <c r="K436" s="17"/>
      <c r="L436" s="21"/>
      <c r="M436" s="22"/>
      <c r="N436" s="96"/>
      <c r="O436" s="96"/>
      <c r="P436" s="96"/>
    </row>
    <row r="437" spans="1:16" s="2" customFormat="1" ht="21" hidden="1" customHeight="1">
      <c r="A437" s="17">
        <v>201709</v>
      </c>
      <c r="B437" s="14" t="s">
        <v>802</v>
      </c>
      <c r="C437" s="14" t="s">
        <v>22</v>
      </c>
      <c r="D437" s="15">
        <v>42737</v>
      </c>
      <c r="E437" s="88" t="s">
        <v>699</v>
      </c>
      <c r="F437" s="17">
        <v>6132</v>
      </c>
      <c r="G437" s="16">
        <v>43110</v>
      </c>
      <c r="H437" s="14" t="s">
        <v>717</v>
      </c>
      <c r="I437" s="14" t="s">
        <v>784</v>
      </c>
      <c r="J437" s="17">
        <v>170</v>
      </c>
      <c r="K437" s="17">
        <v>180</v>
      </c>
      <c r="L437" s="21">
        <v>0.94444444444444442</v>
      </c>
      <c r="M437" s="22">
        <v>5</v>
      </c>
      <c r="N437" s="96">
        <f>F437/$F$637</f>
        <v>0.58600917431192656</v>
      </c>
      <c r="O437" s="96">
        <f>L437*N437</f>
        <v>0.5534531090723751</v>
      </c>
      <c r="P437" s="96"/>
    </row>
    <row r="438" spans="1:16" s="2" customFormat="1" ht="21" hidden="1" customHeight="1">
      <c r="A438" s="17">
        <v>201709</v>
      </c>
      <c r="B438" s="14" t="s">
        <v>435</v>
      </c>
      <c r="C438" s="14" t="s">
        <v>22</v>
      </c>
      <c r="D438" s="15">
        <v>43106</v>
      </c>
      <c r="E438" s="88" t="s">
        <v>697</v>
      </c>
      <c r="F438" s="17">
        <v>1308</v>
      </c>
      <c r="G438" s="16">
        <v>43110</v>
      </c>
      <c r="H438" s="14" t="s">
        <v>717</v>
      </c>
      <c r="I438" s="14" t="s">
        <v>784</v>
      </c>
      <c r="J438" s="17">
        <v>170</v>
      </c>
      <c r="K438" s="17">
        <v>180</v>
      </c>
      <c r="L438" s="21">
        <v>0.94444444444444442</v>
      </c>
      <c r="M438" s="22">
        <v>5</v>
      </c>
      <c r="N438" s="96">
        <f t="shared" ref="N438:N446" si="65">F438/$F$637</f>
        <v>0.125</v>
      </c>
      <c r="O438" s="96">
        <f t="shared" ref="O438:O446" si="66">L438*N438</f>
        <v>0.11805555555555555</v>
      </c>
      <c r="P438" s="96"/>
    </row>
    <row r="439" spans="1:16" s="2" customFormat="1" ht="21" hidden="1" customHeight="1">
      <c r="A439" s="17">
        <v>201709</v>
      </c>
      <c r="B439" s="14" t="s">
        <v>436</v>
      </c>
      <c r="C439" s="14" t="s">
        <v>22</v>
      </c>
      <c r="D439" s="15">
        <v>43108</v>
      </c>
      <c r="E439" s="88" t="s">
        <v>698</v>
      </c>
      <c r="F439" s="17">
        <v>360</v>
      </c>
      <c r="G439" s="16">
        <v>43115</v>
      </c>
      <c r="H439" s="14" t="s">
        <v>717</v>
      </c>
      <c r="I439" s="14" t="s">
        <v>784</v>
      </c>
      <c r="J439" s="17">
        <v>170</v>
      </c>
      <c r="K439" s="17">
        <v>180</v>
      </c>
      <c r="L439" s="21">
        <v>0.94444444444444442</v>
      </c>
      <c r="M439" s="22">
        <v>5</v>
      </c>
      <c r="N439" s="96">
        <f t="shared" si="65"/>
        <v>3.4403669724770644E-2</v>
      </c>
      <c r="O439" s="96">
        <f t="shared" si="66"/>
        <v>3.2492354740061166E-2</v>
      </c>
      <c r="P439" s="96"/>
    </row>
    <row r="440" spans="1:16" s="2" customFormat="1" ht="21" hidden="1" customHeight="1">
      <c r="A440" s="17">
        <v>201709</v>
      </c>
      <c r="B440" s="14" t="s">
        <v>437</v>
      </c>
      <c r="C440" s="14" t="s">
        <v>22</v>
      </c>
      <c r="D440" s="15">
        <v>43108</v>
      </c>
      <c r="E440" s="88" t="s">
        <v>698</v>
      </c>
      <c r="F440" s="17">
        <v>120</v>
      </c>
      <c r="G440" s="16">
        <v>43118</v>
      </c>
      <c r="H440" s="14" t="s">
        <v>717</v>
      </c>
      <c r="I440" s="14" t="s">
        <v>784</v>
      </c>
      <c r="J440" s="17">
        <v>170</v>
      </c>
      <c r="K440" s="17">
        <v>180</v>
      </c>
      <c r="L440" s="21">
        <v>0.94444444444444442</v>
      </c>
      <c r="M440" s="22">
        <v>5</v>
      </c>
      <c r="N440" s="96">
        <f t="shared" si="65"/>
        <v>1.1467889908256881E-2</v>
      </c>
      <c r="O440" s="96">
        <f t="shared" si="66"/>
        <v>1.083078491335372E-2</v>
      </c>
      <c r="P440" s="96"/>
    </row>
    <row r="441" spans="1:16" s="2" customFormat="1" ht="21" hidden="1" customHeight="1">
      <c r="A441" s="17">
        <v>201709</v>
      </c>
      <c r="B441" s="14" t="s">
        <v>439</v>
      </c>
      <c r="C441" s="14" t="s">
        <v>22</v>
      </c>
      <c r="D441" s="15">
        <v>43108</v>
      </c>
      <c r="E441" s="88" t="s">
        <v>698</v>
      </c>
      <c r="F441" s="17">
        <v>228</v>
      </c>
      <c r="G441" s="16">
        <v>43118</v>
      </c>
      <c r="H441" s="14" t="s">
        <v>717</v>
      </c>
      <c r="I441" s="14" t="s">
        <v>784</v>
      </c>
      <c r="J441" s="17">
        <v>170</v>
      </c>
      <c r="K441" s="17">
        <v>180</v>
      </c>
      <c r="L441" s="21">
        <v>0.94444444444444442</v>
      </c>
      <c r="M441" s="22">
        <v>5</v>
      </c>
      <c r="N441" s="96">
        <f t="shared" si="65"/>
        <v>2.1788990825688075E-2</v>
      </c>
      <c r="O441" s="96">
        <f t="shared" si="66"/>
        <v>2.0578491335372071E-2</v>
      </c>
      <c r="P441" s="96"/>
    </row>
    <row r="442" spans="1:16" s="2" customFormat="1" ht="21" hidden="1" customHeight="1">
      <c r="A442" s="17">
        <v>201709</v>
      </c>
      <c r="B442" s="14" t="s">
        <v>440</v>
      </c>
      <c r="C442" s="14" t="s">
        <v>22</v>
      </c>
      <c r="D442" s="15">
        <v>43108</v>
      </c>
      <c r="E442" s="88" t="s">
        <v>698</v>
      </c>
      <c r="F442" s="17">
        <v>492</v>
      </c>
      <c r="G442" s="16">
        <v>43124</v>
      </c>
      <c r="H442" s="14" t="s">
        <v>726</v>
      </c>
      <c r="I442" s="14" t="s">
        <v>784</v>
      </c>
      <c r="J442" s="17">
        <v>170</v>
      </c>
      <c r="K442" s="17">
        <v>180</v>
      </c>
      <c r="L442" s="21">
        <v>0.94444444444444442</v>
      </c>
      <c r="M442" s="22">
        <v>5</v>
      </c>
      <c r="N442" s="96">
        <f t="shared" si="65"/>
        <v>4.7018348623853214E-2</v>
      </c>
      <c r="O442" s="96">
        <f t="shared" si="66"/>
        <v>4.4406218144750258E-2</v>
      </c>
      <c r="P442" s="96"/>
    </row>
    <row r="443" spans="1:16" s="2" customFormat="1" ht="21" hidden="1" customHeight="1">
      <c r="A443" s="17">
        <v>201709</v>
      </c>
      <c r="B443" s="14" t="s">
        <v>438</v>
      </c>
      <c r="C443" s="14" t="s">
        <v>22</v>
      </c>
      <c r="D443" s="15">
        <v>43109</v>
      </c>
      <c r="E443" s="88" t="s">
        <v>699</v>
      </c>
      <c r="F443" s="17">
        <v>480</v>
      </c>
      <c r="G443" s="16">
        <v>43115</v>
      </c>
      <c r="H443" s="14" t="s">
        <v>717</v>
      </c>
      <c r="I443" s="14" t="s">
        <v>784</v>
      </c>
      <c r="J443" s="17">
        <v>170</v>
      </c>
      <c r="K443" s="17">
        <v>180</v>
      </c>
      <c r="L443" s="21">
        <v>0.94444444444444442</v>
      </c>
      <c r="M443" s="22">
        <v>5</v>
      </c>
      <c r="N443" s="96">
        <f t="shared" si="65"/>
        <v>4.5871559633027525E-2</v>
      </c>
      <c r="O443" s="96">
        <f t="shared" si="66"/>
        <v>4.3323139653414881E-2</v>
      </c>
      <c r="P443" s="96"/>
    </row>
    <row r="444" spans="1:16" s="2" customFormat="1" ht="21" hidden="1" customHeight="1">
      <c r="A444" s="17">
        <v>201709</v>
      </c>
      <c r="B444" s="14" t="s">
        <v>442</v>
      </c>
      <c r="C444" s="14" t="s">
        <v>22</v>
      </c>
      <c r="D444" s="15">
        <v>43109</v>
      </c>
      <c r="E444" s="88" t="s">
        <v>699</v>
      </c>
      <c r="F444" s="17">
        <v>708</v>
      </c>
      <c r="G444" s="16">
        <v>43118</v>
      </c>
      <c r="H444" s="14" t="s">
        <v>717</v>
      </c>
      <c r="I444" s="14" t="s">
        <v>784</v>
      </c>
      <c r="J444" s="17">
        <v>170</v>
      </c>
      <c r="K444" s="17">
        <v>180</v>
      </c>
      <c r="L444" s="21">
        <v>0.94444444444444442</v>
      </c>
      <c r="M444" s="22">
        <v>5</v>
      </c>
      <c r="N444" s="96">
        <f t="shared" si="65"/>
        <v>6.7660550458715593E-2</v>
      </c>
      <c r="O444" s="96">
        <f t="shared" si="66"/>
        <v>6.3901630988786942E-2</v>
      </c>
      <c r="P444" s="96"/>
    </row>
    <row r="445" spans="1:16" s="2" customFormat="1" ht="21" hidden="1" customHeight="1">
      <c r="A445" s="17">
        <v>201709</v>
      </c>
      <c r="B445" s="14" t="s">
        <v>441</v>
      </c>
      <c r="C445" s="14" t="s">
        <v>22</v>
      </c>
      <c r="D445" s="15">
        <v>43110</v>
      </c>
      <c r="E445" s="88" t="s">
        <v>699</v>
      </c>
      <c r="F445" s="17">
        <v>120</v>
      </c>
      <c r="G445" s="16">
        <v>43118</v>
      </c>
      <c r="H445" s="14" t="s">
        <v>717</v>
      </c>
      <c r="I445" s="14" t="s">
        <v>784</v>
      </c>
      <c r="J445" s="17">
        <v>170</v>
      </c>
      <c r="K445" s="17">
        <v>180</v>
      </c>
      <c r="L445" s="21">
        <v>0.94444444444444442</v>
      </c>
      <c r="M445" s="22">
        <v>5</v>
      </c>
      <c r="N445" s="96">
        <f t="shared" si="65"/>
        <v>1.1467889908256881E-2</v>
      </c>
      <c r="O445" s="96">
        <f t="shared" si="66"/>
        <v>1.083078491335372E-2</v>
      </c>
      <c r="P445" s="96"/>
    </row>
    <row r="446" spans="1:16" s="2" customFormat="1" ht="21" hidden="1" customHeight="1">
      <c r="A446" s="17">
        <v>201709</v>
      </c>
      <c r="B446" s="14" t="s">
        <v>443</v>
      </c>
      <c r="C446" s="14" t="s">
        <v>22</v>
      </c>
      <c r="D446" s="15">
        <v>43110</v>
      </c>
      <c r="E446" s="88" t="s">
        <v>699</v>
      </c>
      <c r="F446" s="17">
        <v>516</v>
      </c>
      <c r="G446" s="16">
        <v>43124</v>
      </c>
      <c r="H446" s="14" t="s">
        <v>726</v>
      </c>
      <c r="I446" s="14" t="s">
        <v>784</v>
      </c>
      <c r="J446" s="17">
        <v>170</v>
      </c>
      <c r="K446" s="17">
        <v>180</v>
      </c>
      <c r="L446" s="21">
        <v>0.94444444444444442</v>
      </c>
      <c r="M446" s="22">
        <v>5</v>
      </c>
      <c r="N446" s="96">
        <f t="shared" si="65"/>
        <v>4.931192660550459E-2</v>
      </c>
      <c r="O446" s="96">
        <f t="shared" si="66"/>
        <v>4.6572375127421003E-2</v>
      </c>
      <c r="P446" s="96"/>
    </row>
    <row r="447" spans="1:16" s="2" customFormat="1" ht="21" hidden="1" customHeight="1">
      <c r="A447" s="17">
        <v>201710</v>
      </c>
      <c r="B447" s="14" t="s">
        <v>445</v>
      </c>
      <c r="C447" s="14" t="s">
        <v>22</v>
      </c>
      <c r="D447" s="15">
        <v>43110</v>
      </c>
      <c r="E447" s="88" t="s">
        <v>700</v>
      </c>
      <c r="F447" s="17">
        <v>144</v>
      </c>
      <c r="G447" s="16">
        <v>43123</v>
      </c>
      <c r="H447" s="14" t="s">
        <v>731</v>
      </c>
      <c r="I447" s="14" t="s">
        <v>767</v>
      </c>
      <c r="J447" s="17">
        <v>170</v>
      </c>
      <c r="K447" s="17">
        <v>208</v>
      </c>
      <c r="L447" s="21">
        <v>0.81730769230769229</v>
      </c>
      <c r="M447" s="22">
        <v>6</v>
      </c>
      <c r="N447" s="96">
        <f>F447/$F$638</f>
        <v>2.4291497975708502E-2</v>
      </c>
      <c r="O447" s="96">
        <f>L447*N447</f>
        <v>1.9853628153223293E-2</v>
      </c>
      <c r="P447" s="96"/>
    </row>
    <row r="448" spans="1:16" s="2" customFormat="1" ht="21" hidden="1" customHeight="1">
      <c r="A448" s="17">
        <v>201710</v>
      </c>
      <c r="B448" s="14" t="s">
        <v>444</v>
      </c>
      <c r="C448" s="14" t="s">
        <v>22</v>
      </c>
      <c r="D448" s="15">
        <v>43111</v>
      </c>
      <c r="E448" s="88" t="s">
        <v>700</v>
      </c>
      <c r="F448" s="17">
        <v>1008</v>
      </c>
      <c r="G448" s="16">
        <v>43123</v>
      </c>
      <c r="H448" s="14" t="s">
        <v>730</v>
      </c>
      <c r="I448" s="14" t="s">
        <v>767</v>
      </c>
      <c r="J448" s="17">
        <v>170</v>
      </c>
      <c r="K448" s="17">
        <v>208</v>
      </c>
      <c r="L448" s="21">
        <v>0.81730769230769229</v>
      </c>
      <c r="M448" s="22">
        <v>6</v>
      </c>
      <c r="N448" s="96">
        <f t="shared" ref="N448:N457" si="67">F448/$F$638</f>
        <v>0.17004048582995951</v>
      </c>
      <c r="O448" s="96">
        <f t="shared" ref="O448:O457" si="68">L448*N448</f>
        <v>0.13897539707256307</v>
      </c>
      <c r="P448" s="96"/>
    </row>
    <row r="449" spans="1:16" s="2" customFormat="1" ht="21" hidden="1" customHeight="1">
      <c r="A449" s="17">
        <v>201710</v>
      </c>
      <c r="B449" s="14" t="s">
        <v>446</v>
      </c>
      <c r="C449" s="14" t="s">
        <v>22</v>
      </c>
      <c r="D449" s="15">
        <v>43111</v>
      </c>
      <c r="E449" s="88" t="s">
        <v>700</v>
      </c>
      <c r="F449" s="17">
        <v>180</v>
      </c>
      <c r="G449" s="16">
        <v>43123</v>
      </c>
      <c r="H449" s="14" t="s">
        <v>732</v>
      </c>
      <c r="I449" s="14" t="s">
        <v>767</v>
      </c>
      <c r="J449" s="17">
        <v>170</v>
      </c>
      <c r="K449" s="17">
        <v>208</v>
      </c>
      <c r="L449" s="21">
        <v>0.81730769230769229</v>
      </c>
      <c r="M449" s="22">
        <v>6</v>
      </c>
      <c r="N449" s="96">
        <f t="shared" si="67"/>
        <v>3.0364372469635626E-2</v>
      </c>
      <c r="O449" s="96">
        <f t="shared" si="68"/>
        <v>2.4817035191529117E-2</v>
      </c>
      <c r="P449" s="96"/>
    </row>
    <row r="450" spans="1:16" s="2" customFormat="1" ht="21" hidden="1" customHeight="1">
      <c r="A450" s="17">
        <v>201710</v>
      </c>
      <c r="B450" s="14" t="s">
        <v>447</v>
      </c>
      <c r="C450" s="14" t="s">
        <v>22</v>
      </c>
      <c r="D450" s="15">
        <v>43111</v>
      </c>
      <c r="E450" s="88" t="s">
        <v>700</v>
      </c>
      <c r="F450" s="17">
        <v>156</v>
      </c>
      <c r="G450" s="16">
        <v>43124</v>
      </c>
      <c r="H450" s="14" t="s">
        <v>718</v>
      </c>
      <c r="I450" s="14" t="s">
        <v>767</v>
      </c>
      <c r="J450" s="17">
        <v>170</v>
      </c>
      <c r="K450" s="17">
        <v>208</v>
      </c>
      <c r="L450" s="21">
        <v>0.81730769230769229</v>
      </c>
      <c r="M450" s="22">
        <v>6</v>
      </c>
      <c r="N450" s="96">
        <f t="shared" si="67"/>
        <v>2.6315789473684209E-2</v>
      </c>
      <c r="O450" s="96">
        <f t="shared" si="68"/>
        <v>2.1508097165991901E-2</v>
      </c>
      <c r="P450" s="96"/>
    </row>
    <row r="451" spans="1:16" s="2" customFormat="1" ht="21" hidden="1" customHeight="1">
      <c r="A451" s="17">
        <v>201710</v>
      </c>
      <c r="B451" s="14" t="s">
        <v>448</v>
      </c>
      <c r="C451" s="14" t="s">
        <v>22</v>
      </c>
      <c r="D451" s="15">
        <v>43112</v>
      </c>
      <c r="E451" s="88" t="s">
        <v>700</v>
      </c>
      <c r="F451" s="17">
        <v>444</v>
      </c>
      <c r="G451" s="16">
        <v>43125</v>
      </c>
      <c r="H451" s="14" t="s">
        <v>718</v>
      </c>
      <c r="I451" s="14" t="s">
        <v>767</v>
      </c>
      <c r="J451" s="17">
        <v>170</v>
      </c>
      <c r="K451" s="17">
        <v>208</v>
      </c>
      <c r="L451" s="21">
        <v>0.81730769230769229</v>
      </c>
      <c r="M451" s="22">
        <v>6</v>
      </c>
      <c r="N451" s="96">
        <f t="shared" si="67"/>
        <v>7.4898785425101214E-2</v>
      </c>
      <c r="O451" s="96">
        <f t="shared" si="68"/>
        <v>6.1215353472438491E-2</v>
      </c>
      <c r="P451" s="96"/>
    </row>
    <row r="452" spans="1:16" s="2" customFormat="1" ht="21" hidden="1" customHeight="1">
      <c r="A452" s="17">
        <v>201710</v>
      </c>
      <c r="B452" s="14" t="s">
        <v>449</v>
      </c>
      <c r="C452" s="14" t="s">
        <v>22</v>
      </c>
      <c r="D452" s="15">
        <v>43112</v>
      </c>
      <c r="E452" s="88" t="s">
        <v>700</v>
      </c>
      <c r="F452" s="17">
        <v>132</v>
      </c>
      <c r="G452" s="16">
        <v>43127</v>
      </c>
      <c r="H452" s="14" t="s">
        <v>717</v>
      </c>
      <c r="I452" s="14" t="s">
        <v>767</v>
      </c>
      <c r="J452" s="17">
        <v>170</v>
      </c>
      <c r="K452" s="17">
        <v>208</v>
      </c>
      <c r="L452" s="21">
        <v>0.81730769230769229</v>
      </c>
      <c r="M452" s="22">
        <v>6</v>
      </c>
      <c r="N452" s="96">
        <f t="shared" si="67"/>
        <v>2.2267206477732792E-2</v>
      </c>
      <c r="O452" s="96">
        <f t="shared" si="68"/>
        <v>1.8199159140454686E-2</v>
      </c>
      <c r="P452" s="96"/>
    </row>
    <row r="453" spans="1:16" s="2" customFormat="1" ht="21" hidden="1" customHeight="1">
      <c r="A453" s="17">
        <v>201710</v>
      </c>
      <c r="B453" s="14" t="s">
        <v>450</v>
      </c>
      <c r="C453" s="14" t="s">
        <v>22</v>
      </c>
      <c r="D453" s="15">
        <v>43112</v>
      </c>
      <c r="E453" s="88" t="s">
        <v>701</v>
      </c>
      <c r="F453" s="17">
        <v>1764</v>
      </c>
      <c r="G453" s="16">
        <v>43129</v>
      </c>
      <c r="H453" s="14" t="s">
        <v>730</v>
      </c>
      <c r="I453" s="14" t="s">
        <v>767</v>
      </c>
      <c r="J453" s="17">
        <v>170</v>
      </c>
      <c r="K453" s="17">
        <v>208</v>
      </c>
      <c r="L453" s="21">
        <v>0.81730769230769229</v>
      </c>
      <c r="M453" s="22">
        <v>6</v>
      </c>
      <c r="N453" s="96">
        <f t="shared" si="67"/>
        <v>0.29757085020242913</v>
      </c>
      <c r="O453" s="96">
        <f t="shared" si="68"/>
        <v>0.24320694487698533</v>
      </c>
      <c r="P453" s="96"/>
    </row>
    <row r="454" spans="1:16" s="2" customFormat="1" ht="21" hidden="1" customHeight="1">
      <c r="A454" s="17">
        <v>201710</v>
      </c>
      <c r="B454" s="14" t="s">
        <v>451</v>
      </c>
      <c r="C454" s="14" t="s">
        <v>22</v>
      </c>
      <c r="D454" s="15">
        <v>43113</v>
      </c>
      <c r="E454" s="88" t="s">
        <v>701</v>
      </c>
      <c r="F454" s="17">
        <v>180</v>
      </c>
      <c r="G454" s="16">
        <v>43120</v>
      </c>
      <c r="H454" s="14" t="s">
        <v>719</v>
      </c>
      <c r="I454" s="14" t="s">
        <v>767</v>
      </c>
      <c r="J454" s="17">
        <v>170</v>
      </c>
      <c r="K454" s="17">
        <v>208</v>
      </c>
      <c r="L454" s="21">
        <v>0.81730769230769229</v>
      </c>
      <c r="M454" s="22">
        <v>6</v>
      </c>
      <c r="N454" s="96">
        <f t="shared" si="67"/>
        <v>3.0364372469635626E-2</v>
      </c>
      <c r="O454" s="96">
        <f t="shared" si="68"/>
        <v>2.4817035191529117E-2</v>
      </c>
      <c r="P454" s="96"/>
    </row>
    <row r="455" spans="1:16" s="2" customFormat="1" ht="21" hidden="1" customHeight="1">
      <c r="A455" s="17">
        <v>201710</v>
      </c>
      <c r="B455" s="14" t="s">
        <v>453</v>
      </c>
      <c r="C455" s="14" t="s">
        <v>22</v>
      </c>
      <c r="D455" s="15">
        <v>43113</v>
      </c>
      <c r="E455" s="88" t="s">
        <v>701</v>
      </c>
      <c r="F455" s="17">
        <v>360</v>
      </c>
      <c r="G455" s="16">
        <v>43123</v>
      </c>
      <c r="H455" s="14" t="s">
        <v>725</v>
      </c>
      <c r="I455" s="14" t="s">
        <v>767</v>
      </c>
      <c r="J455" s="17">
        <v>170</v>
      </c>
      <c r="K455" s="17">
        <v>208</v>
      </c>
      <c r="L455" s="21">
        <v>0.81730769230769229</v>
      </c>
      <c r="M455" s="22">
        <v>6</v>
      </c>
      <c r="N455" s="96">
        <f t="shared" si="67"/>
        <v>6.0728744939271252E-2</v>
      </c>
      <c r="O455" s="96">
        <f t="shared" si="68"/>
        <v>4.9634070383058233E-2</v>
      </c>
      <c r="P455" s="96"/>
    </row>
    <row r="456" spans="1:16" s="2" customFormat="1" ht="21" hidden="1" customHeight="1">
      <c r="A456" s="17">
        <v>201710</v>
      </c>
      <c r="B456" s="14" t="s">
        <v>454</v>
      </c>
      <c r="C456" s="14" t="s">
        <v>22</v>
      </c>
      <c r="D456" s="15">
        <v>43113</v>
      </c>
      <c r="E456" s="88" t="s">
        <v>701</v>
      </c>
      <c r="F456" s="17">
        <v>288</v>
      </c>
      <c r="G456" s="16">
        <v>43123</v>
      </c>
      <c r="H456" s="14" t="s">
        <v>731</v>
      </c>
      <c r="I456" s="14" t="s">
        <v>767</v>
      </c>
      <c r="J456" s="17">
        <v>170</v>
      </c>
      <c r="K456" s="17">
        <v>208</v>
      </c>
      <c r="L456" s="21">
        <v>0.81730769230769229</v>
      </c>
      <c r="M456" s="22">
        <v>6</v>
      </c>
      <c r="N456" s="96">
        <f t="shared" si="67"/>
        <v>4.8582995951417005E-2</v>
      </c>
      <c r="O456" s="96">
        <f t="shared" si="68"/>
        <v>3.9707256306446587E-2</v>
      </c>
      <c r="P456" s="96"/>
    </row>
    <row r="457" spans="1:16" s="2" customFormat="1" ht="21" hidden="1" customHeight="1">
      <c r="A457" s="17">
        <v>201710</v>
      </c>
      <c r="B457" s="14" t="s">
        <v>452</v>
      </c>
      <c r="C457" s="14" t="s">
        <v>22</v>
      </c>
      <c r="D457" s="15">
        <v>43115</v>
      </c>
      <c r="E457" s="88" t="s">
        <v>701</v>
      </c>
      <c r="F457" s="17">
        <v>1272</v>
      </c>
      <c r="G457" s="16">
        <v>43125</v>
      </c>
      <c r="H457" s="14" t="s">
        <v>718</v>
      </c>
      <c r="I457" s="14" t="s">
        <v>767</v>
      </c>
      <c r="J457" s="17">
        <v>170</v>
      </c>
      <c r="K457" s="17">
        <v>208</v>
      </c>
      <c r="L457" s="21">
        <v>0.81730769230769229</v>
      </c>
      <c r="M457" s="22">
        <v>6</v>
      </c>
      <c r="N457" s="96">
        <f t="shared" si="67"/>
        <v>0.2145748987854251</v>
      </c>
      <c r="O457" s="96">
        <f t="shared" si="68"/>
        <v>0.17537371535347243</v>
      </c>
      <c r="P457" s="96"/>
    </row>
    <row r="458" spans="1:16" s="2" customFormat="1" ht="21" hidden="1" customHeight="1">
      <c r="A458" s="17">
        <v>201711</v>
      </c>
      <c r="B458" s="14" t="s">
        <v>456</v>
      </c>
      <c r="C458" s="14" t="s">
        <v>22</v>
      </c>
      <c r="D458" s="15">
        <v>43116</v>
      </c>
      <c r="E458" s="88" t="s">
        <v>702</v>
      </c>
      <c r="F458" s="17">
        <v>480</v>
      </c>
      <c r="G458" s="16">
        <v>43155</v>
      </c>
      <c r="H458" s="14" t="s">
        <v>719</v>
      </c>
      <c r="I458" s="14" t="s">
        <v>748</v>
      </c>
      <c r="J458" s="17">
        <v>180</v>
      </c>
      <c r="K458" s="17">
        <v>258</v>
      </c>
      <c r="L458" s="21">
        <v>0.69767441860465118</v>
      </c>
      <c r="M458" s="22">
        <v>7</v>
      </c>
      <c r="N458" s="96">
        <f>F458/$F$639</f>
        <v>2.4783147459727387E-2</v>
      </c>
      <c r="O458" s="96">
        <f>L458*N458</f>
        <v>1.7290567995158643E-2</v>
      </c>
      <c r="P458" s="96"/>
    </row>
    <row r="459" spans="1:16" s="2" customFormat="1" ht="21" hidden="1" customHeight="1">
      <c r="A459" s="17">
        <v>201711</v>
      </c>
      <c r="B459" s="14" t="s">
        <v>457</v>
      </c>
      <c r="C459" s="14" t="s">
        <v>22</v>
      </c>
      <c r="D459" s="15">
        <v>43116</v>
      </c>
      <c r="E459" s="88" t="s">
        <v>702</v>
      </c>
      <c r="F459" s="17">
        <v>444</v>
      </c>
      <c r="G459" s="16">
        <v>43155</v>
      </c>
      <c r="H459" s="14" t="s">
        <v>730</v>
      </c>
      <c r="I459" s="14" t="s">
        <v>748</v>
      </c>
      <c r="J459" s="17">
        <v>180</v>
      </c>
      <c r="K459" s="17">
        <v>258</v>
      </c>
      <c r="L459" s="21">
        <v>0.69767441860465118</v>
      </c>
      <c r="M459" s="22">
        <v>7</v>
      </c>
      <c r="N459" s="96">
        <f t="shared" ref="N459:N477" si="69">F459/$F$639</f>
        <v>2.292441140024783E-2</v>
      </c>
      <c r="O459" s="96">
        <f t="shared" ref="O459:O477" si="70">L459*N459</f>
        <v>1.5993775395521742E-2</v>
      </c>
      <c r="P459" s="96"/>
    </row>
    <row r="460" spans="1:16" s="2" customFormat="1" ht="21" hidden="1" customHeight="1">
      <c r="A460" s="17">
        <v>201711</v>
      </c>
      <c r="B460" s="14" t="s">
        <v>458</v>
      </c>
      <c r="C460" s="14" t="s">
        <v>22</v>
      </c>
      <c r="D460" s="15">
        <v>43116</v>
      </c>
      <c r="E460" s="88" t="s">
        <v>702</v>
      </c>
      <c r="F460" s="17">
        <v>6</v>
      </c>
      <c r="G460" s="16">
        <v>43155</v>
      </c>
      <c r="H460" s="14" t="s">
        <v>727</v>
      </c>
      <c r="I460" s="14" t="s">
        <v>748</v>
      </c>
      <c r="J460" s="17">
        <v>180</v>
      </c>
      <c r="K460" s="17">
        <v>258</v>
      </c>
      <c r="L460" s="21">
        <v>0.69767441860465118</v>
      </c>
      <c r="M460" s="22">
        <v>7</v>
      </c>
      <c r="N460" s="96">
        <f t="shared" si="69"/>
        <v>3.0978934324659232E-4</v>
      </c>
      <c r="O460" s="96">
        <f t="shared" si="70"/>
        <v>2.1613209993948302E-4</v>
      </c>
      <c r="P460" s="96"/>
    </row>
    <row r="461" spans="1:16" s="2" customFormat="1" ht="21" hidden="1" customHeight="1">
      <c r="A461" s="17">
        <v>201711</v>
      </c>
      <c r="B461" s="14" t="s">
        <v>459</v>
      </c>
      <c r="C461" s="14" t="s">
        <v>22</v>
      </c>
      <c r="D461" s="15">
        <v>43116</v>
      </c>
      <c r="E461" s="88" t="s">
        <v>702</v>
      </c>
      <c r="F461" s="17">
        <v>15</v>
      </c>
      <c r="G461" s="16">
        <v>43153</v>
      </c>
      <c r="H461" s="14" t="s">
        <v>722</v>
      </c>
      <c r="I461" s="14" t="s">
        <v>748</v>
      </c>
      <c r="J461" s="17">
        <v>180</v>
      </c>
      <c r="K461" s="17">
        <v>258</v>
      </c>
      <c r="L461" s="21">
        <v>0.69767441860465118</v>
      </c>
      <c r="M461" s="22">
        <v>7</v>
      </c>
      <c r="N461" s="96">
        <f t="shared" si="69"/>
        <v>7.7447335811648083E-4</v>
      </c>
      <c r="O461" s="96">
        <f t="shared" si="70"/>
        <v>5.4033024984870759E-4</v>
      </c>
      <c r="P461" s="96"/>
    </row>
    <row r="462" spans="1:16" s="2" customFormat="1" ht="21" hidden="1" customHeight="1">
      <c r="A462" s="17">
        <v>201711</v>
      </c>
      <c r="B462" s="14" t="s">
        <v>460</v>
      </c>
      <c r="C462" s="14" t="s">
        <v>22</v>
      </c>
      <c r="D462" s="15">
        <v>43117</v>
      </c>
      <c r="E462" s="88" t="s">
        <v>702</v>
      </c>
      <c r="F462" s="17">
        <v>1432</v>
      </c>
      <c r="G462" s="16">
        <v>43155</v>
      </c>
      <c r="H462" s="14" t="s">
        <v>718</v>
      </c>
      <c r="I462" s="14" t="s">
        <v>748</v>
      </c>
      <c r="J462" s="17">
        <v>180</v>
      </c>
      <c r="K462" s="17">
        <v>258</v>
      </c>
      <c r="L462" s="21">
        <v>0.69767441860465118</v>
      </c>
      <c r="M462" s="22">
        <v>7</v>
      </c>
      <c r="N462" s="96">
        <f t="shared" si="69"/>
        <v>7.3936389921520032E-2</v>
      </c>
      <c r="O462" s="96">
        <f t="shared" si="70"/>
        <v>5.1583527852223282E-2</v>
      </c>
      <c r="P462" s="96"/>
    </row>
    <row r="463" spans="1:16" s="2" customFormat="1" ht="21" hidden="1" customHeight="1">
      <c r="A463" s="17">
        <v>201711</v>
      </c>
      <c r="B463" s="14" t="s">
        <v>461</v>
      </c>
      <c r="C463" s="14" t="s">
        <v>22</v>
      </c>
      <c r="D463" s="15">
        <v>43117</v>
      </c>
      <c r="E463" s="88" t="s">
        <v>702</v>
      </c>
      <c r="F463" s="17">
        <v>78</v>
      </c>
      <c r="G463" s="16">
        <v>43155</v>
      </c>
      <c r="H463" s="14" t="s">
        <v>725</v>
      </c>
      <c r="I463" s="14" t="s">
        <v>748</v>
      </c>
      <c r="J463" s="17">
        <v>180</v>
      </c>
      <c r="K463" s="17">
        <v>258</v>
      </c>
      <c r="L463" s="21">
        <v>0.69767441860465118</v>
      </c>
      <c r="M463" s="22">
        <v>7</v>
      </c>
      <c r="N463" s="96">
        <f t="shared" si="69"/>
        <v>4.0272614622056998E-3</v>
      </c>
      <c r="O463" s="96">
        <f t="shared" si="70"/>
        <v>2.8097172992132789E-3</v>
      </c>
      <c r="P463" s="96"/>
    </row>
    <row r="464" spans="1:16" s="2" customFormat="1" ht="21" hidden="1" customHeight="1">
      <c r="A464" s="17">
        <v>201711</v>
      </c>
      <c r="B464" s="14" t="s">
        <v>462</v>
      </c>
      <c r="C464" s="14" t="s">
        <v>22</v>
      </c>
      <c r="D464" s="15">
        <v>43117</v>
      </c>
      <c r="E464" s="88" t="s">
        <v>702</v>
      </c>
      <c r="F464" s="17">
        <v>9</v>
      </c>
      <c r="G464" s="16">
        <v>43155</v>
      </c>
      <c r="H464" s="14" t="s">
        <v>727</v>
      </c>
      <c r="I464" s="14" t="s">
        <v>748</v>
      </c>
      <c r="J464" s="17">
        <v>180</v>
      </c>
      <c r="K464" s="17">
        <v>258</v>
      </c>
      <c r="L464" s="21">
        <v>0.69767441860465118</v>
      </c>
      <c r="M464" s="22">
        <v>7</v>
      </c>
      <c r="N464" s="96">
        <f t="shared" si="69"/>
        <v>4.6468401486988845E-4</v>
      </c>
      <c r="O464" s="96">
        <f t="shared" si="70"/>
        <v>3.2419814990922451E-4</v>
      </c>
      <c r="P464" s="96"/>
    </row>
    <row r="465" spans="1:16" s="2" customFormat="1" ht="21" hidden="1" customHeight="1">
      <c r="A465" s="17">
        <v>201711</v>
      </c>
      <c r="B465" s="14" t="s">
        <v>463</v>
      </c>
      <c r="C465" s="14" t="s">
        <v>22</v>
      </c>
      <c r="D465" s="15">
        <v>43117</v>
      </c>
      <c r="E465" s="88" t="s">
        <v>702</v>
      </c>
      <c r="F465" s="17">
        <v>12</v>
      </c>
      <c r="G465" s="16">
        <v>43155</v>
      </c>
      <c r="H465" s="14" t="s">
        <v>727</v>
      </c>
      <c r="I465" s="14" t="s">
        <v>748</v>
      </c>
      <c r="J465" s="17">
        <v>180</v>
      </c>
      <c r="K465" s="17">
        <v>258</v>
      </c>
      <c r="L465" s="21">
        <v>0.69767441860465118</v>
      </c>
      <c r="M465" s="22">
        <v>7</v>
      </c>
      <c r="N465" s="96">
        <f t="shared" si="69"/>
        <v>6.1957868649318464E-4</v>
      </c>
      <c r="O465" s="96">
        <f t="shared" si="70"/>
        <v>4.3226419987896605E-4</v>
      </c>
      <c r="P465" s="96"/>
    </row>
    <row r="466" spans="1:16" s="2" customFormat="1" ht="21" hidden="1" customHeight="1">
      <c r="A466" s="17">
        <v>201711</v>
      </c>
      <c r="B466" s="14" t="s">
        <v>464</v>
      </c>
      <c r="C466" s="14" t="s">
        <v>22</v>
      </c>
      <c r="D466" s="15">
        <v>43118</v>
      </c>
      <c r="E466" s="88" t="s">
        <v>702</v>
      </c>
      <c r="F466" s="17">
        <v>4176</v>
      </c>
      <c r="G466" s="16">
        <v>43155</v>
      </c>
      <c r="H466" s="14" t="s">
        <v>717</v>
      </c>
      <c r="I466" s="14" t="s">
        <v>748</v>
      </c>
      <c r="J466" s="17">
        <v>180</v>
      </c>
      <c r="K466" s="17">
        <v>258</v>
      </c>
      <c r="L466" s="21">
        <v>0.69767441860465118</v>
      </c>
      <c r="M466" s="22">
        <v>7</v>
      </c>
      <c r="N466" s="96">
        <f t="shared" si="69"/>
        <v>0.21561338289962825</v>
      </c>
      <c r="O466" s="96">
        <f t="shared" si="70"/>
        <v>0.15042794155788017</v>
      </c>
      <c r="P466" s="96"/>
    </row>
    <row r="467" spans="1:16" s="2" customFormat="1" ht="21" hidden="1" customHeight="1">
      <c r="A467" s="17">
        <v>201711</v>
      </c>
      <c r="B467" s="14" t="s">
        <v>465</v>
      </c>
      <c r="C467" s="14" t="s">
        <v>22</v>
      </c>
      <c r="D467" s="15">
        <v>43118</v>
      </c>
      <c r="E467" s="88" t="s">
        <v>702</v>
      </c>
      <c r="F467" s="17">
        <v>6</v>
      </c>
      <c r="G467" s="16">
        <v>43155</v>
      </c>
      <c r="H467" s="14" t="s">
        <v>727</v>
      </c>
      <c r="I467" s="14" t="s">
        <v>748</v>
      </c>
      <c r="J467" s="17">
        <v>180</v>
      </c>
      <c r="K467" s="17">
        <v>258</v>
      </c>
      <c r="L467" s="21">
        <v>0.69767441860465118</v>
      </c>
      <c r="M467" s="22">
        <v>7</v>
      </c>
      <c r="N467" s="96">
        <f t="shared" si="69"/>
        <v>3.0978934324659232E-4</v>
      </c>
      <c r="O467" s="96">
        <f t="shared" si="70"/>
        <v>2.1613209993948302E-4</v>
      </c>
      <c r="P467" s="96"/>
    </row>
    <row r="468" spans="1:16" s="2" customFormat="1" ht="21" hidden="1" customHeight="1">
      <c r="A468" s="17">
        <v>201711</v>
      </c>
      <c r="B468" s="14" t="s">
        <v>466</v>
      </c>
      <c r="C468" s="14" t="s">
        <v>22</v>
      </c>
      <c r="D468" s="15">
        <v>43118</v>
      </c>
      <c r="E468" s="88" t="s">
        <v>702</v>
      </c>
      <c r="F468" s="17">
        <v>12</v>
      </c>
      <c r="G468" s="16">
        <v>43155</v>
      </c>
      <c r="H468" s="14" t="s">
        <v>727</v>
      </c>
      <c r="I468" s="14" t="s">
        <v>748</v>
      </c>
      <c r="J468" s="17">
        <v>180</v>
      </c>
      <c r="K468" s="17">
        <v>258</v>
      </c>
      <c r="L468" s="21">
        <v>0.69767441860465118</v>
      </c>
      <c r="M468" s="22">
        <v>7</v>
      </c>
      <c r="N468" s="96">
        <f t="shared" si="69"/>
        <v>6.1957868649318464E-4</v>
      </c>
      <c r="O468" s="96">
        <f t="shared" si="70"/>
        <v>4.3226419987896605E-4</v>
      </c>
      <c r="P468" s="96"/>
    </row>
    <row r="469" spans="1:16" s="2" customFormat="1" ht="21" hidden="1" customHeight="1">
      <c r="A469" s="17">
        <v>201711</v>
      </c>
      <c r="B469" s="14" t="s">
        <v>467</v>
      </c>
      <c r="C469" s="14" t="s">
        <v>22</v>
      </c>
      <c r="D469" s="15">
        <v>43118</v>
      </c>
      <c r="E469" s="88" t="s">
        <v>702</v>
      </c>
      <c r="F469" s="17">
        <v>6</v>
      </c>
      <c r="G469" s="16">
        <v>43155</v>
      </c>
      <c r="H469" s="14" t="s">
        <v>727</v>
      </c>
      <c r="I469" s="14" t="s">
        <v>748</v>
      </c>
      <c r="J469" s="17">
        <v>180</v>
      </c>
      <c r="K469" s="17">
        <v>258</v>
      </c>
      <c r="L469" s="21">
        <v>0.69767441860465118</v>
      </c>
      <c r="M469" s="22">
        <v>7</v>
      </c>
      <c r="N469" s="96">
        <f t="shared" si="69"/>
        <v>3.0978934324659232E-4</v>
      </c>
      <c r="O469" s="96">
        <f t="shared" si="70"/>
        <v>2.1613209993948302E-4</v>
      </c>
      <c r="P469" s="96"/>
    </row>
    <row r="470" spans="1:16" s="2" customFormat="1" ht="21" hidden="1" customHeight="1">
      <c r="A470" s="17">
        <v>201711</v>
      </c>
      <c r="B470" s="14" t="s">
        <v>468</v>
      </c>
      <c r="C470" s="14" t="s">
        <v>22</v>
      </c>
      <c r="D470" s="15">
        <v>43122</v>
      </c>
      <c r="E470" s="88" t="s">
        <v>702</v>
      </c>
      <c r="F470" s="17">
        <v>7500</v>
      </c>
      <c r="G470" s="16">
        <v>43155</v>
      </c>
      <c r="H470" s="14" t="s">
        <v>718</v>
      </c>
      <c r="I470" s="14" t="s">
        <v>748</v>
      </c>
      <c r="J470" s="17">
        <v>180</v>
      </c>
      <c r="K470" s="17">
        <v>258</v>
      </c>
      <c r="L470" s="21">
        <v>0.69767441860465118</v>
      </c>
      <c r="M470" s="22">
        <v>7</v>
      </c>
      <c r="N470" s="96">
        <f t="shared" si="69"/>
        <v>0.38723667905824039</v>
      </c>
      <c r="O470" s="96">
        <f t="shared" si="70"/>
        <v>0.27016512492435374</v>
      </c>
      <c r="P470" s="96"/>
    </row>
    <row r="471" spans="1:16" s="2" customFormat="1" ht="21" hidden="1" customHeight="1">
      <c r="A471" s="17">
        <v>201711</v>
      </c>
      <c r="B471" s="14" t="s">
        <v>469</v>
      </c>
      <c r="C471" s="14" t="s">
        <v>22</v>
      </c>
      <c r="D471" s="15">
        <v>43122</v>
      </c>
      <c r="E471" s="88" t="s">
        <v>702</v>
      </c>
      <c r="F471" s="17">
        <v>57</v>
      </c>
      <c r="G471" s="16">
        <v>43155</v>
      </c>
      <c r="H471" s="14" t="s">
        <v>721</v>
      </c>
      <c r="I471" s="14" t="s">
        <v>748</v>
      </c>
      <c r="J471" s="17">
        <v>180</v>
      </c>
      <c r="K471" s="17">
        <v>258</v>
      </c>
      <c r="L471" s="21">
        <v>0.69767441860465118</v>
      </c>
      <c r="M471" s="22">
        <v>7</v>
      </c>
      <c r="N471" s="96">
        <f t="shared" si="69"/>
        <v>2.9429987608426268E-3</v>
      </c>
      <c r="O471" s="96">
        <f t="shared" si="70"/>
        <v>2.0532549494250885E-3</v>
      </c>
      <c r="P471" s="96"/>
    </row>
    <row r="472" spans="1:16" s="2" customFormat="1" ht="21" hidden="1" customHeight="1">
      <c r="A472" s="17">
        <v>201711</v>
      </c>
      <c r="B472" s="14" t="s">
        <v>470</v>
      </c>
      <c r="C472" s="14" t="s">
        <v>22</v>
      </c>
      <c r="D472" s="15">
        <v>43122</v>
      </c>
      <c r="E472" s="88" t="s">
        <v>702</v>
      </c>
      <c r="F472" s="17">
        <v>87</v>
      </c>
      <c r="G472" s="16">
        <v>43155</v>
      </c>
      <c r="H472" s="14" t="s">
        <v>720</v>
      </c>
      <c r="I472" s="14" t="s">
        <v>748</v>
      </c>
      <c r="J472" s="17">
        <v>180</v>
      </c>
      <c r="K472" s="17">
        <v>258</v>
      </c>
      <c r="L472" s="21">
        <v>0.69767441860465118</v>
      </c>
      <c r="M472" s="22">
        <v>7</v>
      </c>
      <c r="N472" s="96">
        <f t="shared" si="69"/>
        <v>4.4919454770755889E-3</v>
      </c>
      <c r="O472" s="96">
        <f t="shared" si="70"/>
        <v>3.1339154491225041E-3</v>
      </c>
      <c r="P472" s="96"/>
    </row>
    <row r="473" spans="1:16" s="2" customFormat="1" ht="21" hidden="1" customHeight="1">
      <c r="A473" s="17">
        <v>201711</v>
      </c>
      <c r="B473" s="14" t="s">
        <v>471</v>
      </c>
      <c r="C473" s="14" t="s">
        <v>22</v>
      </c>
      <c r="D473" s="15">
        <v>43122</v>
      </c>
      <c r="E473" s="88" t="s">
        <v>702</v>
      </c>
      <c r="F473" s="17">
        <v>21</v>
      </c>
      <c r="G473" s="16">
        <v>43155</v>
      </c>
      <c r="H473" s="14" t="s">
        <v>731</v>
      </c>
      <c r="I473" s="14" t="s">
        <v>748</v>
      </c>
      <c r="J473" s="17">
        <v>180</v>
      </c>
      <c r="K473" s="17">
        <v>258</v>
      </c>
      <c r="L473" s="21">
        <v>0.69767441860465118</v>
      </c>
      <c r="M473" s="22">
        <v>7</v>
      </c>
      <c r="N473" s="96">
        <f t="shared" si="69"/>
        <v>1.0842627013630732E-3</v>
      </c>
      <c r="O473" s="96">
        <f t="shared" si="70"/>
        <v>7.5646234978819066E-4</v>
      </c>
      <c r="P473" s="96"/>
    </row>
    <row r="474" spans="1:16" s="2" customFormat="1" ht="21" hidden="1" customHeight="1">
      <c r="A474" s="17">
        <v>201711</v>
      </c>
      <c r="B474" s="14" t="s">
        <v>472</v>
      </c>
      <c r="C474" s="14" t="s">
        <v>22</v>
      </c>
      <c r="D474" s="15">
        <v>43127</v>
      </c>
      <c r="E474" s="88" t="s">
        <v>702</v>
      </c>
      <c r="F474" s="17">
        <v>66</v>
      </c>
      <c r="G474" s="16">
        <v>43155</v>
      </c>
      <c r="H474" s="14" t="s">
        <v>722</v>
      </c>
      <c r="I474" s="14" t="s">
        <v>748</v>
      </c>
      <c r="J474" s="17">
        <v>180</v>
      </c>
      <c r="K474" s="17">
        <v>258</v>
      </c>
      <c r="L474" s="21">
        <v>0.69767441860465118</v>
      </c>
      <c r="M474" s="22">
        <v>7</v>
      </c>
      <c r="N474" s="96">
        <f t="shared" si="69"/>
        <v>3.4076827757125155E-3</v>
      </c>
      <c r="O474" s="96">
        <f t="shared" si="70"/>
        <v>2.3774530993343132E-3</v>
      </c>
      <c r="P474" s="96"/>
    </row>
    <row r="475" spans="1:16" s="2" customFormat="1" ht="21" hidden="1" customHeight="1">
      <c r="A475" s="17">
        <v>201711</v>
      </c>
      <c r="B475" s="14" t="s">
        <v>473</v>
      </c>
      <c r="C475" s="14" t="s">
        <v>22</v>
      </c>
      <c r="D475" s="15">
        <v>43127</v>
      </c>
      <c r="E475" s="88" t="s">
        <v>702</v>
      </c>
      <c r="F475" s="17">
        <v>57</v>
      </c>
      <c r="G475" s="16">
        <v>43155</v>
      </c>
      <c r="H475" s="14" t="s">
        <v>732</v>
      </c>
      <c r="I475" s="14" t="s">
        <v>748</v>
      </c>
      <c r="J475" s="17">
        <v>180</v>
      </c>
      <c r="K475" s="17">
        <v>258</v>
      </c>
      <c r="L475" s="21">
        <v>0.69767441860465118</v>
      </c>
      <c r="M475" s="22">
        <v>7</v>
      </c>
      <c r="N475" s="96">
        <f t="shared" si="69"/>
        <v>2.9429987608426268E-3</v>
      </c>
      <c r="O475" s="96">
        <f t="shared" si="70"/>
        <v>2.0532549494250885E-3</v>
      </c>
      <c r="P475" s="96"/>
    </row>
    <row r="476" spans="1:16" s="2" customFormat="1" ht="21" hidden="1" customHeight="1">
      <c r="A476" s="17">
        <v>201711</v>
      </c>
      <c r="B476" s="14" t="s">
        <v>474</v>
      </c>
      <c r="C476" s="14" t="s">
        <v>22</v>
      </c>
      <c r="D476" s="15">
        <v>43127</v>
      </c>
      <c r="E476" s="88" t="s">
        <v>702</v>
      </c>
      <c r="F476" s="17">
        <v>150</v>
      </c>
      <c r="G476" s="16">
        <v>43155</v>
      </c>
      <c r="H476" s="14" t="s">
        <v>718</v>
      </c>
      <c r="I476" s="14" t="s">
        <v>748</v>
      </c>
      <c r="J476" s="17">
        <v>180</v>
      </c>
      <c r="K476" s="17">
        <v>258</v>
      </c>
      <c r="L476" s="21">
        <v>0.69767441860465118</v>
      </c>
      <c r="M476" s="22">
        <v>7</v>
      </c>
      <c r="N476" s="96">
        <f t="shared" si="69"/>
        <v>7.7447335811648083E-3</v>
      </c>
      <c r="O476" s="96">
        <f t="shared" si="70"/>
        <v>5.4033024984870759E-3</v>
      </c>
      <c r="P476" s="96"/>
    </row>
    <row r="477" spans="1:16" s="2" customFormat="1" ht="21" hidden="1" customHeight="1">
      <c r="A477" s="17">
        <v>201711</v>
      </c>
      <c r="B477" s="14" t="s">
        <v>475</v>
      </c>
      <c r="C477" s="14" t="s">
        <v>22</v>
      </c>
      <c r="D477" s="15">
        <v>43127</v>
      </c>
      <c r="E477" s="88" t="s">
        <v>703</v>
      </c>
      <c r="F477" s="17">
        <f>4500+254</f>
        <v>4754</v>
      </c>
      <c r="G477" s="16">
        <v>43155</v>
      </c>
      <c r="H477" s="14" t="s">
        <v>718</v>
      </c>
      <c r="I477" s="14" t="s">
        <v>748</v>
      </c>
      <c r="J477" s="17">
        <v>180</v>
      </c>
      <c r="K477" s="17">
        <v>257</v>
      </c>
      <c r="L477" s="21">
        <v>0.70038910505836571</v>
      </c>
      <c r="M477" s="22">
        <v>7</v>
      </c>
      <c r="N477" s="96">
        <f t="shared" si="69"/>
        <v>0.24545642296571665</v>
      </c>
      <c r="O477" s="96">
        <f t="shared" si="70"/>
        <v>0.17191500441178598</v>
      </c>
      <c r="P477" s="96"/>
    </row>
    <row r="478" spans="1:16" s="2" customFormat="1" ht="21" hidden="1" customHeight="1">
      <c r="A478" s="17"/>
      <c r="B478" s="14"/>
      <c r="C478" s="14"/>
      <c r="D478" s="15"/>
      <c r="E478" s="88"/>
      <c r="F478" s="39">
        <f>SUM(F437:F477)</f>
        <v>35760</v>
      </c>
      <c r="G478" s="17"/>
      <c r="H478" s="14"/>
      <c r="I478" s="14"/>
      <c r="J478" s="17"/>
      <c r="K478" s="17"/>
      <c r="L478" s="21"/>
      <c r="M478" s="22"/>
      <c r="N478" s="96"/>
      <c r="O478" s="96"/>
      <c r="P478" s="96"/>
    </row>
    <row r="479" spans="1:16" s="2" customFormat="1" ht="21" hidden="1" customHeight="1">
      <c r="A479" s="17">
        <v>201709</v>
      </c>
      <c r="B479" s="25" t="s">
        <v>834</v>
      </c>
      <c r="C479" s="14" t="s">
        <v>21</v>
      </c>
      <c r="D479" s="15">
        <v>42737</v>
      </c>
      <c r="E479" s="90" t="s">
        <v>704</v>
      </c>
      <c r="F479" s="17">
        <v>252</v>
      </c>
      <c r="G479" s="26">
        <v>43115</v>
      </c>
      <c r="H479" s="25" t="s">
        <v>717</v>
      </c>
      <c r="I479" s="25" t="s">
        <v>785</v>
      </c>
      <c r="J479" s="17">
        <v>180</v>
      </c>
      <c r="K479" s="17">
        <v>194</v>
      </c>
      <c r="L479" s="21">
        <v>0.92783505154639179</v>
      </c>
      <c r="M479" s="22">
        <v>5</v>
      </c>
      <c r="N479" s="96">
        <f>F479/$F$640</f>
        <v>1.800128580612901E-2</v>
      </c>
      <c r="O479" s="96">
        <f>L479*N479</f>
        <v>1.670222394383104E-2</v>
      </c>
      <c r="P479" s="96"/>
    </row>
    <row r="480" spans="1:16" s="2" customFormat="1" ht="21" hidden="1" customHeight="1">
      <c r="A480" s="17">
        <v>201708</v>
      </c>
      <c r="B480" s="14" t="s">
        <v>835</v>
      </c>
      <c r="C480" s="14" t="s">
        <v>21</v>
      </c>
      <c r="D480" s="15">
        <v>42737</v>
      </c>
      <c r="E480" s="88" t="s">
        <v>836</v>
      </c>
      <c r="F480" s="17">
        <v>648</v>
      </c>
      <c r="G480" s="16">
        <v>43131</v>
      </c>
      <c r="H480" s="14" t="s">
        <v>734</v>
      </c>
      <c r="I480" s="14" t="s">
        <v>785</v>
      </c>
      <c r="J480" s="17">
        <v>180</v>
      </c>
      <c r="K480" s="17">
        <v>194</v>
      </c>
      <c r="L480" s="21">
        <v>0.92783505154639179</v>
      </c>
      <c r="M480" s="22">
        <v>5</v>
      </c>
      <c r="N480" s="96">
        <f t="shared" ref="N480:N489" si="71">F480/$F$640</f>
        <v>4.6289020644331741E-2</v>
      </c>
      <c r="O480" s="96">
        <f t="shared" ref="O480:O489" si="72">L480*N480</f>
        <v>4.2948575855565538E-2</v>
      </c>
      <c r="P480" s="96"/>
    </row>
    <row r="481" spans="1:16" s="2" customFormat="1" ht="21" hidden="1" customHeight="1">
      <c r="A481" s="17">
        <v>201709</v>
      </c>
      <c r="B481" s="14" t="s">
        <v>803</v>
      </c>
      <c r="C481" s="14" t="s">
        <v>21</v>
      </c>
      <c r="D481" s="15">
        <v>42737</v>
      </c>
      <c r="E481" s="88" t="s">
        <v>704</v>
      </c>
      <c r="F481" s="17">
        <f>446+29</f>
        <v>475</v>
      </c>
      <c r="G481" s="16">
        <v>43116</v>
      </c>
      <c r="H481" s="14" t="s">
        <v>717</v>
      </c>
      <c r="I481" s="14" t="s">
        <v>785</v>
      </c>
      <c r="J481" s="17">
        <v>180</v>
      </c>
      <c r="K481" s="17">
        <v>194</v>
      </c>
      <c r="L481" s="21">
        <v>0.92783505154639179</v>
      </c>
      <c r="M481" s="22">
        <v>5</v>
      </c>
      <c r="N481" s="96">
        <f t="shared" si="71"/>
        <v>3.3930995071076504E-2</v>
      </c>
      <c r="O481" s="96">
        <f t="shared" si="72"/>
        <v>3.1482366560792632E-2</v>
      </c>
      <c r="P481" s="96"/>
    </row>
    <row r="482" spans="1:16" s="2" customFormat="1" ht="21" hidden="1" customHeight="1">
      <c r="A482" s="17">
        <v>201709</v>
      </c>
      <c r="B482" s="14" t="s">
        <v>476</v>
      </c>
      <c r="C482" s="14" t="s">
        <v>21</v>
      </c>
      <c r="D482" s="15">
        <v>43104</v>
      </c>
      <c r="E482" s="88" t="s">
        <v>704</v>
      </c>
      <c r="F482" s="17">
        <v>516</v>
      </c>
      <c r="G482" s="16">
        <v>43116</v>
      </c>
      <c r="H482" s="14" t="s">
        <v>717</v>
      </c>
      <c r="I482" s="14" t="s">
        <v>785</v>
      </c>
      <c r="J482" s="17">
        <v>180</v>
      </c>
      <c r="K482" s="17">
        <v>194</v>
      </c>
      <c r="L482" s="21">
        <v>0.92783505154639179</v>
      </c>
      <c r="M482" s="22">
        <v>5</v>
      </c>
      <c r="N482" s="96">
        <f t="shared" si="71"/>
        <v>3.6859775698264159E-2</v>
      </c>
      <c r="O482" s="96">
        <f t="shared" si="72"/>
        <v>3.4199791884987368E-2</v>
      </c>
      <c r="P482" s="96"/>
    </row>
    <row r="483" spans="1:16" s="2" customFormat="1" ht="21" hidden="1" customHeight="1">
      <c r="A483" s="17">
        <v>201709</v>
      </c>
      <c r="B483" s="14" t="s">
        <v>477</v>
      </c>
      <c r="C483" s="14" t="s">
        <v>21</v>
      </c>
      <c r="D483" s="15">
        <v>43104</v>
      </c>
      <c r="E483" s="88" t="s">
        <v>704</v>
      </c>
      <c r="F483" s="17">
        <v>348</v>
      </c>
      <c r="G483" s="16">
        <v>43118</v>
      </c>
      <c r="H483" s="14" t="s">
        <v>717</v>
      </c>
      <c r="I483" s="14" t="s">
        <v>785</v>
      </c>
      <c r="J483" s="17">
        <v>180</v>
      </c>
      <c r="K483" s="17">
        <v>194</v>
      </c>
      <c r="L483" s="21">
        <v>0.92783505154639179</v>
      </c>
      <c r="M483" s="22">
        <v>5</v>
      </c>
      <c r="N483" s="96">
        <f t="shared" si="71"/>
        <v>2.4858918494178154E-2</v>
      </c>
      <c r="O483" s="96">
        <f t="shared" si="72"/>
        <v>2.3064975922433339E-2</v>
      </c>
      <c r="P483" s="96"/>
    </row>
    <row r="484" spans="1:16" s="2" customFormat="1" ht="21" hidden="1" customHeight="1">
      <c r="A484" s="17">
        <v>201709</v>
      </c>
      <c r="B484" s="14" t="s">
        <v>478</v>
      </c>
      <c r="C484" s="14" t="s">
        <v>21</v>
      </c>
      <c r="D484" s="15">
        <v>43104</v>
      </c>
      <c r="E484" s="88" t="s">
        <v>704</v>
      </c>
      <c r="F484" s="17">
        <v>336</v>
      </c>
      <c r="G484" s="16">
        <v>43124</v>
      </c>
      <c r="H484" s="14" t="s">
        <v>726</v>
      </c>
      <c r="I484" s="14" t="s">
        <v>785</v>
      </c>
      <c r="J484" s="17">
        <v>180</v>
      </c>
      <c r="K484" s="17">
        <v>194</v>
      </c>
      <c r="L484" s="21">
        <v>0.92783505154639179</v>
      </c>
      <c r="M484" s="22">
        <v>5</v>
      </c>
      <c r="N484" s="96">
        <f t="shared" si="71"/>
        <v>2.4001714408172014E-2</v>
      </c>
      <c r="O484" s="96">
        <f t="shared" si="72"/>
        <v>2.2269631925108054E-2</v>
      </c>
      <c r="P484" s="96"/>
    </row>
    <row r="485" spans="1:16" s="2" customFormat="1" ht="21" hidden="1" customHeight="1">
      <c r="A485" s="17">
        <v>201708</v>
      </c>
      <c r="B485" s="14" t="s">
        <v>479</v>
      </c>
      <c r="C485" s="14" t="s">
        <v>21</v>
      </c>
      <c r="D485" s="15">
        <v>43105</v>
      </c>
      <c r="E485" s="88" t="s">
        <v>704</v>
      </c>
      <c r="F485" s="17">
        <v>2400</v>
      </c>
      <c r="G485" s="16">
        <v>43122</v>
      </c>
      <c r="H485" s="14" t="s">
        <v>733</v>
      </c>
      <c r="I485" s="14" t="s">
        <v>785</v>
      </c>
      <c r="J485" s="17">
        <v>180</v>
      </c>
      <c r="K485" s="17">
        <v>194</v>
      </c>
      <c r="L485" s="21">
        <v>0.92783505154639179</v>
      </c>
      <c r="M485" s="22">
        <v>5</v>
      </c>
      <c r="N485" s="96">
        <f t="shared" si="71"/>
        <v>0.17144081720122867</v>
      </c>
      <c r="O485" s="96">
        <f t="shared" si="72"/>
        <v>0.15906879946505753</v>
      </c>
      <c r="P485" s="96"/>
    </row>
    <row r="486" spans="1:16" s="2" customFormat="1" ht="21" hidden="1" customHeight="1">
      <c r="A486" s="17">
        <v>201708</v>
      </c>
      <c r="B486" s="14" t="s">
        <v>480</v>
      </c>
      <c r="C486" s="14" t="s">
        <v>21</v>
      </c>
      <c r="D486" s="15">
        <v>43106</v>
      </c>
      <c r="E486" s="88" t="s">
        <v>704</v>
      </c>
      <c r="F486" s="17">
        <v>924</v>
      </c>
      <c r="G486" s="16">
        <v>43131</v>
      </c>
      <c r="H486" s="14" t="s">
        <v>734</v>
      </c>
      <c r="I486" s="14" t="s">
        <v>785</v>
      </c>
      <c r="J486" s="17">
        <v>180</v>
      </c>
      <c r="K486" s="17">
        <v>194</v>
      </c>
      <c r="L486" s="21">
        <v>0.92783505154639179</v>
      </c>
      <c r="M486" s="22">
        <v>5</v>
      </c>
      <c r="N486" s="96">
        <f t="shared" si="71"/>
        <v>6.6004714622473037E-2</v>
      </c>
      <c r="O486" s="96">
        <f t="shared" si="72"/>
        <v>6.1241487794047152E-2</v>
      </c>
      <c r="P486" s="96"/>
    </row>
    <row r="487" spans="1:16" s="2" customFormat="1" ht="21" hidden="1" customHeight="1">
      <c r="A487" s="17">
        <v>201710</v>
      </c>
      <c r="B487" s="14" t="s">
        <v>481</v>
      </c>
      <c r="C487" s="14" t="s">
        <v>21</v>
      </c>
      <c r="D487" s="15">
        <v>43108</v>
      </c>
      <c r="E487" s="88" t="s">
        <v>704</v>
      </c>
      <c r="F487" s="17">
        <v>288</v>
      </c>
      <c r="G487" s="16">
        <v>43124</v>
      </c>
      <c r="H487" s="14" t="s">
        <v>717</v>
      </c>
      <c r="I487" s="14" t="s">
        <v>785</v>
      </c>
      <c r="J487" s="17">
        <v>180</v>
      </c>
      <c r="K487" s="17">
        <v>194</v>
      </c>
      <c r="L487" s="21">
        <v>0.92783505154639179</v>
      </c>
      <c r="M487" s="22">
        <v>5</v>
      </c>
      <c r="N487" s="96">
        <f t="shared" si="71"/>
        <v>2.057289806414744E-2</v>
      </c>
      <c r="O487" s="96">
        <f t="shared" si="72"/>
        <v>1.9088255935806903E-2</v>
      </c>
      <c r="P487" s="96"/>
    </row>
    <row r="488" spans="1:16" s="2" customFormat="1" ht="21" hidden="1" customHeight="1">
      <c r="A488" s="17">
        <v>201710</v>
      </c>
      <c r="B488" s="14" t="s">
        <v>482</v>
      </c>
      <c r="C488" s="14" t="s">
        <v>21</v>
      </c>
      <c r="D488" s="15">
        <v>43108</v>
      </c>
      <c r="E488" s="88" t="s">
        <v>704</v>
      </c>
      <c r="F488" s="17">
        <v>1860</v>
      </c>
      <c r="G488" s="16">
        <v>43120</v>
      </c>
      <c r="H488" s="14" t="s">
        <v>730</v>
      </c>
      <c r="I488" s="14" t="s">
        <v>785</v>
      </c>
      <c r="J488" s="17">
        <v>180</v>
      </c>
      <c r="K488" s="17">
        <v>194</v>
      </c>
      <c r="L488" s="21">
        <v>0.92783505154639179</v>
      </c>
      <c r="M488" s="22">
        <v>5</v>
      </c>
      <c r="N488" s="96">
        <f t="shared" si="71"/>
        <v>0.13286663333095222</v>
      </c>
      <c r="O488" s="96">
        <f t="shared" si="72"/>
        <v>0.12327831958541959</v>
      </c>
      <c r="P488" s="96"/>
    </row>
    <row r="489" spans="1:16" s="2" customFormat="1" ht="21" hidden="1" customHeight="1">
      <c r="A489" s="17">
        <v>201710</v>
      </c>
      <c r="B489" s="14" t="s">
        <v>483</v>
      </c>
      <c r="C489" s="14" t="s">
        <v>21</v>
      </c>
      <c r="D489" s="15">
        <v>43108</v>
      </c>
      <c r="E489" s="88" t="s">
        <v>704</v>
      </c>
      <c r="F489" s="17">
        <v>156</v>
      </c>
      <c r="G489" s="16">
        <v>43129</v>
      </c>
      <c r="H489" s="14" t="s">
        <v>725</v>
      </c>
      <c r="I489" s="14" t="s">
        <v>785</v>
      </c>
      <c r="J489" s="17">
        <v>180</v>
      </c>
      <c r="K489" s="17">
        <v>194</v>
      </c>
      <c r="L489" s="21">
        <v>0.92783505154639179</v>
      </c>
      <c r="M489" s="22">
        <v>5</v>
      </c>
      <c r="N489" s="96">
        <f t="shared" si="71"/>
        <v>1.1143653118079863E-2</v>
      </c>
      <c r="O489" s="96">
        <f t="shared" si="72"/>
        <v>1.033947196522874E-2</v>
      </c>
      <c r="P489" s="96"/>
    </row>
    <row r="490" spans="1:16" s="2" customFormat="1" ht="21" hidden="1" customHeight="1">
      <c r="A490" s="17">
        <v>201710</v>
      </c>
      <c r="B490" s="14" t="s">
        <v>484</v>
      </c>
      <c r="C490" s="14" t="s">
        <v>21</v>
      </c>
      <c r="D490" s="15">
        <v>43109</v>
      </c>
      <c r="E490" s="88" t="s">
        <v>705</v>
      </c>
      <c r="F490" s="17">
        <v>228</v>
      </c>
      <c r="G490" s="16">
        <v>43139</v>
      </c>
      <c r="H490" s="14" t="s">
        <v>719</v>
      </c>
      <c r="I490" s="14" t="s">
        <v>786</v>
      </c>
      <c r="J490" s="17">
        <v>170</v>
      </c>
      <c r="K490" s="17">
        <v>205</v>
      </c>
      <c r="L490" s="21">
        <v>0.82926829268292679</v>
      </c>
      <c r="M490" s="22">
        <v>6</v>
      </c>
      <c r="N490" s="96">
        <f>F490/$F$641</f>
        <v>1.057464867121191E-2</v>
      </c>
      <c r="O490" s="96">
        <f>L490*N490</f>
        <v>8.7692208492976802E-3</v>
      </c>
      <c r="P490" s="96"/>
    </row>
    <row r="491" spans="1:16" s="2" customFormat="1" ht="21" hidden="1" customHeight="1">
      <c r="A491" s="17">
        <v>201710</v>
      </c>
      <c r="B491" s="14" t="s">
        <v>485</v>
      </c>
      <c r="C491" s="14" t="s">
        <v>21</v>
      </c>
      <c r="D491" s="15">
        <v>43109</v>
      </c>
      <c r="E491" s="88" t="s">
        <v>705</v>
      </c>
      <c r="F491" s="17">
        <v>35</v>
      </c>
      <c r="G491" s="16">
        <v>43117</v>
      </c>
      <c r="H491" s="14" t="s">
        <v>718</v>
      </c>
      <c r="I491" s="14" t="s">
        <v>786</v>
      </c>
      <c r="J491" s="17">
        <v>170</v>
      </c>
      <c r="K491" s="17">
        <v>205</v>
      </c>
      <c r="L491" s="21">
        <v>0.82926829268292679</v>
      </c>
      <c r="M491" s="22">
        <v>6</v>
      </c>
      <c r="N491" s="96">
        <f t="shared" ref="N491:N517" si="73">F491/$F$641</f>
        <v>1.6233013311070916E-3</v>
      </c>
      <c r="O491" s="96">
        <f t="shared" ref="O491:O517" si="74">L491*N491</f>
        <v>1.3461523233571002E-3</v>
      </c>
      <c r="P491" s="96"/>
    </row>
    <row r="492" spans="1:16" s="2" customFormat="1" ht="21" hidden="1" customHeight="1">
      <c r="A492" s="17">
        <v>201710</v>
      </c>
      <c r="B492" s="14" t="s">
        <v>486</v>
      </c>
      <c r="C492" s="14" t="s">
        <v>21</v>
      </c>
      <c r="D492" s="15">
        <v>43109</v>
      </c>
      <c r="E492" s="88" t="s">
        <v>706</v>
      </c>
      <c r="F492" s="17">
        <v>35</v>
      </c>
      <c r="G492" s="16">
        <v>43117</v>
      </c>
      <c r="H492" s="14" t="s">
        <v>718</v>
      </c>
      <c r="I492" s="14" t="s">
        <v>786</v>
      </c>
      <c r="J492" s="17">
        <v>170</v>
      </c>
      <c r="K492" s="17">
        <v>205</v>
      </c>
      <c r="L492" s="21">
        <v>0.82926829268292679</v>
      </c>
      <c r="M492" s="22">
        <v>6</v>
      </c>
      <c r="N492" s="96">
        <f t="shared" si="73"/>
        <v>1.6233013311070916E-3</v>
      </c>
      <c r="O492" s="96">
        <f t="shared" si="74"/>
        <v>1.3461523233571002E-3</v>
      </c>
      <c r="P492" s="96"/>
    </row>
    <row r="493" spans="1:16" s="2" customFormat="1" ht="21" hidden="1" customHeight="1">
      <c r="A493" s="17">
        <v>201710</v>
      </c>
      <c r="B493" s="14" t="s">
        <v>491</v>
      </c>
      <c r="C493" s="14" t="s">
        <v>21</v>
      </c>
      <c r="D493" s="15">
        <v>43109</v>
      </c>
      <c r="E493" s="88" t="s">
        <v>707</v>
      </c>
      <c r="F493" s="17">
        <v>1104</v>
      </c>
      <c r="G493" s="16">
        <v>43127</v>
      </c>
      <c r="H493" s="14" t="s">
        <v>718</v>
      </c>
      <c r="I493" s="14" t="s">
        <v>787</v>
      </c>
      <c r="J493" s="17">
        <v>170</v>
      </c>
      <c r="K493" s="17">
        <v>204</v>
      </c>
      <c r="L493" s="21">
        <v>0.83333333333333337</v>
      </c>
      <c r="M493" s="22">
        <v>6</v>
      </c>
      <c r="N493" s="96">
        <f t="shared" si="73"/>
        <v>5.1203561986920831E-2</v>
      </c>
      <c r="O493" s="96">
        <f t="shared" si="74"/>
        <v>4.2669634989100695E-2</v>
      </c>
      <c r="P493" s="96"/>
    </row>
    <row r="494" spans="1:16" s="2" customFormat="1" ht="21" hidden="1" customHeight="1">
      <c r="A494" s="17">
        <v>201710</v>
      </c>
      <c r="B494" s="14" t="s">
        <v>487</v>
      </c>
      <c r="C494" s="14" t="s">
        <v>21</v>
      </c>
      <c r="D494" s="15">
        <v>43110</v>
      </c>
      <c r="E494" s="88" t="s">
        <v>707</v>
      </c>
      <c r="F494" s="17">
        <v>134</v>
      </c>
      <c r="G494" s="16">
        <v>43127</v>
      </c>
      <c r="H494" s="14" t="s">
        <v>719</v>
      </c>
      <c r="I494" s="14" t="s">
        <v>787</v>
      </c>
      <c r="J494" s="17">
        <v>170</v>
      </c>
      <c r="K494" s="17">
        <v>204</v>
      </c>
      <c r="L494" s="21">
        <v>0.83333333333333337</v>
      </c>
      <c r="M494" s="22">
        <v>6</v>
      </c>
      <c r="N494" s="96">
        <f t="shared" si="73"/>
        <v>6.2149250962385792E-3</v>
      </c>
      <c r="O494" s="96">
        <f t="shared" si="74"/>
        <v>5.1791042468654833E-3</v>
      </c>
      <c r="P494" s="96"/>
    </row>
    <row r="495" spans="1:16" s="2" customFormat="1" ht="21" hidden="1" customHeight="1">
      <c r="A495" s="17">
        <v>201710</v>
      </c>
      <c r="B495" s="14" t="s">
        <v>488</v>
      </c>
      <c r="C495" s="14" t="s">
        <v>21</v>
      </c>
      <c r="D495" s="15">
        <v>43110</v>
      </c>
      <c r="E495" s="88" t="s">
        <v>707</v>
      </c>
      <c r="F495" s="17">
        <v>12</v>
      </c>
      <c r="G495" s="16">
        <v>43127</v>
      </c>
      <c r="H495" s="14" t="s">
        <v>717</v>
      </c>
      <c r="I495" s="14" t="s">
        <v>787</v>
      </c>
      <c r="J495" s="17">
        <v>170</v>
      </c>
      <c r="K495" s="17">
        <v>204</v>
      </c>
      <c r="L495" s="21">
        <v>0.83333333333333337</v>
      </c>
      <c r="M495" s="22">
        <v>6</v>
      </c>
      <c r="N495" s="96">
        <f t="shared" si="73"/>
        <v>5.5656045637957421E-4</v>
      </c>
      <c r="O495" s="96">
        <f t="shared" si="74"/>
        <v>4.6380038031631186E-4</v>
      </c>
      <c r="P495" s="96"/>
    </row>
    <row r="496" spans="1:16" s="2" customFormat="1" ht="21" hidden="1" customHeight="1">
      <c r="A496" s="17">
        <v>201710</v>
      </c>
      <c r="B496" s="14" t="s">
        <v>489</v>
      </c>
      <c r="C496" s="14" t="s">
        <v>21</v>
      </c>
      <c r="D496" s="15">
        <v>43110</v>
      </c>
      <c r="E496" s="88" t="s">
        <v>707</v>
      </c>
      <c r="F496" s="17">
        <v>15</v>
      </c>
      <c r="G496" s="16">
        <v>43127</v>
      </c>
      <c r="H496" s="14" t="s">
        <v>717</v>
      </c>
      <c r="I496" s="14" t="s">
        <v>787</v>
      </c>
      <c r="J496" s="17">
        <v>170</v>
      </c>
      <c r="K496" s="17">
        <v>204</v>
      </c>
      <c r="L496" s="21">
        <v>0.83333333333333337</v>
      </c>
      <c r="M496" s="22">
        <v>6</v>
      </c>
      <c r="N496" s="96">
        <f t="shared" si="73"/>
        <v>6.9570057047446774E-4</v>
      </c>
      <c r="O496" s="96">
        <f t="shared" si="74"/>
        <v>5.797504753953898E-4</v>
      </c>
      <c r="P496" s="96"/>
    </row>
    <row r="497" spans="1:16" s="2" customFormat="1" ht="21" hidden="1" customHeight="1">
      <c r="A497" s="17">
        <v>201710</v>
      </c>
      <c r="B497" s="14" t="s">
        <v>490</v>
      </c>
      <c r="C497" s="14" t="s">
        <v>21</v>
      </c>
      <c r="D497" s="15">
        <v>43110</v>
      </c>
      <c r="E497" s="88" t="s">
        <v>707</v>
      </c>
      <c r="F497" s="17">
        <v>84</v>
      </c>
      <c r="G497" s="16">
        <v>43127</v>
      </c>
      <c r="H497" s="14" t="s">
        <v>718</v>
      </c>
      <c r="I497" s="14" t="s">
        <v>787</v>
      </c>
      <c r="J497" s="17">
        <v>170</v>
      </c>
      <c r="K497" s="17">
        <v>204</v>
      </c>
      <c r="L497" s="21">
        <v>0.83333333333333337</v>
      </c>
      <c r="M497" s="22">
        <v>6</v>
      </c>
      <c r="N497" s="96">
        <f t="shared" si="73"/>
        <v>3.8959231946570196E-3</v>
      </c>
      <c r="O497" s="96">
        <f t="shared" si="74"/>
        <v>3.2466026622141831E-3</v>
      </c>
      <c r="P497" s="96"/>
    </row>
    <row r="498" spans="1:16" s="2" customFormat="1" ht="21" hidden="1" customHeight="1">
      <c r="A498" s="17">
        <v>201710</v>
      </c>
      <c r="B498" s="14" t="s">
        <v>493</v>
      </c>
      <c r="C498" s="14" t="s">
        <v>21</v>
      </c>
      <c r="D498" s="15">
        <v>43110</v>
      </c>
      <c r="E498" s="88" t="s">
        <v>707</v>
      </c>
      <c r="F498" s="17">
        <v>24</v>
      </c>
      <c r="G498" s="16">
        <v>43127</v>
      </c>
      <c r="H498" s="14" t="s">
        <v>717</v>
      </c>
      <c r="I498" s="14" t="s">
        <v>787</v>
      </c>
      <c r="J498" s="17">
        <v>170</v>
      </c>
      <c r="K498" s="17">
        <v>204</v>
      </c>
      <c r="L498" s="21">
        <v>0.83333333333333337</v>
      </c>
      <c r="M498" s="22">
        <v>6</v>
      </c>
      <c r="N498" s="96">
        <f t="shared" si="73"/>
        <v>1.1131209127591484E-3</v>
      </c>
      <c r="O498" s="96">
        <f t="shared" si="74"/>
        <v>9.2760076063262372E-4</v>
      </c>
      <c r="P498" s="96"/>
    </row>
    <row r="499" spans="1:16" s="2" customFormat="1" ht="21" hidden="1" customHeight="1">
      <c r="A499" s="17">
        <v>201710</v>
      </c>
      <c r="B499" s="14" t="s">
        <v>492</v>
      </c>
      <c r="C499" s="14" t="s">
        <v>21</v>
      </c>
      <c r="D499" s="15">
        <v>43111</v>
      </c>
      <c r="E499" s="88" t="s">
        <v>707</v>
      </c>
      <c r="F499" s="17">
        <v>103</v>
      </c>
      <c r="G499" s="16">
        <v>43127</v>
      </c>
      <c r="H499" s="14" t="s">
        <v>718</v>
      </c>
      <c r="I499" s="14" t="s">
        <v>787</v>
      </c>
      <c r="J499" s="17">
        <v>170</v>
      </c>
      <c r="K499" s="17">
        <v>204</v>
      </c>
      <c r="L499" s="21">
        <v>0.83333333333333337</v>
      </c>
      <c r="M499" s="22">
        <v>6</v>
      </c>
      <c r="N499" s="96">
        <f t="shared" si="73"/>
        <v>4.7771439172580119E-3</v>
      </c>
      <c r="O499" s="96">
        <f t="shared" si="74"/>
        <v>3.9809532643816769E-3</v>
      </c>
      <c r="P499" s="96"/>
    </row>
    <row r="500" spans="1:16" s="2" customFormat="1" ht="21" hidden="1" customHeight="1">
      <c r="A500" s="17">
        <v>201710</v>
      </c>
      <c r="B500" s="14" t="s">
        <v>494</v>
      </c>
      <c r="C500" s="14" t="s">
        <v>21</v>
      </c>
      <c r="D500" s="15">
        <v>43111</v>
      </c>
      <c r="E500" s="88" t="s">
        <v>707</v>
      </c>
      <c r="F500" s="17">
        <v>1428</v>
      </c>
      <c r="G500" s="16">
        <v>43127</v>
      </c>
      <c r="H500" s="14" t="s">
        <v>717</v>
      </c>
      <c r="I500" s="14" t="s">
        <v>787</v>
      </c>
      <c r="J500" s="17">
        <v>170</v>
      </c>
      <c r="K500" s="17">
        <v>204</v>
      </c>
      <c r="L500" s="21">
        <v>0.83333333333333337</v>
      </c>
      <c r="M500" s="22">
        <v>6</v>
      </c>
      <c r="N500" s="96">
        <f t="shared" si="73"/>
        <v>6.6230694309169336E-2</v>
      </c>
      <c r="O500" s="96">
        <f t="shared" si="74"/>
        <v>5.5192245257641118E-2</v>
      </c>
      <c r="P500" s="96"/>
    </row>
    <row r="501" spans="1:16" s="2" customFormat="1" ht="21" hidden="1" customHeight="1">
      <c r="A501" s="17">
        <v>201710</v>
      </c>
      <c r="B501" s="14" t="s">
        <v>495</v>
      </c>
      <c r="C501" s="14" t="s">
        <v>21</v>
      </c>
      <c r="D501" s="15">
        <v>43111</v>
      </c>
      <c r="E501" s="88" t="s">
        <v>707</v>
      </c>
      <c r="F501" s="17">
        <v>12</v>
      </c>
      <c r="G501" s="16">
        <v>43127</v>
      </c>
      <c r="H501" s="14" t="s">
        <v>717</v>
      </c>
      <c r="I501" s="14" t="s">
        <v>787</v>
      </c>
      <c r="J501" s="17">
        <v>170</v>
      </c>
      <c r="K501" s="17">
        <v>204</v>
      </c>
      <c r="L501" s="21">
        <v>0.83333333333333337</v>
      </c>
      <c r="M501" s="22">
        <v>6</v>
      </c>
      <c r="N501" s="96">
        <f t="shared" si="73"/>
        <v>5.5656045637957421E-4</v>
      </c>
      <c r="O501" s="96">
        <f t="shared" si="74"/>
        <v>4.6380038031631186E-4</v>
      </c>
      <c r="P501" s="96"/>
    </row>
    <row r="502" spans="1:16" s="2" customFormat="1" ht="21" hidden="1" customHeight="1">
      <c r="A502" s="17">
        <v>201710</v>
      </c>
      <c r="B502" s="14" t="s">
        <v>496</v>
      </c>
      <c r="C502" s="14" t="s">
        <v>21</v>
      </c>
      <c r="D502" s="15">
        <v>43111</v>
      </c>
      <c r="E502" s="88" t="s">
        <v>707</v>
      </c>
      <c r="F502" s="17">
        <v>12</v>
      </c>
      <c r="G502" s="16">
        <v>43127</v>
      </c>
      <c r="H502" s="14" t="s">
        <v>717</v>
      </c>
      <c r="I502" s="14" t="s">
        <v>787</v>
      </c>
      <c r="J502" s="17">
        <v>170</v>
      </c>
      <c r="K502" s="17">
        <v>204</v>
      </c>
      <c r="L502" s="21">
        <v>0.83333333333333337</v>
      </c>
      <c r="M502" s="22">
        <v>6</v>
      </c>
      <c r="N502" s="96">
        <f t="shared" si="73"/>
        <v>5.5656045637957421E-4</v>
      </c>
      <c r="O502" s="96">
        <f t="shared" si="74"/>
        <v>4.6380038031631186E-4</v>
      </c>
      <c r="P502" s="96"/>
    </row>
    <row r="503" spans="1:16" s="2" customFormat="1" ht="21" hidden="1" customHeight="1">
      <c r="A503" s="17">
        <v>201710</v>
      </c>
      <c r="B503" s="14" t="s">
        <v>497</v>
      </c>
      <c r="C503" s="14" t="s">
        <v>21</v>
      </c>
      <c r="D503" s="15">
        <v>43112</v>
      </c>
      <c r="E503" s="88" t="s">
        <v>707</v>
      </c>
      <c r="F503" s="17">
        <v>12</v>
      </c>
      <c r="G503" s="16">
        <v>43127</v>
      </c>
      <c r="H503" s="14" t="s">
        <v>717</v>
      </c>
      <c r="I503" s="14" t="s">
        <v>787</v>
      </c>
      <c r="J503" s="17">
        <v>170</v>
      </c>
      <c r="K503" s="17">
        <v>204</v>
      </c>
      <c r="L503" s="21">
        <v>0.83333333333333337</v>
      </c>
      <c r="M503" s="22">
        <v>6</v>
      </c>
      <c r="N503" s="96">
        <f t="shared" si="73"/>
        <v>5.5656045637957421E-4</v>
      </c>
      <c r="O503" s="96">
        <f t="shared" si="74"/>
        <v>4.6380038031631186E-4</v>
      </c>
      <c r="P503" s="96"/>
    </row>
    <row r="504" spans="1:16" s="2" customFormat="1" ht="21" hidden="1" customHeight="1">
      <c r="A504" s="17">
        <v>201710</v>
      </c>
      <c r="B504" s="14" t="s">
        <v>498</v>
      </c>
      <c r="C504" s="14" t="s">
        <v>21</v>
      </c>
      <c r="D504" s="15">
        <v>43112</v>
      </c>
      <c r="E504" s="88" t="s">
        <v>707</v>
      </c>
      <c r="F504" s="17">
        <v>48</v>
      </c>
      <c r="G504" s="16">
        <v>43127</v>
      </c>
      <c r="H504" s="14" t="s">
        <v>717</v>
      </c>
      <c r="I504" s="14" t="s">
        <v>787</v>
      </c>
      <c r="J504" s="17">
        <v>170</v>
      </c>
      <c r="K504" s="17">
        <v>204</v>
      </c>
      <c r="L504" s="21">
        <v>0.83333333333333337</v>
      </c>
      <c r="M504" s="22">
        <v>6</v>
      </c>
      <c r="N504" s="96">
        <f t="shared" si="73"/>
        <v>2.2262418255182968E-3</v>
      </c>
      <c r="O504" s="96">
        <f t="shared" si="74"/>
        <v>1.8552015212652474E-3</v>
      </c>
      <c r="P504" s="96"/>
    </row>
    <row r="505" spans="1:16" s="2" customFormat="1" ht="21" hidden="1" customHeight="1">
      <c r="A505" s="17">
        <v>201710</v>
      </c>
      <c r="B505" s="14" t="s">
        <v>499</v>
      </c>
      <c r="C505" s="14" t="s">
        <v>21</v>
      </c>
      <c r="D505" s="15">
        <v>43112</v>
      </c>
      <c r="E505" s="88" t="s">
        <v>707</v>
      </c>
      <c r="F505" s="17">
        <v>12</v>
      </c>
      <c r="G505" s="16">
        <v>43127</v>
      </c>
      <c r="H505" s="14" t="s">
        <v>717</v>
      </c>
      <c r="I505" s="14" t="s">
        <v>787</v>
      </c>
      <c r="J505" s="17">
        <v>170</v>
      </c>
      <c r="K505" s="17">
        <v>204</v>
      </c>
      <c r="L505" s="21">
        <v>0.83333333333333337</v>
      </c>
      <c r="M505" s="22">
        <v>6</v>
      </c>
      <c r="N505" s="96">
        <f t="shared" si="73"/>
        <v>5.5656045637957421E-4</v>
      </c>
      <c r="O505" s="96">
        <f t="shared" si="74"/>
        <v>4.6380038031631186E-4</v>
      </c>
      <c r="P505" s="96"/>
    </row>
    <row r="506" spans="1:16" s="2" customFormat="1" ht="21" hidden="1" customHeight="1">
      <c r="A506" s="17">
        <v>201710</v>
      </c>
      <c r="B506" s="14" t="s">
        <v>500</v>
      </c>
      <c r="C506" s="14" t="s">
        <v>21</v>
      </c>
      <c r="D506" s="15">
        <v>43112</v>
      </c>
      <c r="E506" s="88" t="s">
        <v>707</v>
      </c>
      <c r="F506" s="17">
        <v>48</v>
      </c>
      <c r="G506" s="16">
        <v>43127</v>
      </c>
      <c r="H506" s="14" t="s">
        <v>730</v>
      </c>
      <c r="I506" s="14" t="s">
        <v>787</v>
      </c>
      <c r="J506" s="17">
        <v>170</v>
      </c>
      <c r="K506" s="17">
        <v>204</v>
      </c>
      <c r="L506" s="21">
        <v>0.83333333333333337</v>
      </c>
      <c r="M506" s="22">
        <v>6</v>
      </c>
      <c r="N506" s="96">
        <f t="shared" si="73"/>
        <v>2.2262418255182968E-3</v>
      </c>
      <c r="O506" s="96">
        <f t="shared" si="74"/>
        <v>1.8552015212652474E-3</v>
      </c>
      <c r="P506" s="96"/>
    </row>
    <row r="507" spans="1:16" s="2" customFormat="1" ht="21" hidden="1" customHeight="1">
      <c r="A507" s="17">
        <v>201710</v>
      </c>
      <c r="B507" s="14" t="s">
        <v>501</v>
      </c>
      <c r="C507" s="14" t="s">
        <v>21</v>
      </c>
      <c r="D507" s="15">
        <v>43112</v>
      </c>
      <c r="E507" s="88" t="s">
        <v>707</v>
      </c>
      <c r="F507" s="17">
        <v>36</v>
      </c>
      <c r="G507" s="16">
        <v>43127</v>
      </c>
      <c r="H507" s="14" t="s">
        <v>720</v>
      </c>
      <c r="I507" s="14" t="s">
        <v>787</v>
      </c>
      <c r="J507" s="17">
        <v>170</v>
      </c>
      <c r="K507" s="17">
        <v>204</v>
      </c>
      <c r="L507" s="21">
        <v>0.83333333333333337</v>
      </c>
      <c r="M507" s="22">
        <v>6</v>
      </c>
      <c r="N507" s="96">
        <f t="shared" si="73"/>
        <v>1.6696813691387227E-3</v>
      </c>
      <c r="O507" s="96">
        <f t="shared" si="74"/>
        <v>1.3914011409489357E-3</v>
      </c>
      <c r="P507" s="96"/>
    </row>
    <row r="508" spans="1:16" s="2" customFormat="1" ht="21" hidden="1" customHeight="1">
      <c r="A508" s="17">
        <v>201710</v>
      </c>
      <c r="B508" s="14" t="s">
        <v>502</v>
      </c>
      <c r="C508" s="14" t="s">
        <v>21</v>
      </c>
      <c r="D508" s="15">
        <v>43113</v>
      </c>
      <c r="E508" s="88" t="s">
        <v>707</v>
      </c>
      <c r="F508" s="17">
        <v>138</v>
      </c>
      <c r="G508" s="16">
        <v>43160</v>
      </c>
      <c r="H508" s="14" t="s">
        <v>733</v>
      </c>
      <c r="I508" s="14" t="s">
        <v>787</v>
      </c>
      <c r="J508" s="17">
        <v>170</v>
      </c>
      <c r="K508" s="17">
        <v>204</v>
      </c>
      <c r="L508" s="21">
        <v>0.83333333333333337</v>
      </c>
      <c r="M508" s="22">
        <v>6</v>
      </c>
      <c r="N508" s="96">
        <f t="shared" si="73"/>
        <v>6.4004452483651039E-3</v>
      </c>
      <c r="O508" s="96">
        <f t="shared" si="74"/>
        <v>5.3337043736375869E-3</v>
      </c>
      <c r="P508" s="96"/>
    </row>
    <row r="509" spans="1:16" s="2" customFormat="1" ht="21" hidden="1" customHeight="1">
      <c r="A509" s="17">
        <v>201710</v>
      </c>
      <c r="B509" s="14" t="s">
        <v>503</v>
      </c>
      <c r="C509" s="14" t="s">
        <v>21</v>
      </c>
      <c r="D509" s="15">
        <v>43113</v>
      </c>
      <c r="E509" s="88" t="s">
        <v>707</v>
      </c>
      <c r="F509" s="17">
        <v>12</v>
      </c>
      <c r="G509" s="16">
        <v>43160</v>
      </c>
      <c r="H509" s="14" t="s">
        <v>726</v>
      </c>
      <c r="I509" s="14" t="s">
        <v>787</v>
      </c>
      <c r="J509" s="17">
        <v>170</v>
      </c>
      <c r="K509" s="17">
        <v>204</v>
      </c>
      <c r="L509" s="21">
        <v>0.83333333333333337</v>
      </c>
      <c r="M509" s="22">
        <v>6</v>
      </c>
      <c r="N509" s="96">
        <f t="shared" si="73"/>
        <v>5.5656045637957421E-4</v>
      </c>
      <c r="O509" s="96">
        <f t="shared" si="74"/>
        <v>4.6380038031631186E-4</v>
      </c>
      <c r="P509" s="96"/>
    </row>
    <row r="510" spans="1:16" s="2" customFormat="1" ht="21" hidden="1" customHeight="1">
      <c r="A510" s="17">
        <v>201710</v>
      </c>
      <c r="B510" s="14" t="s">
        <v>504</v>
      </c>
      <c r="C510" s="14" t="s">
        <v>21</v>
      </c>
      <c r="D510" s="15">
        <v>43113</v>
      </c>
      <c r="E510" s="88" t="s">
        <v>707</v>
      </c>
      <c r="F510" s="17">
        <v>144</v>
      </c>
      <c r="G510" s="16">
        <v>43159</v>
      </c>
      <c r="H510" s="14" t="s">
        <v>734</v>
      </c>
      <c r="I510" s="14" t="s">
        <v>787</v>
      </c>
      <c r="J510" s="17">
        <v>170</v>
      </c>
      <c r="K510" s="17">
        <v>204</v>
      </c>
      <c r="L510" s="21">
        <v>0.83333333333333337</v>
      </c>
      <c r="M510" s="22">
        <v>6</v>
      </c>
      <c r="N510" s="96">
        <f t="shared" si="73"/>
        <v>6.678725476554891E-3</v>
      </c>
      <c r="O510" s="96">
        <f t="shared" si="74"/>
        <v>5.5656045637957428E-3</v>
      </c>
      <c r="P510" s="96"/>
    </row>
    <row r="511" spans="1:16" s="2" customFormat="1" ht="21" hidden="1" customHeight="1">
      <c r="A511" s="17">
        <v>201710</v>
      </c>
      <c r="B511" s="14" t="s">
        <v>505</v>
      </c>
      <c r="C511" s="14" t="s">
        <v>21</v>
      </c>
      <c r="D511" s="15">
        <v>43113</v>
      </c>
      <c r="E511" s="88" t="s">
        <v>707</v>
      </c>
      <c r="F511" s="17">
        <v>144</v>
      </c>
      <c r="G511" s="16">
        <v>43153</v>
      </c>
      <c r="H511" s="14" t="s">
        <v>724</v>
      </c>
      <c r="I511" s="14" t="s">
        <v>787</v>
      </c>
      <c r="J511" s="17">
        <v>170</v>
      </c>
      <c r="K511" s="17">
        <v>204</v>
      </c>
      <c r="L511" s="21">
        <v>0.83333333333333337</v>
      </c>
      <c r="M511" s="22">
        <v>6</v>
      </c>
      <c r="N511" s="96">
        <f t="shared" si="73"/>
        <v>6.678725476554891E-3</v>
      </c>
      <c r="O511" s="96">
        <f t="shared" si="74"/>
        <v>5.5656045637957428E-3</v>
      </c>
      <c r="P511" s="96"/>
    </row>
    <row r="512" spans="1:16" s="2" customFormat="1" ht="21" hidden="1" customHeight="1">
      <c r="A512" s="17">
        <v>201710</v>
      </c>
      <c r="B512" s="14" t="s">
        <v>506</v>
      </c>
      <c r="C512" s="14" t="s">
        <v>21</v>
      </c>
      <c r="D512" s="15">
        <v>43113</v>
      </c>
      <c r="E512" s="88" t="s">
        <v>707</v>
      </c>
      <c r="F512" s="17">
        <v>12</v>
      </c>
      <c r="G512" s="16">
        <v>43159</v>
      </c>
      <c r="H512" s="14" t="s">
        <v>722</v>
      </c>
      <c r="I512" s="14" t="s">
        <v>787</v>
      </c>
      <c r="J512" s="17">
        <v>170</v>
      </c>
      <c r="K512" s="17">
        <v>204</v>
      </c>
      <c r="L512" s="21">
        <v>0.83333333333333337</v>
      </c>
      <c r="M512" s="22">
        <v>6</v>
      </c>
      <c r="N512" s="96">
        <f t="shared" si="73"/>
        <v>5.5656045637957421E-4</v>
      </c>
      <c r="O512" s="96">
        <f t="shared" si="74"/>
        <v>4.6380038031631186E-4</v>
      </c>
      <c r="P512" s="96"/>
    </row>
    <row r="513" spans="1:16" s="2" customFormat="1" ht="21" hidden="1" customHeight="1">
      <c r="A513" s="17">
        <v>201710</v>
      </c>
      <c r="B513" s="14" t="s">
        <v>507</v>
      </c>
      <c r="C513" s="14" t="s">
        <v>21</v>
      </c>
      <c r="D513" s="15">
        <v>43115</v>
      </c>
      <c r="E513" s="88" t="s">
        <v>708</v>
      </c>
      <c r="F513" s="17">
        <v>331</v>
      </c>
      <c r="G513" s="16">
        <v>43139</v>
      </c>
      <c r="H513" s="14" t="s">
        <v>723</v>
      </c>
      <c r="I513" s="14" t="s">
        <v>787</v>
      </c>
      <c r="J513" s="17">
        <v>170</v>
      </c>
      <c r="K513" s="17">
        <v>204</v>
      </c>
      <c r="L513" s="21">
        <v>0.83333333333333337</v>
      </c>
      <c r="M513" s="22">
        <v>6</v>
      </c>
      <c r="N513" s="96">
        <f t="shared" si="73"/>
        <v>1.5351792588469923E-2</v>
      </c>
      <c r="O513" s="96">
        <f t="shared" si="74"/>
        <v>1.2793160490391604E-2</v>
      </c>
      <c r="P513" s="96"/>
    </row>
    <row r="514" spans="1:16" s="2" customFormat="1" ht="21" hidden="1" customHeight="1">
      <c r="A514" s="17">
        <v>201710</v>
      </c>
      <c r="B514" s="14" t="s">
        <v>508</v>
      </c>
      <c r="C514" s="14" t="s">
        <v>21</v>
      </c>
      <c r="D514" s="15">
        <v>43115</v>
      </c>
      <c r="E514" s="88" t="s">
        <v>708</v>
      </c>
      <c r="F514" s="17">
        <v>91</v>
      </c>
      <c r="G514" s="16">
        <v>43127</v>
      </c>
      <c r="H514" s="14" t="s">
        <v>718</v>
      </c>
      <c r="I514" s="14" t="s">
        <v>787</v>
      </c>
      <c r="J514" s="17">
        <v>170</v>
      </c>
      <c r="K514" s="17">
        <v>204</v>
      </c>
      <c r="L514" s="21">
        <v>0.83333333333333337</v>
      </c>
      <c r="M514" s="22">
        <v>6</v>
      </c>
      <c r="N514" s="96">
        <f t="shared" si="73"/>
        <v>4.2205834608784378E-3</v>
      </c>
      <c r="O514" s="96">
        <f t="shared" si="74"/>
        <v>3.5171528840653651E-3</v>
      </c>
      <c r="P514" s="96"/>
    </row>
    <row r="515" spans="1:16" s="2" customFormat="1" ht="21" hidden="1" customHeight="1">
      <c r="A515" s="17">
        <v>201710</v>
      </c>
      <c r="B515" s="14" t="s">
        <v>509</v>
      </c>
      <c r="C515" s="14" t="s">
        <v>21</v>
      </c>
      <c r="D515" s="15">
        <v>43115</v>
      </c>
      <c r="E515" s="88" t="s">
        <v>708</v>
      </c>
      <c r="F515" s="17">
        <v>50</v>
      </c>
      <c r="G515" s="16">
        <v>43127</v>
      </c>
      <c r="H515" s="14" t="s">
        <v>719</v>
      </c>
      <c r="I515" s="14" t="s">
        <v>787</v>
      </c>
      <c r="J515" s="17">
        <v>170</v>
      </c>
      <c r="K515" s="17">
        <v>204</v>
      </c>
      <c r="L515" s="21">
        <v>0.83333333333333337</v>
      </c>
      <c r="M515" s="22">
        <v>6</v>
      </c>
      <c r="N515" s="96">
        <f t="shared" si="73"/>
        <v>2.3190019015815592E-3</v>
      </c>
      <c r="O515" s="96">
        <f t="shared" si="74"/>
        <v>1.9325015846512995E-3</v>
      </c>
      <c r="P515" s="96"/>
    </row>
    <row r="516" spans="1:16" s="2" customFormat="1" ht="21" hidden="1" customHeight="1">
      <c r="A516" s="17">
        <v>201710</v>
      </c>
      <c r="B516" s="14" t="s">
        <v>510</v>
      </c>
      <c r="C516" s="14" t="s">
        <v>21</v>
      </c>
      <c r="D516" s="15">
        <v>43115</v>
      </c>
      <c r="E516" s="88" t="s">
        <v>708</v>
      </c>
      <c r="F516" s="17">
        <v>576</v>
      </c>
      <c r="G516" s="16">
        <v>43127</v>
      </c>
      <c r="H516" s="14" t="s">
        <v>717</v>
      </c>
      <c r="I516" s="14" t="s">
        <v>787</v>
      </c>
      <c r="J516" s="17">
        <v>170</v>
      </c>
      <c r="K516" s="17">
        <v>204</v>
      </c>
      <c r="L516" s="21">
        <v>0.83333333333333337</v>
      </c>
      <c r="M516" s="22">
        <v>6</v>
      </c>
      <c r="N516" s="96">
        <f t="shared" si="73"/>
        <v>2.6714901906219564E-2</v>
      </c>
      <c r="O516" s="96">
        <f t="shared" si="74"/>
        <v>2.2262418255182971E-2</v>
      </c>
      <c r="P516" s="96"/>
    </row>
    <row r="517" spans="1:16" s="2" customFormat="1" ht="21" hidden="1" customHeight="1">
      <c r="A517" s="17">
        <v>201710</v>
      </c>
      <c r="B517" s="14" t="s">
        <v>511</v>
      </c>
      <c r="C517" s="14" t="s">
        <v>21</v>
      </c>
      <c r="D517" s="15">
        <v>43115</v>
      </c>
      <c r="E517" s="88" t="s">
        <v>708</v>
      </c>
      <c r="F517" s="17">
        <v>876</v>
      </c>
      <c r="G517" s="16">
        <v>43127</v>
      </c>
      <c r="H517" s="14" t="s">
        <v>718</v>
      </c>
      <c r="I517" s="14" t="s">
        <v>787</v>
      </c>
      <c r="J517" s="17">
        <v>170</v>
      </c>
      <c r="K517" s="17">
        <v>204</v>
      </c>
      <c r="L517" s="21">
        <v>0.83333333333333337</v>
      </c>
      <c r="M517" s="22">
        <v>6</v>
      </c>
      <c r="N517" s="96">
        <f t="shared" si="73"/>
        <v>4.062891331570892E-2</v>
      </c>
      <c r="O517" s="96">
        <f t="shared" si="74"/>
        <v>3.3857427763090767E-2</v>
      </c>
      <c r="P517" s="96"/>
    </row>
    <row r="518" spans="1:16" s="2" customFormat="1" ht="21" hidden="1" customHeight="1">
      <c r="A518" s="17">
        <v>201710</v>
      </c>
      <c r="B518" s="14" t="s">
        <v>455</v>
      </c>
      <c r="C518" s="14" t="s">
        <v>21</v>
      </c>
      <c r="D518" s="15">
        <v>43116</v>
      </c>
      <c r="E518" s="88" t="s">
        <v>610</v>
      </c>
      <c r="F518" s="17">
        <v>1008</v>
      </c>
      <c r="G518" s="16">
        <v>43125</v>
      </c>
      <c r="H518" s="14" t="s">
        <v>718</v>
      </c>
      <c r="I518" s="14" t="s">
        <v>747</v>
      </c>
      <c r="J518" s="17">
        <v>180</v>
      </c>
      <c r="K518" s="17">
        <v>199</v>
      </c>
      <c r="L518" s="21">
        <v>0.90452261306532666</v>
      </c>
      <c r="M518" s="22">
        <v>5</v>
      </c>
      <c r="N518" s="96">
        <f>F518/$F$640</f>
        <v>7.2005143224516038E-2</v>
      </c>
      <c r="O518" s="96">
        <f>L518*N518</f>
        <v>6.5130280303582352E-2</v>
      </c>
      <c r="P518" s="96"/>
    </row>
    <row r="519" spans="1:16" s="2" customFormat="1" ht="21" hidden="1" customHeight="1">
      <c r="A519" s="17">
        <v>201710</v>
      </c>
      <c r="B519" s="14" t="s">
        <v>512</v>
      </c>
      <c r="C519" s="14" t="s">
        <v>21</v>
      </c>
      <c r="D519" s="15">
        <v>43116</v>
      </c>
      <c r="E519" s="88" t="s">
        <v>708</v>
      </c>
      <c r="F519" s="17">
        <v>60</v>
      </c>
      <c r="G519" s="16">
        <v>43160</v>
      </c>
      <c r="H519" s="14" t="s">
        <v>733</v>
      </c>
      <c r="I519" s="14" t="s">
        <v>787</v>
      </c>
      <c r="J519" s="17">
        <v>170</v>
      </c>
      <c r="K519" s="17">
        <v>204</v>
      </c>
      <c r="L519" s="21">
        <v>0.83333333333333337</v>
      </c>
      <c r="M519" s="22">
        <v>6</v>
      </c>
      <c r="N519" s="96">
        <f t="shared" ref="N519:N521" si="75">F519/$F$641</f>
        <v>2.782802281897871E-3</v>
      </c>
      <c r="O519" s="96">
        <f t="shared" ref="O519:O521" si="76">L519*N519</f>
        <v>2.3190019015815592E-3</v>
      </c>
      <c r="P519" s="96"/>
    </row>
    <row r="520" spans="1:16" s="2" customFormat="1" ht="21" hidden="1" customHeight="1">
      <c r="A520" s="17">
        <v>201710</v>
      </c>
      <c r="B520" s="14" t="s">
        <v>513</v>
      </c>
      <c r="C520" s="14" t="s">
        <v>21</v>
      </c>
      <c r="D520" s="15">
        <v>43116</v>
      </c>
      <c r="E520" s="88" t="s">
        <v>707</v>
      </c>
      <c r="F520" s="17">
        <v>349</v>
      </c>
      <c r="G520" s="16">
        <v>43139</v>
      </c>
      <c r="H520" s="14" t="s">
        <v>723</v>
      </c>
      <c r="I520" s="14" t="s">
        <v>787</v>
      </c>
      <c r="J520" s="17">
        <v>170</v>
      </c>
      <c r="K520" s="17">
        <v>204</v>
      </c>
      <c r="L520" s="21">
        <v>0.83333333333333337</v>
      </c>
      <c r="M520" s="22">
        <v>6</v>
      </c>
      <c r="N520" s="96">
        <f t="shared" si="75"/>
        <v>1.6186633273039285E-2</v>
      </c>
      <c r="O520" s="96">
        <f t="shared" si="76"/>
        <v>1.348886106086607E-2</v>
      </c>
      <c r="P520" s="96"/>
    </row>
    <row r="521" spans="1:16" s="2" customFormat="1" ht="21" hidden="1" customHeight="1">
      <c r="A521" s="17">
        <v>201710</v>
      </c>
      <c r="B521" s="14" t="s">
        <v>515</v>
      </c>
      <c r="C521" s="14" t="s">
        <v>21</v>
      </c>
      <c r="D521" s="15">
        <v>43116</v>
      </c>
      <c r="E521" s="88" t="s">
        <v>708</v>
      </c>
      <c r="F521" s="17">
        <v>144</v>
      </c>
      <c r="G521" s="16">
        <v>43127</v>
      </c>
      <c r="H521" s="14" t="s">
        <v>734</v>
      </c>
      <c r="I521" s="14" t="s">
        <v>787</v>
      </c>
      <c r="J521" s="17">
        <v>170</v>
      </c>
      <c r="K521" s="17">
        <v>204</v>
      </c>
      <c r="L521" s="21">
        <v>0.83333333333333337</v>
      </c>
      <c r="M521" s="22">
        <v>6</v>
      </c>
      <c r="N521" s="96">
        <f t="shared" si="75"/>
        <v>6.678725476554891E-3</v>
      </c>
      <c r="O521" s="96">
        <f t="shared" si="76"/>
        <v>5.5656045637957428E-3</v>
      </c>
      <c r="P521" s="96"/>
    </row>
    <row r="522" spans="1:16" s="2" customFormat="1" ht="21" hidden="1" customHeight="1">
      <c r="A522" s="17">
        <v>201710</v>
      </c>
      <c r="B522" s="14" t="s">
        <v>793</v>
      </c>
      <c r="C522" s="14" t="s">
        <v>21</v>
      </c>
      <c r="D522" s="15">
        <v>42752</v>
      </c>
      <c r="E522" s="88" t="s">
        <v>610</v>
      </c>
      <c r="F522" s="17">
        <v>2856</v>
      </c>
      <c r="G522" s="16">
        <v>43127</v>
      </c>
      <c r="H522" s="14" t="s">
        <v>717</v>
      </c>
      <c r="I522" s="14" t="s">
        <v>747</v>
      </c>
      <c r="J522" s="17">
        <v>180</v>
      </c>
      <c r="K522" s="17">
        <v>199</v>
      </c>
      <c r="L522" s="21">
        <v>0.90452261306532666</v>
      </c>
      <c r="M522" s="22">
        <v>5</v>
      </c>
      <c r="N522" s="96">
        <f>F522/$F$640</f>
        <v>0.20401457246946211</v>
      </c>
      <c r="O522" s="96">
        <f>L522*N522</f>
        <v>0.18453579419348332</v>
      </c>
      <c r="P522" s="96"/>
    </row>
    <row r="523" spans="1:16" s="2" customFormat="1" ht="21" hidden="1" customHeight="1">
      <c r="A523" s="17">
        <v>201710</v>
      </c>
      <c r="B523" s="14" t="s">
        <v>516</v>
      </c>
      <c r="C523" s="14" t="s">
        <v>21</v>
      </c>
      <c r="D523" s="15">
        <v>43116</v>
      </c>
      <c r="E523" s="88" t="s">
        <v>708</v>
      </c>
      <c r="F523" s="17">
        <v>120</v>
      </c>
      <c r="G523" s="16">
        <v>43127</v>
      </c>
      <c r="H523" s="14" t="s">
        <v>724</v>
      </c>
      <c r="I523" s="14" t="s">
        <v>787</v>
      </c>
      <c r="J523" s="17">
        <v>170</v>
      </c>
      <c r="K523" s="17">
        <v>204</v>
      </c>
      <c r="L523" s="21">
        <v>0.83333333333333337</v>
      </c>
      <c r="M523" s="22">
        <v>6</v>
      </c>
      <c r="N523" s="96">
        <f>F523/$F$641</f>
        <v>5.5656045637957419E-3</v>
      </c>
      <c r="O523" s="96">
        <f>L523*N523</f>
        <v>4.6380038031631184E-3</v>
      </c>
      <c r="P523" s="96"/>
    </row>
    <row r="524" spans="1:16" s="2" customFormat="1" ht="21" hidden="1" customHeight="1">
      <c r="A524" s="17">
        <v>201710</v>
      </c>
      <c r="B524" s="14" t="s">
        <v>514</v>
      </c>
      <c r="C524" s="14" t="s">
        <v>21</v>
      </c>
      <c r="D524" s="15">
        <v>43119</v>
      </c>
      <c r="E524" s="88" t="s">
        <v>709</v>
      </c>
      <c r="F524" s="17">
        <v>1284</v>
      </c>
      <c r="G524" s="16">
        <v>43138</v>
      </c>
      <c r="H524" s="14" t="s">
        <v>717</v>
      </c>
      <c r="I524" s="14" t="s">
        <v>788</v>
      </c>
      <c r="J524" s="17">
        <v>180</v>
      </c>
      <c r="K524" s="17">
        <v>209</v>
      </c>
      <c r="L524" s="21">
        <v>0.86124401913875603</v>
      </c>
      <c r="M524" s="22">
        <v>5</v>
      </c>
      <c r="N524" s="96">
        <f>F524/$F$640</f>
        <v>9.1720837202657335E-2</v>
      </c>
      <c r="O524" s="96">
        <f>L524*N524</f>
        <v>7.8994022471188141E-2</v>
      </c>
      <c r="P524" s="96"/>
    </row>
    <row r="525" spans="1:16" s="2" customFormat="1" ht="21" hidden="1" customHeight="1">
      <c r="A525" s="17">
        <v>201710</v>
      </c>
      <c r="B525" s="14" t="s">
        <v>518</v>
      </c>
      <c r="C525" s="14" t="s">
        <v>21</v>
      </c>
      <c r="D525" s="15">
        <v>43120</v>
      </c>
      <c r="E525" s="88" t="s">
        <v>701</v>
      </c>
      <c r="F525" s="17">
        <v>192</v>
      </c>
      <c r="G525" s="16">
        <v>43124</v>
      </c>
      <c r="H525" s="14" t="s">
        <v>718</v>
      </c>
      <c r="I525" s="14" t="s">
        <v>767</v>
      </c>
      <c r="J525" s="17">
        <v>170</v>
      </c>
      <c r="K525" s="17">
        <v>208</v>
      </c>
      <c r="L525" s="21">
        <v>0.81730769230769229</v>
      </c>
      <c r="M525" s="22">
        <v>6</v>
      </c>
      <c r="N525" s="96">
        <f t="shared" ref="N525:N527" si="77">F525/$F$641</f>
        <v>8.9049673020731874E-3</v>
      </c>
      <c r="O525" s="96">
        <f t="shared" ref="O525:O527" si="78">L525*N525</f>
        <v>7.2780982757328933E-3</v>
      </c>
      <c r="P525" s="96"/>
    </row>
    <row r="526" spans="1:16" s="2" customFormat="1" ht="21" hidden="1" customHeight="1">
      <c r="A526" s="17">
        <v>201710</v>
      </c>
      <c r="B526" s="14" t="s">
        <v>519</v>
      </c>
      <c r="C526" s="14" t="s">
        <v>21</v>
      </c>
      <c r="D526" s="15">
        <v>43120</v>
      </c>
      <c r="E526" s="88" t="s">
        <v>701</v>
      </c>
      <c r="F526" s="17">
        <v>564</v>
      </c>
      <c r="G526" s="16">
        <v>43127</v>
      </c>
      <c r="H526" s="14" t="s">
        <v>717</v>
      </c>
      <c r="I526" s="14" t="s">
        <v>767</v>
      </c>
      <c r="J526" s="17">
        <v>170</v>
      </c>
      <c r="K526" s="17">
        <v>208</v>
      </c>
      <c r="L526" s="21">
        <v>0.81730769230769229</v>
      </c>
      <c r="M526" s="22">
        <v>6</v>
      </c>
      <c r="N526" s="96">
        <f t="shared" si="77"/>
        <v>2.615834144983999E-2</v>
      </c>
      <c r="O526" s="96">
        <f t="shared" si="78"/>
        <v>2.1379413684965376E-2</v>
      </c>
      <c r="P526" s="96"/>
    </row>
    <row r="527" spans="1:16" s="2" customFormat="1" ht="21" hidden="1" customHeight="1">
      <c r="A527" s="17">
        <v>201710</v>
      </c>
      <c r="B527" s="14" t="s">
        <v>520</v>
      </c>
      <c r="C527" s="14" t="s">
        <v>21</v>
      </c>
      <c r="D527" s="15">
        <v>43120</v>
      </c>
      <c r="E527" s="88" t="s">
        <v>701</v>
      </c>
      <c r="F527" s="17">
        <v>204</v>
      </c>
      <c r="G527" s="16">
        <v>43123</v>
      </c>
      <c r="H527" s="14" t="s">
        <v>732</v>
      </c>
      <c r="I527" s="14" t="s">
        <v>767</v>
      </c>
      <c r="J527" s="17">
        <v>170</v>
      </c>
      <c r="K527" s="17">
        <v>208</v>
      </c>
      <c r="L527" s="21">
        <v>0.81730769230769229</v>
      </c>
      <c r="M527" s="22">
        <v>6</v>
      </c>
      <c r="N527" s="96">
        <f t="shared" si="77"/>
        <v>9.4615277584527615E-3</v>
      </c>
      <c r="O527" s="96">
        <f t="shared" si="78"/>
        <v>7.732979417966199E-3</v>
      </c>
      <c r="P527" s="96"/>
    </row>
    <row r="528" spans="1:16" s="2" customFormat="1" ht="21" hidden="1" customHeight="1">
      <c r="A528" s="17">
        <v>201710</v>
      </c>
      <c r="B528" s="14" t="s">
        <v>517</v>
      </c>
      <c r="C528" s="14" t="s">
        <v>21</v>
      </c>
      <c r="D528" s="15">
        <v>43120</v>
      </c>
      <c r="E528" s="88" t="s">
        <v>709</v>
      </c>
      <c r="F528" s="17">
        <v>648</v>
      </c>
      <c r="G528" s="16">
        <v>43138</v>
      </c>
      <c r="H528" s="14" t="s">
        <v>717</v>
      </c>
      <c r="I528" s="14" t="s">
        <v>788</v>
      </c>
      <c r="J528" s="17">
        <v>180</v>
      </c>
      <c r="K528" s="17">
        <v>209</v>
      </c>
      <c r="L528" s="21">
        <v>0.86124401913875603</v>
      </c>
      <c r="M528" s="22">
        <v>5</v>
      </c>
      <c r="N528" s="96">
        <f>F528/$F$640</f>
        <v>4.6289020644331741E-2</v>
      </c>
      <c r="O528" s="96">
        <f>L528*N528</f>
        <v>3.9866142181721118E-2</v>
      </c>
      <c r="P528" s="96"/>
    </row>
    <row r="529" spans="1:16" s="2" customFormat="1" ht="21" hidden="1" customHeight="1">
      <c r="A529" s="17">
        <v>201710</v>
      </c>
      <c r="B529" s="14" t="s">
        <v>521</v>
      </c>
      <c r="C529" s="14" t="s">
        <v>21</v>
      </c>
      <c r="D529" s="15">
        <v>43122</v>
      </c>
      <c r="E529" s="88" t="s">
        <v>701</v>
      </c>
      <c r="F529" s="17">
        <v>3648</v>
      </c>
      <c r="G529" s="16">
        <v>43129</v>
      </c>
      <c r="H529" s="14" t="s">
        <v>717</v>
      </c>
      <c r="I529" s="14" t="s">
        <v>767</v>
      </c>
      <c r="J529" s="17">
        <v>170</v>
      </c>
      <c r="K529" s="17">
        <v>208</v>
      </c>
      <c r="L529" s="21">
        <v>0.81730769230769229</v>
      </c>
      <c r="M529" s="22">
        <v>6</v>
      </c>
      <c r="N529" s="96">
        <f t="shared" ref="N529:N535" si="79">F529/$F$641</f>
        <v>0.16919437873939056</v>
      </c>
      <c r="O529" s="96">
        <f t="shared" ref="O529:O535" si="80">L529*N529</f>
        <v>0.13828386723892497</v>
      </c>
      <c r="P529" s="96"/>
    </row>
    <row r="530" spans="1:16" s="2" customFormat="1" ht="21" hidden="1" customHeight="1">
      <c r="A530" s="17">
        <v>201710</v>
      </c>
      <c r="B530" s="14" t="s">
        <v>522</v>
      </c>
      <c r="C530" s="14" t="s">
        <v>21</v>
      </c>
      <c r="D530" s="15">
        <v>43122</v>
      </c>
      <c r="E530" s="88" t="s">
        <v>701</v>
      </c>
      <c r="F530" s="17">
        <v>120</v>
      </c>
      <c r="G530" s="16">
        <v>43127</v>
      </c>
      <c r="H530" s="14" t="s">
        <v>717</v>
      </c>
      <c r="I530" s="14" t="s">
        <v>767</v>
      </c>
      <c r="J530" s="17">
        <v>170</v>
      </c>
      <c r="K530" s="17">
        <v>208</v>
      </c>
      <c r="L530" s="21">
        <v>0.81730769230769229</v>
      </c>
      <c r="M530" s="22">
        <v>6</v>
      </c>
      <c r="N530" s="96">
        <f t="shared" si="79"/>
        <v>5.5656045637957419E-3</v>
      </c>
      <c r="O530" s="96">
        <f t="shared" si="80"/>
        <v>4.5488114223330581E-3</v>
      </c>
      <c r="P530" s="96"/>
    </row>
    <row r="531" spans="1:16" s="2" customFormat="1" ht="21" hidden="1" customHeight="1">
      <c r="A531" s="17">
        <v>201710</v>
      </c>
      <c r="B531" s="14" t="s">
        <v>523</v>
      </c>
      <c r="C531" s="14" t="s">
        <v>21</v>
      </c>
      <c r="D531" s="15">
        <v>43122</v>
      </c>
      <c r="E531" s="88" t="s">
        <v>701</v>
      </c>
      <c r="F531" s="17">
        <v>120</v>
      </c>
      <c r="G531" s="16">
        <v>43127</v>
      </c>
      <c r="H531" s="14" t="s">
        <v>717</v>
      </c>
      <c r="I531" s="14" t="s">
        <v>767</v>
      </c>
      <c r="J531" s="17">
        <v>170</v>
      </c>
      <c r="K531" s="17">
        <v>208</v>
      </c>
      <c r="L531" s="21">
        <v>0.81730769230769229</v>
      </c>
      <c r="M531" s="22">
        <v>6</v>
      </c>
      <c r="N531" s="96">
        <f t="shared" si="79"/>
        <v>5.5656045637957419E-3</v>
      </c>
      <c r="O531" s="96">
        <f t="shared" si="80"/>
        <v>4.5488114223330581E-3</v>
      </c>
      <c r="P531" s="96"/>
    </row>
    <row r="532" spans="1:16" s="2" customFormat="1" ht="21" hidden="1" customHeight="1">
      <c r="A532" s="17">
        <v>201710</v>
      </c>
      <c r="B532" s="14" t="s">
        <v>524</v>
      </c>
      <c r="C532" s="14" t="s">
        <v>21</v>
      </c>
      <c r="D532" s="15">
        <v>43125</v>
      </c>
      <c r="E532" s="88" t="s">
        <v>701</v>
      </c>
      <c r="F532" s="17">
        <v>4008</v>
      </c>
      <c r="G532" s="16">
        <v>43132</v>
      </c>
      <c r="H532" s="14" t="s">
        <v>723</v>
      </c>
      <c r="I532" s="14" t="s">
        <v>767</v>
      </c>
      <c r="J532" s="17">
        <v>170</v>
      </c>
      <c r="K532" s="17">
        <v>208</v>
      </c>
      <c r="L532" s="21">
        <v>0.81730769230769229</v>
      </c>
      <c r="M532" s="22">
        <v>6</v>
      </c>
      <c r="N532" s="96">
        <f t="shared" si="79"/>
        <v>0.18589119243077779</v>
      </c>
      <c r="O532" s="96">
        <f t="shared" si="80"/>
        <v>0.15193030150592415</v>
      </c>
      <c r="P532" s="96"/>
    </row>
    <row r="533" spans="1:16" s="2" customFormat="1" ht="21" hidden="1" customHeight="1">
      <c r="A533" s="17">
        <v>201710</v>
      </c>
      <c r="B533" s="14" t="s">
        <v>525</v>
      </c>
      <c r="C533" s="14" t="s">
        <v>21</v>
      </c>
      <c r="D533" s="15">
        <v>43127</v>
      </c>
      <c r="E533" s="88" t="s">
        <v>700</v>
      </c>
      <c r="F533" s="17">
        <v>2028</v>
      </c>
      <c r="G533" s="16">
        <v>43132</v>
      </c>
      <c r="H533" s="14" t="s">
        <v>723</v>
      </c>
      <c r="I533" s="14" t="s">
        <v>767</v>
      </c>
      <c r="J533" s="17">
        <v>170</v>
      </c>
      <c r="K533" s="17">
        <v>208</v>
      </c>
      <c r="L533" s="21">
        <v>0.81730769230769229</v>
      </c>
      <c r="M533" s="22">
        <v>6</v>
      </c>
      <c r="N533" s="96">
        <f t="shared" si="79"/>
        <v>9.4058717128148048E-2</v>
      </c>
      <c r="O533" s="96">
        <f t="shared" si="80"/>
        <v>7.6874913037428688E-2</v>
      </c>
      <c r="P533" s="96"/>
    </row>
    <row r="534" spans="1:16" s="2" customFormat="1" ht="21" hidden="1" customHeight="1">
      <c r="A534" s="17">
        <v>201710</v>
      </c>
      <c r="B534" s="14" t="s">
        <v>526</v>
      </c>
      <c r="C534" s="14" t="s">
        <v>21</v>
      </c>
      <c r="D534" s="15">
        <v>43130</v>
      </c>
      <c r="E534" s="88" t="s">
        <v>700</v>
      </c>
      <c r="F534" s="17">
        <v>1224</v>
      </c>
      <c r="G534" s="16">
        <v>43138</v>
      </c>
      <c r="H534" s="14" t="s">
        <v>717</v>
      </c>
      <c r="I534" s="14" t="s">
        <v>767</v>
      </c>
      <c r="J534" s="17">
        <v>170</v>
      </c>
      <c r="K534" s="17">
        <v>208</v>
      </c>
      <c r="L534" s="21">
        <v>0.81730769230769229</v>
      </c>
      <c r="M534" s="22">
        <v>6</v>
      </c>
      <c r="N534" s="96">
        <f t="shared" si="79"/>
        <v>5.6769166550716572E-2</v>
      </c>
      <c r="O534" s="96">
        <f t="shared" si="80"/>
        <v>4.6397876507797198E-2</v>
      </c>
      <c r="P534" s="96"/>
    </row>
    <row r="535" spans="1:16" s="2" customFormat="1" ht="21" hidden="1" customHeight="1">
      <c r="A535" s="17">
        <v>201710</v>
      </c>
      <c r="B535" s="14" t="s">
        <v>527</v>
      </c>
      <c r="C535" s="14" t="s">
        <v>21</v>
      </c>
      <c r="D535" s="15">
        <v>43131</v>
      </c>
      <c r="E535" s="88" t="s">
        <v>700</v>
      </c>
      <c r="F535" s="17">
        <f>1380+1644</f>
        <v>3024</v>
      </c>
      <c r="G535" s="16">
        <v>43138</v>
      </c>
      <c r="H535" s="14" t="s">
        <v>717</v>
      </c>
      <c r="I535" s="14" t="s">
        <v>767</v>
      </c>
      <c r="J535" s="17">
        <v>170</v>
      </c>
      <c r="K535" s="17">
        <v>208</v>
      </c>
      <c r="L535" s="21">
        <v>0.81730769230769229</v>
      </c>
      <c r="M535" s="22">
        <v>6</v>
      </c>
      <c r="N535" s="96">
        <f t="shared" si="79"/>
        <v>0.14025323500765272</v>
      </c>
      <c r="O535" s="96">
        <f t="shared" si="80"/>
        <v>0.11463004784279308</v>
      </c>
      <c r="P535" s="96"/>
    </row>
    <row r="536" spans="1:16" s="2" customFormat="1" ht="21" hidden="1" customHeight="1">
      <c r="A536" s="17"/>
      <c r="B536" s="14"/>
      <c r="C536" s="14"/>
      <c r="D536" s="15"/>
      <c r="E536" s="88"/>
      <c r="F536" s="39">
        <f>SUM(F479:F535)</f>
        <v>35560</v>
      </c>
      <c r="G536" s="17"/>
      <c r="H536" s="14"/>
      <c r="I536" s="14"/>
      <c r="J536" s="17"/>
      <c r="K536" s="17"/>
      <c r="L536" s="21"/>
      <c r="M536" s="22"/>
      <c r="N536" s="96"/>
      <c r="O536" s="96"/>
      <c r="P536" s="96"/>
    </row>
    <row r="537" spans="1:16" s="2" customFormat="1" ht="21" hidden="1" customHeight="1">
      <c r="A537" s="17">
        <v>201712</v>
      </c>
      <c r="B537" s="14" t="s">
        <v>837</v>
      </c>
      <c r="C537" s="14" t="s">
        <v>41</v>
      </c>
      <c r="D537" s="15">
        <v>42737</v>
      </c>
      <c r="E537" s="88" t="s">
        <v>838</v>
      </c>
      <c r="F537" s="17">
        <v>1520</v>
      </c>
      <c r="G537" s="16">
        <v>43110</v>
      </c>
      <c r="H537" s="14" t="s">
        <v>717</v>
      </c>
      <c r="I537" s="14" t="s">
        <v>782</v>
      </c>
      <c r="J537" s="17">
        <v>210</v>
      </c>
      <c r="K537" s="17">
        <v>140</v>
      </c>
      <c r="L537" s="21">
        <v>1.5</v>
      </c>
      <c r="M537" s="22">
        <v>2</v>
      </c>
      <c r="N537" s="96"/>
      <c r="O537" s="96"/>
      <c r="P537" s="96"/>
    </row>
    <row r="538" spans="1:16" s="2" customFormat="1" ht="21" hidden="1" customHeight="1">
      <c r="A538" s="17">
        <v>201710</v>
      </c>
      <c r="B538" s="14" t="s">
        <v>528</v>
      </c>
      <c r="C538" s="14" t="s">
        <v>41</v>
      </c>
      <c r="D538" s="15">
        <v>43104</v>
      </c>
      <c r="E538" s="88" t="s">
        <v>710</v>
      </c>
      <c r="F538" s="17">
        <v>480</v>
      </c>
      <c r="G538" s="16">
        <v>43121</v>
      </c>
      <c r="H538" s="14" t="s">
        <v>718</v>
      </c>
      <c r="I538" s="14" t="s">
        <v>789</v>
      </c>
      <c r="J538" s="17">
        <v>170</v>
      </c>
      <c r="K538" s="17">
        <v>155</v>
      </c>
      <c r="L538" s="21">
        <v>1.096774193548387</v>
      </c>
      <c r="M538" s="22">
        <v>4</v>
      </c>
      <c r="N538" s="96"/>
      <c r="O538" s="96"/>
      <c r="P538" s="96"/>
    </row>
    <row r="539" spans="1:16" s="2" customFormat="1" ht="21" hidden="1" customHeight="1">
      <c r="A539" s="17">
        <v>201710</v>
      </c>
      <c r="B539" s="14" t="s">
        <v>529</v>
      </c>
      <c r="C539" s="14" t="s">
        <v>41</v>
      </c>
      <c r="D539" s="15">
        <v>43104</v>
      </c>
      <c r="E539" s="88" t="s">
        <v>710</v>
      </c>
      <c r="F539" s="17">
        <v>1020</v>
      </c>
      <c r="G539" s="16">
        <v>43125</v>
      </c>
      <c r="H539" s="14" t="s">
        <v>718</v>
      </c>
      <c r="I539" s="14" t="s">
        <v>789</v>
      </c>
      <c r="J539" s="17">
        <v>170</v>
      </c>
      <c r="K539" s="17">
        <v>155</v>
      </c>
      <c r="L539" s="21">
        <v>1.096774193548387</v>
      </c>
      <c r="M539" s="22">
        <v>4</v>
      </c>
      <c r="N539" s="96"/>
      <c r="O539" s="96"/>
      <c r="P539" s="96"/>
    </row>
    <row r="540" spans="1:16" s="2" customFormat="1" ht="21" hidden="1" customHeight="1">
      <c r="A540" s="17">
        <v>201710</v>
      </c>
      <c r="B540" s="14" t="s">
        <v>530</v>
      </c>
      <c r="C540" s="14" t="s">
        <v>41</v>
      </c>
      <c r="D540" s="15">
        <v>43105</v>
      </c>
      <c r="E540" s="88" t="s">
        <v>711</v>
      </c>
      <c r="F540" s="17">
        <v>456</v>
      </c>
      <c r="G540" s="16">
        <v>43121</v>
      </c>
      <c r="H540" s="14" t="s">
        <v>718</v>
      </c>
      <c r="I540" s="14" t="s">
        <v>789</v>
      </c>
      <c r="J540" s="17">
        <v>170</v>
      </c>
      <c r="K540" s="17">
        <v>155</v>
      </c>
      <c r="L540" s="21">
        <v>1.096774193548387</v>
      </c>
      <c r="M540" s="22">
        <v>4</v>
      </c>
      <c r="N540" s="96"/>
      <c r="O540" s="96"/>
      <c r="P540" s="96"/>
    </row>
    <row r="541" spans="1:16" s="2" customFormat="1" ht="21" hidden="1" customHeight="1">
      <c r="A541" s="17">
        <v>201710</v>
      </c>
      <c r="B541" s="14" t="s">
        <v>531</v>
      </c>
      <c r="C541" s="14" t="s">
        <v>41</v>
      </c>
      <c r="D541" s="15">
        <v>43105</v>
      </c>
      <c r="E541" s="88" t="s">
        <v>711</v>
      </c>
      <c r="F541" s="17">
        <v>1836</v>
      </c>
      <c r="G541" s="16">
        <v>43125</v>
      </c>
      <c r="H541" s="14" t="s">
        <v>718</v>
      </c>
      <c r="I541" s="14" t="s">
        <v>789</v>
      </c>
      <c r="J541" s="17">
        <v>170</v>
      </c>
      <c r="K541" s="17">
        <v>155</v>
      </c>
      <c r="L541" s="21">
        <v>1.096774193548387</v>
      </c>
      <c r="M541" s="22">
        <v>4</v>
      </c>
      <c r="N541" s="96"/>
      <c r="O541" s="96"/>
      <c r="P541" s="96"/>
    </row>
    <row r="542" spans="1:16" s="2" customFormat="1" ht="21" hidden="1" customHeight="1">
      <c r="A542" s="17">
        <v>201710</v>
      </c>
      <c r="B542" s="14" t="s">
        <v>532</v>
      </c>
      <c r="C542" s="14" t="s">
        <v>41</v>
      </c>
      <c r="D542" s="15">
        <v>43108</v>
      </c>
      <c r="E542" s="88" t="s">
        <v>712</v>
      </c>
      <c r="F542" s="17">
        <v>504</v>
      </c>
      <c r="G542" s="16">
        <v>43117</v>
      </c>
      <c r="H542" s="14" t="s">
        <v>719</v>
      </c>
      <c r="I542" s="14" t="s">
        <v>790</v>
      </c>
      <c r="J542" s="17">
        <v>170</v>
      </c>
      <c r="K542" s="17">
        <v>143</v>
      </c>
      <c r="L542" s="21">
        <v>1.1888111888111887</v>
      </c>
      <c r="M542" s="22">
        <v>3</v>
      </c>
      <c r="N542" s="96">
        <f>F542/$F$642</f>
        <v>1.8584070796460177E-2</v>
      </c>
      <c r="O542" s="96">
        <f>L542*N542</f>
        <v>2.2092951296491119E-2</v>
      </c>
      <c r="P542" s="96"/>
    </row>
    <row r="543" spans="1:16" s="2" customFormat="1" ht="21" hidden="1" customHeight="1">
      <c r="A543" s="17">
        <v>201710</v>
      </c>
      <c r="B543" s="14" t="s">
        <v>533</v>
      </c>
      <c r="C543" s="14" t="s">
        <v>41</v>
      </c>
      <c r="D543" s="15">
        <v>43108</v>
      </c>
      <c r="E543" s="88" t="s">
        <v>712</v>
      </c>
      <c r="F543" s="17">
        <v>588</v>
      </c>
      <c r="G543" s="16">
        <v>43121</v>
      </c>
      <c r="H543" s="14" t="s">
        <v>718</v>
      </c>
      <c r="I543" s="14" t="s">
        <v>790</v>
      </c>
      <c r="J543" s="17">
        <v>170</v>
      </c>
      <c r="K543" s="17">
        <v>144</v>
      </c>
      <c r="L543" s="21">
        <v>1.1805555555555556</v>
      </c>
      <c r="M543" s="22">
        <v>3</v>
      </c>
      <c r="N543" s="96">
        <f t="shared" ref="N543:N565" si="81">F543/$F$642</f>
        <v>2.168141592920354E-2</v>
      </c>
      <c r="O543" s="96">
        <f t="shared" ref="O543:O565" si="82">L543*N543</f>
        <v>2.5596116027531958E-2</v>
      </c>
      <c r="P543" s="96"/>
    </row>
    <row r="544" spans="1:16" s="2" customFormat="1" ht="21" hidden="1" customHeight="1">
      <c r="A544" s="17">
        <v>201710</v>
      </c>
      <c r="B544" s="14" t="s">
        <v>534</v>
      </c>
      <c r="C544" s="14" t="s">
        <v>41</v>
      </c>
      <c r="D544" s="15">
        <v>43108</v>
      </c>
      <c r="E544" s="88" t="s">
        <v>712</v>
      </c>
      <c r="F544" s="17">
        <v>252</v>
      </c>
      <c r="G544" s="16">
        <v>43123</v>
      </c>
      <c r="H544" s="14" t="s">
        <v>732</v>
      </c>
      <c r="I544" s="14" t="s">
        <v>790</v>
      </c>
      <c r="J544" s="17">
        <v>170</v>
      </c>
      <c r="K544" s="17">
        <v>145</v>
      </c>
      <c r="L544" s="21">
        <v>1.1724137931034482</v>
      </c>
      <c r="M544" s="22">
        <v>3</v>
      </c>
      <c r="N544" s="96">
        <f t="shared" si="81"/>
        <v>9.2920353982300884E-3</v>
      </c>
      <c r="O544" s="96">
        <f t="shared" si="82"/>
        <v>1.0894110466890447E-2</v>
      </c>
      <c r="P544" s="96"/>
    </row>
    <row r="545" spans="1:16" s="2" customFormat="1" ht="21" hidden="1" customHeight="1">
      <c r="A545" s="17">
        <v>201710</v>
      </c>
      <c r="B545" s="14" t="s">
        <v>535</v>
      </c>
      <c r="C545" s="14" t="s">
        <v>41</v>
      </c>
      <c r="D545" s="15">
        <v>43108</v>
      </c>
      <c r="E545" s="88" t="s">
        <v>712</v>
      </c>
      <c r="F545" s="17">
        <v>120</v>
      </c>
      <c r="G545" s="16">
        <v>43120</v>
      </c>
      <c r="H545" s="14" t="s">
        <v>736</v>
      </c>
      <c r="I545" s="14" t="s">
        <v>790</v>
      </c>
      <c r="J545" s="17">
        <v>170</v>
      </c>
      <c r="K545" s="17">
        <v>151</v>
      </c>
      <c r="L545" s="21">
        <v>1.1258278145695364</v>
      </c>
      <c r="M545" s="22">
        <v>3</v>
      </c>
      <c r="N545" s="96">
        <f t="shared" si="81"/>
        <v>4.4247787610619468E-3</v>
      </c>
      <c r="O545" s="96">
        <f t="shared" si="82"/>
        <v>4.9815390025200728E-3</v>
      </c>
      <c r="P545" s="96"/>
    </row>
    <row r="546" spans="1:16" s="2" customFormat="1" ht="21" hidden="1" customHeight="1">
      <c r="A546" s="17">
        <v>201710</v>
      </c>
      <c r="B546" s="14" t="s">
        <v>536</v>
      </c>
      <c r="C546" s="14" t="s">
        <v>41</v>
      </c>
      <c r="D546" s="15">
        <v>43109</v>
      </c>
      <c r="E546" s="88" t="s">
        <v>712</v>
      </c>
      <c r="F546" s="17">
        <v>1236</v>
      </c>
      <c r="G546" s="16">
        <v>43125</v>
      </c>
      <c r="H546" s="14" t="s">
        <v>718</v>
      </c>
      <c r="I546" s="14" t="s">
        <v>790</v>
      </c>
      <c r="J546" s="17">
        <v>170</v>
      </c>
      <c r="K546" s="17">
        <v>151</v>
      </c>
      <c r="L546" s="21">
        <v>1.1258278145695364</v>
      </c>
      <c r="M546" s="22">
        <v>3</v>
      </c>
      <c r="N546" s="96">
        <f t="shared" si="81"/>
        <v>4.5575221238938056E-2</v>
      </c>
      <c r="O546" s="96">
        <f t="shared" si="82"/>
        <v>5.130985172595675E-2</v>
      </c>
      <c r="P546" s="96"/>
    </row>
    <row r="547" spans="1:16" s="2" customFormat="1" ht="21" hidden="1" customHeight="1">
      <c r="A547" s="17">
        <v>201710</v>
      </c>
      <c r="B547" s="14" t="s">
        <v>537</v>
      </c>
      <c r="C547" s="14" t="s">
        <v>41</v>
      </c>
      <c r="D547" s="15">
        <v>43110</v>
      </c>
      <c r="E547" s="88" t="s">
        <v>713</v>
      </c>
      <c r="F547" s="17">
        <v>696</v>
      </c>
      <c r="G547" s="16">
        <v>43116</v>
      </c>
      <c r="H547" s="14" t="s">
        <v>719</v>
      </c>
      <c r="I547" s="14" t="s">
        <v>790</v>
      </c>
      <c r="J547" s="17">
        <v>170</v>
      </c>
      <c r="K547" s="17">
        <v>151</v>
      </c>
      <c r="L547" s="21">
        <v>1.1258278145695364</v>
      </c>
      <c r="M547" s="22">
        <v>3</v>
      </c>
      <c r="N547" s="96">
        <f t="shared" si="81"/>
        <v>2.5663716814159292E-2</v>
      </c>
      <c r="O547" s="96">
        <f t="shared" si="82"/>
        <v>2.8892926214616421E-2</v>
      </c>
      <c r="P547" s="96"/>
    </row>
    <row r="548" spans="1:16" s="2" customFormat="1" ht="21" hidden="1" customHeight="1">
      <c r="A548" s="17">
        <v>201710</v>
      </c>
      <c r="B548" s="14" t="s">
        <v>538</v>
      </c>
      <c r="C548" s="14" t="s">
        <v>41</v>
      </c>
      <c r="D548" s="15">
        <v>43110</v>
      </c>
      <c r="E548" s="88" t="s">
        <v>712</v>
      </c>
      <c r="F548" s="17">
        <v>324</v>
      </c>
      <c r="G548" s="16">
        <v>43127</v>
      </c>
      <c r="H548" s="14" t="s">
        <v>717</v>
      </c>
      <c r="I548" s="14" t="s">
        <v>790</v>
      </c>
      <c r="J548" s="17">
        <v>170</v>
      </c>
      <c r="K548" s="17">
        <v>151</v>
      </c>
      <c r="L548" s="21">
        <v>1.1258278145695364</v>
      </c>
      <c r="M548" s="22">
        <v>3</v>
      </c>
      <c r="N548" s="96">
        <f t="shared" si="81"/>
        <v>1.1946902654867256E-2</v>
      </c>
      <c r="O548" s="96">
        <f t="shared" si="82"/>
        <v>1.3450155306804195E-2</v>
      </c>
      <c r="P548" s="96"/>
    </row>
    <row r="549" spans="1:16" s="2" customFormat="1" ht="21" hidden="1" customHeight="1">
      <c r="A549" s="17">
        <v>201710</v>
      </c>
      <c r="B549" s="14" t="s">
        <v>539</v>
      </c>
      <c r="C549" s="14" t="s">
        <v>41</v>
      </c>
      <c r="D549" s="15">
        <v>43110</v>
      </c>
      <c r="E549" s="88" t="s">
        <v>712</v>
      </c>
      <c r="F549" s="17">
        <v>120</v>
      </c>
      <c r="G549" s="16">
        <v>43127</v>
      </c>
      <c r="H549" s="14" t="s">
        <v>717</v>
      </c>
      <c r="I549" s="14" t="s">
        <v>790</v>
      </c>
      <c r="J549" s="17">
        <v>170</v>
      </c>
      <c r="K549" s="17">
        <v>151</v>
      </c>
      <c r="L549" s="21">
        <v>1.1258278145695364</v>
      </c>
      <c r="M549" s="22">
        <v>3</v>
      </c>
      <c r="N549" s="96">
        <f t="shared" si="81"/>
        <v>4.4247787610619468E-3</v>
      </c>
      <c r="O549" s="96">
        <f t="shared" si="82"/>
        <v>4.9815390025200728E-3</v>
      </c>
      <c r="P549" s="96"/>
    </row>
    <row r="550" spans="1:16" s="2" customFormat="1" ht="21" hidden="1" customHeight="1">
      <c r="A550" s="17">
        <v>201710</v>
      </c>
      <c r="B550" s="14" t="s">
        <v>540</v>
      </c>
      <c r="C550" s="14" t="s">
        <v>41</v>
      </c>
      <c r="D550" s="15">
        <v>43110</v>
      </c>
      <c r="E550" s="88" t="s">
        <v>712</v>
      </c>
      <c r="F550" s="17">
        <v>444</v>
      </c>
      <c r="G550" s="16">
        <v>43127</v>
      </c>
      <c r="H550" s="14" t="s">
        <v>717</v>
      </c>
      <c r="I550" s="14" t="s">
        <v>790</v>
      </c>
      <c r="J550" s="17">
        <v>170</v>
      </c>
      <c r="K550" s="17">
        <v>151</v>
      </c>
      <c r="L550" s="21">
        <v>1.1258278145695364</v>
      </c>
      <c r="M550" s="22">
        <v>3</v>
      </c>
      <c r="N550" s="96">
        <f t="shared" si="81"/>
        <v>1.6371681415929203E-2</v>
      </c>
      <c r="O550" s="96">
        <f t="shared" si="82"/>
        <v>1.843169430932427E-2</v>
      </c>
      <c r="P550" s="96"/>
    </row>
    <row r="551" spans="1:16" s="2" customFormat="1" ht="21" hidden="1" customHeight="1">
      <c r="A551" s="17">
        <v>201710</v>
      </c>
      <c r="B551" s="14" t="s">
        <v>541</v>
      </c>
      <c r="C551" s="14" t="s">
        <v>41</v>
      </c>
      <c r="D551" s="15">
        <v>43111</v>
      </c>
      <c r="E551" s="88" t="s">
        <v>713</v>
      </c>
      <c r="F551" s="17">
        <v>720</v>
      </c>
      <c r="G551" s="16">
        <v>43121</v>
      </c>
      <c r="H551" s="14" t="s">
        <v>718</v>
      </c>
      <c r="I551" s="14" t="s">
        <v>790</v>
      </c>
      <c r="J551" s="17">
        <v>170</v>
      </c>
      <c r="K551" s="17">
        <v>151</v>
      </c>
      <c r="L551" s="21">
        <v>1.1258278145695364</v>
      </c>
      <c r="M551" s="22">
        <v>3</v>
      </c>
      <c r="N551" s="96">
        <f t="shared" si="81"/>
        <v>2.6548672566371681E-2</v>
      </c>
      <c r="O551" s="96">
        <f t="shared" si="82"/>
        <v>2.9889234015120433E-2</v>
      </c>
      <c r="P551" s="96"/>
    </row>
    <row r="552" spans="1:16" s="2" customFormat="1" ht="21" hidden="1" customHeight="1">
      <c r="A552" s="17">
        <v>201710</v>
      </c>
      <c r="B552" s="14" t="s">
        <v>542</v>
      </c>
      <c r="C552" s="14" t="s">
        <v>41</v>
      </c>
      <c r="D552" s="15">
        <v>43111</v>
      </c>
      <c r="E552" s="88" t="s">
        <v>713</v>
      </c>
      <c r="F552" s="17">
        <v>240</v>
      </c>
      <c r="G552" s="16">
        <v>43120</v>
      </c>
      <c r="H552" s="14" t="s">
        <v>721</v>
      </c>
      <c r="I552" s="14" t="s">
        <v>790</v>
      </c>
      <c r="J552" s="17">
        <v>170</v>
      </c>
      <c r="K552" s="17">
        <v>151</v>
      </c>
      <c r="L552" s="21">
        <v>1.1258278145695364</v>
      </c>
      <c r="M552" s="22">
        <v>3</v>
      </c>
      <c r="N552" s="96">
        <f t="shared" si="81"/>
        <v>8.8495575221238937E-3</v>
      </c>
      <c r="O552" s="96">
        <f t="shared" si="82"/>
        <v>9.9630780050401456E-3</v>
      </c>
      <c r="P552" s="96"/>
    </row>
    <row r="553" spans="1:16" s="2" customFormat="1" ht="21" hidden="1" customHeight="1">
      <c r="A553" s="17">
        <v>201710</v>
      </c>
      <c r="B553" s="14" t="s">
        <v>543</v>
      </c>
      <c r="C553" s="14" t="s">
        <v>41</v>
      </c>
      <c r="D553" s="15">
        <v>43111</v>
      </c>
      <c r="E553" s="88" t="s">
        <v>713</v>
      </c>
      <c r="F553" s="17">
        <v>264</v>
      </c>
      <c r="G553" s="16">
        <v>43123</v>
      </c>
      <c r="H553" s="14" t="s">
        <v>732</v>
      </c>
      <c r="I553" s="14" t="s">
        <v>790</v>
      </c>
      <c r="J553" s="17">
        <v>170</v>
      </c>
      <c r="K553" s="17">
        <v>151</v>
      </c>
      <c r="L553" s="21">
        <v>1.1258278145695364</v>
      </c>
      <c r="M553" s="22">
        <v>3</v>
      </c>
      <c r="N553" s="96">
        <f t="shared" si="81"/>
        <v>9.7345132743362831E-3</v>
      </c>
      <c r="O553" s="96">
        <f t="shared" si="82"/>
        <v>1.0959385805544159E-2</v>
      </c>
      <c r="P553" s="96"/>
    </row>
    <row r="554" spans="1:16" s="2" customFormat="1" ht="21" hidden="1" customHeight="1">
      <c r="A554" s="17">
        <v>201710</v>
      </c>
      <c r="B554" s="14" t="s">
        <v>544</v>
      </c>
      <c r="C554" s="14" t="s">
        <v>41</v>
      </c>
      <c r="D554" s="15">
        <v>43112</v>
      </c>
      <c r="E554" s="88" t="s">
        <v>713</v>
      </c>
      <c r="F554" s="17">
        <v>3276</v>
      </c>
      <c r="G554" s="16">
        <v>43125</v>
      </c>
      <c r="H554" s="14" t="s">
        <v>718</v>
      </c>
      <c r="I554" s="14" t="s">
        <v>790</v>
      </c>
      <c r="J554" s="17">
        <v>170</v>
      </c>
      <c r="K554" s="17">
        <v>151</v>
      </c>
      <c r="L554" s="21">
        <v>1.1258278145695364</v>
      </c>
      <c r="M554" s="22">
        <v>3</v>
      </c>
      <c r="N554" s="96">
        <f t="shared" si="81"/>
        <v>0.12079646017699115</v>
      </c>
      <c r="O554" s="96">
        <f t="shared" si="82"/>
        <v>0.135996014768798</v>
      </c>
      <c r="P554" s="96"/>
    </row>
    <row r="555" spans="1:16" s="2" customFormat="1" ht="21" hidden="1" customHeight="1">
      <c r="A555" s="17">
        <v>201710</v>
      </c>
      <c r="B555" s="14" t="s">
        <v>545</v>
      </c>
      <c r="C555" s="14" t="s">
        <v>41</v>
      </c>
      <c r="D555" s="15">
        <v>43112</v>
      </c>
      <c r="E555" s="88" t="s">
        <v>713</v>
      </c>
      <c r="F555" s="17">
        <v>120</v>
      </c>
      <c r="G555" s="16">
        <v>43120</v>
      </c>
      <c r="H555" s="14" t="s">
        <v>736</v>
      </c>
      <c r="I555" s="14" t="s">
        <v>790</v>
      </c>
      <c r="J555" s="17">
        <v>170</v>
      </c>
      <c r="K555" s="17">
        <v>151</v>
      </c>
      <c r="L555" s="21">
        <v>1.1258278145695364</v>
      </c>
      <c r="M555" s="22">
        <v>3</v>
      </c>
      <c r="N555" s="96">
        <f t="shared" si="81"/>
        <v>4.4247787610619468E-3</v>
      </c>
      <c r="O555" s="96">
        <f t="shared" si="82"/>
        <v>4.9815390025200728E-3</v>
      </c>
      <c r="P555" s="96"/>
    </row>
    <row r="556" spans="1:16" s="2" customFormat="1" ht="21" hidden="1" customHeight="1">
      <c r="A556" s="17">
        <v>201710</v>
      </c>
      <c r="B556" s="14" t="s">
        <v>546</v>
      </c>
      <c r="C556" s="14" t="s">
        <v>41</v>
      </c>
      <c r="D556" s="15">
        <v>43116</v>
      </c>
      <c r="E556" s="88" t="s">
        <v>713</v>
      </c>
      <c r="F556" s="17">
        <v>288</v>
      </c>
      <c r="G556" s="16">
        <v>43127</v>
      </c>
      <c r="H556" s="14" t="s">
        <v>717</v>
      </c>
      <c r="I556" s="14" t="s">
        <v>790</v>
      </c>
      <c r="J556" s="17">
        <v>170</v>
      </c>
      <c r="K556" s="17">
        <v>151</v>
      </c>
      <c r="L556" s="21">
        <v>1.1258278145695364</v>
      </c>
      <c r="M556" s="22">
        <v>3</v>
      </c>
      <c r="N556" s="96">
        <f t="shared" si="81"/>
        <v>1.0619469026548672E-2</v>
      </c>
      <c r="O556" s="96">
        <f t="shared" si="82"/>
        <v>1.1955693606048173E-2</v>
      </c>
      <c r="P556" s="96"/>
    </row>
    <row r="557" spans="1:16" s="2" customFormat="1" ht="21" hidden="1" customHeight="1">
      <c r="A557" s="17">
        <v>201710</v>
      </c>
      <c r="B557" s="14" t="s">
        <v>547</v>
      </c>
      <c r="C557" s="14" t="s">
        <v>41</v>
      </c>
      <c r="D557" s="15">
        <v>43116</v>
      </c>
      <c r="E557" s="88" t="s">
        <v>713</v>
      </c>
      <c r="F557" s="17">
        <v>144</v>
      </c>
      <c r="G557" s="16">
        <v>43127</v>
      </c>
      <c r="H557" s="14" t="s">
        <v>717</v>
      </c>
      <c r="I557" s="14" t="s">
        <v>790</v>
      </c>
      <c r="J557" s="17">
        <v>170</v>
      </c>
      <c r="K557" s="17">
        <v>151</v>
      </c>
      <c r="L557" s="21">
        <v>1.1258278145695364</v>
      </c>
      <c r="M557" s="22">
        <v>3</v>
      </c>
      <c r="N557" s="96">
        <f t="shared" si="81"/>
        <v>5.3097345132743362E-3</v>
      </c>
      <c r="O557" s="96">
        <f t="shared" si="82"/>
        <v>5.9778468030240867E-3</v>
      </c>
      <c r="P557" s="96"/>
    </row>
    <row r="558" spans="1:16" s="2" customFormat="1" ht="21" hidden="1" customHeight="1">
      <c r="A558" s="17">
        <v>201710</v>
      </c>
      <c r="B558" s="14" t="s">
        <v>548</v>
      </c>
      <c r="C558" s="14" t="s">
        <v>41</v>
      </c>
      <c r="D558" s="15">
        <v>43116</v>
      </c>
      <c r="E558" s="88" t="s">
        <v>713</v>
      </c>
      <c r="F558" s="17">
        <v>144</v>
      </c>
      <c r="G558" s="16">
        <v>43127</v>
      </c>
      <c r="H558" s="14" t="s">
        <v>717</v>
      </c>
      <c r="I558" s="14" t="s">
        <v>790</v>
      </c>
      <c r="J558" s="17">
        <v>170</v>
      </c>
      <c r="K558" s="17">
        <v>151</v>
      </c>
      <c r="L558" s="21">
        <v>1.1258278145695364</v>
      </c>
      <c r="M558" s="22">
        <v>3</v>
      </c>
      <c r="N558" s="96">
        <f t="shared" si="81"/>
        <v>5.3097345132743362E-3</v>
      </c>
      <c r="O558" s="96">
        <f t="shared" si="82"/>
        <v>5.9778468030240867E-3</v>
      </c>
      <c r="P558" s="96"/>
    </row>
    <row r="559" spans="1:16" s="2" customFormat="1" ht="21" hidden="1" customHeight="1">
      <c r="A559" s="17">
        <v>201710</v>
      </c>
      <c r="B559" s="14" t="s">
        <v>549</v>
      </c>
      <c r="C559" s="14" t="s">
        <v>41</v>
      </c>
      <c r="D559" s="15">
        <v>43116</v>
      </c>
      <c r="E559" s="88" t="s">
        <v>713</v>
      </c>
      <c r="F559" s="17">
        <v>684</v>
      </c>
      <c r="G559" s="16">
        <v>43127</v>
      </c>
      <c r="H559" s="14" t="s">
        <v>717</v>
      </c>
      <c r="I559" s="14" t="s">
        <v>790</v>
      </c>
      <c r="J559" s="17">
        <v>170</v>
      </c>
      <c r="K559" s="17">
        <v>151</v>
      </c>
      <c r="L559" s="21">
        <v>1.1258278145695364</v>
      </c>
      <c r="M559" s="22">
        <v>3</v>
      </c>
      <c r="N559" s="96">
        <f t="shared" si="81"/>
        <v>2.5221238938053097E-2</v>
      </c>
      <c r="O559" s="96">
        <f t="shared" si="82"/>
        <v>2.8394772314364412E-2</v>
      </c>
      <c r="P559" s="96"/>
    </row>
    <row r="560" spans="1:16" s="2" customFormat="1" ht="21" hidden="1" customHeight="1">
      <c r="A560" s="17">
        <v>201710</v>
      </c>
      <c r="B560" s="14" t="s">
        <v>550</v>
      </c>
      <c r="C560" s="14" t="s">
        <v>41</v>
      </c>
      <c r="D560" s="15">
        <v>43117</v>
      </c>
      <c r="E560" s="88" t="s">
        <v>713</v>
      </c>
      <c r="F560" s="17">
        <v>9780</v>
      </c>
      <c r="G560" s="16">
        <v>43133</v>
      </c>
      <c r="H560" s="14" t="s">
        <v>717</v>
      </c>
      <c r="I560" s="14" t="s">
        <v>790</v>
      </c>
      <c r="J560" s="17">
        <v>170</v>
      </c>
      <c r="K560" s="17">
        <v>151</v>
      </c>
      <c r="L560" s="21">
        <v>1.1258278145695364</v>
      </c>
      <c r="M560" s="22">
        <v>3</v>
      </c>
      <c r="N560" s="96">
        <f t="shared" si="81"/>
        <v>0.36061946902654868</v>
      </c>
      <c r="O560" s="96">
        <f t="shared" si="82"/>
        <v>0.40599542870538591</v>
      </c>
      <c r="P560" s="96"/>
    </row>
    <row r="561" spans="1:16" s="2" customFormat="1" ht="21" hidden="1" customHeight="1">
      <c r="A561" s="17">
        <v>201710</v>
      </c>
      <c r="B561" s="14" t="s">
        <v>551</v>
      </c>
      <c r="C561" s="14" t="s">
        <v>41</v>
      </c>
      <c r="D561" s="15">
        <v>43125</v>
      </c>
      <c r="E561" s="88" t="s">
        <v>712</v>
      </c>
      <c r="F561" s="17">
        <v>3516</v>
      </c>
      <c r="G561" s="16">
        <v>43133</v>
      </c>
      <c r="H561" s="14" t="s">
        <v>717</v>
      </c>
      <c r="I561" s="14" t="s">
        <v>790</v>
      </c>
      <c r="J561" s="17">
        <v>170</v>
      </c>
      <c r="K561" s="17">
        <v>151</v>
      </c>
      <c r="L561" s="21">
        <v>1.1258278145695364</v>
      </c>
      <c r="M561" s="22">
        <v>3</v>
      </c>
      <c r="N561" s="96">
        <f t="shared" si="81"/>
        <v>0.12964601769911505</v>
      </c>
      <c r="O561" s="96">
        <f t="shared" si="82"/>
        <v>0.14595909277383812</v>
      </c>
      <c r="P561" s="96"/>
    </row>
    <row r="562" spans="1:16" s="2" customFormat="1" ht="21" hidden="1" customHeight="1">
      <c r="A562" s="17">
        <v>201710</v>
      </c>
      <c r="B562" s="14" t="s">
        <v>552</v>
      </c>
      <c r="C562" s="14" t="s">
        <v>41</v>
      </c>
      <c r="D562" s="15">
        <v>43127</v>
      </c>
      <c r="E562" s="88" t="s">
        <v>712</v>
      </c>
      <c r="F562" s="17">
        <v>588</v>
      </c>
      <c r="G562" s="16">
        <v>43138</v>
      </c>
      <c r="H562" s="14" t="s">
        <v>717</v>
      </c>
      <c r="I562" s="14" t="s">
        <v>790</v>
      </c>
      <c r="J562" s="17">
        <v>170</v>
      </c>
      <c r="K562" s="17">
        <v>151</v>
      </c>
      <c r="L562" s="21">
        <v>1.1258278145695364</v>
      </c>
      <c r="M562" s="22">
        <v>3</v>
      </c>
      <c r="N562" s="96">
        <f t="shared" si="81"/>
        <v>2.168141592920354E-2</v>
      </c>
      <c r="O562" s="96">
        <f t="shared" si="82"/>
        <v>2.4409541112348356E-2</v>
      </c>
      <c r="P562" s="96"/>
    </row>
    <row r="563" spans="1:16" s="2" customFormat="1" ht="21" hidden="1" customHeight="1">
      <c r="A563" s="17">
        <v>201710</v>
      </c>
      <c r="B563" s="14" t="s">
        <v>553</v>
      </c>
      <c r="C563" s="14" t="s">
        <v>41</v>
      </c>
      <c r="D563" s="15">
        <v>43127</v>
      </c>
      <c r="E563" s="88" t="s">
        <v>712</v>
      </c>
      <c r="F563" s="17">
        <v>336</v>
      </c>
      <c r="G563" s="16">
        <v>43139</v>
      </c>
      <c r="H563" s="14" t="s">
        <v>720</v>
      </c>
      <c r="I563" s="14" t="s">
        <v>790</v>
      </c>
      <c r="J563" s="17">
        <v>170</v>
      </c>
      <c r="K563" s="17">
        <v>151</v>
      </c>
      <c r="L563" s="21">
        <v>1.1258278145695364</v>
      </c>
      <c r="M563" s="22">
        <v>3</v>
      </c>
      <c r="N563" s="96">
        <f t="shared" si="81"/>
        <v>1.2389380530973451E-2</v>
      </c>
      <c r="O563" s="96">
        <f t="shared" si="82"/>
        <v>1.3948309207056203E-2</v>
      </c>
      <c r="P563" s="96"/>
    </row>
    <row r="564" spans="1:16" s="2" customFormat="1" ht="21" hidden="1" customHeight="1">
      <c r="A564" s="17">
        <v>201710</v>
      </c>
      <c r="B564" s="14" t="s">
        <v>554</v>
      </c>
      <c r="C564" s="14" t="s">
        <v>41</v>
      </c>
      <c r="D564" s="15">
        <v>43129</v>
      </c>
      <c r="E564" s="88" t="s">
        <v>714</v>
      </c>
      <c r="F564" s="17">
        <v>1812</v>
      </c>
      <c r="G564" s="16">
        <v>43138</v>
      </c>
      <c r="H564" s="14" t="s">
        <v>717</v>
      </c>
      <c r="I564" s="14" t="s">
        <v>790</v>
      </c>
      <c r="J564" s="17">
        <v>170</v>
      </c>
      <c r="K564" s="17">
        <v>141</v>
      </c>
      <c r="L564" s="21">
        <v>1.2056737588652482</v>
      </c>
      <c r="M564" s="22">
        <v>3</v>
      </c>
      <c r="N564" s="96">
        <f t="shared" si="81"/>
        <v>6.6814159292035394E-2</v>
      </c>
      <c r="O564" s="96">
        <f t="shared" si="82"/>
        <v>8.055607857904977E-2</v>
      </c>
      <c r="P564" s="96"/>
    </row>
    <row r="565" spans="1:16" s="2" customFormat="1" ht="21" hidden="1" customHeight="1">
      <c r="A565" s="17">
        <v>201710</v>
      </c>
      <c r="B565" s="14" t="s">
        <v>555</v>
      </c>
      <c r="C565" s="14" t="s">
        <v>41</v>
      </c>
      <c r="D565" s="15">
        <v>43130</v>
      </c>
      <c r="E565" s="88" t="s">
        <v>715</v>
      </c>
      <c r="F565" s="17">
        <v>924</v>
      </c>
      <c r="G565" s="16">
        <v>43138</v>
      </c>
      <c r="H565" s="14" t="s">
        <v>717</v>
      </c>
      <c r="I565" s="14" t="s">
        <v>790</v>
      </c>
      <c r="J565" s="17">
        <v>170</v>
      </c>
      <c r="K565" s="17">
        <v>142</v>
      </c>
      <c r="L565" s="21">
        <v>1.1971830985915493</v>
      </c>
      <c r="M565" s="22">
        <v>3</v>
      </c>
      <c r="N565" s="96">
        <f t="shared" si="81"/>
        <v>3.4070796460176994E-2</v>
      </c>
      <c r="O565" s="96">
        <f t="shared" si="82"/>
        <v>4.0788981677676681E-2</v>
      </c>
      <c r="P565" s="96"/>
    </row>
    <row r="566" spans="1:16" s="2" customFormat="1" ht="21" hidden="1" customHeight="1">
      <c r="A566" s="17">
        <v>201710</v>
      </c>
      <c r="B566" s="14" t="s">
        <v>556</v>
      </c>
      <c r="C566" s="14" t="s">
        <v>41</v>
      </c>
      <c r="D566" s="15">
        <v>43130</v>
      </c>
      <c r="E566" s="88" t="s">
        <v>710</v>
      </c>
      <c r="F566" s="17">
        <f>4188-420</f>
        <v>3768</v>
      </c>
      <c r="G566" s="16">
        <v>43138</v>
      </c>
      <c r="H566" s="14" t="s">
        <v>717</v>
      </c>
      <c r="I566" s="14" t="s">
        <v>789</v>
      </c>
      <c r="J566" s="17">
        <v>170</v>
      </c>
      <c r="K566" s="17">
        <v>155</v>
      </c>
      <c r="L566" s="21">
        <v>1.096774193548387</v>
      </c>
      <c r="M566" s="22">
        <v>4</v>
      </c>
      <c r="N566" s="96"/>
      <c r="O566" s="96"/>
      <c r="P566" s="96"/>
    </row>
    <row r="567" spans="1:16" s="2" customFormat="1" ht="28.5" hidden="1" customHeight="1">
      <c r="A567" s="17"/>
      <c r="B567" s="14"/>
      <c r="C567" s="14"/>
      <c r="D567" s="15"/>
      <c r="E567" s="88"/>
      <c r="F567" s="39">
        <f>SUM(F537:F566)</f>
        <v>36200</v>
      </c>
      <c r="G567" s="17"/>
      <c r="H567" s="14"/>
      <c r="I567" s="14"/>
      <c r="J567" s="17"/>
      <c r="K567" s="17"/>
      <c r="L567" s="21"/>
      <c r="M567" s="22"/>
      <c r="N567" s="96"/>
      <c r="O567" s="96"/>
      <c r="P567" s="96"/>
    </row>
    <row r="568" spans="1:16" s="2" customFormat="1" ht="21.75" hidden="1" customHeight="1">
      <c r="A568" s="17">
        <v>201710</v>
      </c>
      <c r="B568" s="14" t="s">
        <v>804</v>
      </c>
      <c r="C568" s="14" t="s">
        <v>20</v>
      </c>
      <c r="D568" s="15">
        <v>42737</v>
      </c>
      <c r="E568" s="88">
        <v>81229</v>
      </c>
      <c r="F568" s="17">
        <f>3444-1284</f>
        <v>2160</v>
      </c>
      <c r="G568" s="16">
        <v>43130</v>
      </c>
      <c r="H568" s="14" t="s">
        <v>717</v>
      </c>
      <c r="I568" s="14" t="s">
        <v>791</v>
      </c>
      <c r="J568" s="17">
        <v>240</v>
      </c>
      <c r="K568" s="17">
        <v>113</v>
      </c>
      <c r="L568" s="21">
        <f t="shared" ref="L568:L604" si="83">+J568/K568</f>
        <v>2.1238938053097347</v>
      </c>
      <c r="M568" s="22">
        <v>1</v>
      </c>
      <c r="N568" s="96">
        <f>F568/$F$643</f>
        <v>6.708907938874395E-2</v>
      </c>
      <c r="O568" s="96">
        <f>L568*N568</f>
        <v>0.14249008011768627</v>
      </c>
      <c r="P568" s="96"/>
    </row>
    <row r="569" spans="1:16" s="2" customFormat="1" ht="21.75" hidden="1" customHeight="1">
      <c r="A569" s="17">
        <v>201710</v>
      </c>
      <c r="B569" s="14" t="s">
        <v>560</v>
      </c>
      <c r="C569" s="14" t="s">
        <v>20</v>
      </c>
      <c r="D569" s="15">
        <v>43104</v>
      </c>
      <c r="E569" s="88" t="s">
        <v>716</v>
      </c>
      <c r="F569" s="17">
        <v>1452</v>
      </c>
      <c r="G569" s="16">
        <v>43139</v>
      </c>
      <c r="H569" s="14" t="s">
        <v>723</v>
      </c>
      <c r="I569" s="14" t="s">
        <v>791</v>
      </c>
      <c r="J569" s="17">
        <v>240</v>
      </c>
      <c r="K569" s="17">
        <v>120</v>
      </c>
      <c r="L569" s="21">
        <f t="shared" si="83"/>
        <v>2</v>
      </c>
      <c r="M569" s="22">
        <v>1</v>
      </c>
      <c r="N569" s="96">
        <f t="shared" ref="N569:N604" si="84">F569/$F$643</f>
        <v>4.5098770033544539E-2</v>
      </c>
      <c r="O569" s="96">
        <f t="shared" ref="O569:O604" si="85">L569*N569</f>
        <v>9.0197540067089077E-2</v>
      </c>
      <c r="P569" s="96"/>
    </row>
    <row r="570" spans="1:16" s="2" customFormat="1" ht="21.75" hidden="1" customHeight="1">
      <c r="A570" s="17">
        <v>201710</v>
      </c>
      <c r="B570" s="14" t="s">
        <v>565</v>
      </c>
      <c r="C570" s="14" t="s">
        <v>20</v>
      </c>
      <c r="D570" s="15">
        <v>43108</v>
      </c>
      <c r="E570" s="88">
        <v>88875</v>
      </c>
      <c r="F570" s="17">
        <v>1788</v>
      </c>
      <c r="G570" s="16">
        <v>43139</v>
      </c>
      <c r="H570" s="14" t="s">
        <v>723</v>
      </c>
      <c r="I570" s="14" t="s">
        <v>791</v>
      </c>
      <c r="J570" s="17">
        <v>240</v>
      </c>
      <c r="K570" s="17">
        <v>127</v>
      </c>
      <c r="L570" s="21">
        <f t="shared" si="83"/>
        <v>1.889763779527559</v>
      </c>
      <c r="M570" s="22">
        <v>1</v>
      </c>
      <c r="N570" s="96">
        <f t="shared" si="84"/>
        <v>5.5534849049571372E-2</v>
      </c>
      <c r="O570" s="96">
        <f t="shared" si="85"/>
        <v>0.10494774623541046</v>
      </c>
      <c r="P570" s="96"/>
    </row>
    <row r="571" spans="1:16" ht="21.75" hidden="1" customHeight="1">
      <c r="A571" s="17">
        <v>201710</v>
      </c>
      <c r="B571" s="24" t="s">
        <v>566</v>
      </c>
      <c r="C571" s="14" t="s">
        <v>20</v>
      </c>
      <c r="D571" s="15">
        <v>43106</v>
      </c>
      <c r="E571" s="88">
        <v>88877</v>
      </c>
      <c r="F571" s="17">
        <v>1152</v>
      </c>
      <c r="G571" s="16">
        <v>43139</v>
      </c>
      <c r="H571" s="14" t="s">
        <v>723</v>
      </c>
      <c r="I571" s="14" t="s">
        <v>791</v>
      </c>
      <c r="J571" s="17">
        <v>240</v>
      </c>
      <c r="K571" s="17">
        <v>120</v>
      </c>
      <c r="L571" s="21">
        <f t="shared" si="83"/>
        <v>2</v>
      </c>
      <c r="M571" s="17">
        <v>1</v>
      </c>
      <c r="N571" s="96">
        <f t="shared" si="84"/>
        <v>3.5780842340663435E-2</v>
      </c>
      <c r="O571" s="96">
        <f t="shared" si="85"/>
        <v>7.156168468132687E-2</v>
      </c>
      <c r="P571" s="96"/>
    </row>
    <row r="572" spans="1:16" s="2" customFormat="1" ht="21.75" hidden="1" customHeight="1">
      <c r="A572" s="17">
        <v>201710</v>
      </c>
      <c r="B572" s="14" t="s">
        <v>561</v>
      </c>
      <c r="C572" s="14" t="s">
        <v>20</v>
      </c>
      <c r="D572" s="15">
        <v>43105</v>
      </c>
      <c r="E572" s="88">
        <v>88877</v>
      </c>
      <c r="F572" s="17">
        <v>1200</v>
      </c>
      <c r="G572" s="16">
        <v>43138</v>
      </c>
      <c r="H572" s="14" t="s">
        <v>717</v>
      </c>
      <c r="I572" s="14" t="s">
        <v>791</v>
      </c>
      <c r="J572" s="17">
        <v>240</v>
      </c>
      <c r="K572" s="17">
        <v>120</v>
      </c>
      <c r="L572" s="21">
        <f t="shared" si="83"/>
        <v>2</v>
      </c>
      <c r="M572" s="22">
        <v>1</v>
      </c>
      <c r="N572" s="96">
        <f t="shared" si="84"/>
        <v>3.7271710771524413E-2</v>
      </c>
      <c r="O572" s="96">
        <f t="shared" si="85"/>
        <v>7.4543421543048827E-2</v>
      </c>
      <c r="P572" s="96"/>
    </row>
    <row r="573" spans="1:16" s="2" customFormat="1" ht="21.75" hidden="1" customHeight="1">
      <c r="A573" s="17">
        <v>201710</v>
      </c>
      <c r="B573" s="14" t="s">
        <v>569</v>
      </c>
      <c r="C573" s="14" t="s">
        <v>20</v>
      </c>
      <c r="D573" s="15">
        <v>43109</v>
      </c>
      <c r="E573" s="88">
        <v>88871</v>
      </c>
      <c r="F573" s="17">
        <v>1200</v>
      </c>
      <c r="G573" s="16">
        <v>43138</v>
      </c>
      <c r="H573" s="14" t="s">
        <v>717</v>
      </c>
      <c r="I573" s="14" t="s">
        <v>791</v>
      </c>
      <c r="J573" s="17">
        <v>240</v>
      </c>
      <c r="K573" s="17">
        <v>120</v>
      </c>
      <c r="L573" s="21">
        <f t="shared" si="83"/>
        <v>2</v>
      </c>
      <c r="M573" s="22">
        <v>1</v>
      </c>
      <c r="N573" s="96">
        <f t="shared" si="84"/>
        <v>3.7271710771524413E-2</v>
      </c>
      <c r="O573" s="96">
        <f t="shared" si="85"/>
        <v>7.4543421543048827E-2</v>
      </c>
      <c r="P573" s="96"/>
    </row>
    <row r="574" spans="1:16" s="2" customFormat="1" ht="21.75" hidden="1" customHeight="1">
      <c r="A574" s="17">
        <v>201710</v>
      </c>
      <c r="B574" s="14" t="s">
        <v>562</v>
      </c>
      <c r="C574" s="14" t="s">
        <v>20</v>
      </c>
      <c r="D574" s="15">
        <v>43105</v>
      </c>
      <c r="E574" s="88">
        <v>88877</v>
      </c>
      <c r="F574" s="17">
        <v>552</v>
      </c>
      <c r="G574" s="16">
        <v>43138</v>
      </c>
      <c r="H574" s="14" t="s">
        <v>717</v>
      </c>
      <c r="I574" s="14" t="s">
        <v>791</v>
      </c>
      <c r="J574" s="17">
        <v>240</v>
      </c>
      <c r="K574" s="17">
        <v>120</v>
      </c>
      <c r="L574" s="21">
        <f t="shared" si="83"/>
        <v>2</v>
      </c>
      <c r="M574" s="22">
        <v>1</v>
      </c>
      <c r="N574" s="96">
        <f t="shared" si="84"/>
        <v>1.7144986954901228E-2</v>
      </c>
      <c r="O574" s="96">
        <f t="shared" si="85"/>
        <v>3.4289973909802457E-2</v>
      </c>
      <c r="P574" s="96"/>
    </row>
    <row r="575" spans="1:16" s="2" customFormat="1" ht="21.75" hidden="1" customHeight="1">
      <c r="A575" s="17">
        <v>201710</v>
      </c>
      <c r="B575" s="14" t="s">
        <v>563</v>
      </c>
      <c r="C575" s="14" t="s">
        <v>20</v>
      </c>
      <c r="D575" s="15">
        <v>43105</v>
      </c>
      <c r="E575" s="88">
        <v>88877</v>
      </c>
      <c r="F575" s="17">
        <v>180</v>
      </c>
      <c r="G575" s="16">
        <v>43138</v>
      </c>
      <c r="H575" s="14" t="s">
        <v>717</v>
      </c>
      <c r="I575" s="14" t="s">
        <v>791</v>
      </c>
      <c r="J575" s="17">
        <v>240</v>
      </c>
      <c r="K575" s="17">
        <v>120</v>
      </c>
      <c r="L575" s="21">
        <f t="shared" si="83"/>
        <v>2</v>
      </c>
      <c r="M575" s="22">
        <v>1</v>
      </c>
      <c r="N575" s="96">
        <f t="shared" si="84"/>
        <v>5.5907566157286622E-3</v>
      </c>
      <c r="O575" s="96">
        <f t="shared" si="85"/>
        <v>1.1181513231457324E-2</v>
      </c>
      <c r="P575" s="96"/>
    </row>
    <row r="576" spans="1:16" s="2" customFormat="1" ht="21.75" hidden="1" customHeight="1">
      <c r="A576" s="17">
        <v>201710</v>
      </c>
      <c r="B576" s="14" t="s">
        <v>570</v>
      </c>
      <c r="C576" s="14" t="s">
        <v>20</v>
      </c>
      <c r="D576" s="15">
        <v>43109</v>
      </c>
      <c r="E576" s="88">
        <v>88871</v>
      </c>
      <c r="F576" s="17">
        <v>552</v>
      </c>
      <c r="G576" s="16">
        <v>43138</v>
      </c>
      <c r="H576" s="14" t="s">
        <v>717</v>
      </c>
      <c r="I576" s="14" t="s">
        <v>791</v>
      </c>
      <c r="J576" s="17">
        <v>240</v>
      </c>
      <c r="K576" s="17">
        <v>120</v>
      </c>
      <c r="L576" s="21">
        <f t="shared" si="83"/>
        <v>2</v>
      </c>
      <c r="M576" s="22">
        <v>1</v>
      </c>
      <c r="N576" s="96">
        <f t="shared" si="84"/>
        <v>1.7144986954901228E-2</v>
      </c>
      <c r="O576" s="96">
        <f t="shared" si="85"/>
        <v>3.4289973909802457E-2</v>
      </c>
      <c r="P576" s="96"/>
    </row>
    <row r="577" spans="1:16" s="2" customFormat="1" ht="21.75" hidden="1" customHeight="1">
      <c r="A577" s="17">
        <v>201710</v>
      </c>
      <c r="B577" s="14" t="s">
        <v>558</v>
      </c>
      <c r="C577" s="14" t="s">
        <v>20</v>
      </c>
      <c r="D577" s="15">
        <v>43103</v>
      </c>
      <c r="E577" s="88" t="s">
        <v>716</v>
      </c>
      <c r="F577" s="17">
        <v>1296</v>
      </c>
      <c r="G577" s="16">
        <v>43138</v>
      </c>
      <c r="H577" s="14" t="s">
        <v>717</v>
      </c>
      <c r="I577" s="14" t="s">
        <v>791</v>
      </c>
      <c r="J577" s="17">
        <v>240</v>
      </c>
      <c r="K577" s="17">
        <v>120</v>
      </c>
      <c r="L577" s="21">
        <f t="shared" si="83"/>
        <v>2</v>
      </c>
      <c r="M577" s="22">
        <v>1</v>
      </c>
      <c r="N577" s="96">
        <f t="shared" si="84"/>
        <v>4.0253447633246363E-2</v>
      </c>
      <c r="O577" s="96">
        <f t="shared" si="85"/>
        <v>8.0506895266492726E-2</v>
      </c>
      <c r="P577" s="96"/>
    </row>
    <row r="578" spans="1:16" s="2" customFormat="1" ht="21.75" hidden="1" customHeight="1">
      <c r="A578" s="17">
        <v>201710</v>
      </c>
      <c r="B578" s="14" t="s">
        <v>559</v>
      </c>
      <c r="C578" s="14" t="s">
        <v>20</v>
      </c>
      <c r="D578" s="15">
        <v>43103</v>
      </c>
      <c r="E578" s="88">
        <v>81229</v>
      </c>
      <c r="F578" s="17">
        <v>600</v>
      </c>
      <c r="G578" s="16">
        <v>43139</v>
      </c>
      <c r="H578" s="14" t="s">
        <v>718</v>
      </c>
      <c r="I578" s="14" t="s">
        <v>791</v>
      </c>
      <c r="J578" s="17">
        <v>240</v>
      </c>
      <c r="K578" s="17">
        <v>113</v>
      </c>
      <c r="L578" s="21">
        <f t="shared" si="83"/>
        <v>2.1238938053097347</v>
      </c>
      <c r="M578" s="22">
        <v>1</v>
      </c>
      <c r="N578" s="96">
        <f t="shared" si="84"/>
        <v>1.8635855385762207E-2</v>
      </c>
      <c r="O578" s="96">
        <f t="shared" si="85"/>
        <v>3.9580577810468406E-2</v>
      </c>
      <c r="P578" s="96"/>
    </row>
    <row r="579" spans="1:16" s="2" customFormat="1" ht="21.75" hidden="1" customHeight="1">
      <c r="A579" s="17">
        <v>201710</v>
      </c>
      <c r="B579" s="14" t="s">
        <v>571</v>
      </c>
      <c r="C579" s="14" t="s">
        <v>20</v>
      </c>
      <c r="D579" s="15">
        <v>43110</v>
      </c>
      <c r="E579" s="88">
        <v>88871</v>
      </c>
      <c r="F579" s="17">
        <v>600</v>
      </c>
      <c r="G579" s="16">
        <v>43139</v>
      </c>
      <c r="H579" s="14" t="s">
        <v>718</v>
      </c>
      <c r="I579" s="14" t="s">
        <v>791</v>
      </c>
      <c r="J579" s="17">
        <v>240</v>
      </c>
      <c r="K579" s="17">
        <v>120</v>
      </c>
      <c r="L579" s="21">
        <f t="shared" si="83"/>
        <v>2</v>
      </c>
      <c r="M579" s="22">
        <v>1</v>
      </c>
      <c r="N579" s="96">
        <f t="shared" si="84"/>
        <v>1.8635855385762207E-2</v>
      </c>
      <c r="O579" s="96">
        <f t="shared" si="85"/>
        <v>3.7271710771524413E-2</v>
      </c>
      <c r="P579" s="96"/>
    </row>
    <row r="580" spans="1:16" s="2" customFormat="1" ht="21.75" hidden="1" customHeight="1">
      <c r="A580" s="17">
        <v>201711</v>
      </c>
      <c r="B580" s="14" t="s">
        <v>588</v>
      </c>
      <c r="C580" s="14" t="s">
        <v>20</v>
      </c>
      <c r="D580" s="15">
        <v>43118</v>
      </c>
      <c r="E580" s="88">
        <v>81229</v>
      </c>
      <c r="F580" s="17">
        <v>612</v>
      </c>
      <c r="G580" s="16">
        <v>43155</v>
      </c>
      <c r="H580" s="14" t="s">
        <v>719</v>
      </c>
      <c r="I580" s="14" t="s">
        <v>791</v>
      </c>
      <c r="J580" s="17">
        <v>240</v>
      </c>
      <c r="K580" s="17">
        <v>113</v>
      </c>
      <c r="L580" s="21">
        <f t="shared" si="83"/>
        <v>2.1238938053097347</v>
      </c>
      <c r="M580" s="22">
        <v>1</v>
      </c>
      <c r="N580" s="96">
        <f t="shared" si="84"/>
        <v>1.9008572493477451E-2</v>
      </c>
      <c r="O580" s="96">
        <f t="shared" si="85"/>
        <v>4.0372189366677774E-2</v>
      </c>
      <c r="P580" s="96"/>
    </row>
    <row r="581" spans="1:16" s="2" customFormat="1" ht="21.75" hidden="1" customHeight="1">
      <c r="A581" s="17">
        <v>201711</v>
      </c>
      <c r="B581" s="14" t="s">
        <v>577</v>
      </c>
      <c r="C581" s="14" t="s">
        <v>20</v>
      </c>
      <c r="D581" s="15">
        <v>43112</v>
      </c>
      <c r="E581" s="88">
        <v>88865</v>
      </c>
      <c r="F581" s="17">
        <v>264</v>
      </c>
      <c r="G581" s="16">
        <v>43145</v>
      </c>
      <c r="H581" s="14" t="s">
        <v>719</v>
      </c>
      <c r="I581" s="14" t="s">
        <v>791</v>
      </c>
      <c r="J581" s="17">
        <v>240</v>
      </c>
      <c r="K581" s="17">
        <v>120</v>
      </c>
      <c r="L581" s="21">
        <f t="shared" si="83"/>
        <v>2</v>
      </c>
      <c r="M581" s="22">
        <v>1</v>
      </c>
      <c r="N581" s="96">
        <f t="shared" si="84"/>
        <v>8.1997763697353714E-3</v>
      </c>
      <c r="O581" s="96">
        <f t="shared" si="85"/>
        <v>1.6399552739470743E-2</v>
      </c>
      <c r="P581" s="96"/>
    </row>
    <row r="582" spans="1:16" s="2" customFormat="1" ht="21.75" hidden="1" customHeight="1">
      <c r="A582" s="17">
        <v>201711</v>
      </c>
      <c r="B582" s="14" t="s">
        <v>572</v>
      </c>
      <c r="C582" s="14" t="s">
        <v>20</v>
      </c>
      <c r="D582" s="15">
        <v>43110</v>
      </c>
      <c r="E582" s="88">
        <v>88871</v>
      </c>
      <c r="F582" s="17">
        <v>420</v>
      </c>
      <c r="G582" s="16">
        <v>43145</v>
      </c>
      <c r="H582" s="14" t="s">
        <v>719</v>
      </c>
      <c r="I582" s="14" t="s">
        <v>791</v>
      </c>
      <c r="J582" s="17">
        <v>240</v>
      </c>
      <c r="K582" s="17">
        <v>120</v>
      </c>
      <c r="L582" s="21">
        <f t="shared" si="83"/>
        <v>2</v>
      </c>
      <c r="M582" s="22">
        <v>1</v>
      </c>
      <c r="N582" s="96">
        <f t="shared" si="84"/>
        <v>1.3045098770033545E-2</v>
      </c>
      <c r="O582" s="96">
        <f t="shared" si="85"/>
        <v>2.6090197540067091E-2</v>
      </c>
      <c r="P582" s="96"/>
    </row>
    <row r="583" spans="1:16" s="2" customFormat="1" ht="21.75" hidden="1" customHeight="1">
      <c r="A583" s="17">
        <v>201711</v>
      </c>
      <c r="B583" s="14" t="s">
        <v>583</v>
      </c>
      <c r="C583" s="14" t="s">
        <v>20</v>
      </c>
      <c r="D583" s="15">
        <v>43116</v>
      </c>
      <c r="E583" s="88" t="s">
        <v>716</v>
      </c>
      <c r="F583" s="17">
        <v>636</v>
      </c>
      <c r="G583" s="16">
        <v>43145</v>
      </c>
      <c r="H583" s="14" t="s">
        <v>719</v>
      </c>
      <c r="I583" s="14" t="s">
        <v>791</v>
      </c>
      <c r="J583" s="17">
        <v>240</v>
      </c>
      <c r="K583" s="17">
        <v>120</v>
      </c>
      <c r="L583" s="21">
        <f t="shared" si="83"/>
        <v>2</v>
      </c>
      <c r="M583" s="22">
        <v>1</v>
      </c>
      <c r="N583" s="96">
        <f t="shared" si="84"/>
        <v>1.975400670890794E-2</v>
      </c>
      <c r="O583" s="96">
        <f t="shared" si="85"/>
        <v>3.9508013417815881E-2</v>
      </c>
      <c r="P583" s="96"/>
    </row>
    <row r="584" spans="1:16" s="2" customFormat="1" ht="21.75" hidden="1" customHeight="1">
      <c r="A584" s="17">
        <v>201711</v>
      </c>
      <c r="B584" s="14" t="s">
        <v>582</v>
      </c>
      <c r="C584" s="14" t="s">
        <v>20</v>
      </c>
      <c r="D584" s="15">
        <v>43115</v>
      </c>
      <c r="E584" s="88" t="s">
        <v>716</v>
      </c>
      <c r="F584" s="17">
        <v>1548</v>
      </c>
      <c r="G584" s="16">
        <v>43147</v>
      </c>
      <c r="H584" s="14" t="s">
        <v>718</v>
      </c>
      <c r="I584" s="14" t="s">
        <v>791</v>
      </c>
      <c r="J584" s="17">
        <v>240</v>
      </c>
      <c r="K584" s="17">
        <v>120</v>
      </c>
      <c r="L584" s="21">
        <f t="shared" si="83"/>
        <v>2</v>
      </c>
      <c r="M584" s="22">
        <v>1</v>
      </c>
      <c r="N584" s="96">
        <f t="shared" si="84"/>
        <v>4.8080506895266495E-2</v>
      </c>
      <c r="O584" s="96">
        <f t="shared" si="85"/>
        <v>9.616101379053299E-2</v>
      </c>
      <c r="P584" s="96"/>
    </row>
    <row r="585" spans="1:16" s="2" customFormat="1" ht="21.75" hidden="1" customHeight="1">
      <c r="A585" s="17">
        <v>201711</v>
      </c>
      <c r="B585" s="14" t="s">
        <v>587</v>
      </c>
      <c r="C585" s="14" t="s">
        <v>20</v>
      </c>
      <c r="D585" s="15">
        <v>43117</v>
      </c>
      <c r="E585" s="88" t="s">
        <v>716</v>
      </c>
      <c r="F585" s="17">
        <v>1872</v>
      </c>
      <c r="G585" s="16">
        <v>43155</v>
      </c>
      <c r="H585" s="14" t="s">
        <v>718</v>
      </c>
      <c r="I585" s="14" t="s">
        <v>791</v>
      </c>
      <c r="J585" s="17">
        <v>240</v>
      </c>
      <c r="K585" s="17">
        <v>120</v>
      </c>
      <c r="L585" s="21">
        <f t="shared" si="83"/>
        <v>2</v>
      </c>
      <c r="M585" s="22">
        <v>1</v>
      </c>
      <c r="N585" s="96">
        <f t="shared" si="84"/>
        <v>5.8143868803578087E-2</v>
      </c>
      <c r="O585" s="96">
        <f t="shared" si="85"/>
        <v>0.11628773760715617</v>
      </c>
      <c r="P585" s="96"/>
    </row>
    <row r="586" spans="1:16" s="2" customFormat="1" ht="21.75" hidden="1" customHeight="1">
      <c r="A586" s="17">
        <v>201711</v>
      </c>
      <c r="B586" s="14" t="s">
        <v>573</v>
      </c>
      <c r="C586" s="14" t="s">
        <v>20</v>
      </c>
      <c r="D586" s="15">
        <v>43110</v>
      </c>
      <c r="E586" s="88">
        <v>88871</v>
      </c>
      <c r="F586" s="17">
        <v>984</v>
      </c>
      <c r="G586" s="16">
        <v>43149</v>
      </c>
      <c r="H586" s="14" t="s">
        <v>718</v>
      </c>
      <c r="I586" s="14" t="s">
        <v>791</v>
      </c>
      <c r="J586" s="17">
        <v>240</v>
      </c>
      <c r="K586" s="17">
        <v>120</v>
      </c>
      <c r="L586" s="21">
        <f t="shared" si="83"/>
        <v>2</v>
      </c>
      <c r="M586" s="22">
        <v>1</v>
      </c>
      <c r="N586" s="96">
        <f t="shared" si="84"/>
        <v>3.0562802832650018E-2</v>
      </c>
      <c r="O586" s="96">
        <f t="shared" si="85"/>
        <v>6.1125605665300037E-2</v>
      </c>
      <c r="P586" s="96"/>
    </row>
    <row r="587" spans="1:16" s="2" customFormat="1" ht="21.75" hidden="1" customHeight="1">
      <c r="A587" s="17">
        <v>201711</v>
      </c>
      <c r="B587" s="14" t="s">
        <v>579</v>
      </c>
      <c r="C587" s="14" t="s">
        <v>20</v>
      </c>
      <c r="D587" s="15">
        <v>43113</v>
      </c>
      <c r="E587" s="88">
        <v>88865</v>
      </c>
      <c r="F587" s="17">
        <v>372</v>
      </c>
      <c r="G587" s="16">
        <v>43149</v>
      </c>
      <c r="H587" s="14" t="s">
        <v>718</v>
      </c>
      <c r="I587" s="14" t="s">
        <v>791</v>
      </c>
      <c r="J587" s="17">
        <v>240</v>
      </c>
      <c r="K587" s="17">
        <v>120</v>
      </c>
      <c r="L587" s="21">
        <f t="shared" si="83"/>
        <v>2</v>
      </c>
      <c r="M587" s="22">
        <v>1</v>
      </c>
      <c r="N587" s="96">
        <f t="shared" si="84"/>
        <v>1.1554230339172567E-2</v>
      </c>
      <c r="O587" s="96">
        <f t="shared" si="85"/>
        <v>2.3108460678345134E-2</v>
      </c>
      <c r="P587" s="96"/>
    </row>
    <row r="588" spans="1:16" s="2" customFormat="1" ht="21.75" hidden="1" customHeight="1">
      <c r="A588" s="17">
        <v>201711</v>
      </c>
      <c r="B588" s="14" t="s">
        <v>580</v>
      </c>
      <c r="C588" s="14" t="s">
        <v>20</v>
      </c>
      <c r="D588" s="15">
        <v>43113</v>
      </c>
      <c r="E588" s="88">
        <v>88865</v>
      </c>
      <c r="F588" s="17">
        <v>1272</v>
      </c>
      <c r="G588" s="16">
        <v>43155</v>
      </c>
      <c r="H588" s="14" t="s">
        <v>718</v>
      </c>
      <c r="I588" s="14" t="s">
        <v>791</v>
      </c>
      <c r="J588" s="17">
        <v>240</v>
      </c>
      <c r="K588" s="17">
        <v>120</v>
      </c>
      <c r="L588" s="21">
        <f t="shared" si="83"/>
        <v>2</v>
      </c>
      <c r="M588" s="22">
        <v>1</v>
      </c>
      <c r="N588" s="96">
        <f t="shared" si="84"/>
        <v>3.9508013417815881E-2</v>
      </c>
      <c r="O588" s="96">
        <f t="shared" si="85"/>
        <v>7.9016026835631761E-2</v>
      </c>
      <c r="P588" s="96"/>
    </row>
    <row r="589" spans="1:16" s="2" customFormat="1" ht="21.75" hidden="1" customHeight="1">
      <c r="A589" s="17">
        <v>201711</v>
      </c>
      <c r="B589" s="14" t="s">
        <v>574</v>
      </c>
      <c r="C589" s="14" t="s">
        <v>20</v>
      </c>
      <c r="D589" s="15">
        <v>43111</v>
      </c>
      <c r="E589" s="88">
        <v>88871</v>
      </c>
      <c r="F589" s="17">
        <v>1992</v>
      </c>
      <c r="G589" s="16">
        <v>43153</v>
      </c>
      <c r="H589" s="14" t="s">
        <v>718</v>
      </c>
      <c r="I589" s="14" t="s">
        <v>791</v>
      </c>
      <c r="J589" s="17">
        <v>240</v>
      </c>
      <c r="K589" s="17">
        <v>120</v>
      </c>
      <c r="L589" s="21">
        <f t="shared" si="83"/>
        <v>2</v>
      </c>
      <c r="M589" s="22">
        <v>1</v>
      </c>
      <c r="N589" s="96">
        <f t="shared" si="84"/>
        <v>6.1871039880730526E-2</v>
      </c>
      <c r="O589" s="96">
        <f t="shared" si="85"/>
        <v>0.12374207976146105</v>
      </c>
      <c r="P589" s="96"/>
    </row>
    <row r="590" spans="1:16" s="2" customFormat="1" ht="21.75" hidden="1" customHeight="1">
      <c r="A590" s="17">
        <v>201711</v>
      </c>
      <c r="B590" s="14" t="s">
        <v>589</v>
      </c>
      <c r="C590" s="14" t="s">
        <v>20</v>
      </c>
      <c r="D590" s="15">
        <v>43118</v>
      </c>
      <c r="E590" s="88">
        <v>81229</v>
      </c>
      <c r="F590" s="17">
        <v>408</v>
      </c>
      <c r="G590" s="16">
        <v>43152</v>
      </c>
      <c r="H590" s="14" t="s">
        <v>718</v>
      </c>
      <c r="I590" s="14" t="s">
        <v>791</v>
      </c>
      <c r="J590" s="17">
        <v>240</v>
      </c>
      <c r="K590" s="17">
        <v>113</v>
      </c>
      <c r="L590" s="21">
        <f t="shared" si="83"/>
        <v>2.1238938053097347</v>
      </c>
      <c r="M590" s="22">
        <v>1</v>
      </c>
      <c r="N590" s="96">
        <f t="shared" si="84"/>
        <v>1.2672381662318301E-2</v>
      </c>
      <c r="O590" s="96">
        <f t="shared" si="85"/>
        <v>2.6914792911118517E-2</v>
      </c>
      <c r="P590" s="96"/>
    </row>
    <row r="591" spans="1:16" s="2" customFormat="1" ht="21.75" hidden="1" customHeight="1">
      <c r="A591" s="17">
        <v>201711</v>
      </c>
      <c r="B591" s="14" t="s">
        <v>591</v>
      </c>
      <c r="C591" s="14" t="s">
        <v>20</v>
      </c>
      <c r="D591" s="15">
        <v>43119</v>
      </c>
      <c r="E591" s="88">
        <v>81229</v>
      </c>
      <c r="F591" s="17">
        <v>1908</v>
      </c>
      <c r="G591" s="16">
        <v>43164</v>
      </c>
      <c r="H591" s="14" t="s">
        <v>718</v>
      </c>
      <c r="I591" s="14" t="s">
        <v>791</v>
      </c>
      <c r="J591" s="17">
        <v>240</v>
      </c>
      <c r="K591" s="17">
        <v>113</v>
      </c>
      <c r="L591" s="21">
        <f t="shared" si="83"/>
        <v>2.1238938053097347</v>
      </c>
      <c r="M591" s="22">
        <v>1</v>
      </c>
      <c r="N591" s="96">
        <f t="shared" si="84"/>
        <v>5.9262020126723818E-2</v>
      </c>
      <c r="O591" s="96">
        <f t="shared" si="85"/>
        <v>0.12586623743728953</v>
      </c>
      <c r="P591" s="96"/>
    </row>
    <row r="592" spans="1:16" s="2" customFormat="1" ht="21.75" hidden="1" customHeight="1">
      <c r="A592" s="17">
        <v>201711</v>
      </c>
      <c r="B592" s="14" t="s">
        <v>584</v>
      </c>
      <c r="C592" s="14" t="s">
        <v>20</v>
      </c>
      <c r="D592" s="15">
        <v>43116</v>
      </c>
      <c r="E592" s="88" t="s">
        <v>716</v>
      </c>
      <c r="F592" s="17">
        <v>900</v>
      </c>
      <c r="G592" s="16">
        <v>43149</v>
      </c>
      <c r="H592" s="14" t="s">
        <v>718</v>
      </c>
      <c r="I592" s="14" t="s">
        <v>791</v>
      </c>
      <c r="J592" s="17">
        <v>240</v>
      </c>
      <c r="K592" s="17">
        <v>120</v>
      </c>
      <c r="L592" s="21">
        <f t="shared" si="83"/>
        <v>2</v>
      </c>
      <c r="M592" s="22">
        <v>1</v>
      </c>
      <c r="N592" s="96">
        <f t="shared" si="84"/>
        <v>2.795378307864331E-2</v>
      </c>
      <c r="O592" s="96">
        <f t="shared" si="85"/>
        <v>5.590756615728662E-2</v>
      </c>
      <c r="P592" s="96"/>
    </row>
    <row r="593" spans="1:16" s="2" customFormat="1" ht="21.75" hidden="1" customHeight="1">
      <c r="A593" s="17">
        <v>201711</v>
      </c>
      <c r="B593" s="14" t="s">
        <v>590</v>
      </c>
      <c r="C593" s="14" t="s">
        <v>20</v>
      </c>
      <c r="D593" s="15">
        <v>43119</v>
      </c>
      <c r="E593" s="88">
        <v>81229</v>
      </c>
      <c r="F593" s="17">
        <v>540</v>
      </c>
      <c r="G593" s="16">
        <v>43154</v>
      </c>
      <c r="H593" s="14" t="s">
        <v>730</v>
      </c>
      <c r="I593" s="14" t="s">
        <v>791</v>
      </c>
      <c r="J593" s="17">
        <v>240</v>
      </c>
      <c r="K593" s="17">
        <v>113</v>
      </c>
      <c r="L593" s="21">
        <f t="shared" si="83"/>
        <v>2.1238938053097347</v>
      </c>
      <c r="M593" s="22">
        <v>1</v>
      </c>
      <c r="N593" s="96">
        <f t="shared" si="84"/>
        <v>1.6772269847185987E-2</v>
      </c>
      <c r="O593" s="96">
        <f t="shared" si="85"/>
        <v>3.5622520029421567E-2</v>
      </c>
      <c r="P593" s="96"/>
    </row>
    <row r="594" spans="1:16" s="2" customFormat="1" ht="21.75" hidden="1" customHeight="1">
      <c r="A594" s="17">
        <v>201711</v>
      </c>
      <c r="B594" s="14" t="s">
        <v>585</v>
      </c>
      <c r="C594" s="14" t="s">
        <v>20</v>
      </c>
      <c r="D594" s="15">
        <v>43116</v>
      </c>
      <c r="E594" s="88" t="s">
        <v>716</v>
      </c>
      <c r="F594" s="17">
        <v>444</v>
      </c>
      <c r="G594" s="16">
        <v>43148</v>
      </c>
      <c r="H594" s="14" t="s">
        <v>730</v>
      </c>
      <c r="I594" s="14" t="s">
        <v>791</v>
      </c>
      <c r="J594" s="17">
        <v>240</v>
      </c>
      <c r="K594" s="17">
        <v>120</v>
      </c>
      <c r="L594" s="21">
        <f t="shared" si="83"/>
        <v>2</v>
      </c>
      <c r="M594" s="22">
        <v>1</v>
      </c>
      <c r="N594" s="96">
        <f t="shared" si="84"/>
        <v>1.3790532985464033E-2</v>
      </c>
      <c r="O594" s="96">
        <f t="shared" si="85"/>
        <v>2.7581065970928065E-2</v>
      </c>
      <c r="P594" s="96"/>
    </row>
    <row r="595" spans="1:16" s="2" customFormat="1" ht="21.75" hidden="1" customHeight="1">
      <c r="A595" s="17">
        <v>201710</v>
      </c>
      <c r="B595" s="14" t="s">
        <v>564</v>
      </c>
      <c r="C595" s="14" t="s">
        <v>20</v>
      </c>
      <c r="D595" s="15">
        <v>43106</v>
      </c>
      <c r="E595" s="88">
        <v>88877</v>
      </c>
      <c r="F595" s="17">
        <v>408</v>
      </c>
      <c r="G595" s="16">
        <v>43175</v>
      </c>
      <c r="H595" s="14" t="s">
        <v>717</v>
      </c>
      <c r="I595" s="14" t="s">
        <v>791</v>
      </c>
      <c r="J595" s="17">
        <v>240</v>
      </c>
      <c r="K595" s="17">
        <v>120</v>
      </c>
      <c r="L595" s="21">
        <f t="shared" si="83"/>
        <v>2</v>
      </c>
      <c r="M595" s="22">
        <v>1</v>
      </c>
      <c r="N595" s="96">
        <f t="shared" si="84"/>
        <v>1.2672381662318301E-2</v>
      </c>
      <c r="O595" s="96">
        <f t="shared" si="85"/>
        <v>2.5344763324636602E-2</v>
      </c>
      <c r="P595" s="96"/>
    </row>
    <row r="596" spans="1:16" s="2" customFormat="1" ht="21.75" hidden="1" customHeight="1">
      <c r="A596" s="17">
        <v>201710</v>
      </c>
      <c r="B596" s="14" t="s">
        <v>567</v>
      </c>
      <c r="C596" s="14" t="s">
        <v>20</v>
      </c>
      <c r="D596" s="15">
        <v>43108</v>
      </c>
      <c r="E596" s="88">
        <v>88871</v>
      </c>
      <c r="F596" s="17">
        <v>408</v>
      </c>
      <c r="G596" s="16">
        <v>43175</v>
      </c>
      <c r="H596" s="14" t="s">
        <v>717</v>
      </c>
      <c r="I596" s="14" t="s">
        <v>791</v>
      </c>
      <c r="J596" s="17">
        <v>240</v>
      </c>
      <c r="K596" s="17">
        <v>120</v>
      </c>
      <c r="L596" s="21">
        <f t="shared" si="83"/>
        <v>2</v>
      </c>
      <c r="M596" s="22">
        <v>1</v>
      </c>
      <c r="N596" s="96">
        <f t="shared" si="84"/>
        <v>1.2672381662318301E-2</v>
      </c>
      <c r="O596" s="96">
        <f t="shared" si="85"/>
        <v>2.5344763324636602E-2</v>
      </c>
      <c r="P596" s="96"/>
    </row>
    <row r="597" spans="1:16" s="2" customFormat="1" ht="21.75" hidden="1" customHeight="1">
      <c r="A597" s="17">
        <v>201710</v>
      </c>
      <c r="B597" s="14" t="s">
        <v>568</v>
      </c>
      <c r="C597" s="14" t="s">
        <v>20</v>
      </c>
      <c r="D597" s="15">
        <v>43108</v>
      </c>
      <c r="E597" s="88">
        <v>88865</v>
      </c>
      <c r="F597" s="17">
        <v>408</v>
      </c>
      <c r="G597" s="16">
        <v>43175</v>
      </c>
      <c r="H597" s="14" t="s">
        <v>717</v>
      </c>
      <c r="I597" s="14" t="s">
        <v>791</v>
      </c>
      <c r="J597" s="17">
        <v>240</v>
      </c>
      <c r="K597" s="17">
        <v>120</v>
      </c>
      <c r="L597" s="21">
        <f t="shared" si="83"/>
        <v>2</v>
      </c>
      <c r="M597" s="22">
        <v>1</v>
      </c>
      <c r="N597" s="96">
        <f t="shared" si="84"/>
        <v>1.2672381662318301E-2</v>
      </c>
      <c r="O597" s="96">
        <f t="shared" si="85"/>
        <v>2.5344763324636602E-2</v>
      </c>
      <c r="P597" s="96"/>
    </row>
    <row r="598" spans="1:16" s="2" customFormat="1" ht="21.75" hidden="1" customHeight="1">
      <c r="A598" s="17">
        <v>201710</v>
      </c>
      <c r="B598" s="14" t="s">
        <v>557</v>
      </c>
      <c r="C598" s="14" t="s">
        <v>20</v>
      </c>
      <c r="D598" s="15">
        <v>43103</v>
      </c>
      <c r="E598" s="88">
        <v>81229</v>
      </c>
      <c r="F598" s="17">
        <v>600</v>
      </c>
      <c r="G598" s="16">
        <v>43181</v>
      </c>
      <c r="H598" s="14" t="s">
        <v>718</v>
      </c>
      <c r="I598" s="14" t="s">
        <v>791</v>
      </c>
      <c r="J598" s="17">
        <v>240</v>
      </c>
      <c r="K598" s="17">
        <v>113</v>
      </c>
      <c r="L598" s="21">
        <f t="shared" si="83"/>
        <v>2.1238938053097347</v>
      </c>
      <c r="M598" s="22">
        <v>1</v>
      </c>
      <c r="N598" s="96">
        <f t="shared" si="84"/>
        <v>1.8635855385762207E-2</v>
      </c>
      <c r="O598" s="96">
        <f t="shared" si="85"/>
        <v>3.9580577810468406E-2</v>
      </c>
      <c r="P598" s="96"/>
    </row>
    <row r="599" spans="1:16" s="2" customFormat="1" ht="21.75" hidden="1" customHeight="1">
      <c r="A599" s="17">
        <v>201711</v>
      </c>
      <c r="B599" s="14" t="s">
        <v>578</v>
      </c>
      <c r="C599" s="14" t="s">
        <v>20</v>
      </c>
      <c r="D599" s="15">
        <v>43113</v>
      </c>
      <c r="E599" s="88">
        <v>88865</v>
      </c>
      <c r="F599" s="17">
        <v>336</v>
      </c>
      <c r="G599" s="16">
        <v>43182</v>
      </c>
      <c r="H599" s="14" t="s">
        <v>717</v>
      </c>
      <c r="I599" s="14" t="s">
        <v>791</v>
      </c>
      <c r="J599" s="17">
        <v>240</v>
      </c>
      <c r="K599" s="17">
        <v>120</v>
      </c>
      <c r="L599" s="21">
        <f t="shared" si="83"/>
        <v>2</v>
      </c>
      <c r="M599" s="22">
        <v>1</v>
      </c>
      <c r="N599" s="96">
        <f t="shared" si="84"/>
        <v>1.0436079016026835E-2</v>
      </c>
      <c r="O599" s="96">
        <f t="shared" si="85"/>
        <v>2.0872158032053671E-2</v>
      </c>
      <c r="P599" s="96"/>
    </row>
    <row r="600" spans="1:16" s="2" customFormat="1" ht="21.75" hidden="1" customHeight="1">
      <c r="A600" s="17">
        <v>201711</v>
      </c>
      <c r="B600" s="14" t="s">
        <v>575</v>
      </c>
      <c r="C600" s="14" t="s">
        <v>20</v>
      </c>
      <c r="D600" s="15">
        <v>43112</v>
      </c>
      <c r="E600" s="88">
        <v>88871</v>
      </c>
      <c r="F600" s="17">
        <v>636</v>
      </c>
      <c r="G600" s="16">
        <v>43173</v>
      </c>
      <c r="H600" s="14" t="s">
        <v>717</v>
      </c>
      <c r="I600" s="14" t="s">
        <v>791</v>
      </c>
      <c r="J600" s="17">
        <v>240</v>
      </c>
      <c r="K600" s="17">
        <v>120</v>
      </c>
      <c r="L600" s="21">
        <f t="shared" si="83"/>
        <v>2</v>
      </c>
      <c r="M600" s="22">
        <v>1</v>
      </c>
      <c r="N600" s="96">
        <f t="shared" si="84"/>
        <v>1.975400670890794E-2</v>
      </c>
      <c r="O600" s="96">
        <f t="shared" si="85"/>
        <v>3.9508013417815881E-2</v>
      </c>
      <c r="P600" s="96"/>
    </row>
    <row r="601" spans="1:16" s="2" customFormat="1" ht="21.75" hidden="1" customHeight="1">
      <c r="A601" s="17">
        <v>201711</v>
      </c>
      <c r="B601" s="14" t="s">
        <v>576</v>
      </c>
      <c r="C601" s="14" t="s">
        <v>20</v>
      </c>
      <c r="D601" s="15">
        <v>43112</v>
      </c>
      <c r="E601" s="88">
        <v>88871</v>
      </c>
      <c r="F601" s="17">
        <v>624</v>
      </c>
      <c r="G601" s="16">
        <v>43174</v>
      </c>
      <c r="H601" s="14" t="s">
        <v>720</v>
      </c>
      <c r="I601" s="14" t="s">
        <v>791</v>
      </c>
      <c r="J601" s="17">
        <v>240</v>
      </c>
      <c r="K601" s="17">
        <v>120</v>
      </c>
      <c r="L601" s="21">
        <f t="shared" si="83"/>
        <v>2</v>
      </c>
      <c r="M601" s="22">
        <v>1</v>
      </c>
      <c r="N601" s="96">
        <f t="shared" si="84"/>
        <v>1.9381289601192696E-2</v>
      </c>
      <c r="O601" s="96">
        <f t="shared" si="85"/>
        <v>3.8762579202385392E-2</v>
      </c>
      <c r="P601" s="96"/>
    </row>
    <row r="602" spans="1:16" s="2" customFormat="1" ht="21.75" hidden="1" customHeight="1">
      <c r="A602" s="17">
        <v>201711</v>
      </c>
      <c r="B602" s="14" t="s">
        <v>581</v>
      </c>
      <c r="C602" s="14" t="s">
        <v>20</v>
      </c>
      <c r="D602" s="15">
        <v>43115</v>
      </c>
      <c r="E602" s="88">
        <v>88865</v>
      </c>
      <c r="F602" s="17">
        <v>624</v>
      </c>
      <c r="G602" s="16">
        <v>43174</v>
      </c>
      <c r="H602" s="14" t="s">
        <v>720</v>
      </c>
      <c r="I602" s="14" t="s">
        <v>791</v>
      </c>
      <c r="J602" s="17">
        <v>240</v>
      </c>
      <c r="K602" s="17">
        <v>120</v>
      </c>
      <c r="L602" s="21">
        <f t="shared" si="83"/>
        <v>2</v>
      </c>
      <c r="M602" s="22">
        <v>1</v>
      </c>
      <c r="N602" s="96">
        <f t="shared" si="84"/>
        <v>1.9381289601192696E-2</v>
      </c>
      <c r="O602" s="96">
        <f t="shared" si="85"/>
        <v>3.8762579202385392E-2</v>
      </c>
      <c r="P602" s="96"/>
    </row>
    <row r="603" spans="1:16" s="2" customFormat="1" ht="21.75" hidden="1" customHeight="1">
      <c r="A603" s="17">
        <v>201711</v>
      </c>
      <c r="B603" s="14" t="s">
        <v>586</v>
      </c>
      <c r="C603" s="14" t="s">
        <v>20</v>
      </c>
      <c r="D603" s="15">
        <v>43117</v>
      </c>
      <c r="E603" s="88" t="s">
        <v>716</v>
      </c>
      <c r="F603" s="17">
        <v>624</v>
      </c>
      <c r="G603" s="16">
        <v>43174</v>
      </c>
      <c r="H603" s="14" t="s">
        <v>720</v>
      </c>
      <c r="I603" s="14" t="s">
        <v>791</v>
      </c>
      <c r="J603" s="17">
        <v>240</v>
      </c>
      <c r="K603" s="17">
        <v>120</v>
      </c>
      <c r="L603" s="21">
        <f t="shared" si="83"/>
        <v>2</v>
      </c>
      <c r="M603" s="22">
        <v>1</v>
      </c>
      <c r="N603" s="96">
        <f t="shared" si="84"/>
        <v>1.9381289601192696E-2</v>
      </c>
      <c r="O603" s="96">
        <f t="shared" si="85"/>
        <v>3.8762579202385392E-2</v>
      </c>
      <c r="P603" s="96"/>
    </row>
    <row r="604" spans="1:16" s="2" customFormat="1" ht="21.75" hidden="1" customHeight="1">
      <c r="A604" s="17">
        <v>201711</v>
      </c>
      <c r="B604" s="14" t="s">
        <v>592</v>
      </c>
      <c r="C604" s="14" t="s">
        <v>20</v>
      </c>
      <c r="D604" s="15">
        <v>43119</v>
      </c>
      <c r="E604" s="88">
        <v>81229</v>
      </c>
      <c r="F604" s="17">
        <v>624</v>
      </c>
      <c r="G604" s="16">
        <v>43174</v>
      </c>
      <c r="H604" s="14" t="s">
        <v>720</v>
      </c>
      <c r="I604" s="14" t="s">
        <v>791</v>
      </c>
      <c r="J604" s="17">
        <v>240</v>
      </c>
      <c r="K604" s="17">
        <v>113</v>
      </c>
      <c r="L604" s="21">
        <f t="shared" si="83"/>
        <v>2.1238938053097347</v>
      </c>
      <c r="M604" s="22">
        <v>1</v>
      </c>
      <c r="N604" s="96">
        <f t="shared" si="84"/>
        <v>1.9381289601192696E-2</v>
      </c>
      <c r="O604" s="96">
        <f t="shared" si="85"/>
        <v>4.1163800922887142E-2</v>
      </c>
      <c r="P604" s="96"/>
    </row>
    <row r="605" spans="1:16" s="2" customFormat="1" ht="21.75" hidden="1" customHeight="1">
      <c r="A605" s="80"/>
      <c r="B605" s="14"/>
      <c r="C605" s="14"/>
      <c r="D605" s="15"/>
      <c r="E605" s="88"/>
      <c r="F605" s="39">
        <v>32128</v>
      </c>
      <c r="G605" s="17"/>
      <c r="H605" s="14"/>
      <c r="I605" s="14"/>
      <c r="J605" s="17"/>
      <c r="K605" s="17"/>
      <c r="L605" s="21"/>
      <c r="M605" s="22"/>
      <c r="N605" s="96"/>
      <c r="O605" s="96"/>
      <c r="P605" s="96"/>
    </row>
    <row r="606" spans="1:16" s="2" customFormat="1" ht="33" hidden="1" customHeight="1">
      <c r="A606" s="80"/>
      <c r="B606" s="14"/>
      <c r="C606" s="14"/>
      <c r="D606" s="15"/>
      <c r="E606" s="88"/>
      <c r="F606" s="92">
        <f>SUM(F605,F567,F536,F478,F436,F400,F391,F377,F352,F335,F304,F289,F236,F211,F187,F154,F121,F95,F73,F40)</f>
        <v>740808</v>
      </c>
      <c r="G606" s="17"/>
      <c r="H606" s="14"/>
      <c r="I606" s="14"/>
      <c r="J606" s="17"/>
      <c r="K606" s="17"/>
      <c r="L606" s="21"/>
      <c r="M606" s="22"/>
      <c r="N606" s="96"/>
      <c r="O606" s="96"/>
      <c r="P606" s="96"/>
    </row>
    <row r="607" spans="1:16">
      <c r="F607" s="98">
        <v>33612</v>
      </c>
      <c r="N607" s="96"/>
      <c r="O607" s="96"/>
      <c r="P607" s="96"/>
    </row>
    <row r="608" spans="1:16">
      <c r="F608" s="98">
        <v>9188</v>
      </c>
      <c r="N608" s="96"/>
      <c r="O608" s="96"/>
    </row>
    <row r="609" spans="6:10">
      <c r="F609" s="98">
        <v>34472</v>
      </c>
    </row>
    <row r="610" spans="6:10">
      <c r="F610" s="98">
        <v>2388</v>
      </c>
    </row>
    <row r="611" spans="6:10">
      <c r="F611" s="98">
        <v>32360</v>
      </c>
    </row>
    <row r="612" spans="6:10">
      <c r="F612" s="98">
        <v>30260</v>
      </c>
    </row>
    <row r="613" spans="6:10">
      <c r="F613" s="98">
        <v>6060</v>
      </c>
    </row>
    <row r="614" spans="6:10">
      <c r="F614" s="98">
        <v>24576</v>
      </c>
    </row>
    <row r="615" spans="6:10">
      <c r="F615" s="98">
        <v>12704</v>
      </c>
    </row>
    <row r="616" spans="6:10">
      <c r="F616" s="98">
        <v>15322</v>
      </c>
    </row>
    <row r="617" spans="6:10">
      <c r="F617" s="98">
        <v>14865</v>
      </c>
      <c r="J617" s="96"/>
    </row>
    <row r="618" spans="6:10">
      <c r="F618" s="98">
        <v>3261</v>
      </c>
    </row>
    <row r="619" spans="6:10">
      <c r="F619" s="98">
        <v>37540</v>
      </c>
    </row>
    <row r="620" spans="6:10">
      <c r="F620" s="110">
        <v>8308</v>
      </c>
    </row>
    <row r="621" spans="6:10">
      <c r="F621" s="110">
        <v>29232</v>
      </c>
    </row>
    <row r="622" spans="6:10">
      <c r="F622" s="98">
        <v>6756</v>
      </c>
    </row>
    <row r="623" spans="6:10">
      <c r="F623" s="98">
        <v>17996</v>
      </c>
    </row>
    <row r="624" spans="6:10">
      <c r="F624" s="98">
        <v>23628</v>
      </c>
    </row>
    <row r="625" spans="6:6">
      <c r="F625" s="98">
        <v>7332</v>
      </c>
    </row>
    <row r="626" spans="6:6">
      <c r="F626" s="98">
        <v>32874</v>
      </c>
    </row>
    <row r="627" spans="6:6">
      <c r="F627" s="98">
        <v>37504</v>
      </c>
    </row>
    <row r="628" spans="6:6">
      <c r="F628" s="98">
        <v>4644</v>
      </c>
    </row>
    <row r="629" spans="6:6">
      <c r="F629" s="98">
        <v>10032</v>
      </c>
    </row>
    <row r="630" spans="6:6">
      <c r="F630" s="98">
        <v>13188</v>
      </c>
    </row>
    <row r="631" spans="6:6">
      <c r="F631" s="110">
        <v>11068</v>
      </c>
    </row>
    <row r="632" spans="6:6">
      <c r="F632" s="110">
        <v>12000</v>
      </c>
    </row>
    <row r="633" spans="6:6">
      <c r="F633" s="110">
        <v>11288</v>
      </c>
    </row>
    <row r="634" spans="6:6">
      <c r="F634" s="98">
        <v>43680</v>
      </c>
    </row>
    <row r="635" spans="6:6">
      <c r="F635" s="98">
        <v>35672</v>
      </c>
    </row>
    <row r="636" spans="6:6">
      <c r="F636" s="98">
        <v>1408</v>
      </c>
    </row>
    <row r="637" spans="6:6">
      <c r="F637" s="98">
        <v>10464</v>
      </c>
    </row>
    <row r="638" spans="6:6">
      <c r="F638" s="98">
        <v>5928</v>
      </c>
    </row>
    <row r="639" spans="6:6">
      <c r="F639" s="98">
        <v>19368</v>
      </c>
    </row>
    <row r="640" spans="6:6">
      <c r="F640" s="98">
        <v>13999</v>
      </c>
    </row>
    <row r="641" spans="6:6">
      <c r="F641" s="98">
        <v>21561</v>
      </c>
    </row>
    <row r="642" spans="6:6">
      <c r="F642" s="98">
        <v>27120</v>
      </c>
    </row>
    <row r="643" spans="6:6">
      <c r="F643" s="98">
        <v>32196</v>
      </c>
    </row>
    <row r="644" spans="6:6">
      <c r="F644" s="98"/>
    </row>
  </sheetData>
  <autoFilter ref="A2:M606">
    <filterColumn colId="2">
      <filters>
        <filter val="A1L14"/>
      </filters>
    </filterColumn>
  </autoFilter>
  <sortState ref="A568:M640">
    <sortCondition ref="I568:I640"/>
  </sortState>
  <phoneticPr fontId="7" type="noConversion"/>
  <pageMargins left="0.75" right="0.75" top="1" bottom="1" header="0.5" footer="0.5"/>
  <pageSetup scale="67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79"/>
  <sheetViews>
    <sheetView zoomScale="80" zoomScaleNormal="80" workbookViewId="0">
      <selection activeCell="D125" sqref="D125"/>
    </sheetView>
  </sheetViews>
  <sheetFormatPr defaultRowHeight="15.75"/>
  <cols>
    <col min="1" max="1" width="10.25" style="77" bestFit="1" customWidth="1"/>
    <col min="2" max="2" width="11.375" style="32" customWidth="1"/>
    <col min="3" max="5" width="9" style="32"/>
    <col min="6" max="6" width="11" style="38" customWidth="1"/>
    <col min="7" max="7" width="10.375" style="32" customWidth="1"/>
    <col min="8" max="8" width="10.25" style="32" customWidth="1"/>
    <col min="9" max="9" width="33" style="32" customWidth="1"/>
    <col min="10" max="10" width="7.25" style="74" customWidth="1"/>
    <col min="11" max="13" width="5.625" style="74" hidden="1" customWidth="1"/>
    <col min="14" max="14" width="10.625" style="74" customWidth="1"/>
    <col min="15" max="15" width="5.625" style="68" customWidth="1"/>
    <col min="16" max="16" width="5.625" style="74" customWidth="1"/>
    <col min="17" max="16384" width="9" style="32"/>
  </cols>
  <sheetData>
    <row r="1" spans="1:18" ht="42.75">
      <c r="A1" s="75" t="s">
        <v>1</v>
      </c>
      <c r="B1" s="28" t="s">
        <v>2</v>
      </c>
      <c r="C1" s="29" t="s">
        <v>839</v>
      </c>
      <c r="D1" s="29" t="s">
        <v>840</v>
      </c>
      <c r="E1" s="28" t="s">
        <v>3</v>
      </c>
      <c r="F1" s="28" t="s">
        <v>0</v>
      </c>
      <c r="G1" s="30" t="s">
        <v>4</v>
      </c>
      <c r="H1" s="28" t="s">
        <v>5</v>
      </c>
      <c r="I1" s="31" t="s">
        <v>6</v>
      </c>
      <c r="J1" s="69" t="s">
        <v>841</v>
      </c>
      <c r="K1" s="70" t="s">
        <v>842</v>
      </c>
      <c r="L1" s="71" t="s">
        <v>843</v>
      </c>
      <c r="M1" s="71" t="s">
        <v>844</v>
      </c>
      <c r="N1" s="91" t="s">
        <v>805</v>
      </c>
      <c r="O1" s="65" t="s">
        <v>845</v>
      </c>
      <c r="P1" s="69" t="s">
        <v>846</v>
      </c>
      <c r="Q1" s="32" t="s">
        <v>1361</v>
      </c>
      <c r="R1" s="32" t="s">
        <v>1362</v>
      </c>
    </row>
    <row r="2" spans="1:18" s="38" customFormat="1" ht="23.25" hidden="1" customHeight="1">
      <c r="A2" s="17">
        <v>201710</v>
      </c>
      <c r="B2" s="34" t="s">
        <v>847</v>
      </c>
      <c r="C2" s="34" t="s">
        <v>13</v>
      </c>
      <c r="D2" s="35">
        <v>43102</v>
      </c>
      <c r="E2" s="33" t="s">
        <v>688</v>
      </c>
      <c r="F2" s="36">
        <v>228</v>
      </c>
      <c r="G2" s="37">
        <v>43125</v>
      </c>
      <c r="H2" s="34" t="s">
        <v>718</v>
      </c>
      <c r="I2" s="34" t="s">
        <v>781</v>
      </c>
      <c r="J2" s="72">
        <v>160</v>
      </c>
      <c r="K2" s="72"/>
      <c r="L2" s="72"/>
      <c r="M2" s="72"/>
      <c r="N2" s="72">
        <v>181</v>
      </c>
      <c r="O2" s="66">
        <v>0.88397790055248615</v>
      </c>
      <c r="P2" s="72">
        <v>5</v>
      </c>
      <c r="Q2" s="108">
        <f>F2/$F$358</f>
        <v>1.0169491525423728E-2</v>
      </c>
      <c r="R2" s="108">
        <f>O2*Q2</f>
        <v>8.9896057683303675E-3</v>
      </c>
    </row>
    <row r="3" spans="1:18" s="38" customFormat="1" ht="23.25" hidden="1" customHeight="1">
      <c r="A3" s="17">
        <v>201710</v>
      </c>
      <c r="B3" s="34" t="s">
        <v>848</v>
      </c>
      <c r="C3" s="34" t="s">
        <v>13</v>
      </c>
      <c r="D3" s="35">
        <v>43102</v>
      </c>
      <c r="E3" s="33" t="s">
        <v>688</v>
      </c>
      <c r="F3" s="36">
        <v>2400</v>
      </c>
      <c r="G3" s="37">
        <v>43128</v>
      </c>
      <c r="H3" s="34" t="s">
        <v>718</v>
      </c>
      <c r="I3" s="34" t="s">
        <v>781</v>
      </c>
      <c r="J3" s="72">
        <v>160</v>
      </c>
      <c r="K3" s="72"/>
      <c r="L3" s="72"/>
      <c r="M3" s="72"/>
      <c r="N3" s="72">
        <v>181</v>
      </c>
      <c r="O3" s="66">
        <v>0.88397790055248615</v>
      </c>
      <c r="P3" s="72">
        <v>5</v>
      </c>
      <c r="Q3" s="108">
        <f t="shared" ref="Q3:Q4" si="0">F3/$F$358</f>
        <v>0.10704727921498662</v>
      </c>
      <c r="R3" s="108">
        <f t="shared" ref="R3:R4" si="1">O3*Q3</f>
        <v>9.4627429140319658E-2</v>
      </c>
    </row>
    <row r="4" spans="1:18" s="38" customFormat="1" ht="23.25" hidden="1" customHeight="1">
      <c r="A4" s="17">
        <v>201710</v>
      </c>
      <c r="B4" s="34" t="s">
        <v>849</v>
      </c>
      <c r="C4" s="34" t="s">
        <v>13</v>
      </c>
      <c r="D4" s="35">
        <v>43102</v>
      </c>
      <c r="E4" s="33" t="s">
        <v>688</v>
      </c>
      <c r="F4" s="36">
        <v>864</v>
      </c>
      <c r="G4" s="37">
        <v>43122</v>
      </c>
      <c r="H4" s="34" t="s">
        <v>718</v>
      </c>
      <c r="I4" s="34" t="s">
        <v>781</v>
      </c>
      <c r="J4" s="72">
        <v>160</v>
      </c>
      <c r="K4" s="72"/>
      <c r="L4" s="72"/>
      <c r="M4" s="72"/>
      <c r="N4" s="72">
        <v>181</v>
      </c>
      <c r="O4" s="66">
        <v>0.88397790055248615</v>
      </c>
      <c r="P4" s="72">
        <v>5</v>
      </c>
      <c r="Q4" s="108">
        <f t="shared" si="0"/>
        <v>3.853702051739518E-2</v>
      </c>
      <c r="R4" s="108">
        <f t="shared" si="1"/>
        <v>3.4065874490515076E-2</v>
      </c>
    </row>
    <row r="5" spans="1:18" s="38" customFormat="1" ht="23.25" hidden="1" customHeight="1">
      <c r="A5" s="17">
        <v>201710</v>
      </c>
      <c r="B5" s="34" t="s">
        <v>850</v>
      </c>
      <c r="C5" s="34" t="s">
        <v>13</v>
      </c>
      <c r="D5" s="35">
        <v>43103</v>
      </c>
      <c r="E5" s="33" t="s">
        <v>851</v>
      </c>
      <c r="F5" s="36">
        <v>6000</v>
      </c>
      <c r="G5" s="37">
        <v>43128</v>
      </c>
      <c r="H5" s="34" t="s">
        <v>718</v>
      </c>
      <c r="I5" s="34" t="s">
        <v>852</v>
      </c>
      <c r="J5" s="72">
        <v>160</v>
      </c>
      <c r="K5" s="72"/>
      <c r="L5" s="72"/>
      <c r="M5" s="72"/>
      <c r="N5" s="72">
        <v>188</v>
      </c>
      <c r="O5" s="66">
        <v>0.85106382978723405</v>
      </c>
      <c r="P5" s="72">
        <v>6</v>
      </c>
      <c r="Q5" s="108"/>
      <c r="R5" s="108"/>
    </row>
    <row r="6" spans="1:18" s="38" customFormat="1" ht="23.25" hidden="1" customHeight="1">
      <c r="A6" s="17">
        <v>201710</v>
      </c>
      <c r="B6" s="34" t="s">
        <v>853</v>
      </c>
      <c r="C6" s="34" t="s">
        <v>13</v>
      </c>
      <c r="D6" s="35">
        <v>43109</v>
      </c>
      <c r="E6" s="33" t="s">
        <v>854</v>
      </c>
      <c r="F6" s="36">
        <v>492</v>
      </c>
      <c r="G6" s="37">
        <v>43125</v>
      </c>
      <c r="H6" s="34" t="s">
        <v>718</v>
      </c>
      <c r="I6" s="34" t="s">
        <v>852</v>
      </c>
      <c r="J6" s="72">
        <v>160</v>
      </c>
      <c r="K6" s="72"/>
      <c r="L6" s="72"/>
      <c r="M6" s="72"/>
      <c r="N6" s="72">
        <v>188</v>
      </c>
      <c r="O6" s="66">
        <v>0.85106382978723405</v>
      </c>
      <c r="P6" s="72">
        <v>6</v>
      </c>
      <c r="Q6" s="108"/>
      <c r="R6" s="108"/>
    </row>
    <row r="7" spans="1:18" s="38" customFormat="1" ht="23.25" hidden="1" customHeight="1">
      <c r="A7" s="17">
        <v>201710</v>
      </c>
      <c r="B7" s="34" t="s">
        <v>855</v>
      </c>
      <c r="C7" s="34" t="s">
        <v>13</v>
      </c>
      <c r="D7" s="35">
        <v>43109</v>
      </c>
      <c r="E7" s="33" t="s">
        <v>854</v>
      </c>
      <c r="F7" s="36">
        <v>2400</v>
      </c>
      <c r="G7" s="37">
        <v>43128</v>
      </c>
      <c r="H7" s="34" t="s">
        <v>718</v>
      </c>
      <c r="I7" s="34" t="s">
        <v>852</v>
      </c>
      <c r="J7" s="72">
        <v>160</v>
      </c>
      <c r="K7" s="72"/>
      <c r="L7" s="72"/>
      <c r="M7" s="72"/>
      <c r="N7" s="72">
        <v>188</v>
      </c>
      <c r="O7" s="66">
        <v>0.85106382978723405</v>
      </c>
      <c r="P7" s="72">
        <v>6</v>
      </c>
      <c r="Q7" s="108"/>
      <c r="R7" s="108"/>
    </row>
    <row r="8" spans="1:18" s="38" customFormat="1" ht="23.25" hidden="1" customHeight="1">
      <c r="A8" s="17">
        <v>201710</v>
      </c>
      <c r="B8" s="34" t="s">
        <v>856</v>
      </c>
      <c r="C8" s="34" t="s">
        <v>13</v>
      </c>
      <c r="D8" s="35">
        <v>43111</v>
      </c>
      <c r="E8" s="33" t="s">
        <v>854</v>
      </c>
      <c r="F8" s="36">
        <v>3648</v>
      </c>
      <c r="G8" s="37">
        <v>43137</v>
      </c>
      <c r="H8" s="34" t="s">
        <v>723</v>
      </c>
      <c r="I8" s="34" t="s">
        <v>852</v>
      </c>
      <c r="J8" s="72">
        <v>160</v>
      </c>
      <c r="K8" s="72"/>
      <c r="L8" s="72"/>
      <c r="M8" s="72"/>
      <c r="N8" s="72">
        <v>188</v>
      </c>
      <c r="O8" s="66">
        <v>0.85106382978723405</v>
      </c>
      <c r="P8" s="72">
        <v>6</v>
      </c>
      <c r="Q8" s="108"/>
      <c r="R8" s="108"/>
    </row>
    <row r="9" spans="1:18" s="38" customFormat="1" ht="23.25" hidden="1" customHeight="1">
      <c r="A9" s="17">
        <v>201710</v>
      </c>
      <c r="B9" s="34" t="s">
        <v>857</v>
      </c>
      <c r="C9" s="34" t="s">
        <v>13</v>
      </c>
      <c r="D9" s="35">
        <v>43115</v>
      </c>
      <c r="E9" s="33" t="s">
        <v>858</v>
      </c>
      <c r="F9" s="36">
        <v>348</v>
      </c>
      <c r="G9" s="37">
        <v>43132</v>
      </c>
      <c r="H9" s="34" t="s">
        <v>720</v>
      </c>
      <c r="I9" s="34" t="s">
        <v>859</v>
      </c>
      <c r="J9" s="72">
        <v>180</v>
      </c>
      <c r="K9" s="72"/>
      <c r="L9" s="72"/>
      <c r="M9" s="72"/>
      <c r="N9" s="72">
        <v>205</v>
      </c>
      <c r="O9" s="66">
        <v>0.87804878048780488</v>
      </c>
      <c r="P9" s="72">
        <v>5</v>
      </c>
      <c r="Q9" s="108">
        <f t="shared" ref="Q9:Q17" si="2">F9/$F$358</f>
        <v>1.5521855486173059E-2</v>
      </c>
      <c r="R9" s="108">
        <f t="shared" ref="R9:R17" si="3">O9*Q9</f>
        <v>1.3628946280542198E-2</v>
      </c>
    </row>
    <row r="10" spans="1:18" s="38" customFormat="1" ht="23.25" hidden="1" customHeight="1">
      <c r="A10" s="17">
        <v>201710</v>
      </c>
      <c r="B10" s="34" t="s">
        <v>860</v>
      </c>
      <c r="C10" s="34" t="s">
        <v>13</v>
      </c>
      <c r="D10" s="35">
        <v>43116</v>
      </c>
      <c r="E10" s="33" t="s">
        <v>858</v>
      </c>
      <c r="F10" s="36">
        <v>492</v>
      </c>
      <c r="G10" s="37">
        <v>43139</v>
      </c>
      <c r="H10" s="34" t="s">
        <v>720</v>
      </c>
      <c r="I10" s="34" t="s">
        <v>859</v>
      </c>
      <c r="J10" s="72">
        <v>180</v>
      </c>
      <c r="K10" s="72"/>
      <c r="L10" s="72"/>
      <c r="M10" s="72"/>
      <c r="N10" s="72">
        <v>205</v>
      </c>
      <c r="O10" s="66">
        <v>0.87804878048780488</v>
      </c>
      <c r="P10" s="72">
        <v>5</v>
      </c>
      <c r="Q10" s="108">
        <f t="shared" si="2"/>
        <v>2.1944692239072257E-2</v>
      </c>
      <c r="R10" s="108">
        <f t="shared" si="3"/>
        <v>1.926851025869759E-2</v>
      </c>
    </row>
    <row r="11" spans="1:18" s="38" customFormat="1" ht="23.25" hidden="1" customHeight="1">
      <c r="A11" s="17">
        <v>201710</v>
      </c>
      <c r="B11" s="34" t="s">
        <v>861</v>
      </c>
      <c r="C11" s="34" t="s">
        <v>13</v>
      </c>
      <c r="D11" s="35">
        <v>43116</v>
      </c>
      <c r="E11" s="33" t="s">
        <v>858</v>
      </c>
      <c r="F11" s="36">
        <v>372</v>
      </c>
      <c r="G11" s="37">
        <v>43139</v>
      </c>
      <c r="H11" s="34" t="s">
        <v>720</v>
      </c>
      <c r="I11" s="34" t="s">
        <v>859</v>
      </c>
      <c r="J11" s="72">
        <v>180</v>
      </c>
      <c r="K11" s="72"/>
      <c r="L11" s="72"/>
      <c r="M11" s="72"/>
      <c r="N11" s="72">
        <v>205</v>
      </c>
      <c r="O11" s="66">
        <v>0.87804878048780488</v>
      </c>
      <c r="P11" s="72">
        <v>5</v>
      </c>
      <c r="Q11" s="108">
        <f t="shared" si="2"/>
        <v>1.6592328278322927E-2</v>
      </c>
      <c r="R11" s="108">
        <f t="shared" si="3"/>
        <v>1.4568873610234765E-2</v>
      </c>
    </row>
    <row r="12" spans="1:18" s="38" customFormat="1" ht="23.25" hidden="1" customHeight="1">
      <c r="A12" s="17">
        <v>201710</v>
      </c>
      <c r="B12" s="34" t="s">
        <v>862</v>
      </c>
      <c r="C12" s="34" t="s">
        <v>13</v>
      </c>
      <c r="D12" s="35">
        <v>43116</v>
      </c>
      <c r="E12" s="33" t="s">
        <v>858</v>
      </c>
      <c r="F12" s="36">
        <v>468</v>
      </c>
      <c r="G12" s="37">
        <v>43132</v>
      </c>
      <c r="H12" s="34" t="s">
        <v>720</v>
      </c>
      <c r="I12" s="34" t="s">
        <v>859</v>
      </c>
      <c r="J12" s="72">
        <v>180</v>
      </c>
      <c r="K12" s="72"/>
      <c r="L12" s="72"/>
      <c r="M12" s="72"/>
      <c r="N12" s="72">
        <v>205</v>
      </c>
      <c r="O12" s="66">
        <v>0.87804878048780488</v>
      </c>
      <c r="P12" s="72">
        <v>5</v>
      </c>
      <c r="Q12" s="108">
        <f t="shared" si="2"/>
        <v>2.0874219446922391E-2</v>
      </c>
      <c r="R12" s="108">
        <f t="shared" si="3"/>
        <v>1.8328582929005025E-2</v>
      </c>
    </row>
    <row r="13" spans="1:18" s="38" customFormat="1" ht="23.25" hidden="1" customHeight="1">
      <c r="A13" s="17">
        <v>201710</v>
      </c>
      <c r="B13" s="34" t="s">
        <v>863</v>
      </c>
      <c r="C13" s="34" t="s">
        <v>13</v>
      </c>
      <c r="D13" s="35">
        <v>43117</v>
      </c>
      <c r="E13" s="33" t="s">
        <v>858</v>
      </c>
      <c r="F13" s="36">
        <v>216</v>
      </c>
      <c r="G13" s="37">
        <v>43153</v>
      </c>
      <c r="H13" s="34" t="s">
        <v>720</v>
      </c>
      <c r="I13" s="34" t="s">
        <v>859</v>
      </c>
      <c r="J13" s="72">
        <v>180</v>
      </c>
      <c r="K13" s="72"/>
      <c r="L13" s="72"/>
      <c r="M13" s="72"/>
      <c r="N13" s="72">
        <v>205</v>
      </c>
      <c r="O13" s="66">
        <v>0.87804878048780488</v>
      </c>
      <c r="P13" s="72">
        <v>5</v>
      </c>
      <c r="Q13" s="108">
        <f t="shared" si="2"/>
        <v>9.6342551293487951E-3</v>
      </c>
      <c r="R13" s="108">
        <f t="shared" si="3"/>
        <v>8.4593459672330888E-3</v>
      </c>
    </row>
    <row r="14" spans="1:18" s="38" customFormat="1" ht="23.25" hidden="1" customHeight="1">
      <c r="A14" s="17">
        <v>201710</v>
      </c>
      <c r="B14" s="34" t="s">
        <v>864</v>
      </c>
      <c r="C14" s="34" t="s">
        <v>13</v>
      </c>
      <c r="D14" s="35">
        <v>43117</v>
      </c>
      <c r="E14" s="33" t="s">
        <v>865</v>
      </c>
      <c r="F14" s="36">
        <v>3996</v>
      </c>
      <c r="G14" s="37">
        <v>43132</v>
      </c>
      <c r="H14" s="34" t="s">
        <v>720</v>
      </c>
      <c r="I14" s="34" t="s">
        <v>859</v>
      </c>
      <c r="J14" s="72">
        <v>180</v>
      </c>
      <c r="K14" s="72"/>
      <c r="L14" s="72"/>
      <c r="M14" s="72"/>
      <c r="N14" s="72">
        <v>205</v>
      </c>
      <c r="O14" s="66">
        <v>0.87804878048780488</v>
      </c>
      <c r="P14" s="72">
        <v>5</v>
      </c>
      <c r="Q14" s="108">
        <f t="shared" si="2"/>
        <v>0.17823371989295272</v>
      </c>
      <c r="R14" s="108">
        <f t="shared" si="3"/>
        <v>0.15649790039381214</v>
      </c>
    </row>
    <row r="15" spans="1:18" s="38" customFormat="1" ht="23.25" hidden="1" customHeight="1">
      <c r="A15" s="17">
        <v>201710</v>
      </c>
      <c r="B15" s="34" t="s">
        <v>866</v>
      </c>
      <c r="C15" s="34" t="s">
        <v>13</v>
      </c>
      <c r="D15" s="35">
        <v>43120</v>
      </c>
      <c r="E15" s="33" t="s">
        <v>865</v>
      </c>
      <c r="F15" s="36">
        <v>3024</v>
      </c>
      <c r="G15" s="37">
        <v>43132</v>
      </c>
      <c r="H15" s="34" t="s">
        <v>720</v>
      </c>
      <c r="I15" s="34" t="s">
        <v>859</v>
      </c>
      <c r="J15" s="72">
        <v>180</v>
      </c>
      <c r="K15" s="72"/>
      <c r="L15" s="72"/>
      <c r="M15" s="72"/>
      <c r="N15" s="72">
        <v>205</v>
      </c>
      <c r="O15" s="66">
        <v>0.87804878048780488</v>
      </c>
      <c r="P15" s="72">
        <v>5</v>
      </c>
      <c r="Q15" s="108">
        <f t="shared" si="2"/>
        <v>0.13487957181088314</v>
      </c>
      <c r="R15" s="108">
        <f t="shared" si="3"/>
        <v>0.11843084354126325</v>
      </c>
    </row>
    <row r="16" spans="1:18" s="38" customFormat="1" ht="23.25" hidden="1" customHeight="1">
      <c r="A16" s="17">
        <v>201710</v>
      </c>
      <c r="B16" s="34" t="s">
        <v>867</v>
      </c>
      <c r="C16" s="34" t="s">
        <v>13</v>
      </c>
      <c r="D16" s="35">
        <v>43123</v>
      </c>
      <c r="E16" s="33" t="s">
        <v>865</v>
      </c>
      <c r="F16" s="36">
        <v>828</v>
      </c>
      <c r="G16" s="37">
        <v>43139</v>
      </c>
      <c r="H16" s="34" t="s">
        <v>720</v>
      </c>
      <c r="I16" s="34" t="s">
        <v>859</v>
      </c>
      <c r="J16" s="72">
        <v>180</v>
      </c>
      <c r="K16" s="72"/>
      <c r="L16" s="72"/>
      <c r="M16" s="72"/>
      <c r="N16" s="72">
        <v>205</v>
      </c>
      <c r="O16" s="66">
        <v>0.87804878048780488</v>
      </c>
      <c r="P16" s="72">
        <v>5</v>
      </c>
      <c r="Q16" s="108">
        <f t="shared" si="2"/>
        <v>3.6931311329170387E-2</v>
      </c>
      <c r="R16" s="108">
        <f t="shared" si="3"/>
        <v>3.2427492874393511E-2</v>
      </c>
    </row>
    <row r="17" spans="1:18" s="38" customFormat="1" ht="24" hidden="1" customHeight="1">
      <c r="A17" s="17">
        <v>201710</v>
      </c>
      <c r="B17" s="34" t="s">
        <v>868</v>
      </c>
      <c r="C17" s="34" t="s">
        <v>13</v>
      </c>
      <c r="D17" s="35" t="s">
        <v>869</v>
      </c>
      <c r="E17" s="33" t="s">
        <v>865</v>
      </c>
      <c r="F17" s="36">
        <f>10428-1244</f>
        <v>9184</v>
      </c>
      <c r="G17" s="37">
        <v>43160</v>
      </c>
      <c r="H17" s="34" t="s">
        <v>720</v>
      </c>
      <c r="I17" s="34" t="s">
        <v>859</v>
      </c>
      <c r="J17" s="72">
        <v>180</v>
      </c>
      <c r="K17" s="72"/>
      <c r="L17" s="72"/>
      <c r="M17" s="72"/>
      <c r="N17" s="72">
        <v>205</v>
      </c>
      <c r="O17" s="66">
        <v>0.87804878048780488</v>
      </c>
      <c r="P17" s="72">
        <v>5</v>
      </c>
      <c r="Q17" s="108">
        <f t="shared" si="2"/>
        <v>0.40963425512934881</v>
      </c>
      <c r="R17" s="108">
        <f t="shared" si="3"/>
        <v>0.35967885816235506</v>
      </c>
    </row>
    <row r="18" spans="1:18" s="38" customFormat="1" ht="24" hidden="1" customHeight="1">
      <c r="A18" s="17"/>
      <c r="B18" s="34"/>
      <c r="C18" s="34"/>
      <c r="D18" s="35"/>
      <c r="E18" s="36"/>
      <c r="F18" s="39">
        <f>SUM(F2:F17)</f>
        <v>34960</v>
      </c>
      <c r="G18" s="37"/>
      <c r="H18" s="34"/>
      <c r="I18" s="34"/>
      <c r="J18" s="72"/>
      <c r="K18" s="72"/>
      <c r="L18" s="72"/>
      <c r="M18" s="72"/>
      <c r="N18" s="72"/>
      <c r="O18" s="66"/>
      <c r="P18" s="72"/>
    </row>
    <row r="19" spans="1:18" s="38" customFormat="1" ht="24" hidden="1" customHeight="1">
      <c r="A19" s="17">
        <v>201709</v>
      </c>
      <c r="B19" s="34" t="s">
        <v>870</v>
      </c>
      <c r="C19" s="34" t="s">
        <v>14</v>
      </c>
      <c r="D19" s="35">
        <v>43102</v>
      </c>
      <c r="E19" s="33" t="s">
        <v>871</v>
      </c>
      <c r="F19" s="36">
        <v>480</v>
      </c>
      <c r="G19" s="37">
        <v>43124</v>
      </c>
      <c r="H19" s="34" t="s">
        <v>726</v>
      </c>
      <c r="I19" s="34" t="s">
        <v>872</v>
      </c>
      <c r="J19" s="73">
        <v>180</v>
      </c>
      <c r="K19" s="73"/>
      <c r="L19" s="73"/>
      <c r="M19" s="73"/>
      <c r="N19" s="73">
        <v>202</v>
      </c>
      <c r="O19" s="67">
        <v>0.89</v>
      </c>
      <c r="P19" s="73">
        <v>5</v>
      </c>
      <c r="Q19" s="108">
        <f>F19/$F$360</f>
        <v>1.8782282047268742E-2</v>
      </c>
      <c r="R19" s="108">
        <f>O19*Q19</f>
        <v>1.6716231022069181E-2</v>
      </c>
    </row>
    <row r="20" spans="1:18" s="38" customFormat="1" ht="24" hidden="1" customHeight="1">
      <c r="A20" s="17">
        <v>201709</v>
      </c>
      <c r="B20" s="34" t="s">
        <v>873</v>
      </c>
      <c r="C20" s="34" t="s">
        <v>14</v>
      </c>
      <c r="D20" s="35">
        <v>43102</v>
      </c>
      <c r="E20" s="33" t="s">
        <v>874</v>
      </c>
      <c r="F20" s="36">
        <v>528</v>
      </c>
      <c r="G20" s="37">
        <v>43124</v>
      </c>
      <c r="H20" s="34" t="s">
        <v>726</v>
      </c>
      <c r="I20" s="34" t="s">
        <v>872</v>
      </c>
      <c r="J20" s="73">
        <v>180</v>
      </c>
      <c r="K20" s="73"/>
      <c r="L20" s="73"/>
      <c r="M20" s="73"/>
      <c r="N20" s="73">
        <v>202</v>
      </c>
      <c r="O20" s="67">
        <v>0.89</v>
      </c>
      <c r="P20" s="73">
        <v>5</v>
      </c>
      <c r="Q20" s="108">
        <f>F20/$F$360</f>
        <v>2.0660510251995619E-2</v>
      </c>
      <c r="R20" s="108">
        <f>O20*Q20</f>
        <v>1.8387854124276102E-2</v>
      </c>
    </row>
    <row r="21" spans="1:18" s="38" customFormat="1" ht="24" hidden="1" customHeight="1">
      <c r="A21" s="17">
        <v>201710</v>
      </c>
      <c r="B21" s="34" t="s">
        <v>875</v>
      </c>
      <c r="C21" s="34" t="s">
        <v>14</v>
      </c>
      <c r="D21" s="35">
        <v>43102</v>
      </c>
      <c r="E21" s="33" t="s">
        <v>876</v>
      </c>
      <c r="F21" s="36">
        <v>636</v>
      </c>
      <c r="G21" s="37">
        <v>43111</v>
      </c>
      <c r="H21" s="34" t="s">
        <v>718</v>
      </c>
      <c r="I21" s="34" t="s">
        <v>877</v>
      </c>
      <c r="J21" s="73">
        <v>150</v>
      </c>
      <c r="K21" s="73"/>
      <c r="L21" s="73"/>
      <c r="M21" s="73"/>
      <c r="N21" s="73">
        <v>190</v>
      </c>
      <c r="O21" s="67">
        <v>0.79</v>
      </c>
      <c r="P21" s="73">
        <v>6</v>
      </c>
      <c r="Q21" s="108">
        <f>F21/$F$361</f>
        <v>6.3321385902031069E-2</v>
      </c>
      <c r="R21" s="108">
        <f>O21*Q21</f>
        <v>5.002389486260455E-2</v>
      </c>
    </row>
    <row r="22" spans="1:18" s="38" customFormat="1" ht="24" hidden="1" customHeight="1">
      <c r="A22" s="17">
        <v>201710</v>
      </c>
      <c r="B22" s="34" t="s">
        <v>878</v>
      </c>
      <c r="C22" s="34" t="s">
        <v>14</v>
      </c>
      <c r="D22" s="35">
        <v>43103</v>
      </c>
      <c r="E22" s="33" t="s">
        <v>876</v>
      </c>
      <c r="F22" s="36">
        <v>540</v>
      </c>
      <c r="G22" s="37">
        <v>43125</v>
      </c>
      <c r="H22" s="34" t="s">
        <v>718</v>
      </c>
      <c r="I22" s="34" t="s">
        <v>877</v>
      </c>
      <c r="J22" s="73">
        <v>150</v>
      </c>
      <c r="K22" s="73"/>
      <c r="L22" s="73"/>
      <c r="M22" s="73"/>
      <c r="N22" s="73">
        <v>190</v>
      </c>
      <c r="O22" s="67">
        <v>0.79</v>
      </c>
      <c r="P22" s="73">
        <v>6</v>
      </c>
      <c r="Q22" s="108">
        <f t="shared" ref="Q22:Q27" si="4">F22/$F$361</f>
        <v>5.3763440860215055E-2</v>
      </c>
      <c r="R22" s="108">
        <f t="shared" ref="R22:R27" si="5">O22*Q22</f>
        <v>4.2473118279569892E-2</v>
      </c>
    </row>
    <row r="23" spans="1:18" s="38" customFormat="1" ht="24" hidden="1" customHeight="1">
      <c r="A23" s="17">
        <v>201710</v>
      </c>
      <c r="B23" s="34" t="s">
        <v>879</v>
      </c>
      <c r="C23" s="34" t="s">
        <v>14</v>
      </c>
      <c r="D23" s="35">
        <v>43103</v>
      </c>
      <c r="E23" s="33" t="s">
        <v>876</v>
      </c>
      <c r="F23" s="36">
        <v>408</v>
      </c>
      <c r="G23" s="37">
        <v>43122</v>
      </c>
      <c r="H23" s="34" t="s">
        <v>718</v>
      </c>
      <c r="I23" s="34" t="s">
        <v>877</v>
      </c>
      <c r="J23" s="73">
        <v>150</v>
      </c>
      <c r="K23" s="73"/>
      <c r="L23" s="73"/>
      <c r="M23" s="73"/>
      <c r="N23" s="73">
        <v>190</v>
      </c>
      <c r="O23" s="67">
        <v>0.79</v>
      </c>
      <c r="P23" s="73">
        <v>6</v>
      </c>
      <c r="Q23" s="108">
        <f t="shared" si="4"/>
        <v>4.0621266427718038E-2</v>
      </c>
      <c r="R23" s="108">
        <f t="shared" si="5"/>
        <v>3.2090800477897252E-2</v>
      </c>
    </row>
    <row r="24" spans="1:18" s="38" customFormat="1" ht="24" hidden="1" customHeight="1">
      <c r="A24" s="17">
        <v>201710</v>
      </c>
      <c r="B24" s="34" t="s">
        <v>880</v>
      </c>
      <c r="C24" s="34" t="s">
        <v>14</v>
      </c>
      <c r="D24" s="35">
        <v>43103</v>
      </c>
      <c r="E24" s="33" t="s">
        <v>876</v>
      </c>
      <c r="F24" s="36">
        <v>432</v>
      </c>
      <c r="G24" s="37">
        <v>43138</v>
      </c>
      <c r="H24" s="34" t="s">
        <v>717</v>
      </c>
      <c r="I24" s="34" t="s">
        <v>877</v>
      </c>
      <c r="J24" s="73">
        <v>150</v>
      </c>
      <c r="K24" s="73"/>
      <c r="L24" s="73"/>
      <c r="M24" s="73"/>
      <c r="N24" s="73">
        <v>190</v>
      </c>
      <c r="O24" s="67">
        <v>0.79</v>
      </c>
      <c r="P24" s="73">
        <v>6</v>
      </c>
      <c r="Q24" s="108">
        <f t="shared" si="4"/>
        <v>4.3010752688172046E-2</v>
      </c>
      <c r="R24" s="108">
        <f t="shared" si="5"/>
        <v>3.3978494623655917E-2</v>
      </c>
    </row>
    <row r="25" spans="1:18" s="38" customFormat="1" ht="23.25" hidden="1" customHeight="1">
      <c r="A25" s="17">
        <v>201710</v>
      </c>
      <c r="B25" s="34" t="s">
        <v>881</v>
      </c>
      <c r="C25" s="34" t="s">
        <v>14</v>
      </c>
      <c r="D25" s="35">
        <v>43104</v>
      </c>
      <c r="E25" s="33" t="s">
        <v>882</v>
      </c>
      <c r="F25" s="36">
        <v>444</v>
      </c>
      <c r="G25" s="37">
        <v>43111</v>
      </c>
      <c r="H25" s="34" t="s">
        <v>718</v>
      </c>
      <c r="I25" s="34" t="s">
        <v>883</v>
      </c>
      <c r="J25" s="72">
        <v>165</v>
      </c>
      <c r="K25" s="72"/>
      <c r="L25" s="72"/>
      <c r="M25" s="72"/>
      <c r="N25" s="72">
        <v>202</v>
      </c>
      <c r="O25" s="66">
        <v>0.81683168316831678</v>
      </c>
      <c r="P25" s="72">
        <v>6</v>
      </c>
      <c r="Q25" s="108">
        <f t="shared" si="4"/>
        <v>4.4205495818399047E-2</v>
      </c>
      <c r="R25" s="108">
        <f t="shared" si="5"/>
        <v>3.6108449554632882E-2</v>
      </c>
    </row>
    <row r="26" spans="1:18" s="38" customFormat="1" ht="23.25" hidden="1" customHeight="1">
      <c r="A26" s="17">
        <v>201710</v>
      </c>
      <c r="B26" s="34" t="s">
        <v>884</v>
      </c>
      <c r="C26" s="34" t="s">
        <v>14</v>
      </c>
      <c r="D26" s="35">
        <v>43104</v>
      </c>
      <c r="E26" s="33" t="s">
        <v>885</v>
      </c>
      <c r="F26" s="36">
        <v>348</v>
      </c>
      <c r="G26" s="37">
        <v>43111</v>
      </c>
      <c r="H26" s="34" t="s">
        <v>718</v>
      </c>
      <c r="I26" s="34" t="s">
        <v>883</v>
      </c>
      <c r="J26" s="72">
        <v>165</v>
      </c>
      <c r="K26" s="72"/>
      <c r="L26" s="72"/>
      <c r="M26" s="72"/>
      <c r="N26" s="72">
        <v>202</v>
      </c>
      <c r="O26" s="66">
        <v>0.81683168316831678</v>
      </c>
      <c r="P26" s="72">
        <v>6</v>
      </c>
      <c r="Q26" s="108">
        <f t="shared" si="4"/>
        <v>3.4647550776583033E-2</v>
      </c>
      <c r="R26" s="108">
        <f t="shared" si="5"/>
        <v>2.8301217218496041E-2</v>
      </c>
    </row>
    <row r="27" spans="1:18" s="38" customFormat="1" ht="23.25" hidden="1" customHeight="1">
      <c r="A27" s="17">
        <v>201710</v>
      </c>
      <c r="B27" s="34" t="s">
        <v>886</v>
      </c>
      <c r="C27" s="34" t="s">
        <v>14</v>
      </c>
      <c r="D27" s="35">
        <v>43104</v>
      </c>
      <c r="E27" s="33" t="s">
        <v>887</v>
      </c>
      <c r="F27" s="36">
        <v>648</v>
      </c>
      <c r="G27" s="37">
        <v>43111</v>
      </c>
      <c r="H27" s="34" t="s">
        <v>718</v>
      </c>
      <c r="I27" s="34" t="s">
        <v>877</v>
      </c>
      <c r="J27" s="72">
        <v>150</v>
      </c>
      <c r="K27" s="72"/>
      <c r="L27" s="72"/>
      <c r="M27" s="72"/>
      <c r="N27" s="72">
        <v>190</v>
      </c>
      <c r="O27" s="66">
        <v>0.78947368421052633</v>
      </c>
      <c r="P27" s="72">
        <v>6</v>
      </c>
      <c r="Q27" s="108">
        <f t="shared" si="4"/>
        <v>6.4516129032258063E-2</v>
      </c>
      <c r="R27" s="108">
        <f t="shared" si="5"/>
        <v>5.0933786078098474E-2</v>
      </c>
    </row>
    <row r="28" spans="1:18" s="38" customFormat="1" ht="23.25" hidden="1" customHeight="1">
      <c r="A28" s="17">
        <v>201710</v>
      </c>
      <c r="B28" s="34" t="s">
        <v>888</v>
      </c>
      <c r="C28" s="34" t="s">
        <v>14</v>
      </c>
      <c r="D28" s="35">
        <v>43105</v>
      </c>
      <c r="E28" s="33" t="s">
        <v>889</v>
      </c>
      <c r="F28" s="36">
        <v>1152</v>
      </c>
      <c r="G28" s="37">
        <v>43111</v>
      </c>
      <c r="H28" s="34" t="s">
        <v>718</v>
      </c>
      <c r="I28" s="34" t="s">
        <v>890</v>
      </c>
      <c r="J28" s="72">
        <v>180</v>
      </c>
      <c r="K28" s="72"/>
      <c r="L28" s="72"/>
      <c r="M28" s="72"/>
      <c r="N28" s="72">
        <v>181</v>
      </c>
      <c r="O28" s="66">
        <v>0.99447513812154698</v>
      </c>
      <c r="P28" s="72">
        <v>5</v>
      </c>
      <c r="Q28" s="108">
        <f t="shared" ref="Q28:Q44" si="6">F28/$F$360</f>
        <v>4.5077476913444985E-2</v>
      </c>
      <c r="R28" s="108">
        <f t="shared" ref="R28:R52" si="7">O28*Q28</f>
        <v>4.4828430079669045E-2</v>
      </c>
    </row>
    <row r="29" spans="1:18" s="38" customFormat="1" ht="23.25" hidden="1" customHeight="1">
      <c r="A29" s="17">
        <v>201710</v>
      </c>
      <c r="B29" s="34" t="s">
        <v>891</v>
      </c>
      <c r="C29" s="34" t="s">
        <v>14</v>
      </c>
      <c r="D29" s="35">
        <v>43106</v>
      </c>
      <c r="E29" s="33" t="s">
        <v>892</v>
      </c>
      <c r="F29" s="36">
        <v>1176</v>
      </c>
      <c r="G29" s="37">
        <v>43111</v>
      </c>
      <c r="H29" s="34" t="s">
        <v>718</v>
      </c>
      <c r="I29" s="34" t="s">
        <v>890</v>
      </c>
      <c r="J29" s="72">
        <v>180</v>
      </c>
      <c r="K29" s="72"/>
      <c r="L29" s="72"/>
      <c r="M29" s="72"/>
      <c r="N29" s="72">
        <v>181</v>
      </c>
      <c r="O29" s="66">
        <v>0.99447513812154698</v>
      </c>
      <c r="P29" s="72">
        <v>5</v>
      </c>
      <c r="Q29" s="108">
        <f t="shared" si="6"/>
        <v>4.601659101580842E-2</v>
      </c>
      <c r="R29" s="108">
        <f t="shared" si="7"/>
        <v>4.5762355706328812E-2</v>
      </c>
    </row>
    <row r="30" spans="1:18" s="38" customFormat="1" ht="23.25" hidden="1" customHeight="1">
      <c r="A30" s="17">
        <v>201710</v>
      </c>
      <c r="B30" s="34" t="s">
        <v>893</v>
      </c>
      <c r="C30" s="34" t="s">
        <v>14</v>
      </c>
      <c r="D30" s="35">
        <v>43106</v>
      </c>
      <c r="E30" s="33" t="s">
        <v>894</v>
      </c>
      <c r="F30" s="36">
        <v>1104</v>
      </c>
      <c r="G30" s="37">
        <v>43111</v>
      </c>
      <c r="H30" s="34" t="s">
        <v>718</v>
      </c>
      <c r="I30" s="34" t="s">
        <v>890</v>
      </c>
      <c r="J30" s="72">
        <v>180</v>
      </c>
      <c r="K30" s="72"/>
      <c r="L30" s="72"/>
      <c r="M30" s="72"/>
      <c r="N30" s="72">
        <v>181</v>
      </c>
      <c r="O30" s="66">
        <v>0.99447513812154698</v>
      </c>
      <c r="P30" s="72">
        <v>5</v>
      </c>
      <c r="Q30" s="108">
        <f t="shared" si="6"/>
        <v>4.3199248708718108E-2</v>
      </c>
      <c r="R30" s="108">
        <f t="shared" si="7"/>
        <v>4.2960578826349502E-2</v>
      </c>
    </row>
    <row r="31" spans="1:18" s="38" customFormat="1" ht="23.25" hidden="1" customHeight="1">
      <c r="A31" s="17">
        <v>201710</v>
      </c>
      <c r="B31" s="34" t="s">
        <v>895</v>
      </c>
      <c r="C31" s="34" t="s">
        <v>14</v>
      </c>
      <c r="D31" s="35">
        <v>43108</v>
      </c>
      <c r="E31" s="33" t="s">
        <v>894</v>
      </c>
      <c r="F31" s="36">
        <v>12</v>
      </c>
      <c r="G31" s="37">
        <v>43117</v>
      </c>
      <c r="H31" s="34" t="s">
        <v>718</v>
      </c>
      <c r="I31" s="34" t="s">
        <v>890</v>
      </c>
      <c r="J31" s="72">
        <v>180</v>
      </c>
      <c r="K31" s="72"/>
      <c r="L31" s="72"/>
      <c r="M31" s="72"/>
      <c r="N31" s="72">
        <v>181</v>
      </c>
      <c r="O31" s="66">
        <v>0.99447513812154698</v>
      </c>
      <c r="P31" s="72">
        <v>5</v>
      </c>
      <c r="Q31" s="108">
        <f t="shared" si="6"/>
        <v>4.6955705118171859E-4</v>
      </c>
      <c r="R31" s="108">
        <f t="shared" si="7"/>
        <v>4.6696281332988588E-4</v>
      </c>
    </row>
    <row r="32" spans="1:18" s="38" customFormat="1" ht="23.25" hidden="1" customHeight="1">
      <c r="A32" s="17">
        <v>201710</v>
      </c>
      <c r="B32" s="34" t="s">
        <v>896</v>
      </c>
      <c r="C32" s="34" t="s">
        <v>14</v>
      </c>
      <c r="D32" s="35">
        <v>43108</v>
      </c>
      <c r="E32" s="33" t="s">
        <v>894</v>
      </c>
      <c r="F32" s="36">
        <v>120</v>
      </c>
      <c r="G32" s="37">
        <v>43127</v>
      </c>
      <c r="H32" s="34" t="s">
        <v>717</v>
      </c>
      <c r="I32" s="34" t="s">
        <v>890</v>
      </c>
      <c r="J32" s="72">
        <v>180</v>
      </c>
      <c r="K32" s="72"/>
      <c r="L32" s="72"/>
      <c r="M32" s="72"/>
      <c r="N32" s="72">
        <v>181</v>
      </c>
      <c r="O32" s="66">
        <v>0.99447513812154698</v>
      </c>
      <c r="P32" s="72">
        <v>5</v>
      </c>
      <c r="Q32" s="108">
        <f t="shared" si="6"/>
        <v>4.6955705118171855E-3</v>
      </c>
      <c r="R32" s="108">
        <f t="shared" si="7"/>
        <v>4.6696281332988584E-3</v>
      </c>
    </row>
    <row r="33" spans="1:18" s="38" customFormat="1" ht="23.25" hidden="1" customHeight="1">
      <c r="A33" s="17">
        <v>201710</v>
      </c>
      <c r="B33" s="34" t="s">
        <v>897</v>
      </c>
      <c r="C33" s="34" t="s">
        <v>14</v>
      </c>
      <c r="D33" s="35">
        <v>43108</v>
      </c>
      <c r="E33" s="33" t="s">
        <v>894</v>
      </c>
      <c r="F33" s="36">
        <v>120</v>
      </c>
      <c r="G33" s="37">
        <v>43120</v>
      </c>
      <c r="H33" s="34" t="s">
        <v>730</v>
      </c>
      <c r="I33" s="34" t="s">
        <v>890</v>
      </c>
      <c r="J33" s="72">
        <v>180</v>
      </c>
      <c r="K33" s="72"/>
      <c r="L33" s="72"/>
      <c r="M33" s="72"/>
      <c r="N33" s="72">
        <v>181</v>
      </c>
      <c r="O33" s="66">
        <v>0.99447513812154698</v>
      </c>
      <c r="P33" s="72">
        <v>5</v>
      </c>
      <c r="Q33" s="108">
        <f t="shared" si="6"/>
        <v>4.6955705118171855E-3</v>
      </c>
      <c r="R33" s="108">
        <f t="shared" si="7"/>
        <v>4.6696281332988584E-3</v>
      </c>
    </row>
    <row r="34" spans="1:18" s="38" customFormat="1" ht="23.25" hidden="1" customHeight="1">
      <c r="A34" s="17">
        <v>201710</v>
      </c>
      <c r="B34" s="34" t="s">
        <v>898</v>
      </c>
      <c r="C34" s="34" t="s">
        <v>14</v>
      </c>
      <c r="D34" s="35">
        <v>43109</v>
      </c>
      <c r="E34" s="33" t="s">
        <v>894</v>
      </c>
      <c r="F34" s="36">
        <v>144</v>
      </c>
      <c r="G34" s="37">
        <v>43127</v>
      </c>
      <c r="H34" s="34" t="s">
        <v>717</v>
      </c>
      <c r="I34" s="34" t="s">
        <v>890</v>
      </c>
      <c r="J34" s="72">
        <v>180</v>
      </c>
      <c r="K34" s="72"/>
      <c r="L34" s="72"/>
      <c r="M34" s="72"/>
      <c r="N34" s="72">
        <v>181</v>
      </c>
      <c r="O34" s="66">
        <v>0.99447513812154698</v>
      </c>
      <c r="P34" s="72">
        <v>5</v>
      </c>
      <c r="Q34" s="108">
        <f t="shared" si="6"/>
        <v>5.6346846141806231E-3</v>
      </c>
      <c r="R34" s="108">
        <f t="shared" si="7"/>
        <v>5.6035537599586306E-3</v>
      </c>
    </row>
    <row r="35" spans="1:18" s="38" customFormat="1" ht="23.25" hidden="1" customHeight="1">
      <c r="A35" s="17">
        <v>201710</v>
      </c>
      <c r="B35" s="34" t="s">
        <v>899</v>
      </c>
      <c r="C35" s="34" t="s">
        <v>14</v>
      </c>
      <c r="D35" s="35">
        <v>43109</v>
      </c>
      <c r="E35" s="33" t="s">
        <v>892</v>
      </c>
      <c r="F35" s="36">
        <v>12</v>
      </c>
      <c r="G35" s="37">
        <v>43117</v>
      </c>
      <c r="H35" s="34" t="s">
        <v>718</v>
      </c>
      <c r="I35" s="34" t="s">
        <v>890</v>
      </c>
      <c r="J35" s="72">
        <v>180</v>
      </c>
      <c r="K35" s="72"/>
      <c r="L35" s="72"/>
      <c r="M35" s="72"/>
      <c r="N35" s="72">
        <v>181</v>
      </c>
      <c r="O35" s="66">
        <v>0.99447513812154698</v>
      </c>
      <c r="P35" s="72">
        <v>5</v>
      </c>
      <c r="Q35" s="108">
        <f t="shared" si="6"/>
        <v>4.6955705118171859E-4</v>
      </c>
      <c r="R35" s="108">
        <f t="shared" si="7"/>
        <v>4.6696281332988588E-4</v>
      </c>
    </row>
    <row r="36" spans="1:18" s="38" customFormat="1" ht="23.25" hidden="1" customHeight="1">
      <c r="A36" s="17">
        <v>201710</v>
      </c>
      <c r="B36" s="34" t="s">
        <v>900</v>
      </c>
      <c r="C36" s="34" t="s">
        <v>14</v>
      </c>
      <c r="D36" s="35">
        <v>43109</v>
      </c>
      <c r="E36" s="33" t="s">
        <v>892</v>
      </c>
      <c r="F36" s="36">
        <v>648</v>
      </c>
      <c r="G36" s="37">
        <v>43124</v>
      </c>
      <c r="H36" s="34" t="s">
        <v>717</v>
      </c>
      <c r="I36" s="34" t="s">
        <v>890</v>
      </c>
      <c r="J36" s="72">
        <v>180</v>
      </c>
      <c r="K36" s="72"/>
      <c r="L36" s="72"/>
      <c r="M36" s="72"/>
      <c r="N36" s="72">
        <v>181</v>
      </c>
      <c r="O36" s="66">
        <v>0.99447513812154698</v>
      </c>
      <c r="P36" s="72">
        <v>5</v>
      </c>
      <c r="Q36" s="108">
        <f t="shared" si="6"/>
        <v>2.5356080763812804E-2</v>
      </c>
      <c r="R36" s="108">
        <f t="shared" si="7"/>
        <v>2.521599191981384E-2</v>
      </c>
    </row>
    <row r="37" spans="1:18" s="38" customFormat="1" ht="23.25" hidden="1" customHeight="1">
      <c r="A37" s="17">
        <v>201710</v>
      </c>
      <c r="B37" s="34" t="s">
        <v>901</v>
      </c>
      <c r="C37" s="34" t="s">
        <v>14</v>
      </c>
      <c r="D37" s="35">
        <v>43109</v>
      </c>
      <c r="E37" s="33" t="s">
        <v>892</v>
      </c>
      <c r="F37" s="36">
        <v>120</v>
      </c>
      <c r="G37" s="37">
        <v>43127</v>
      </c>
      <c r="H37" s="34" t="s">
        <v>717</v>
      </c>
      <c r="I37" s="34" t="s">
        <v>890</v>
      </c>
      <c r="J37" s="72">
        <v>180</v>
      </c>
      <c r="K37" s="72"/>
      <c r="L37" s="72"/>
      <c r="M37" s="72"/>
      <c r="N37" s="72">
        <v>181</v>
      </c>
      <c r="O37" s="66">
        <v>0.99447513812154698</v>
      </c>
      <c r="P37" s="72">
        <v>5</v>
      </c>
      <c r="Q37" s="108">
        <f t="shared" si="6"/>
        <v>4.6955705118171855E-3</v>
      </c>
      <c r="R37" s="108">
        <f t="shared" si="7"/>
        <v>4.6696281332988584E-3</v>
      </c>
    </row>
    <row r="38" spans="1:18" s="38" customFormat="1" ht="23.25" hidden="1" customHeight="1">
      <c r="A38" s="17">
        <v>201710</v>
      </c>
      <c r="B38" s="34" t="s">
        <v>902</v>
      </c>
      <c r="C38" s="34" t="s">
        <v>14</v>
      </c>
      <c r="D38" s="35">
        <v>43109</v>
      </c>
      <c r="E38" s="33" t="s">
        <v>892</v>
      </c>
      <c r="F38" s="36">
        <v>408</v>
      </c>
      <c r="G38" s="37">
        <v>43155</v>
      </c>
      <c r="H38" s="34" t="s">
        <v>718</v>
      </c>
      <c r="I38" s="34" t="s">
        <v>890</v>
      </c>
      <c r="J38" s="72">
        <v>180</v>
      </c>
      <c r="K38" s="72"/>
      <c r="L38" s="72"/>
      <c r="M38" s="72"/>
      <c r="N38" s="72">
        <v>181</v>
      </c>
      <c r="O38" s="66">
        <v>0.99447513812154698</v>
      </c>
      <c r="P38" s="72">
        <v>5</v>
      </c>
      <c r="Q38" s="108">
        <f t="shared" si="6"/>
        <v>1.5964939740178433E-2</v>
      </c>
      <c r="R38" s="108">
        <f t="shared" si="7"/>
        <v>1.5876735653216123E-2</v>
      </c>
    </row>
    <row r="39" spans="1:18" s="38" customFormat="1" ht="23.25" hidden="1" customHeight="1">
      <c r="A39" s="17">
        <v>201710</v>
      </c>
      <c r="B39" s="34" t="s">
        <v>903</v>
      </c>
      <c r="C39" s="34" t="s">
        <v>14</v>
      </c>
      <c r="D39" s="35">
        <v>43110</v>
      </c>
      <c r="E39" s="33" t="s">
        <v>889</v>
      </c>
      <c r="F39" s="36">
        <v>12</v>
      </c>
      <c r="G39" s="37">
        <v>43117</v>
      </c>
      <c r="H39" s="34" t="s">
        <v>718</v>
      </c>
      <c r="I39" s="34" t="s">
        <v>890</v>
      </c>
      <c r="J39" s="72">
        <v>180</v>
      </c>
      <c r="K39" s="72"/>
      <c r="L39" s="72"/>
      <c r="M39" s="72"/>
      <c r="N39" s="72">
        <v>181</v>
      </c>
      <c r="O39" s="66">
        <v>0.99447513812154698</v>
      </c>
      <c r="P39" s="72">
        <v>5</v>
      </c>
      <c r="Q39" s="108">
        <f t="shared" si="6"/>
        <v>4.6955705118171859E-4</v>
      </c>
      <c r="R39" s="108">
        <f t="shared" si="7"/>
        <v>4.6696281332988588E-4</v>
      </c>
    </row>
    <row r="40" spans="1:18" s="38" customFormat="1" ht="23.25" hidden="1" customHeight="1">
      <c r="A40" s="17">
        <v>201710</v>
      </c>
      <c r="B40" s="34" t="s">
        <v>904</v>
      </c>
      <c r="C40" s="34" t="s">
        <v>14</v>
      </c>
      <c r="D40" s="35">
        <v>43110</v>
      </c>
      <c r="E40" s="33" t="s">
        <v>889</v>
      </c>
      <c r="F40" s="36">
        <v>120</v>
      </c>
      <c r="G40" s="37">
        <v>43127</v>
      </c>
      <c r="H40" s="34" t="s">
        <v>717</v>
      </c>
      <c r="I40" s="34" t="s">
        <v>890</v>
      </c>
      <c r="J40" s="72">
        <v>180</v>
      </c>
      <c r="K40" s="72"/>
      <c r="L40" s="72"/>
      <c r="M40" s="72"/>
      <c r="N40" s="72">
        <v>181</v>
      </c>
      <c r="O40" s="66">
        <v>0.99447513812154698</v>
      </c>
      <c r="P40" s="72">
        <v>5</v>
      </c>
      <c r="Q40" s="108">
        <f t="shared" si="6"/>
        <v>4.6955705118171855E-3</v>
      </c>
      <c r="R40" s="108">
        <f t="shared" si="7"/>
        <v>4.6696281332988584E-3</v>
      </c>
    </row>
    <row r="41" spans="1:18" s="38" customFormat="1" ht="23.25" hidden="1" customHeight="1">
      <c r="A41" s="17">
        <v>201710</v>
      </c>
      <c r="B41" s="34" t="s">
        <v>905</v>
      </c>
      <c r="C41" s="34" t="s">
        <v>14</v>
      </c>
      <c r="D41" s="35">
        <v>43110</v>
      </c>
      <c r="E41" s="33" t="s">
        <v>889</v>
      </c>
      <c r="F41" s="36">
        <v>144</v>
      </c>
      <c r="G41" s="37">
        <v>43127</v>
      </c>
      <c r="H41" s="34" t="s">
        <v>717</v>
      </c>
      <c r="I41" s="34" t="s">
        <v>890</v>
      </c>
      <c r="J41" s="72">
        <v>180</v>
      </c>
      <c r="K41" s="72"/>
      <c r="L41" s="72"/>
      <c r="M41" s="72"/>
      <c r="N41" s="72">
        <v>181</v>
      </c>
      <c r="O41" s="66">
        <v>0.99447513812154698</v>
      </c>
      <c r="P41" s="72">
        <v>5</v>
      </c>
      <c r="Q41" s="108">
        <f t="shared" si="6"/>
        <v>5.6346846141806231E-3</v>
      </c>
      <c r="R41" s="108">
        <f t="shared" si="7"/>
        <v>5.6035537599586306E-3</v>
      </c>
    </row>
    <row r="42" spans="1:18" s="38" customFormat="1" ht="23.25" hidden="1" customHeight="1">
      <c r="A42" s="17">
        <v>201710</v>
      </c>
      <c r="B42" s="34" t="s">
        <v>906</v>
      </c>
      <c r="C42" s="34" t="s">
        <v>14</v>
      </c>
      <c r="D42" s="35">
        <v>43110</v>
      </c>
      <c r="E42" s="33" t="s">
        <v>889</v>
      </c>
      <c r="F42" s="36">
        <v>540</v>
      </c>
      <c r="G42" s="37">
        <v>43129</v>
      </c>
      <c r="H42" s="34" t="s">
        <v>730</v>
      </c>
      <c r="I42" s="34" t="s">
        <v>890</v>
      </c>
      <c r="J42" s="72">
        <v>180</v>
      </c>
      <c r="K42" s="72"/>
      <c r="L42" s="72"/>
      <c r="M42" s="72"/>
      <c r="N42" s="72">
        <v>181</v>
      </c>
      <c r="O42" s="66">
        <v>0.99447513812154698</v>
      </c>
      <c r="P42" s="72">
        <v>5</v>
      </c>
      <c r="Q42" s="108">
        <f t="shared" si="6"/>
        <v>2.1130067303177336E-2</v>
      </c>
      <c r="R42" s="108">
        <f t="shared" si="7"/>
        <v>2.1013326599844864E-2</v>
      </c>
    </row>
    <row r="43" spans="1:18" s="38" customFormat="1" ht="23.25" hidden="1" customHeight="1">
      <c r="A43" s="17">
        <v>201710</v>
      </c>
      <c r="B43" s="34" t="s">
        <v>907</v>
      </c>
      <c r="C43" s="34" t="s">
        <v>14</v>
      </c>
      <c r="D43" s="35">
        <v>43110</v>
      </c>
      <c r="E43" s="33" t="s">
        <v>889</v>
      </c>
      <c r="F43" s="36">
        <v>696</v>
      </c>
      <c r="G43" s="37">
        <v>43138</v>
      </c>
      <c r="H43" s="34" t="s">
        <v>717</v>
      </c>
      <c r="I43" s="34" t="s">
        <v>890</v>
      </c>
      <c r="J43" s="72">
        <v>180</v>
      </c>
      <c r="K43" s="72"/>
      <c r="L43" s="72"/>
      <c r="M43" s="72"/>
      <c r="N43" s="72">
        <v>181</v>
      </c>
      <c r="O43" s="66">
        <v>0.99447513812154698</v>
      </c>
      <c r="P43" s="72">
        <v>5</v>
      </c>
      <c r="Q43" s="108">
        <f t="shared" si="6"/>
        <v>2.7234308968539678E-2</v>
      </c>
      <c r="R43" s="108">
        <f t="shared" si="7"/>
        <v>2.7083843173133382E-2</v>
      </c>
    </row>
    <row r="44" spans="1:18" s="38" customFormat="1" ht="23.25" hidden="1" customHeight="1">
      <c r="A44" s="17">
        <v>201710</v>
      </c>
      <c r="B44" s="34" t="s">
        <v>908</v>
      </c>
      <c r="C44" s="34" t="s">
        <v>14</v>
      </c>
      <c r="D44" s="35">
        <v>43111</v>
      </c>
      <c r="E44" s="33" t="s">
        <v>889</v>
      </c>
      <c r="F44" s="36">
        <v>204</v>
      </c>
      <c r="G44" s="37">
        <v>43155</v>
      </c>
      <c r="H44" s="34" t="s">
        <v>718</v>
      </c>
      <c r="I44" s="34" t="s">
        <v>890</v>
      </c>
      <c r="J44" s="72">
        <v>180</v>
      </c>
      <c r="K44" s="72"/>
      <c r="L44" s="72"/>
      <c r="M44" s="72"/>
      <c r="N44" s="72">
        <v>181</v>
      </c>
      <c r="O44" s="66">
        <v>0.99447513812154698</v>
      </c>
      <c r="P44" s="72">
        <v>5</v>
      </c>
      <c r="Q44" s="108">
        <f t="shared" si="6"/>
        <v>7.9824698700892167E-3</v>
      </c>
      <c r="R44" s="108">
        <f t="shared" si="7"/>
        <v>7.9383678266080615E-3</v>
      </c>
    </row>
    <row r="45" spans="1:18" s="38" customFormat="1" ht="23.25" hidden="1" customHeight="1">
      <c r="A45" s="17">
        <v>201710</v>
      </c>
      <c r="B45" s="34" t="s">
        <v>909</v>
      </c>
      <c r="C45" s="34" t="s">
        <v>14</v>
      </c>
      <c r="D45" s="35">
        <v>43111</v>
      </c>
      <c r="E45" s="33" t="s">
        <v>882</v>
      </c>
      <c r="F45" s="36">
        <v>408</v>
      </c>
      <c r="G45" s="37">
        <v>43125</v>
      </c>
      <c r="H45" s="34" t="s">
        <v>718</v>
      </c>
      <c r="I45" s="34" t="s">
        <v>883</v>
      </c>
      <c r="J45" s="72">
        <v>165</v>
      </c>
      <c r="K45" s="72"/>
      <c r="L45" s="72"/>
      <c r="M45" s="72"/>
      <c r="N45" s="72">
        <v>202</v>
      </c>
      <c r="O45" s="66">
        <v>0.81683168316831678</v>
      </c>
      <c r="P45" s="72">
        <v>6</v>
      </c>
      <c r="Q45" s="108">
        <f t="shared" ref="Q45:Q52" si="8">F45/$F$361</f>
        <v>4.0621266427718038E-2</v>
      </c>
      <c r="R45" s="108">
        <f t="shared" si="7"/>
        <v>3.3180737428581561E-2</v>
      </c>
    </row>
    <row r="46" spans="1:18" s="38" customFormat="1" ht="23.25" hidden="1" customHeight="1">
      <c r="A46" s="17">
        <v>201710</v>
      </c>
      <c r="B46" s="34" t="s">
        <v>910</v>
      </c>
      <c r="C46" s="34" t="s">
        <v>14</v>
      </c>
      <c r="D46" s="35">
        <v>43111</v>
      </c>
      <c r="E46" s="33" t="s">
        <v>882</v>
      </c>
      <c r="F46" s="36">
        <v>408</v>
      </c>
      <c r="G46" s="37">
        <v>43122</v>
      </c>
      <c r="H46" s="34" t="s">
        <v>718</v>
      </c>
      <c r="I46" s="34" t="s">
        <v>883</v>
      </c>
      <c r="J46" s="72">
        <v>165</v>
      </c>
      <c r="K46" s="72"/>
      <c r="L46" s="72"/>
      <c r="M46" s="72"/>
      <c r="N46" s="72">
        <v>202</v>
      </c>
      <c r="O46" s="66">
        <v>0.81683168316831678</v>
      </c>
      <c r="P46" s="72">
        <v>6</v>
      </c>
      <c r="Q46" s="108">
        <f t="shared" si="8"/>
        <v>4.0621266427718038E-2</v>
      </c>
      <c r="R46" s="108">
        <f t="shared" si="7"/>
        <v>3.3180737428581561E-2</v>
      </c>
    </row>
    <row r="47" spans="1:18" s="38" customFormat="1" ht="23.25" hidden="1" customHeight="1">
      <c r="A47" s="17">
        <v>201710</v>
      </c>
      <c r="B47" s="34" t="s">
        <v>911</v>
      </c>
      <c r="C47" s="34" t="s">
        <v>14</v>
      </c>
      <c r="D47" s="35">
        <v>43111</v>
      </c>
      <c r="E47" s="33" t="s">
        <v>885</v>
      </c>
      <c r="F47" s="36">
        <v>408</v>
      </c>
      <c r="G47" s="37">
        <v>43122</v>
      </c>
      <c r="H47" s="34" t="s">
        <v>718</v>
      </c>
      <c r="I47" s="34" t="s">
        <v>883</v>
      </c>
      <c r="J47" s="72">
        <v>165</v>
      </c>
      <c r="K47" s="72"/>
      <c r="L47" s="72"/>
      <c r="M47" s="72"/>
      <c r="N47" s="72">
        <v>202</v>
      </c>
      <c r="O47" s="66">
        <v>0.81683168316831678</v>
      </c>
      <c r="P47" s="72">
        <v>6</v>
      </c>
      <c r="Q47" s="108">
        <f t="shared" si="8"/>
        <v>4.0621266427718038E-2</v>
      </c>
      <c r="R47" s="108">
        <f t="shared" si="7"/>
        <v>3.3180737428581561E-2</v>
      </c>
    </row>
    <row r="48" spans="1:18" s="38" customFormat="1" ht="23.25" hidden="1" customHeight="1">
      <c r="A48" s="17">
        <v>201710</v>
      </c>
      <c r="B48" s="34" t="s">
        <v>912</v>
      </c>
      <c r="C48" s="34" t="s">
        <v>14</v>
      </c>
      <c r="D48" s="35">
        <v>43112</v>
      </c>
      <c r="E48" s="33" t="s">
        <v>885</v>
      </c>
      <c r="F48" s="36">
        <v>792</v>
      </c>
      <c r="G48" s="37">
        <v>43125</v>
      </c>
      <c r="H48" s="34" t="s">
        <v>718</v>
      </c>
      <c r="I48" s="34" t="s">
        <v>883</v>
      </c>
      <c r="J48" s="72">
        <v>165</v>
      </c>
      <c r="K48" s="72"/>
      <c r="L48" s="72"/>
      <c r="M48" s="72"/>
      <c r="N48" s="72">
        <v>202</v>
      </c>
      <c r="O48" s="66">
        <v>0.81683168316831678</v>
      </c>
      <c r="P48" s="72">
        <v>6</v>
      </c>
      <c r="Q48" s="108">
        <f t="shared" si="8"/>
        <v>7.8853046594982074E-2</v>
      </c>
      <c r="R48" s="108">
        <f t="shared" si="7"/>
        <v>6.4409666773128912E-2</v>
      </c>
    </row>
    <row r="49" spans="1:18" s="38" customFormat="1" ht="23.25" hidden="1" customHeight="1">
      <c r="A49" s="17">
        <v>201710</v>
      </c>
      <c r="B49" s="34" t="s">
        <v>913</v>
      </c>
      <c r="C49" s="34" t="s">
        <v>14</v>
      </c>
      <c r="D49" s="35">
        <v>43112</v>
      </c>
      <c r="E49" s="33" t="s">
        <v>887</v>
      </c>
      <c r="F49" s="36">
        <v>408</v>
      </c>
      <c r="G49" s="37">
        <v>43122</v>
      </c>
      <c r="H49" s="34" t="s">
        <v>718</v>
      </c>
      <c r="I49" s="34" t="s">
        <v>877</v>
      </c>
      <c r="J49" s="72">
        <v>150</v>
      </c>
      <c r="K49" s="72"/>
      <c r="L49" s="72"/>
      <c r="M49" s="72"/>
      <c r="N49" s="72">
        <v>190</v>
      </c>
      <c r="O49" s="66">
        <v>0.78947368421052633</v>
      </c>
      <c r="P49" s="72">
        <v>6</v>
      </c>
      <c r="Q49" s="108">
        <f t="shared" si="8"/>
        <v>4.0621266427718038E-2</v>
      </c>
      <c r="R49" s="108">
        <f t="shared" si="7"/>
        <v>3.2069420863987924E-2</v>
      </c>
    </row>
    <row r="50" spans="1:18" s="38" customFormat="1" ht="23.25" hidden="1" customHeight="1">
      <c r="A50" s="17">
        <v>201710</v>
      </c>
      <c r="B50" s="34" t="s">
        <v>914</v>
      </c>
      <c r="C50" s="34" t="s">
        <v>14</v>
      </c>
      <c r="D50" s="35">
        <v>43113</v>
      </c>
      <c r="E50" s="33" t="s">
        <v>887</v>
      </c>
      <c r="F50" s="36">
        <v>264</v>
      </c>
      <c r="G50" s="37">
        <v>43125</v>
      </c>
      <c r="H50" s="34" t="s">
        <v>718</v>
      </c>
      <c r="I50" s="34" t="s">
        <v>877</v>
      </c>
      <c r="J50" s="72">
        <v>150</v>
      </c>
      <c r="K50" s="72"/>
      <c r="L50" s="72"/>
      <c r="M50" s="72"/>
      <c r="N50" s="72">
        <v>190</v>
      </c>
      <c r="O50" s="66">
        <v>0.78947368421052633</v>
      </c>
      <c r="P50" s="72">
        <v>6</v>
      </c>
      <c r="Q50" s="108">
        <f t="shared" si="8"/>
        <v>2.6284348864994027E-2</v>
      </c>
      <c r="R50" s="108">
        <f t="shared" si="7"/>
        <v>2.0750801735521601E-2</v>
      </c>
    </row>
    <row r="51" spans="1:18" s="38" customFormat="1" ht="23.25" hidden="1" customHeight="1">
      <c r="A51" s="17">
        <v>201710</v>
      </c>
      <c r="B51" s="34" t="s">
        <v>915</v>
      </c>
      <c r="C51" s="34" t="s">
        <v>14</v>
      </c>
      <c r="D51" s="35">
        <v>43113</v>
      </c>
      <c r="E51" s="33" t="s">
        <v>887</v>
      </c>
      <c r="F51" s="36">
        <v>288</v>
      </c>
      <c r="G51" s="37">
        <v>43138</v>
      </c>
      <c r="H51" s="34" t="s">
        <v>717</v>
      </c>
      <c r="I51" s="34" t="s">
        <v>877</v>
      </c>
      <c r="J51" s="72">
        <v>150</v>
      </c>
      <c r="K51" s="72"/>
      <c r="L51" s="72"/>
      <c r="M51" s="72"/>
      <c r="N51" s="72">
        <v>190</v>
      </c>
      <c r="O51" s="66">
        <v>0.78947368421052633</v>
      </c>
      <c r="P51" s="72">
        <v>6</v>
      </c>
      <c r="Q51" s="108">
        <f t="shared" si="8"/>
        <v>2.8673835125448029E-2</v>
      </c>
      <c r="R51" s="108">
        <f t="shared" si="7"/>
        <v>2.2637238256932656E-2</v>
      </c>
    </row>
    <row r="52" spans="1:18" s="38" customFormat="1" ht="23.25" hidden="1" customHeight="1">
      <c r="A52" s="17">
        <v>201710</v>
      </c>
      <c r="B52" s="34" t="s">
        <v>916</v>
      </c>
      <c r="C52" s="34" t="s">
        <v>14</v>
      </c>
      <c r="D52" s="35">
        <v>43113</v>
      </c>
      <c r="E52" s="33" t="s">
        <v>887</v>
      </c>
      <c r="F52" s="36">
        <v>324</v>
      </c>
      <c r="G52" s="37">
        <v>43155</v>
      </c>
      <c r="H52" s="34" t="s">
        <v>718</v>
      </c>
      <c r="I52" s="34" t="s">
        <v>877</v>
      </c>
      <c r="J52" s="72">
        <v>150</v>
      </c>
      <c r="K52" s="72"/>
      <c r="L52" s="72"/>
      <c r="M52" s="72"/>
      <c r="N52" s="72">
        <v>190</v>
      </c>
      <c r="O52" s="66">
        <v>0.78947368421052633</v>
      </c>
      <c r="P52" s="72">
        <v>6</v>
      </c>
      <c r="Q52" s="108">
        <f t="shared" si="8"/>
        <v>3.2258064516129031E-2</v>
      </c>
      <c r="R52" s="108">
        <f t="shared" si="7"/>
        <v>2.5466893039049237E-2</v>
      </c>
    </row>
    <row r="53" spans="1:18" s="38" customFormat="1" ht="23.25" hidden="1" customHeight="1">
      <c r="A53" s="17">
        <v>201710</v>
      </c>
      <c r="B53" s="34" t="s">
        <v>917</v>
      </c>
      <c r="C53" s="34" t="s">
        <v>14</v>
      </c>
      <c r="D53" s="35">
        <v>43113</v>
      </c>
      <c r="E53" s="33" t="s">
        <v>918</v>
      </c>
      <c r="F53" s="36">
        <v>132</v>
      </c>
      <c r="G53" s="37">
        <v>43121</v>
      </c>
      <c r="H53" s="34" t="s">
        <v>718</v>
      </c>
      <c r="I53" s="34" t="s">
        <v>919</v>
      </c>
      <c r="J53" s="72">
        <v>170</v>
      </c>
      <c r="K53" s="72"/>
      <c r="L53" s="72"/>
      <c r="M53" s="72"/>
      <c r="N53" s="72">
        <v>181</v>
      </c>
      <c r="O53" s="66">
        <v>0.93922651933701662</v>
      </c>
      <c r="P53" s="72">
        <v>5</v>
      </c>
      <c r="Q53" s="108">
        <f t="shared" ref="Q53:Q68" si="9">F53/$F$360</f>
        <v>5.1651275629989047E-3</v>
      </c>
      <c r="R53" s="108">
        <f t="shared" ref="R53:R72" si="10">O53*Q53</f>
        <v>4.8512247829271479E-3</v>
      </c>
    </row>
    <row r="54" spans="1:18" s="38" customFormat="1" ht="23.25" hidden="1" customHeight="1">
      <c r="A54" s="17">
        <v>201710</v>
      </c>
      <c r="B54" s="34" t="s">
        <v>920</v>
      </c>
      <c r="C54" s="34" t="s">
        <v>14</v>
      </c>
      <c r="D54" s="35">
        <v>43113</v>
      </c>
      <c r="E54" s="33" t="s">
        <v>918</v>
      </c>
      <c r="F54" s="36">
        <v>144</v>
      </c>
      <c r="G54" s="37">
        <v>43120</v>
      </c>
      <c r="H54" s="34" t="s">
        <v>725</v>
      </c>
      <c r="I54" s="34" t="s">
        <v>919</v>
      </c>
      <c r="J54" s="72">
        <v>170</v>
      </c>
      <c r="K54" s="72"/>
      <c r="L54" s="72"/>
      <c r="M54" s="72"/>
      <c r="N54" s="72">
        <v>181</v>
      </c>
      <c r="O54" s="66">
        <v>0.93922651933701662</v>
      </c>
      <c r="P54" s="72">
        <v>5</v>
      </c>
      <c r="Q54" s="108">
        <f t="shared" si="9"/>
        <v>5.6346846141806231E-3</v>
      </c>
      <c r="R54" s="108">
        <f t="shared" si="10"/>
        <v>5.2922452177387074E-3</v>
      </c>
    </row>
    <row r="55" spans="1:18" s="38" customFormat="1" ht="23.25" hidden="1" customHeight="1">
      <c r="A55" s="17">
        <v>201710</v>
      </c>
      <c r="B55" s="34" t="s">
        <v>921</v>
      </c>
      <c r="C55" s="34" t="s">
        <v>14</v>
      </c>
      <c r="D55" s="35">
        <v>43115</v>
      </c>
      <c r="E55" s="33" t="s">
        <v>922</v>
      </c>
      <c r="F55" s="36">
        <v>516</v>
      </c>
      <c r="G55" s="37">
        <v>43125</v>
      </c>
      <c r="H55" s="34" t="s">
        <v>718</v>
      </c>
      <c r="I55" s="34" t="s">
        <v>919</v>
      </c>
      <c r="J55" s="72">
        <v>170</v>
      </c>
      <c r="K55" s="72"/>
      <c r="L55" s="72"/>
      <c r="M55" s="72"/>
      <c r="N55" s="72">
        <v>181</v>
      </c>
      <c r="O55" s="66">
        <v>0.93922651933701662</v>
      </c>
      <c r="P55" s="72">
        <v>5</v>
      </c>
      <c r="Q55" s="108">
        <f t="shared" si="9"/>
        <v>2.0190953200813898E-2</v>
      </c>
      <c r="R55" s="108">
        <f t="shared" si="10"/>
        <v>1.8963878696897033E-2</v>
      </c>
    </row>
    <row r="56" spans="1:18" s="38" customFormat="1" ht="23.25" hidden="1" customHeight="1">
      <c r="A56" s="17">
        <v>201710</v>
      </c>
      <c r="B56" s="34" t="s">
        <v>923</v>
      </c>
      <c r="C56" s="34" t="s">
        <v>14</v>
      </c>
      <c r="D56" s="35">
        <v>43115</v>
      </c>
      <c r="E56" s="33" t="s">
        <v>922</v>
      </c>
      <c r="F56" s="36">
        <v>660</v>
      </c>
      <c r="G56" s="37">
        <v>43120</v>
      </c>
      <c r="H56" s="34" t="s">
        <v>730</v>
      </c>
      <c r="I56" s="34" t="s">
        <v>919</v>
      </c>
      <c r="J56" s="72">
        <v>170</v>
      </c>
      <c r="K56" s="72"/>
      <c r="L56" s="72"/>
      <c r="M56" s="72"/>
      <c r="N56" s="72">
        <v>181</v>
      </c>
      <c r="O56" s="66">
        <v>0.93922651933701662</v>
      </c>
      <c r="P56" s="72">
        <v>5</v>
      </c>
      <c r="Q56" s="108">
        <f t="shared" si="9"/>
        <v>2.5825637814994522E-2</v>
      </c>
      <c r="R56" s="108">
        <f t="shared" si="10"/>
        <v>2.425612391463574E-2</v>
      </c>
    </row>
    <row r="57" spans="1:18" s="38" customFormat="1" ht="23.25" hidden="1" customHeight="1">
      <c r="A57" s="17">
        <v>201710</v>
      </c>
      <c r="B57" s="34" t="s">
        <v>924</v>
      </c>
      <c r="C57" s="34" t="s">
        <v>14</v>
      </c>
      <c r="D57" s="35">
        <v>43115</v>
      </c>
      <c r="E57" s="33" t="s">
        <v>922</v>
      </c>
      <c r="F57" s="36">
        <v>144</v>
      </c>
      <c r="G57" s="37">
        <v>43120</v>
      </c>
      <c r="H57" s="34" t="s">
        <v>725</v>
      </c>
      <c r="I57" s="34" t="s">
        <v>919</v>
      </c>
      <c r="J57" s="72">
        <v>170</v>
      </c>
      <c r="K57" s="72"/>
      <c r="L57" s="72"/>
      <c r="M57" s="72"/>
      <c r="N57" s="72">
        <v>181</v>
      </c>
      <c r="O57" s="66">
        <v>0.93922651933701662</v>
      </c>
      <c r="P57" s="72">
        <v>5</v>
      </c>
      <c r="Q57" s="108">
        <f t="shared" si="9"/>
        <v>5.6346846141806231E-3</v>
      </c>
      <c r="R57" s="108">
        <f t="shared" si="10"/>
        <v>5.2922452177387074E-3</v>
      </c>
    </row>
    <row r="58" spans="1:18" s="38" customFormat="1" ht="23.25" hidden="1" customHeight="1">
      <c r="A58" s="17">
        <v>201710</v>
      </c>
      <c r="B58" s="34" t="s">
        <v>925</v>
      </c>
      <c r="C58" s="34" t="s">
        <v>14</v>
      </c>
      <c r="D58" s="35">
        <v>43116</v>
      </c>
      <c r="E58" s="33" t="s">
        <v>922</v>
      </c>
      <c r="F58" s="36">
        <v>432</v>
      </c>
      <c r="G58" s="37">
        <v>43138</v>
      </c>
      <c r="H58" s="34" t="s">
        <v>717</v>
      </c>
      <c r="I58" s="34" t="s">
        <v>919</v>
      </c>
      <c r="J58" s="72">
        <v>170</v>
      </c>
      <c r="K58" s="72"/>
      <c r="L58" s="72"/>
      <c r="M58" s="72"/>
      <c r="N58" s="72">
        <v>181</v>
      </c>
      <c r="O58" s="66">
        <v>0.93922651933701662</v>
      </c>
      <c r="P58" s="72">
        <v>5</v>
      </c>
      <c r="Q58" s="108">
        <f t="shared" si="9"/>
        <v>1.6904053842541868E-2</v>
      </c>
      <c r="R58" s="108">
        <f t="shared" si="10"/>
        <v>1.587673565321612E-2</v>
      </c>
    </row>
    <row r="59" spans="1:18" s="38" customFormat="1" ht="23.25" hidden="1" customHeight="1">
      <c r="A59" s="17">
        <v>201710</v>
      </c>
      <c r="B59" s="34" t="s">
        <v>926</v>
      </c>
      <c r="C59" s="34" t="s">
        <v>14</v>
      </c>
      <c r="D59" s="35">
        <v>43116</v>
      </c>
      <c r="E59" s="33" t="s">
        <v>922</v>
      </c>
      <c r="F59" s="36">
        <v>1080</v>
      </c>
      <c r="G59" s="37">
        <v>43138</v>
      </c>
      <c r="H59" s="34" t="s">
        <v>717</v>
      </c>
      <c r="I59" s="34" t="s">
        <v>919</v>
      </c>
      <c r="J59" s="72">
        <v>170</v>
      </c>
      <c r="K59" s="72"/>
      <c r="L59" s="72"/>
      <c r="M59" s="72"/>
      <c r="N59" s="72">
        <v>181</v>
      </c>
      <c r="O59" s="66">
        <v>0.93922651933701662</v>
      </c>
      <c r="P59" s="72">
        <v>5</v>
      </c>
      <c r="Q59" s="108">
        <f t="shared" si="9"/>
        <v>4.2260134606354673E-2</v>
      </c>
      <c r="R59" s="108">
        <f t="shared" si="10"/>
        <v>3.9691839133040301E-2</v>
      </c>
    </row>
    <row r="60" spans="1:18" s="38" customFormat="1" ht="23.25" hidden="1" customHeight="1">
      <c r="A60" s="17">
        <v>201710</v>
      </c>
      <c r="B60" s="34" t="s">
        <v>927</v>
      </c>
      <c r="C60" s="34" t="s">
        <v>14</v>
      </c>
      <c r="D60" s="35">
        <v>43117</v>
      </c>
      <c r="E60" s="33" t="s">
        <v>922</v>
      </c>
      <c r="F60" s="36">
        <v>588</v>
      </c>
      <c r="G60" s="37">
        <v>43153</v>
      </c>
      <c r="H60" s="34" t="s">
        <v>717</v>
      </c>
      <c r="I60" s="34" t="s">
        <v>919</v>
      </c>
      <c r="J60" s="72">
        <v>170</v>
      </c>
      <c r="K60" s="72"/>
      <c r="L60" s="72"/>
      <c r="M60" s="72"/>
      <c r="N60" s="72">
        <v>181</v>
      </c>
      <c r="O60" s="66">
        <v>0.93922651933701662</v>
      </c>
      <c r="P60" s="72">
        <v>5</v>
      </c>
      <c r="Q60" s="108">
        <f t="shared" si="9"/>
        <v>2.300829550790421E-2</v>
      </c>
      <c r="R60" s="108">
        <f t="shared" si="10"/>
        <v>2.1610001305766385E-2</v>
      </c>
    </row>
    <row r="61" spans="1:18" s="38" customFormat="1" ht="23.25" hidden="1" customHeight="1">
      <c r="A61" s="17">
        <v>201710</v>
      </c>
      <c r="B61" s="34" t="s">
        <v>928</v>
      </c>
      <c r="C61" s="34" t="s">
        <v>14</v>
      </c>
      <c r="D61" s="35">
        <v>43117</v>
      </c>
      <c r="E61" s="33" t="s">
        <v>922</v>
      </c>
      <c r="F61" s="36">
        <v>180</v>
      </c>
      <c r="G61" s="37">
        <v>43139</v>
      </c>
      <c r="H61" s="34" t="s">
        <v>720</v>
      </c>
      <c r="I61" s="34" t="s">
        <v>919</v>
      </c>
      <c r="J61" s="72">
        <v>170</v>
      </c>
      <c r="K61" s="72"/>
      <c r="L61" s="72"/>
      <c r="M61" s="72"/>
      <c r="N61" s="72">
        <v>181</v>
      </c>
      <c r="O61" s="66">
        <v>0.93922651933701662</v>
      </c>
      <c r="P61" s="72">
        <v>5</v>
      </c>
      <c r="Q61" s="108">
        <f t="shared" si="9"/>
        <v>7.0433557677257791E-3</v>
      </c>
      <c r="R61" s="108">
        <f t="shared" si="10"/>
        <v>6.615306522173384E-3</v>
      </c>
    </row>
    <row r="62" spans="1:18" s="38" customFormat="1" ht="23.25" hidden="1" customHeight="1">
      <c r="A62" s="17">
        <v>201710</v>
      </c>
      <c r="B62" s="34" t="s">
        <v>929</v>
      </c>
      <c r="C62" s="34" t="s">
        <v>14</v>
      </c>
      <c r="D62" s="35">
        <v>43117</v>
      </c>
      <c r="E62" s="33" t="s">
        <v>922</v>
      </c>
      <c r="F62" s="36">
        <v>204</v>
      </c>
      <c r="G62" s="37">
        <v>43139</v>
      </c>
      <c r="H62" s="34" t="s">
        <v>720</v>
      </c>
      <c r="I62" s="34" t="s">
        <v>919</v>
      </c>
      <c r="J62" s="72">
        <v>170</v>
      </c>
      <c r="K62" s="72"/>
      <c r="L62" s="72"/>
      <c r="M62" s="72"/>
      <c r="N62" s="72">
        <v>181</v>
      </c>
      <c r="O62" s="66">
        <v>0.93922651933701662</v>
      </c>
      <c r="P62" s="72">
        <v>5</v>
      </c>
      <c r="Q62" s="108">
        <f t="shared" si="9"/>
        <v>7.9824698700892167E-3</v>
      </c>
      <c r="R62" s="108">
        <f t="shared" si="10"/>
        <v>7.4973473917965021E-3</v>
      </c>
    </row>
    <row r="63" spans="1:18" s="38" customFormat="1" ht="23.25" hidden="1" customHeight="1">
      <c r="A63" s="17">
        <v>201710</v>
      </c>
      <c r="B63" s="34" t="s">
        <v>930</v>
      </c>
      <c r="C63" s="34" t="s">
        <v>14</v>
      </c>
      <c r="D63" s="35">
        <v>43117</v>
      </c>
      <c r="E63" s="33" t="s">
        <v>918</v>
      </c>
      <c r="F63" s="36">
        <v>576</v>
      </c>
      <c r="G63" s="37">
        <v>43125</v>
      </c>
      <c r="H63" s="34" t="s">
        <v>718</v>
      </c>
      <c r="I63" s="34" t="s">
        <v>919</v>
      </c>
      <c r="J63" s="72">
        <v>170</v>
      </c>
      <c r="K63" s="72"/>
      <c r="L63" s="72"/>
      <c r="M63" s="72"/>
      <c r="N63" s="72">
        <v>181</v>
      </c>
      <c r="O63" s="66">
        <v>0.93922651933701662</v>
      </c>
      <c r="P63" s="72">
        <v>5</v>
      </c>
      <c r="Q63" s="108">
        <f t="shared" si="9"/>
        <v>2.2538738456722492E-2</v>
      </c>
      <c r="R63" s="108">
        <f t="shared" si="10"/>
        <v>2.116898087095483E-2</v>
      </c>
    </row>
    <row r="64" spans="1:18" s="38" customFormat="1" ht="23.25" hidden="1" customHeight="1">
      <c r="A64" s="17">
        <v>201710</v>
      </c>
      <c r="B64" s="34" t="s">
        <v>931</v>
      </c>
      <c r="C64" s="34" t="s">
        <v>14</v>
      </c>
      <c r="D64" s="35">
        <v>43118</v>
      </c>
      <c r="E64" s="33" t="s">
        <v>918</v>
      </c>
      <c r="F64" s="36">
        <v>804</v>
      </c>
      <c r="G64" s="37">
        <v>43129</v>
      </c>
      <c r="H64" s="34" t="s">
        <v>730</v>
      </c>
      <c r="I64" s="34" t="s">
        <v>919</v>
      </c>
      <c r="J64" s="72">
        <v>170</v>
      </c>
      <c r="K64" s="72"/>
      <c r="L64" s="72"/>
      <c r="M64" s="72"/>
      <c r="N64" s="72">
        <v>181</v>
      </c>
      <c r="O64" s="66">
        <v>0.93922651933701662</v>
      </c>
      <c r="P64" s="72">
        <v>5</v>
      </c>
      <c r="Q64" s="108">
        <f t="shared" si="9"/>
        <v>3.1460322429175146E-2</v>
      </c>
      <c r="R64" s="108">
        <f t="shared" si="10"/>
        <v>2.9548369132374446E-2</v>
      </c>
    </row>
    <row r="65" spans="1:18" s="38" customFormat="1" ht="23.25" hidden="1" customHeight="1">
      <c r="A65" s="17">
        <v>201710</v>
      </c>
      <c r="B65" s="34" t="s">
        <v>932</v>
      </c>
      <c r="C65" s="34" t="s">
        <v>14</v>
      </c>
      <c r="D65" s="35">
        <v>43119</v>
      </c>
      <c r="E65" s="33" t="s">
        <v>918</v>
      </c>
      <c r="F65" s="36">
        <v>420</v>
      </c>
      <c r="G65" s="37">
        <v>43138</v>
      </c>
      <c r="H65" s="34" t="s">
        <v>717</v>
      </c>
      <c r="I65" s="34" t="s">
        <v>919</v>
      </c>
      <c r="J65" s="72">
        <v>170</v>
      </c>
      <c r="K65" s="72"/>
      <c r="L65" s="72"/>
      <c r="M65" s="72"/>
      <c r="N65" s="72">
        <v>181</v>
      </c>
      <c r="O65" s="66">
        <v>0.93922651933701662</v>
      </c>
      <c r="P65" s="72">
        <v>5</v>
      </c>
      <c r="Q65" s="108">
        <f t="shared" si="9"/>
        <v>1.6434496791360151E-2</v>
      </c>
      <c r="R65" s="108">
        <f t="shared" si="10"/>
        <v>1.5435715218404563E-2</v>
      </c>
    </row>
    <row r="66" spans="1:18" s="38" customFormat="1" ht="23.25" hidden="1" customHeight="1">
      <c r="A66" s="17">
        <v>201710</v>
      </c>
      <c r="B66" s="34" t="s">
        <v>933</v>
      </c>
      <c r="C66" s="34" t="s">
        <v>14</v>
      </c>
      <c r="D66" s="35">
        <v>43119</v>
      </c>
      <c r="E66" s="33" t="s">
        <v>918</v>
      </c>
      <c r="F66" s="36">
        <v>1692</v>
      </c>
      <c r="G66" s="37">
        <v>43138</v>
      </c>
      <c r="H66" s="34" t="s">
        <v>717</v>
      </c>
      <c r="I66" s="34" t="s">
        <v>919</v>
      </c>
      <c r="J66" s="72">
        <v>170</v>
      </c>
      <c r="K66" s="72"/>
      <c r="L66" s="72"/>
      <c r="M66" s="72"/>
      <c r="N66" s="72">
        <v>181</v>
      </c>
      <c r="O66" s="66">
        <v>0.93922651933701662</v>
      </c>
      <c r="P66" s="72">
        <v>5</v>
      </c>
      <c r="Q66" s="108">
        <f t="shared" si="9"/>
        <v>6.6207544216622324E-2</v>
      </c>
      <c r="R66" s="108">
        <f t="shared" si="10"/>
        <v>6.2183881308429813E-2</v>
      </c>
    </row>
    <row r="67" spans="1:18" s="38" customFormat="1" ht="23.25" hidden="1" customHeight="1">
      <c r="A67" s="17">
        <v>201710</v>
      </c>
      <c r="B67" s="34" t="s">
        <v>934</v>
      </c>
      <c r="C67" s="34" t="s">
        <v>14</v>
      </c>
      <c r="D67" s="35">
        <v>43120</v>
      </c>
      <c r="E67" s="33" t="s">
        <v>918</v>
      </c>
      <c r="F67" s="36">
        <v>240</v>
      </c>
      <c r="G67" s="37">
        <v>43139</v>
      </c>
      <c r="H67" s="34" t="s">
        <v>720</v>
      </c>
      <c r="I67" s="34" t="s">
        <v>919</v>
      </c>
      <c r="J67" s="72">
        <v>170</v>
      </c>
      <c r="K67" s="72"/>
      <c r="L67" s="72"/>
      <c r="M67" s="72"/>
      <c r="N67" s="72">
        <v>181</v>
      </c>
      <c r="O67" s="66">
        <v>0.93922651933701662</v>
      </c>
      <c r="P67" s="72">
        <v>5</v>
      </c>
      <c r="Q67" s="108">
        <f t="shared" si="9"/>
        <v>9.3911410236343709E-3</v>
      </c>
      <c r="R67" s="108">
        <f t="shared" si="10"/>
        <v>8.8204086962311769E-3</v>
      </c>
    </row>
    <row r="68" spans="1:18" s="38" customFormat="1" ht="23.25" hidden="1" customHeight="1">
      <c r="A68" s="17">
        <v>201710</v>
      </c>
      <c r="B68" s="34" t="s">
        <v>935</v>
      </c>
      <c r="C68" s="34" t="s">
        <v>14</v>
      </c>
      <c r="D68" s="35">
        <v>43120</v>
      </c>
      <c r="E68" s="33" t="s">
        <v>918</v>
      </c>
      <c r="F68" s="36">
        <v>204</v>
      </c>
      <c r="G68" s="37">
        <v>43139</v>
      </c>
      <c r="H68" s="34" t="s">
        <v>720</v>
      </c>
      <c r="I68" s="34" t="s">
        <v>919</v>
      </c>
      <c r="J68" s="72">
        <v>170</v>
      </c>
      <c r="K68" s="72"/>
      <c r="L68" s="72"/>
      <c r="M68" s="72"/>
      <c r="N68" s="72">
        <v>181</v>
      </c>
      <c r="O68" s="66">
        <v>0.93922651933701662</v>
      </c>
      <c r="P68" s="72">
        <v>5</v>
      </c>
      <c r="Q68" s="108">
        <f t="shared" si="9"/>
        <v>7.9824698700892167E-3</v>
      </c>
      <c r="R68" s="108">
        <f t="shared" si="10"/>
        <v>7.4973473917965021E-3</v>
      </c>
    </row>
    <row r="69" spans="1:18" s="38" customFormat="1" ht="23.25" hidden="1" customHeight="1">
      <c r="A69" s="17">
        <v>201710</v>
      </c>
      <c r="B69" s="34" t="s">
        <v>936</v>
      </c>
      <c r="C69" s="34" t="s">
        <v>14</v>
      </c>
      <c r="D69" s="35">
        <v>43120</v>
      </c>
      <c r="E69" s="33" t="s">
        <v>937</v>
      </c>
      <c r="F69" s="36">
        <v>120</v>
      </c>
      <c r="G69" s="37">
        <v>43127</v>
      </c>
      <c r="H69" s="34" t="s">
        <v>717</v>
      </c>
      <c r="I69" s="34" t="s">
        <v>938</v>
      </c>
      <c r="J69" s="72">
        <v>160</v>
      </c>
      <c r="K69" s="72"/>
      <c r="L69" s="72"/>
      <c r="M69" s="72"/>
      <c r="N69" s="72">
        <v>199</v>
      </c>
      <c r="O69" s="66">
        <v>0.8040201005025126</v>
      </c>
      <c r="P69" s="72">
        <v>6</v>
      </c>
      <c r="Q69" s="108">
        <f t="shared" ref="Q69:Q72" si="11">F69/$F$361</f>
        <v>1.1947431302270013E-2</v>
      </c>
      <c r="R69" s="108">
        <f t="shared" si="10"/>
        <v>9.6059749163980006E-3</v>
      </c>
    </row>
    <row r="70" spans="1:18" s="38" customFormat="1" ht="23.25" hidden="1" customHeight="1">
      <c r="A70" s="17">
        <v>201710</v>
      </c>
      <c r="B70" s="34" t="s">
        <v>939</v>
      </c>
      <c r="C70" s="34" t="s">
        <v>14</v>
      </c>
      <c r="D70" s="35">
        <v>43120</v>
      </c>
      <c r="E70" s="33" t="s">
        <v>937</v>
      </c>
      <c r="F70" s="36">
        <v>360</v>
      </c>
      <c r="G70" s="37">
        <v>43138</v>
      </c>
      <c r="H70" s="34" t="s">
        <v>717</v>
      </c>
      <c r="I70" s="34" t="s">
        <v>938</v>
      </c>
      <c r="J70" s="72">
        <v>160</v>
      </c>
      <c r="K70" s="72"/>
      <c r="L70" s="72"/>
      <c r="M70" s="72"/>
      <c r="N70" s="72">
        <v>199</v>
      </c>
      <c r="O70" s="66">
        <v>0.8040201005025126</v>
      </c>
      <c r="P70" s="72">
        <v>6</v>
      </c>
      <c r="Q70" s="108">
        <f t="shared" si="11"/>
        <v>3.5842293906810034E-2</v>
      </c>
      <c r="R70" s="108">
        <f t="shared" si="10"/>
        <v>2.8817924749194E-2</v>
      </c>
    </row>
    <row r="71" spans="1:18" s="38" customFormat="1" ht="23.25" hidden="1" customHeight="1">
      <c r="A71" s="17">
        <v>201710</v>
      </c>
      <c r="B71" s="34" t="s">
        <v>940</v>
      </c>
      <c r="C71" s="34" t="s">
        <v>14</v>
      </c>
      <c r="D71" s="35">
        <v>43122</v>
      </c>
      <c r="E71" s="33" t="s">
        <v>937</v>
      </c>
      <c r="F71" s="36">
        <v>576</v>
      </c>
      <c r="G71" s="37">
        <v>43138</v>
      </c>
      <c r="H71" s="34" t="s">
        <v>717</v>
      </c>
      <c r="I71" s="34" t="s">
        <v>938</v>
      </c>
      <c r="J71" s="72">
        <v>160</v>
      </c>
      <c r="K71" s="72"/>
      <c r="L71" s="72"/>
      <c r="M71" s="72"/>
      <c r="N71" s="72">
        <v>199</v>
      </c>
      <c r="O71" s="66">
        <v>0.8040201005025126</v>
      </c>
      <c r="P71" s="72">
        <v>6</v>
      </c>
      <c r="Q71" s="108">
        <f t="shared" si="11"/>
        <v>5.7347670250896057E-2</v>
      </c>
      <c r="R71" s="108">
        <f t="shared" si="10"/>
        <v>4.61086795987104E-2</v>
      </c>
    </row>
    <row r="72" spans="1:18" s="38" customFormat="1" ht="23.25" hidden="1" customHeight="1">
      <c r="A72" s="17">
        <v>201710</v>
      </c>
      <c r="B72" s="34" t="s">
        <v>941</v>
      </c>
      <c r="C72" s="34" t="s">
        <v>14</v>
      </c>
      <c r="D72" s="35">
        <v>43122</v>
      </c>
      <c r="E72" s="33" t="s">
        <v>937</v>
      </c>
      <c r="F72" s="36">
        <v>972</v>
      </c>
      <c r="G72" s="37">
        <v>43154</v>
      </c>
      <c r="H72" s="34" t="s">
        <v>724</v>
      </c>
      <c r="I72" s="34" t="s">
        <v>938</v>
      </c>
      <c r="J72" s="72">
        <v>160</v>
      </c>
      <c r="K72" s="72"/>
      <c r="L72" s="72"/>
      <c r="M72" s="72"/>
      <c r="N72" s="72">
        <v>199</v>
      </c>
      <c r="O72" s="66">
        <v>0.8040201005025126</v>
      </c>
      <c r="P72" s="72">
        <v>6</v>
      </c>
      <c r="Q72" s="108">
        <f t="shared" si="11"/>
        <v>9.6774193548387094E-2</v>
      </c>
      <c r="R72" s="108">
        <f t="shared" si="10"/>
        <v>7.7808396822823797E-2</v>
      </c>
    </row>
    <row r="73" spans="1:18" s="38" customFormat="1" ht="23.25" hidden="1" customHeight="1">
      <c r="A73" s="17">
        <v>201710</v>
      </c>
      <c r="B73" s="34" t="s">
        <v>942</v>
      </c>
      <c r="C73" s="34" t="s">
        <v>14</v>
      </c>
      <c r="D73" s="35">
        <v>43123</v>
      </c>
      <c r="E73" s="33" t="s">
        <v>894</v>
      </c>
      <c r="F73" s="36">
        <v>636</v>
      </c>
      <c r="G73" s="37">
        <v>43138</v>
      </c>
      <c r="H73" s="34" t="s">
        <v>717</v>
      </c>
      <c r="I73" s="34" t="s">
        <v>890</v>
      </c>
      <c r="J73" s="72">
        <v>180</v>
      </c>
      <c r="K73" s="72"/>
      <c r="L73" s="72"/>
      <c r="M73" s="72"/>
      <c r="N73" s="72">
        <v>181</v>
      </c>
      <c r="O73" s="66">
        <v>0.99447513812154698</v>
      </c>
      <c r="P73" s="72">
        <v>5</v>
      </c>
      <c r="Q73" s="108">
        <f t="shared" ref="Q73:Q74" si="12">F73/$F$360</f>
        <v>2.4886523712631083E-2</v>
      </c>
      <c r="R73" s="108">
        <f t="shared" ref="R73:R74" si="13">O73*Q73</f>
        <v>2.4749029106483949E-2</v>
      </c>
    </row>
    <row r="74" spans="1:18" s="38" customFormat="1" ht="23.25" hidden="1" customHeight="1">
      <c r="A74" s="17">
        <v>201710</v>
      </c>
      <c r="B74" s="34" t="s">
        <v>943</v>
      </c>
      <c r="C74" s="34" t="s">
        <v>14</v>
      </c>
      <c r="D74" s="35">
        <v>43123</v>
      </c>
      <c r="E74" s="33" t="s">
        <v>894</v>
      </c>
      <c r="F74" s="36">
        <v>312</v>
      </c>
      <c r="G74" s="37">
        <v>43155</v>
      </c>
      <c r="H74" s="34" t="s">
        <v>718</v>
      </c>
      <c r="I74" s="34" t="s">
        <v>890</v>
      </c>
      <c r="J74" s="72">
        <v>180</v>
      </c>
      <c r="K74" s="72"/>
      <c r="L74" s="72"/>
      <c r="M74" s="72"/>
      <c r="N74" s="72">
        <v>181</v>
      </c>
      <c r="O74" s="66">
        <v>0.99447513812154698</v>
      </c>
      <c r="P74" s="72">
        <v>5</v>
      </c>
      <c r="Q74" s="108">
        <f t="shared" si="12"/>
        <v>1.2208483330724683E-2</v>
      </c>
      <c r="R74" s="108">
        <f t="shared" si="13"/>
        <v>1.2141033146577032E-2</v>
      </c>
    </row>
    <row r="75" spans="1:18" s="38" customFormat="1" ht="23.25" hidden="1" customHeight="1">
      <c r="A75" s="17">
        <v>201710</v>
      </c>
      <c r="B75" s="34" t="s">
        <v>944</v>
      </c>
      <c r="C75" s="34" t="s">
        <v>14</v>
      </c>
      <c r="D75" s="35">
        <v>43123</v>
      </c>
      <c r="E75" s="33" t="s">
        <v>945</v>
      </c>
      <c r="F75" s="36">
        <v>120</v>
      </c>
      <c r="G75" s="37">
        <v>43139</v>
      </c>
      <c r="H75" s="34" t="s">
        <v>720</v>
      </c>
      <c r="I75" s="34" t="s">
        <v>946</v>
      </c>
      <c r="J75" s="72">
        <v>180</v>
      </c>
      <c r="K75" s="72"/>
      <c r="L75" s="72"/>
      <c r="M75" s="72"/>
      <c r="N75" s="72">
        <v>167</v>
      </c>
      <c r="O75" s="66">
        <v>1.0778443113772456</v>
      </c>
      <c r="P75" s="72">
        <v>4</v>
      </c>
      <c r="Q75" s="108"/>
      <c r="R75" s="108"/>
    </row>
    <row r="76" spans="1:18" s="38" customFormat="1" ht="23.25" hidden="1" customHeight="1">
      <c r="A76" s="17">
        <v>201710</v>
      </c>
      <c r="B76" s="34" t="s">
        <v>947</v>
      </c>
      <c r="C76" s="34" t="s">
        <v>14</v>
      </c>
      <c r="D76" s="35">
        <v>43123</v>
      </c>
      <c r="E76" s="33" t="s">
        <v>948</v>
      </c>
      <c r="F76" s="36">
        <v>120</v>
      </c>
      <c r="G76" s="37">
        <v>43139</v>
      </c>
      <c r="H76" s="34" t="s">
        <v>720</v>
      </c>
      <c r="I76" s="34" t="s">
        <v>946</v>
      </c>
      <c r="J76" s="72">
        <v>180</v>
      </c>
      <c r="K76" s="72"/>
      <c r="L76" s="72"/>
      <c r="M76" s="72"/>
      <c r="N76" s="72">
        <v>167</v>
      </c>
      <c r="O76" s="66">
        <v>1.0778443113772456</v>
      </c>
      <c r="P76" s="72">
        <v>4</v>
      </c>
      <c r="Q76" s="108"/>
      <c r="R76" s="108"/>
    </row>
    <row r="77" spans="1:18" s="38" customFormat="1" ht="23.25" hidden="1" customHeight="1">
      <c r="A77" s="17">
        <v>201710</v>
      </c>
      <c r="B77" s="34" t="s">
        <v>949</v>
      </c>
      <c r="C77" s="34" t="s">
        <v>14</v>
      </c>
      <c r="D77" s="35">
        <v>43124</v>
      </c>
      <c r="E77" s="33" t="s">
        <v>885</v>
      </c>
      <c r="F77" s="36">
        <v>480</v>
      </c>
      <c r="G77" s="37">
        <v>43138</v>
      </c>
      <c r="H77" s="34" t="s">
        <v>717</v>
      </c>
      <c r="I77" s="34" t="s">
        <v>883</v>
      </c>
      <c r="J77" s="72">
        <v>165</v>
      </c>
      <c r="K77" s="72"/>
      <c r="L77" s="72"/>
      <c r="M77" s="72"/>
      <c r="N77" s="72">
        <v>202</v>
      </c>
      <c r="O77" s="66">
        <v>0.81683168316831678</v>
      </c>
      <c r="P77" s="72">
        <v>6</v>
      </c>
      <c r="Q77" s="108">
        <f t="shared" ref="Q77:Q79" si="14">F77/$F$361</f>
        <v>4.778972520908005E-2</v>
      </c>
      <c r="R77" s="108">
        <f t="shared" ref="R77:R79" si="15">O77*Q77</f>
        <v>3.9036161680684196E-2</v>
      </c>
    </row>
    <row r="78" spans="1:18" s="38" customFormat="1" ht="23.25" hidden="1" customHeight="1">
      <c r="A78" s="17">
        <v>201710</v>
      </c>
      <c r="B78" s="34" t="s">
        <v>950</v>
      </c>
      <c r="C78" s="34" t="s">
        <v>14</v>
      </c>
      <c r="D78" s="35">
        <v>43124</v>
      </c>
      <c r="E78" s="33" t="s">
        <v>882</v>
      </c>
      <c r="F78" s="36">
        <v>420</v>
      </c>
      <c r="G78" s="37">
        <v>43138</v>
      </c>
      <c r="H78" s="34" t="s">
        <v>717</v>
      </c>
      <c r="I78" s="34" t="s">
        <v>883</v>
      </c>
      <c r="J78" s="72">
        <v>165</v>
      </c>
      <c r="K78" s="72"/>
      <c r="L78" s="72"/>
      <c r="M78" s="72"/>
      <c r="N78" s="72">
        <v>202</v>
      </c>
      <c r="O78" s="66">
        <v>0.81683168316831678</v>
      </c>
      <c r="P78" s="72">
        <v>6</v>
      </c>
      <c r="Q78" s="108">
        <f t="shared" si="14"/>
        <v>4.1816009557945039E-2</v>
      </c>
      <c r="R78" s="108">
        <f t="shared" si="15"/>
        <v>3.4156641470598666E-2</v>
      </c>
    </row>
    <row r="79" spans="1:18" s="38" customFormat="1" ht="23.25" hidden="1" customHeight="1">
      <c r="A79" s="17">
        <v>201710</v>
      </c>
      <c r="B79" s="34" t="s">
        <v>951</v>
      </c>
      <c r="C79" s="34" t="s">
        <v>14</v>
      </c>
      <c r="D79" s="35">
        <v>43124</v>
      </c>
      <c r="E79" s="33" t="s">
        <v>882</v>
      </c>
      <c r="F79" s="36">
        <v>360</v>
      </c>
      <c r="G79" s="37">
        <v>43155</v>
      </c>
      <c r="H79" s="34" t="s">
        <v>718</v>
      </c>
      <c r="I79" s="34" t="s">
        <v>883</v>
      </c>
      <c r="J79" s="72">
        <v>165</v>
      </c>
      <c r="K79" s="72"/>
      <c r="L79" s="72"/>
      <c r="M79" s="72"/>
      <c r="N79" s="72">
        <v>202</v>
      </c>
      <c r="O79" s="66">
        <v>0.81683168316831678</v>
      </c>
      <c r="P79" s="72">
        <v>6</v>
      </c>
      <c r="Q79" s="108">
        <f t="shared" si="14"/>
        <v>3.5842293906810034E-2</v>
      </c>
      <c r="R79" s="108">
        <f t="shared" si="15"/>
        <v>2.9277121260513145E-2</v>
      </c>
    </row>
    <row r="80" spans="1:18" s="38" customFormat="1" ht="23.25" hidden="1" customHeight="1">
      <c r="A80" s="17">
        <v>201710</v>
      </c>
      <c r="B80" s="34" t="s">
        <v>952</v>
      </c>
      <c r="C80" s="34" t="s">
        <v>14</v>
      </c>
      <c r="D80" s="35">
        <v>43124</v>
      </c>
      <c r="E80" s="33" t="s">
        <v>953</v>
      </c>
      <c r="F80" s="36">
        <v>600</v>
      </c>
      <c r="G80" s="37">
        <v>43130</v>
      </c>
      <c r="H80" s="34" t="s">
        <v>719</v>
      </c>
      <c r="I80" s="34" t="s">
        <v>954</v>
      </c>
      <c r="J80" s="72">
        <v>190</v>
      </c>
      <c r="K80" s="72"/>
      <c r="L80" s="72"/>
      <c r="M80" s="72"/>
      <c r="N80" s="72">
        <v>191</v>
      </c>
      <c r="O80" s="66">
        <v>0.99476439790575921</v>
      </c>
      <c r="P80" s="72">
        <v>5</v>
      </c>
      <c r="Q80" s="108">
        <f t="shared" ref="Q80:Q97" si="16">F80/$F$360</f>
        <v>2.3477852559085927E-2</v>
      </c>
      <c r="R80" s="108">
        <f t="shared" ref="R80:R97" si="17">O80*Q80</f>
        <v>2.3354931865059301E-2</v>
      </c>
    </row>
    <row r="81" spans="1:18" s="38" customFormat="1" ht="23.25" hidden="1" customHeight="1">
      <c r="A81" s="17">
        <v>201710</v>
      </c>
      <c r="B81" s="34" t="s">
        <v>955</v>
      </c>
      <c r="C81" s="34" t="s">
        <v>14</v>
      </c>
      <c r="D81" s="35">
        <v>43125</v>
      </c>
      <c r="E81" s="33" t="s">
        <v>953</v>
      </c>
      <c r="F81" s="36">
        <v>1632</v>
      </c>
      <c r="G81" s="37">
        <v>43155</v>
      </c>
      <c r="H81" s="34" t="s">
        <v>719</v>
      </c>
      <c r="I81" s="34" t="s">
        <v>954</v>
      </c>
      <c r="J81" s="72">
        <v>190</v>
      </c>
      <c r="K81" s="72"/>
      <c r="L81" s="72"/>
      <c r="M81" s="72"/>
      <c r="N81" s="72">
        <v>191</v>
      </c>
      <c r="O81" s="66">
        <v>0.99476439790575921</v>
      </c>
      <c r="P81" s="72">
        <v>5</v>
      </c>
      <c r="Q81" s="108">
        <f t="shared" si="16"/>
        <v>6.3859758960713733E-2</v>
      </c>
      <c r="R81" s="108">
        <f t="shared" si="17"/>
        <v>6.3525414672961314E-2</v>
      </c>
    </row>
    <row r="82" spans="1:18" s="38" customFormat="1" ht="23.25" hidden="1" customHeight="1">
      <c r="A82" s="17">
        <v>201710</v>
      </c>
      <c r="B82" s="34" t="s">
        <v>956</v>
      </c>
      <c r="C82" s="34" t="s">
        <v>14</v>
      </c>
      <c r="D82" s="35">
        <v>43125</v>
      </c>
      <c r="E82" s="33" t="s">
        <v>953</v>
      </c>
      <c r="F82" s="36">
        <v>204</v>
      </c>
      <c r="G82" s="37">
        <v>43139</v>
      </c>
      <c r="H82" s="34" t="s">
        <v>720</v>
      </c>
      <c r="I82" s="34" t="s">
        <v>954</v>
      </c>
      <c r="J82" s="72">
        <v>190</v>
      </c>
      <c r="K82" s="72"/>
      <c r="L82" s="72"/>
      <c r="M82" s="72"/>
      <c r="N82" s="72">
        <v>191</v>
      </c>
      <c r="O82" s="66">
        <v>0.99476439790575921</v>
      </c>
      <c r="P82" s="72">
        <v>5</v>
      </c>
      <c r="Q82" s="108">
        <f t="shared" si="16"/>
        <v>7.9824698700892167E-3</v>
      </c>
      <c r="R82" s="108">
        <f t="shared" si="17"/>
        <v>7.9406768341201642E-3</v>
      </c>
    </row>
    <row r="83" spans="1:18" s="38" customFormat="1" ht="23.25" hidden="1" customHeight="1">
      <c r="A83" s="17">
        <v>201710</v>
      </c>
      <c r="B83" s="34" t="s">
        <v>957</v>
      </c>
      <c r="C83" s="34" t="s">
        <v>14</v>
      </c>
      <c r="D83" s="35">
        <v>43126</v>
      </c>
      <c r="E83" s="33" t="s">
        <v>953</v>
      </c>
      <c r="F83" s="36">
        <v>480</v>
      </c>
      <c r="G83" s="37">
        <v>43155</v>
      </c>
      <c r="H83" s="34" t="s">
        <v>719</v>
      </c>
      <c r="I83" s="34" t="s">
        <v>954</v>
      </c>
      <c r="J83" s="72">
        <v>190</v>
      </c>
      <c r="K83" s="72"/>
      <c r="L83" s="72"/>
      <c r="M83" s="72"/>
      <c r="N83" s="72">
        <v>191</v>
      </c>
      <c r="O83" s="66">
        <v>0.99476439790575921</v>
      </c>
      <c r="P83" s="72">
        <v>5</v>
      </c>
      <c r="Q83" s="108">
        <f t="shared" si="16"/>
        <v>1.8782282047268742E-2</v>
      </c>
      <c r="R83" s="108">
        <f t="shared" si="17"/>
        <v>1.8683945492047441E-2</v>
      </c>
    </row>
    <row r="84" spans="1:18" s="38" customFormat="1" ht="23.25" hidden="1" customHeight="1">
      <c r="A84" s="17">
        <v>201711</v>
      </c>
      <c r="B84" s="34" t="s">
        <v>958</v>
      </c>
      <c r="C84" s="34" t="s">
        <v>14</v>
      </c>
      <c r="D84" s="35">
        <v>43126</v>
      </c>
      <c r="E84" s="33" t="s">
        <v>953</v>
      </c>
      <c r="F84" s="36">
        <v>204</v>
      </c>
      <c r="G84" s="37">
        <v>43155</v>
      </c>
      <c r="H84" s="34" t="s">
        <v>717</v>
      </c>
      <c r="I84" s="34" t="s">
        <v>954</v>
      </c>
      <c r="J84" s="72">
        <v>190</v>
      </c>
      <c r="K84" s="72"/>
      <c r="L84" s="72"/>
      <c r="M84" s="72"/>
      <c r="N84" s="72">
        <v>191</v>
      </c>
      <c r="O84" s="66">
        <v>0.99476439790575921</v>
      </c>
      <c r="P84" s="72">
        <v>5</v>
      </c>
      <c r="Q84" s="108">
        <f t="shared" si="16"/>
        <v>7.9824698700892167E-3</v>
      </c>
      <c r="R84" s="108">
        <f t="shared" si="17"/>
        <v>7.9406768341201642E-3</v>
      </c>
    </row>
    <row r="85" spans="1:18" s="38" customFormat="1" ht="23.25" hidden="1" customHeight="1">
      <c r="A85" s="17">
        <v>201711</v>
      </c>
      <c r="B85" s="34" t="s">
        <v>959</v>
      </c>
      <c r="C85" s="34" t="s">
        <v>14</v>
      </c>
      <c r="D85" s="35">
        <v>43127</v>
      </c>
      <c r="E85" s="33" t="s">
        <v>953</v>
      </c>
      <c r="F85" s="36">
        <v>144</v>
      </c>
      <c r="G85" s="37">
        <v>43155</v>
      </c>
      <c r="H85" s="34" t="s">
        <v>717</v>
      </c>
      <c r="I85" s="34" t="s">
        <v>954</v>
      </c>
      <c r="J85" s="72">
        <v>190</v>
      </c>
      <c r="K85" s="72"/>
      <c r="L85" s="72"/>
      <c r="M85" s="72"/>
      <c r="N85" s="72">
        <v>191</v>
      </c>
      <c r="O85" s="66">
        <v>0.99476439790575921</v>
      </c>
      <c r="P85" s="72">
        <v>5</v>
      </c>
      <c r="Q85" s="108">
        <f t="shared" si="16"/>
        <v>5.6346846141806231E-3</v>
      </c>
      <c r="R85" s="108">
        <f t="shared" si="17"/>
        <v>5.6051836476142328E-3</v>
      </c>
    </row>
    <row r="86" spans="1:18" s="38" customFormat="1" ht="23.25" hidden="1" customHeight="1">
      <c r="A86" s="17">
        <v>201710</v>
      </c>
      <c r="B86" s="34" t="s">
        <v>960</v>
      </c>
      <c r="C86" s="34" t="s">
        <v>14</v>
      </c>
      <c r="D86" s="35">
        <v>43127</v>
      </c>
      <c r="E86" s="33" t="s">
        <v>961</v>
      </c>
      <c r="F86" s="36">
        <v>732</v>
      </c>
      <c r="G86" s="37">
        <v>43139</v>
      </c>
      <c r="H86" s="34" t="s">
        <v>719</v>
      </c>
      <c r="I86" s="34" t="s">
        <v>954</v>
      </c>
      <c r="J86" s="72">
        <v>190</v>
      </c>
      <c r="K86" s="72"/>
      <c r="L86" s="72"/>
      <c r="M86" s="72"/>
      <c r="N86" s="72">
        <v>191</v>
      </c>
      <c r="O86" s="66">
        <v>0.99476439790575921</v>
      </c>
      <c r="P86" s="72">
        <v>5</v>
      </c>
      <c r="Q86" s="108">
        <f t="shared" si="16"/>
        <v>2.8642980122084834E-2</v>
      </c>
      <c r="R86" s="108">
        <f t="shared" si="17"/>
        <v>2.849301687537235E-2</v>
      </c>
    </row>
    <row r="87" spans="1:18" s="38" customFormat="1" ht="23.25" hidden="1" customHeight="1">
      <c r="A87" s="17">
        <v>201710</v>
      </c>
      <c r="B87" s="34" t="s">
        <v>962</v>
      </c>
      <c r="C87" s="34" t="s">
        <v>14</v>
      </c>
      <c r="D87" s="35">
        <v>43127</v>
      </c>
      <c r="E87" s="33" t="s">
        <v>961</v>
      </c>
      <c r="F87" s="36">
        <v>1260</v>
      </c>
      <c r="G87" s="37">
        <v>43155</v>
      </c>
      <c r="H87" s="34" t="s">
        <v>719</v>
      </c>
      <c r="I87" s="34" t="s">
        <v>954</v>
      </c>
      <c r="J87" s="72">
        <v>190</v>
      </c>
      <c r="K87" s="72"/>
      <c r="L87" s="72"/>
      <c r="M87" s="72"/>
      <c r="N87" s="72">
        <v>191</v>
      </c>
      <c r="O87" s="66">
        <v>0.99476439790575921</v>
      </c>
      <c r="P87" s="72">
        <v>5</v>
      </c>
      <c r="Q87" s="108">
        <f t="shared" si="16"/>
        <v>4.9303490374080453E-2</v>
      </c>
      <c r="R87" s="108">
        <f t="shared" si="17"/>
        <v>4.9045356916624538E-2</v>
      </c>
    </row>
    <row r="88" spans="1:18" s="38" customFormat="1" ht="23.25" hidden="1" customHeight="1">
      <c r="A88" s="17">
        <v>201711</v>
      </c>
      <c r="B88" s="34" t="s">
        <v>963</v>
      </c>
      <c r="C88" s="34" t="s">
        <v>14</v>
      </c>
      <c r="D88" s="35">
        <v>43129</v>
      </c>
      <c r="E88" s="33" t="s">
        <v>964</v>
      </c>
      <c r="F88" s="36">
        <v>372</v>
      </c>
      <c r="G88" s="37">
        <v>43155</v>
      </c>
      <c r="H88" s="34" t="s">
        <v>718</v>
      </c>
      <c r="I88" s="34" t="s">
        <v>954</v>
      </c>
      <c r="J88" s="72">
        <v>190</v>
      </c>
      <c r="K88" s="72"/>
      <c r="L88" s="72"/>
      <c r="M88" s="72"/>
      <c r="N88" s="72">
        <v>191</v>
      </c>
      <c r="O88" s="66">
        <v>0.99476439790575921</v>
      </c>
      <c r="P88" s="72">
        <v>5</v>
      </c>
      <c r="Q88" s="108">
        <f t="shared" si="16"/>
        <v>1.4556268586633276E-2</v>
      </c>
      <c r="R88" s="108">
        <f t="shared" si="17"/>
        <v>1.4480057756336767E-2</v>
      </c>
    </row>
    <row r="89" spans="1:18" s="38" customFormat="1" ht="23.25" hidden="1" customHeight="1">
      <c r="A89" s="17">
        <v>201711</v>
      </c>
      <c r="B89" s="34" t="s">
        <v>965</v>
      </c>
      <c r="C89" s="34" t="s">
        <v>14</v>
      </c>
      <c r="D89" s="35">
        <v>43129</v>
      </c>
      <c r="E89" s="33" t="s">
        <v>964</v>
      </c>
      <c r="F89" s="36">
        <v>504</v>
      </c>
      <c r="G89" s="37">
        <v>43155</v>
      </c>
      <c r="H89" s="34" t="s">
        <v>718</v>
      </c>
      <c r="I89" s="34" t="s">
        <v>954</v>
      </c>
      <c r="J89" s="72">
        <v>190</v>
      </c>
      <c r="K89" s="72"/>
      <c r="L89" s="72"/>
      <c r="M89" s="72"/>
      <c r="N89" s="72">
        <v>191</v>
      </c>
      <c r="O89" s="66">
        <v>0.99476439790575921</v>
      </c>
      <c r="P89" s="72">
        <v>5</v>
      </c>
      <c r="Q89" s="108">
        <f t="shared" si="16"/>
        <v>1.972139614963218E-2</v>
      </c>
      <c r="R89" s="108">
        <f t="shared" si="17"/>
        <v>1.9618142766649815E-2</v>
      </c>
    </row>
    <row r="90" spans="1:18" s="38" customFormat="1" ht="23.25" hidden="1" customHeight="1">
      <c r="A90" s="17">
        <v>201711</v>
      </c>
      <c r="B90" s="34" t="s">
        <v>966</v>
      </c>
      <c r="C90" s="34" t="s">
        <v>14</v>
      </c>
      <c r="D90" s="35">
        <v>43129</v>
      </c>
      <c r="E90" s="33" t="s">
        <v>961</v>
      </c>
      <c r="F90" s="36">
        <v>144</v>
      </c>
      <c r="G90" s="37">
        <v>43155</v>
      </c>
      <c r="H90" s="34" t="s">
        <v>717</v>
      </c>
      <c r="I90" s="34" t="s">
        <v>954</v>
      </c>
      <c r="J90" s="72">
        <v>190</v>
      </c>
      <c r="K90" s="72"/>
      <c r="L90" s="72"/>
      <c r="M90" s="72"/>
      <c r="N90" s="72">
        <v>191</v>
      </c>
      <c r="O90" s="66">
        <v>0.99476439790575921</v>
      </c>
      <c r="P90" s="72">
        <v>5</v>
      </c>
      <c r="Q90" s="108">
        <f t="shared" si="16"/>
        <v>5.6346846141806231E-3</v>
      </c>
      <c r="R90" s="108">
        <f t="shared" si="17"/>
        <v>5.6051836476142328E-3</v>
      </c>
    </row>
    <row r="91" spans="1:18" s="38" customFormat="1" ht="23.25" hidden="1" customHeight="1">
      <c r="A91" s="17">
        <v>201711</v>
      </c>
      <c r="B91" s="34" t="s">
        <v>967</v>
      </c>
      <c r="C91" s="34" t="s">
        <v>14</v>
      </c>
      <c r="D91" s="35">
        <v>43129</v>
      </c>
      <c r="E91" s="33" t="s">
        <v>961</v>
      </c>
      <c r="F91" s="36">
        <v>204</v>
      </c>
      <c r="G91" s="37">
        <v>43155</v>
      </c>
      <c r="H91" s="34" t="s">
        <v>717</v>
      </c>
      <c r="I91" s="34" t="s">
        <v>954</v>
      </c>
      <c r="J91" s="72">
        <v>190</v>
      </c>
      <c r="K91" s="72"/>
      <c r="L91" s="72"/>
      <c r="M91" s="72"/>
      <c r="N91" s="72">
        <v>191</v>
      </c>
      <c r="O91" s="66">
        <v>0.99476439790575921</v>
      </c>
      <c r="P91" s="72">
        <v>5</v>
      </c>
      <c r="Q91" s="108">
        <f t="shared" si="16"/>
        <v>7.9824698700892167E-3</v>
      </c>
      <c r="R91" s="108">
        <f t="shared" si="17"/>
        <v>7.9406768341201642E-3</v>
      </c>
    </row>
    <row r="92" spans="1:18" s="38" customFormat="1" ht="23.25" hidden="1" customHeight="1">
      <c r="A92" s="17">
        <v>201711</v>
      </c>
      <c r="B92" s="34" t="s">
        <v>968</v>
      </c>
      <c r="C92" s="34" t="s">
        <v>14</v>
      </c>
      <c r="D92" s="35">
        <v>43130</v>
      </c>
      <c r="E92" s="33" t="s">
        <v>969</v>
      </c>
      <c r="F92" s="36">
        <v>1020</v>
      </c>
      <c r="G92" s="37">
        <v>43149</v>
      </c>
      <c r="H92" s="34" t="s">
        <v>718</v>
      </c>
      <c r="I92" s="34" t="s">
        <v>970</v>
      </c>
      <c r="J92" s="72">
        <v>190</v>
      </c>
      <c r="K92" s="72"/>
      <c r="L92" s="72"/>
      <c r="M92" s="72"/>
      <c r="N92" s="72">
        <v>191</v>
      </c>
      <c r="O92" s="66">
        <v>0.99476439790575921</v>
      </c>
      <c r="P92" s="72">
        <v>5</v>
      </c>
      <c r="Q92" s="108">
        <f t="shared" si="16"/>
        <v>3.9912349350446082E-2</v>
      </c>
      <c r="R92" s="108">
        <f t="shared" si="17"/>
        <v>3.9703384170600819E-2</v>
      </c>
    </row>
    <row r="93" spans="1:18" s="38" customFormat="1" ht="23.25" hidden="1" customHeight="1">
      <c r="A93" s="17">
        <v>201711</v>
      </c>
      <c r="B93" s="34" t="s">
        <v>971</v>
      </c>
      <c r="C93" s="34" t="s">
        <v>14</v>
      </c>
      <c r="D93" s="35">
        <v>43130</v>
      </c>
      <c r="E93" s="33" t="s">
        <v>969</v>
      </c>
      <c r="F93" s="36">
        <v>450</v>
      </c>
      <c r="G93" s="37">
        <v>43150</v>
      </c>
      <c r="H93" s="34" t="s">
        <v>718</v>
      </c>
      <c r="I93" s="34" t="s">
        <v>970</v>
      </c>
      <c r="J93" s="72">
        <v>190</v>
      </c>
      <c r="K93" s="72"/>
      <c r="L93" s="72"/>
      <c r="M93" s="72"/>
      <c r="N93" s="72">
        <v>191</v>
      </c>
      <c r="O93" s="66">
        <v>0.99476439790575921</v>
      </c>
      <c r="P93" s="72">
        <v>5</v>
      </c>
      <c r="Q93" s="108">
        <f t="shared" si="16"/>
        <v>1.7608389419314446E-2</v>
      </c>
      <c r="R93" s="108">
        <f t="shared" si="17"/>
        <v>1.7516198898794477E-2</v>
      </c>
    </row>
    <row r="94" spans="1:18" s="38" customFormat="1" ht="23.25" hidden="1" customHeight="1">
      <c r="A94" s="17">
        <v>201711</v>
      </c>
      <c r="B94" s="34" t="s">
        <v>972</v>
      </c>
      <c r="C94" s="34" t="s">
        <v>14</v>
      </c>
      <c r="D94" s="35">
        <v>43131</v>
      </c>
      <c r="E94" s="33" t="s">
        <v>973</v>
      </c>
      <c r="F94" s="36">
        <v>120</v>
      </c>
      <c r="G94" s="37">
        <v>43155</v>
      </c>
      <c r="H94" s="34" t="s">
        <v>717</v>
      </c>
      <c r="I94" s="34" t="s">
        <v>970</v>
      </c>
      <c r="J94" s="72">
        <v>190</v>
      </c>
      <c r="K94" s="72"/>
      <c r="L94" s="72"/>
      <c r="M94" s="72"/>
      <c r="N94" s="72">
        <v>191</v>
      </c>
      <c r="O94" s="66">
        <v>0.99476439790575921</v>
      </c>
      <c r="P94" s="72">
        <v>5</v>
      </c>
      <c r="Q94" s="108">
        <f t="shared" si="16"/>
        <v>4.6955705118171855E-3</v>
      </c>
      <c r="R94" s="108">
        <f t="shared" si="17"/>
        <v>4.6709863730118604E-3</v>
      </c>
    </row>
    <row r="95" spans="1:18" s="38" customFormat="1" ht="23.25" hidden="1" customHeight="1">
      <c r="A95" s="17">
        <v>201711</v>
      </c>
      <c r="B95" s="34" t="s">
        <v>974</v>
      </c>
      <c r="C95" s="34" t="s">
        <v>14</v>
      </c>
      <c r="D95" s="35">
        <v>43131</v>
      </c>
      <c r="E95" s="33" t="s">
        <v>973</v>
      </c>
      <c r="F95" s="36">
        <v>228</v>
      </c>
      <c r="G95" s="37">
        <v>43155</v>
      </c>
      <c r="H95" s="34" t="s">
        <v>717</v>
      </c>
      <c r="I95" s="34" t="s">
        <v>970</v>
      </c>
      <c r="J95" s="72">
        <v>190</v>
      </c>
      <c r="K95" s="72"/>
      <c r="L95" s="72"/>
      <c r="M95" s="72"/>
      <c r="N95" s="72">
        <v>191</v>
      </c>
      <c r="O95" s="66">
        <v>0.99476439790575921</v>
      </c>
      <c r="P95" s="72">
        <v>5</v>
      </c>
      <c r="Q95" s="108">
        <f t="shared" si="16"/>
        <v>8.9215839724526534E-3</v>
      </c>
      <c r="R95" s="108">
        <f t="shared" si="17"/>
        <v>8.8748741087225358E-3</v>
      </c>
    </row>
    <row r="96" spans="1:18" s="38" customFormat="1" ht="23.25" hidden="1" customHeight="1">
      <c r="A96" s="17">
        <v>201711</v>
      </c>
      <c r="B96" s="34" t="s">
        <v>975</v>
      </c>
      <c r="C96" s="34" t="s">
        <v>14</v>
      </c>
      <c r="D96" s="35">
        <v>43131</v>
      </c>
      <c r="E96" s="33" t="s">
        <v>976</v>
      </c>
      <c r="F96" s="36">
        <v>120</v>
      </c>
      <c r="G96" s="37">
        <v>43155</v>
      </c>
      <c r="H96" s="34" t="s">
        <v>717</v>
      </c>
      <c r="I96" s="34" t="s">
        <v>970</v>
      </c>
      <c r="J96" s="72">
        <v>190</v>
      </c>
      <c r="K96" s="72"/>
      <c r="L96" s="72"/>
      <c r="M96" s="72"/>
      <c r="N96" s="72">
        <v>191</v>
      </c>
      <c r="O96" s="66">
        <v>0.99476439790575921</v>
      </c>
      <c r="P96" s="72">
        <v>5</v>
      </c>
      <c r="Q96" s="108">
        <f t="shared" si="16"/>
        <v>4.6955705118171855E-3</v>
      </c>
      <c r="R96" s="108">
        <f t="shared" si="17"/>
        <v>4.6709863730118604E-3</v>
      </c>
    </row>
    <row r="97" spans="1:18" s="38" customFormat="1" ht="23.25" hidden="1" customHeight="1">
      <c r="A97" s="17">
        <v>201711</v>
      </c>
      <c r="B97" s="34" t="s">
        <v>977</v>
      </c>
      <c r="C97" s="34" t="s">
        <v>14</v>
      </c>
      <c r="D97" s="35">
        <v>43131</v>
      </c>
      <c r="E97" s="33" t="s">
        <v>978</v>
      </c>
      <c r="F97" s="36">
        <f>852-418</f>
        <v>434</v>
      </c>
      <c r="G97" s="37">
        <v>43149</v>
      </c>
      <c r="H97" s="34" t="s">
        <v>718</v>
      </c>
      <c r="I97" s="34" t="s">
        <v>970</v>
      </c>
      <c r="J97" s="72">
        <v>190</v>
      </c>
      <c r="K97" s="72"/>
      <c r="L97" s="72"/>
      <c r="M97" s="72"/>
      <c r="N97" s="72">
        <v>191</v>
      </c>
      <c r="O97" s="66">
        <v>0.99476439790575921</v>
      </c>
      <c r="P97" s="72">
        <v>5</v>
      </c>
      <c r="Q97" s="108">
        <f t="shared" si="16"/>
        <v>1.6982313351072156E-2</v>
      </c>
      <c r="R97" s="108">
        <f t="shared" si="17"/>
        <v>1.6893400715726231E-2</v>
      </c>
    </row>
    <row r="98" spans="1:18" s="38" customFormat="1" ht="23.25" hidden="1" customHeight="1">
      <c r="A98" s="17"/>
      <c r="B98" s="34"/>
      <c r="C98" s="34"/>
      <c r="D98" s="35"/>
      <c r="E98" s="36"/>
      <c r="F98" s="39">
        <f>SUM(F19:F97)</f>
        <v>35840</v>
      </c>
      <c r="G98" s="37"/>
      <c r="H98" s="34"/>
      <c r="I98" s="34"/>
      <c r="J98" s="72"/>
      <c r="K98" s="72"/>
      <c r="L98" s="72"/>
      <c r="M98" s="72"/>
      <c r="N98" s="72"/>
      <c r="O98" s="66"/>
      <c r="P98" s="72"/>
      <c r="Q98" s="108"/>
      <c r="R98" s="108"/>
    </row>
    <row r="99" spans="1:18" s="38" customFormat="1" ht="23.25" hidden="1" customHeight="1">
      <c r="A99" s="17">
        <v>201710</v>
      </c>
      <c r="B99" s="34" t="s">
        <v>979</v>
      </c>
      <c r="C99" s="34" t="s">
        <v>15</v>
      </c>
      <c r="D99" s="35">
        <v>43102</v>
      </c>
      <c r="E99" s="33" t="s">
        <v>980</v>
      </c>
      <c r="F99" s="40">
        <v>1672</v>
      </c>
      <c r="G99" s="37">
        <v>43125</v>
      </c>
      <c r="H99" s="34" t="s">
        <v>718</v>
      </c>
      <c r="I99" s="34" t="s">
        <v>981</v>
      </c>
      <c r="J99" s="72">
        <v>180</v>
      </c>
      <c r="K99" s="72"/>
      <c r="L99" s="72"/>
      <c r="M99" s="72"/>
      <c r="N99" s="72">
        <v>177</v>
      </c>
      <c r="O99" s="66">
        <v>1.0169491525423728</v>
      </c>
      <c r="P99" s="72">
        <v>4</v>
      </c>
      <c r="Q99" s="108">
        <f>F99/$F$362</f>
        <v>4.5633187772925764E-2</v>
      </c>
      <c r="R99" s="108">
        <f>O99*Q99</f>
        <v>4.6406631633483825E-2</v>
      </c>
    </row>
    <row r="100" spans="1:18" s="38" customFormat="1" ht="23.25" hidden="1" customHeight="1">
      <c r="A100" s="17">
        <v>201710</v>
      </c>
      <c r="B100" s="34" t="s">
        <v>982</v>
      </c>
      <c r="C100" s="34" t="s">
        <v>15</v>
      </c>
      <c r="D100" s="35">
        <v>43103</v>
      </c>
      <c r="E100" s="33" t="s">
        <v>983</v>
      </c>
      <c r="F100" s="36">
        <v>1524</v>
      </c>
      <c r="G100" s="37">
        <v>43125</v>
      </c>
      <c r="H100" s="34" t="s">
        <v>718</v>
      </c>
      <c r="I100" s="34" t="s">
        <v>981</v>
      </c>
      <c r="J100" s="72">
        <v>180</v>
      </c>
      <c r="K100" s="72"/>
      <c r="L100" s="72"/>
      <c r="M100" s="72"/>
      <c r="N100" s="72">
        <v>177</v>
      </c>
      <c r="O100" s="66">
        <v>1.0169491525423728</v>
      </c>
      <c r="P100" s="72">
        <v>4</v>
      </c>
      <c r="Q100" s="108">
        <f t="shared" ref="Q100:Q107" si="18">F100/$F$362</f>
        <v>4.1593886462882097E-2</v>
      </c>
      <c r="R100" s="108">
        <f t="shared" ref="R100:R107" si="19">O100*Q100</f>
        <v>4.2298867589371625E-2</v>
      </c>
    </row>
    <row r="101" spans="1:18" s="38" customFormat="1" ht="23.25" hidden="1" customHeight="1">
      <c r="A101" s="17">
        <v>201710</v>
      </c>
      <c r="B101" s="34" t="s">
        <v>984</v>
      </c>
      <c r="C101" s="34" t="s">
        <v>15</v>
      </c>
      <c r="D101" s="35">
        <v>43104</v>
      </c>
      <c r="E101" s="33" t="s">
        <v>983</v>
      </c>
      <c r="F101" s="36">
        <v>192</v>
      </c>
      <c r="G101" s="37">
        <v>43155</v>
      </c>
      <c r="H101" s="34" t="s">
        <v>718</v>
      </c>
      <c r="I101" s="34" t="s">
        <v>981</v>
      </c>
      <c r="J101" s="72">
        <v>180</v>
      </c>
      <c r="K101" s="72"/>
      <c r="L101" s="72"/>
      <c r="M101" s="72"/>
      <c r="N101" s="72">
        <v>177</v>
      </c>
      <c r="O101" s="66">
        <v>1.0169491525423728</v>
      </c>
      <c r="P101" s="72">
        <v>4</v>
      </c>
      <c r="Q101" s="108">
        <f t="shared" si="18"/>
        <v>5.2401746724890829E-3</v>
      </c>
      <c r="R101" s="108">
        <f t="shared" si="19"/>
        <v>5.3289911923617792E-3</v>
      </c>
    </row>
    <row r="102" spans="1:18" s="38" customFormat="1" ht="23.25" hidden="1" customHeight="1">
      <c r="A102" s="17">
        <v>201710</v>
      </c>
      <c r="B102" s="34" t="s">
        <v>985</v>
      </c>
      <c r="C102" s="34" t="s">
        <v>15</v>
      </c>
      <c r="D102" s="35">
        <v>43104</v>
      </c>
      <c r="E102" s="33" t="s">
        <v>986</v>
      </c>
      <c r="F102" s="36">
        <v>7800</v>
      </c>
      <c r="G102" s="37">
        <v>43132</v>
      </c>
      <c r="H102" s="34" t="s">
        <v>723</v>
      </c>
      <c r="I102" s="34" t="s">
        <v>987</v>
      </c>
      <c r="J102" s="72">
        <v>180</v>
      </c>
      <c r="K102" s="72"/>
      <c r="L102" s="72"/>
      <c r="M102" s="72"/>
      <c r="N102" s="72">
        <v>177</v>
      </c>
      <c r="O102" s="66">
        <v>1.0169491525423728</v>
      </c>
      <c r="P102" s="72">
        <v>4</v>
      </c>
      <c r="Q102" s="108">
        <f t="shared" si="18"/>
        <v>0.21288209606986899</v>
      </c>
      <c r="R102" s="108">
        <f t="shared" si="19"/>
        <v>0.21649026718969727</v>
      </c>
    </row>
    <row r="103" spans="1:18" s="38" customFormat="1" ht="23.25" hidden="1" customHeight="1">
      <c r="A103" s="17">
        <v>201710</v>
      </c>
      <c r="B103" s="34" t="s">
        <v>988</v>
      </c>
      <c r="C103" s="34" t="s">
        <v>15</v>
      </c>
      <c r="D103" s="35">
        <v>43111</v>
      </c>
      <c r="E103" s="33" t="s">
        <v>989</v>
      </c>
      <c r="F103" s="36">
        <v>7284</v>
      </c>
      <c r="G103" s="37">
        <v>43139</v>
      </c>
      <c r="H103" s="34" t="s">
        <v>723</v>
      </c>
      <c r="I103" s="34" t="s">
        <v>990</v>
      </c>
      <c r="J103" s="72">
        <v>170</v>
      </c>
      <c r="K103" s="72"/>
      <c r="L103" s="72"/>
      <c r="M103" s="72"/>
      <c r="N103" s="72">
        <v>163</v>
      </c>
      <c r="O103" s="66">
        <v>1.0429447852760736</v>
      </c>
      <c r="P103" s="72">
        <v>4</v>
      </c>
      <c r="Q103" s="108">
        <f t="shared" si="18"/>
        <v>0.19879912663755459</v>
      </c>
      <c r="R103" s="108">
        <f t="shared" si="19"/>
        <v>0.20733651244407533</v>
      </c>
    </row>
    <row r="104" spans="1:18" s="38" customFormat="1" ht="23.25" hidden="1" customHeight="1">
      <c r="A104" s="17">
        <v>201710</v>
      </c>
      <c r="B104" s="34" t="s">
        <v>991</v>
      </c>
      <c r="C104" s="34" t="s">
        <v>15</v>
      </c>
      <c r="D104" s="35">
        <v>43117</v>
      </c>
      <c r="E104" s="33" t="s">
        <v>992</v>
      </c>
      <c r="F104" s="36">
        <v>7968</v>
      </c>
      <c r="G104" s="37">
        <v>43132</v>
      </c>
      <c r="H104" s="34" t="s">
        <v>723</v>
      </c>
      <c r="I104" s="34" t="s">
        <v>987</v>
      </c>
      <c r="J104" s="72">
        <v>180</v>
      </c>
      <c r="K104" s="72"/>
      <c r="L104" s="72"/>
      <c r="M104" s="72"/>
      <c r="N104" s="72">
        <v>177</v>
      </c>
      <c r="O104" s="66">
        <v>1.0169491525423728</v>
      </c>
      <c r="P104" s="72">
        <v>4</v>
      </c>
      <c r="Q104" s="108">
        <f t="shared" si="18"/>
        <v>0.21746724890829694</v>
      </c>
      <c r="R104" s="108">
        <f t="shared" si="19"/>
        <v>0.22115313448301382</v>
      </c>
    </row>
    <row r="105" spans="1:18" s="38" customFormat="1" ht="23.25" hidden="1" customHeight="1">
      <c r="A105" s="17">
        <v>201710</v>
      </c>
      <c r="B105" s="34" t="s">
        <v>993</v>
      </c>
      <c r="C105" s="34" t="s">
        <v>15</v>
      </c>
      <c r="D105" s="35">
        <v>43124</v>
      </c>
      <c r="E105" s="33" t="s">
        <v>992</v>
      </c>
      <c r="F105" s="36">
        <v>1356</v>
      </c>
      <c r="G105" s="37">
        <v>43160</v>
      </c>
      <c r="H105" s="34" t="s">
        <v>733</v>
      </c>
      <c r="I105" s="34" t="s">
        <v>987</v>
      </c>
      <c r="J105" s="72">
        <v>180</v>
      </c>
      <c r="K105" s="72"/>
      <c r="L105" s="72"/>
      <c r="M105" s="72"/>
      <c r="N105" s="72">
        <v>177</v>
      </c>
      <c r="O105" s="66">
        <v>1.0169491525423728</v>
      </c>
      <c r="P105" s="72">
        <v>4</v>
      </c>
      <c r="Q105" s="108">
        <f t="shared" si="18"/>
        <v>3.700873362445415E-2</v>
      </c>
      <c r="R105" s="108">
        <f t="shared" si="19"/>
        <v>3.7636000296055065E-2</v>
      </c>
    </row>
    <row r="106" spans="1:18" s="38" customFormat="1" ht="23.25" hidden="1" customHeight="1">
      <c r="A106" s="17">
        <v>201710</v>
      </c>
      <c r="B106" s="34" t="s">
        <v>994</v>
      </c>
      <c r="C106" s="34" t="s">
        <v>15</v>
      </c>
      <c r="D106" s="35">
        <v>43125</v>
      </c>
      <c r="E106" s="33" t="s">
        <v>986</v>
      </c>
      <c r="F106" s="36">
        <v>1356</v>
      </c>
      <c r="G106" s="37">
        <v>43160</v>
      </c>
      <c r="H106" s="34" t="s">
        <v>733</v>
      </c>
      <c r="I106" s="34" t="s">
        <v>987</v>
      </c>
      <c r="J106" s="72">
        <v>180</v>
      </c>
      <c r="K106" s="72"/>
      <c r="L106" s="72"/>
      <c r="M106" s="72"/>
      <c r="N106" s="72">
        <v>177</v>
      </c>
      <c r="O106" s="66">
        <v>1.0169491525423728</v>
      </c>
      <c r="P106" s="72">
        <v>4</v>
      </c>
      <c r="Q106" s="108">
        <f t="shared" si="18"/>
        <v>3.700873362445415E-2</v>
      </c>
      <c r="R106" s="108">
        <f t="shared" si="19"/>
        <v>3.7636000296055065E-2</v>
      </c>
    </row>
    <row r="107" spans="1:18" s="38" customFormat="1" ht="23.25" hidden="1" customHeight="1">
      <c r="A107" s="17">
        <v>201710</v>
      </c>
      <c r="B107" s="34" t="s">
        <v>995</v>
      </c>
      <c r="C107" s="34" t="s">
        <v>15</v>
      </c>
      <c r="D107" s="35" t="s">
        <v>996</v>
      </c>
      <c r="E107" s="33" t="s">
        <v>997</v>
      </c>
      <c r="F107" s="36">
        <v>7488</v>
      </c>
      <c r="G107" s="37">
        <v>43139</v>
      </c>
      <c r="H107" s="34" t="s">
        <v>723</v>
      </c>
      <c r="I107" s="34" t="s">
        <v>990</v>
      </c>
      <c r="J107" s="72">
        <v>170</v>
      </c>
      <c r="K107" s="72"/>
      <c r="L107" s="72"/>
      <c r="M107" s="72"/>
      <c r="N107" s="72">
        <v>163</v>
      </c>
      <c r="O107" s="66">
        <v>1.0429447852760736</v>
      </c>
      <c r="P107" s="72">
        <v>4</v>
      </c>
      <c r="Q107" s="108">
        <f t="shared" si="18"/>
        <v>0.20436681222707423</v>
      </c>
      <c r="R107" s="108">
        <f t="shared" si="19"/>
        <v>0.21314330109572158</v>
      </c>
    </row>
    <row r="108" spans="1:18" s="38" customFormat="1" ht="23.25" hidden="1" customHeight="1">
      <c r="A108" s="17"/>
      <c r="B108" s="34"/>
      <c r="C108" s="34"/>
      <c r="D108" s="35"/>
      <c r="E108" s="36"/>
      <c r="F108" s="39">
        <f>SUM(F99:F107)</f>
        <v>36640</v>
      </c>
      <c r="G108" s="37"/>
      <c r="H108" s="34"/>
      <c r="I108" s="34"/>
      <c r="J108" s="72"/>
      <c r="K108" s="72"/>
      <c r="L108" s="72"/>
      <c r="M108" s="72"/>
      <c r="N108" s="72"/>
      <c r="O108" s="66"/>
      <c r="P108" s="72"/>
      <c r="Q108" s="108"/>
      <c r="R108" s="108"/>
    </row>
    <row r="109" spans="1:18" s="38" customFormat="1" ht="23.25" hidden="1" customHeight="1">
      <c r="A109" s="17">
        <v>201709</v>
      </c>
      <c r="B109" s="34" t="s">
        <v>998</v>
      </c>
      <c r="C109" s="34" t="s">
        <v>16</v>
      </c>
      <c r="D109" s="35">
        <v>43102</v>
      </c>
      <c r="E109" s="33" t="s">
        <v>999</v>
      </c>
      <c r="F109" s="36">
        <v>204</v>
      </c>
      <c r="G109" s="37">
        <v>43118</v>
      </c>
      <c r="H109" s="34" t="s">
        <v>717</v>
      </c>
      <c r="I109" s="34" t="s">
        <v>775</v>
      </c>
      <c r="J109" s="72">
        <v>200</v>
      </c>
      <c r="K109" s="72"/>
      <c r="L109" s="72"/>
      <c r="M109" s="72"/>
      <c r="N109" s="72">
        <v>157</v>
      </c>
      <c r="O109" s="66">
        <v>1.27</v>
      </c>
      <c r="P109" s="72">
        <v>2</v>
      </c>
      <c r="Q109" s="108">
        <f>F109/$F$363</f>
        <v>6.8798057466612711E-3</v>
      </c>
      <c r="R109" s="108">
        <f>O109*Q109</f>
        <v>8.7373532982598142E-3</v>
      </c>
    </row>
    <row r="110" spans="1:18" s="38" customFormat="1" ht="23.25" hidden="1" customHeight="1">
      <c r="A110" s="17">
        <v>201709</v>
      </c>
      <c r="B110" s="34" t="s">
        <v>1000</v>
      </c>
      <c r="C110" s="34" t="s">
        <v>16</v>
      </c>
      <c r="D110" s="35">
        <v>43102</v>
      </c>
      <c r="E110" s="33" t="s">
        <v>681</v>
      </c>
      <c r="F110" s="36">
        <v>1860</v>
      </c>
      <c r="G110" s="37">
        <v>43110</v>
      </c>
      <c r="H110" s="34" t="s">
        <v>717</v>
      </c>
      <c r="I110" s="34" t="s">
        <v>775</v>
      </c>
      <c r="J110" s="72">
        <v>200</v>
      </c>
      <c r="K110" s="72"/>
      <c r="L110" s="72"/>
      <c r="M110" s="72"/>
      <c r="N110" s="72">
        <v>157</v>
      </c>
      <c r="O110" s="66">
        <v>1.27</v>
      </c>
      <c r="P110" s="72">
        <v>2</v>
      </c>
      <c r="Q110" s="108">
        <f>F110/$F$363</f>
        <v>6.2727640631323356E-2</v>
      </c>
      <c r="R110" s="108">
        <f t="shared" ref="R110:R137" si="20">O110*Q110</f>
        <v>7.9664103601780667E-2</v>
      </c>
    </row>
    <row r="111" spans="1:18" s="38" customFormat="1" ht="23.25" hidden="1" customHeight="1">
      <c r="A111" s="17">
        <v>201709</v>
      </c>
      <c r="B111" s="34" t="s">
        <v>1001</v>
      </c>
      <c r="C111" s="34" t="s">
        <v>16</v>
      </c>
      <c r="D111" s="35">
        <v>43103</v>
      </c>
      <c r="E111" s="33" t="s">
        <v>681</v>
      </c>
      <c r="F111" s="36">
        <v>1248</v>
      </c>
      <c r="G111" s="37">
        <v>43106</v>
      </c>
      <c r="H111" s="34" t="s">
        <v>717</v>
      </c>
      <c r="I111" s="34" t="s">
        <v>775</v>
      </c>
      <c r="J111" s="72">
        <v>200</v>
      </c>
      <c r="K111" s="72"/>
      <c r="L111" s="72"/>
      <c r="M111" s="72"/>
      <c r="N111" s="72">
        <v>157</v>
      </c>
      <c r="O111" s="66">
        <v>1.27</v>
      </c>
      <c r="P111" s="72">
        <v>2</v>
      </c>
      <c r="Q111" s="108">
        <f t="shared" ref="Q111:Q137" si="21">F111/$F$363</f>
        <v>4.2088223391339538E-2</v>
      </c>
      <c r="R111" s="108">
        <f t="shared" si="20"/>
        <v>5.3452043707001212E-2</v>
      </c>
    </row>
    <row r="112" spans="1:18" s="38" customFormat="1" ht="23.25" hidden="1" customHeight="1">
      <c r="A112" s="17">
        <v>201709</v>
      </c>
      <c r="B112" s="34" t="s">
        <v>1002</v>
      </c>
      <c r="C112" s="34" t="s">
        <v>16</v>
      </c>
      <c r="D112" s="35">
        <v>43103</v>
      </c>
      <c r="E112" s="33" t="s">
        <v>681</v>
      </c>
      <c r="F112" s="36">
        <v>648</v>
      </c>
      <c r="G112" s="37">
        <v>43106</v>
      </c>
      <c r="H112" s="34" t="s">
        <v>717</v>
      </c>
      <c r="I112" s="34" t="s">
        <v>775</v>
      </c>
      <c r="J112" s="72">
        <v>200</v>
      </c>
      <c r="K112" s="72"/>
      <c r="L112" s="72"/>
      <c r="M112" s="72"/>
      <c r="N112" s="72">
        <v>157</v>
      </c>
      <c r="O112" s="66">
        <v>1.27</v>
      </c>
      <c r="P112" s="72">
        <v>2</v>
      </c>
      <c r="Q112" s="108">
        <f t="shared" si="21"/>
        <v>2.1853500607041682E-2</v>
      </c>
      <c r="R112" s="108">
        <f t="shared" si="20"/>
        <v>2.7753945770942937E-2</v>
      </c>
    </row>
    <row r="113" spans="1:18" s="38" customFormat="1" ht="23.25" hidden="1" customHeight="1">
      <c r="A113" s="17">
        <v>201709</v>
      </c>
      <c r="B113" s="34" t="s">
        <v>1003</v>
      </c>
      <c r="C113" s="34" t="s">
        <v>16</v>
      </c>
      <c r="D113" s="35">
        <v>43104</v>
      </c>
      <c r="E113" s="33" t="s">
        <v>1004</v>
      </c>
      <c r="F113" s="36">
        <v>444</v>
      </c>
      <c r="G113" s="37">
        <v>43115</v>
      </c>
      <c r="H113" s="34" t="s">
        <v>717</v>
      </c>
      <c r="I113" s="34" t="s">
        <v>822</v>
      </c>
      <c r="J113" s="72">
        <v>210</v>
      </c>
      <c r="K113" s="72"/>
      <c r="L113" s="72"/>
      <c r="M113" s="72"/>
      <c r="N113" s="72">
        <v>146</v>
      </c>
      <c r="O113" s="66">
        <v>1.4383561643835616</v>
      </c>
      <c r="P113" s="72">
        <v>2</v>
      </c>
      <c r="Q113" s="108">
        <f t="shared" si="21"/>
        <v>1.4973694860380412E-2</v>
      </c>
      <c r="R113" s="108">
        <f t="shared" si="20"/>
        <v>2.1537506306026619E-2</v>
      </c>
    </row>
    <row r="114" spans="1:18" s="38" customFormat="1" ht="23.25" hidden="1" customHeight="1">
      <c r="A114" s="17">
        <v>201709</v>
      </c>
      <c r="B114" s="34" t="s">
        <v>1005</v>
      </c>
      <c r="C114" s="34" t="s">
        <v>16</v>
      </c>
      <c r="D114" s="35">
        <v>43104</v>
      </c>
      <c r="E114" s="33" t="s">
        <v>1006</v>
      </c>
      <c r="F114" s="36">
        <v>2184</v>
      </c>
      <c r="G114" s="37">
        <v>43115</v>
      </c>
      <c r="H114" s="34" t="s">
        <v>717</v>
      </c>
      <c r="I114" s="34" t="s">
        <v>822</v>
      </c>
      <c r="J114" s="72">
        <v>210</v>
      </c>
      <c r="K114" s="72"/>
      <c r="L114" s="72"/>
      <c r="M114" s="72"/>
      <c r="N114" s="72">
        <v>146</v>
      </c>
      <c r="O114" s="66">
        <v>1.4383561643835616</v>
      </c>
      <c r="P114" s="72">
        <v>2</v>
      </c>
      <c r="Q114" s="108">
        <f t="shared" si="21"/>
        <v>7.3654390934844188E-2</v>
      </c>
      <c r="R114" s="108">
        <f t="shared" si="20"/>
        <v>0.10594124723504986</v>
      </c>
    </row>
    <row r="115" spans="1:18" s="38" customFormat="1" ht="23.25" hidden="1" customHeight="1">
      <c r="A115" s="17">
        <v>201709</v>
      </c>
      <c r="B115" s="34" t="s">
        <v>1007</v>
      </c>
      <c r="C115" s="34" t="s">
        <v>16</v>
      </c>
      <c r="D115" s="35">
        <v>43106</v>
      </c>
      <c r="E115" s="33" t="s">
        <v>1006</v>
      </c>
      <c r="F115" s="36">
        <v>480</v>
      </c>
      <c r="G115" s="37">
        <v>43116</v>
      </c>
      <c r="H115" s="34" t="s">
        <v>717</v>
      </c>
      <c r="I115" s="34" t="s">
        <v>822</v>
      </c>
      <c r="J115" s="72">
        <v>210</v>
      </c>
      <c r="K115" s="72"/>
      <c r="L115" s="72"/>
      <c r="M115" s="72"/>
      <c r="N115" s="72">
        <v>146</v>
      </c>
      <c r="O115" s="66">
        <v>1.4383561643835616</v>
      </c>
      <c r="P115" s="72">
        <v>2</v>
      </c>
      <c r="Q115" s="108">
        <f t="shared" si="21"/>
        <v>1.6187778227438283E-2</v>
      </c>
      <c r="R115" s="108">
        <f t="shared" si="20"/>
        <v>2.3283790601109858E-2</v>
      </c>
    </row>
    <row r="116" spans="1:18" s="38" customFormat="1" ht="23.25" hidden="1" customHeight="1">
      <c r="A116" s="17">
        <v>201709</v>
      </c>
      <c r="B116" s="34" t="s">
        <v>1008</v>
      </c>
      <c r="C116" s="34" t="s">
        <v>16</v>
      </c>
      <c r="D116" s="35">
        <v>43106</v>
      </c>
      <c r="E116" s="33" t="s">
        <v>1006</v>
      </c>
      <c r="F116" s="36">
        <v>600</v>
      </c>
      <c r="G116" s="37">
        <v>43116</v>
      </c>
      <c r="H116" s="34" t="s">
        <v>717</v>
      </c>
      <c r="I116" s="34" t="s">
        <v>822</v>
      </c>
      <c r="J116" s="72">
        <v>210</v>
      </c>
      <c r="K116" s="72"/>
      <c r="L116" s="72"/>
      <c r="M116" s="72"/>
      <c r="N116" s="72">
        <v>146</v>
      </c>
      <c r="O116" s="66">
        <v>1.4383561643835616</v>
      </c>
      <c r="P116" s="72">
        <v>2</v>
      </c>
      <c r="Q116" s="108">
        <f t="shared" si="21"/>
        <v>2.0234722784297856E-2</v>
      </c>
      <c r="R116" s="108">
        <f t="shared" si="20"/>
        <v>2.9104738251387326E-2</v>
      </c>
    </row>
    <row r="117" spans="1:18" s="38" customFormat="1" ht="23.25" hidden="1" customHeight="1">
      <c r="A117" s="17">
        <v>201709</v>
      </c>
      <c r="B117" s="34" t="s">
        <v>1009</v>
      </c>
      <c r="C117" s="34" t="s">
        <v>16</v>
      </c>
      <c r="D117" s="35">
        <v>43106</v>
      </c>
      <c r="E117" s="33" t="s">
        <v>1006</v>
      </c>
      <c r="F117" s="36">
        <v>636</v>
      </c>
      <c r="G117" s="37">
        <v>43118</v>
      </c>
      <c r="H117" s="34" t="s">
        <v>717</v>
      </c>
      <c r="I117" s="34" t="s">
        <v>822</v>
      </c>
      <c r="J117" s="72">
        <v>210</v>
      </c>
      <c r="K117" s="72"/>
      <c r="L117" s="72"/>
      <c r="M117" s="72"/>
      <c r="N117" s="72">
        <v>146</v>
      </c>
      <c r="O117" s="66">
        <v>1.4383561643835616</v>
      </c>
      <c r="P117" s="72">
        <v>2</v>
      </c>
      <c r="Q117" s="108">
        <f t="shared" si="21"/>
        <v>2.1448806151355727E-2</v>
      </c>
      <c r="R117" s="108">
        <f t="shared" si="20"/>
        <v>3.0851022546470565E-2</v>
      </c>
    </row>
    <row r="118" spans="1:18" s="38" customFormat="1" ht="23.25" hidden="1" customHeight="1">
      <c r="A118" s="17">
        <v>201709</v>
      </c>
      <c r="B118" s="34" t="s">
        <v>1010</v>
      </c>
      <c r="C118" s="34" t="s">
        <v>16</v>
      </c>
      <c r="D118" s="35">
        <v>43106</v>
      </c>
      <c r="E118" s="33" t="s">
        <v>1006</v>
      </c>
      <c r="F118" s="36">
        <v>180</v>
      </c>
      <c r="G118" s="37">
        <v>43118</v>
      </c>
      <c r="H118" s="34" t="s">
        <v>717</v>
      </c>
      <c r="I118" s="34" t="s">
        <v>822</v>
      </c>
      <c r="J118" s="72">
        <v>210</v>
      </c>
      <c r="K118" s="72"/>
      <c r="L118" s="72"/>
      <c r="M118" s="72"/>
      <c r="N118" s="72">
        <v>146</v>
      </c>
      <c r="O118" s="66">
        <v>1.4383561643835616</v>
      </c>
      <c r="P118" s="72">
        <v>2</v>
      </c>
      <c r="Q118" s="108">
        <f t="shared" si="21"/>
        <v>6.0704168352893563E-3</v>
      </c>
      <c r="R118" s="108">
        <f t="shared" si="20"/>
        <v>8.7314214754161974E-3</v>
      </c>
    </row>
    <row r="119" spans="1:18" s="38" customFormat="1" ht="23.25" hidden="1" customHeight="1">
      <c r="A119" s="17">
        <v>201708</v>
      </c>
      <c r="B119" s="34" t="s">
        <v>1011</v>
      </c>
      <c r="C119" s="34" t="s">
        <v>16</v>
      </c>
      <c r="D119" s="35">
        <v>43108</v>
      </c>
      <c r="E119" s="33" t="s">
        <v>1006</v>
      </c>
      <c r="F119" s="36">
        <v>492</v>
      </c>
      <c r="G119" s="37">
        <v>43124</v>
      </c>
      <c r="H119" s="34" t="s">
        <v>1012</v>
      </c>
      <c r="I119" s="34" t="s">
        <v>822</v>
      </c>
      <c r="J119" s="72">
        <v>210</v>
      </c>
      <c r="K119" s="72"/>
      <c r="L119" s="72"/>
      <c r="M119" s="72"/>
      <c r="N119" s="72">
        <v>146</v>
      </c>
      <c r="O119" s="66">
        <v>1.4383561643835616</v>
      </c>
      <c r="P119" s="72">
        <v>2</v>
      </c>
      <c r="Q119" s="108">
        <f t="shared" si="21"/>
        <v>1.6592472683124242E-2</v>
      </c>
      <c r="R119" s="108">
        <f t="shared" si="20"/>
        <v>2.3865885366137606E-2</v>
      </c>
    </row>
    <row r="120" spans="1:18" s="38" customFormat="1" ht="23.25" hidden="1" customHeight="1">
      <c r="A120" s="17">
        <v>201709</v>
      </c>
      <c r="B120" s="34" t="s">
        <v>1013</v>
      </c>
      <c r="C120" s="34" t="s">
        <v>16</v>
      </c>
      <c r="D120" s="35">
        <v>43108</v>
      </c>
      <c r="E120" s="33" t="s">
        <v>1014</v>
      </c>
      <c r="F120" s="36">
        <v>1452</v>
      </c>
      <c r="G120" s="37">
        <v>43115</v>
      </c>
      <c r="H120" s="34" t="s">
        <v>717</v>
      </c>
      <c r="I120" s="34" t="s">
        <v>822</v>
      </c>
      <c r="J120" s="72">
        <v>210</v>
      </c>
      <c r="K120" s="72"/>
      <c r="L120" s="72"/>
      <c r="M120" s="72"/>
      <c r="N120" s="72">
        <v>146</v>
      </c>
      <c r="O120" s="66">
        <v>1.4383561643835616</v>
      </c>
      <c r="P120" s="72">
        <v>2</v>
      </c>
      <c r="Q120" s="108">
        <f t="shared" si="21"/>
        <v>4.8968029138000808E-2</v>
      </c>
      <c r="R120" s="108">
        <f t="shared" si="20"/>
        <v>7.043346656835732E-2</v>
      </c>
    </row>
    <row r="121" spans="1:18" s="38" customFormat="1" ht="23.25" hidden="1" customHeight="1">
      <c r="A121" s="17">
        <v>201708</v>
      </c>
      <c r="B121" s="34" t="s">
        <v>1015</v>
      </c>
      <c r="C121" s="34" t="s">
        <v>16</v>
      </c>
      <c r="D121" s="35">
        <v>43109</v>
      </c>
      <c r="E121" s="33" t="s">
        <v>1014</v>
      </c>
      <c r="F121" s="36">
        <v>600</v>
      </c>
      <c r="G121" s="37">
        <v>43116</v>
      </c>
      <c r="H121" s="34" t="s">
        <v>717</v>
      </c>
      <c r="I121" s="34" t="s">
        <v>822</v>
      </c>
      <c r="J121" s="72">
        <v>210</v>
      </c>
      <c r="K121" s="72"/>
      <c r="L121" s="72"/>
      <c r="M121" s="72"/>
      <c r="N121" s="72">
        <v>146</v>
      </c>
      <c r="O121" s="66">
        <v>1.4383561643835616</v>
      </c>
      <c r="P121" s="72">
        <v>2</v>
      </c>
      <c r="Q121" s="108">
        <f t="shared" si="21"/>
        <v>2.0234722784297856E-2</v>
      </c>
      <c r="R121" s="108">
        <f t="shared" si="20"/>
        <v>2.9104738251387326E-2</v>
      </c>
    </row>
    <row r="122" spans="1:18" s="38" customFormat="1" ht="23.25" hidden="1" customHeight="1">
      <c r="A122" s="17">
        <v>201708</v>
      </c>
      <c r="B122" s="34" t="s">
        <v>1016</v>
      </c>
      <c r="C122" s="34" t="s">
        <v>16</v>
      </c>
      <c r="D122" s="35">
        <v>43109</v>
      </c>
      <c r="E122" s="33" t="s">
        <v>1014</v>
      </c>
      <c r="F122" s="36">
        <v>408</v>
      </c>
      <c r="G122" s="37">
        <v>43118</v>
      </c>
      <c r="H122" s="34" t="s">
        <v>717</v>
      </c>
      <c r="I122" s="34" t="s">
        <v>822</v>
      </c>
      <c r="J122" s="72">
        <v>210</v>
      </c>
      <c r="K122" s="72"/>
      <c r="L122" s="72"/>
      <c r="M122" s="72"/>
      <c r="N122" s="72">
        <v>146</v>
      </c>
      <c r="O122" s="66">
        <v>1.4383561643835616</v>
      </c>
      <c r="P122" s="72">
        <v>2</v>
      </c>
      <c r="Q122" s="108">
        <f t="shared" si="21"/>
        <v>1.3759611493322542E-2</v>
      </c>
      <c r="R122" s="108">
        <f t="shared" si="20"/>
        <v>1.9791222010943382E-2</v>
      </c>
    </row>
    <row r="123" spans="1:18" s="38" customFormat="1" ht="23.25" hidden="1" customHeight="1">
      <c r="A123" s="17">
        <v>201708</v>
      </c>
      <c r="B123" s="34" t="s">
        <v>1017</v>
      </c>
      <c r="C123" s="34" t="s">
        <v>16</v>
      </c>
      <c r="D123" s="35">
        <v>43109</v>
      </c>
      <c r="E123" s="33" t="s">
        <v>1014</v>
      </c>
      <c r="F123" s="36">
        <v>120</v>
      </c>
      <c r="G123" s="37">
        <v>43118</v>
      </c>
      <c r="H123" s="34" t="s">
        <v>717</v>
      </c>
      <c r="I123" s="34" t="s">
        <v>822</v>
      </c>
      <c r="J123" s="72">
        <v>210</v>
      </c>
      <c r="K123" s="72"/>
      <c r="L123" s="72"/>
      <c r="M123" s="72"/>
      <c r="N123" s="72">
        <v>146</v>
      </c>
      <c r="O123" s="66">
        <v>1.4383561643835616</v>
      </c>
      <c r="P123" s="72">
        <v>2</v>
      </c>
      <c r="Q123" s="108">
        <f t="shared" si="21"/>
        <v>4.0469445568595708E-3</v>
      </c>
      <c r="R123" s="108">
        <f t="shared" si="20"/>
        <v>5.8209476502774646E-3</v>
      </c>
    </row>
    <row r="124" spans="1:18" s="38" customFormat="1" ht="23.25" hidden="1" customHeight="1">
      <c r="A124" s="17">
        <v>201709</v>
      </c>
      <c r="B124" s="34" t="s">
        <v>1018</v>
      </c>
      <c r="C124" s="34" t="s">
        <v>16</v>
      </c>
      <c r="D124" s="35">
        <v>43109</v>
      </c>
      <c r="E124" s="33" t="s">
        <v>1014</v>
      </c>
      <c r="F124" s="36">
        <v>300</v>
      </c>
      <c r="G124" s="37">
        <v>43116</v>
      </c>
      <c r="H124" s="34" t="s">
        <v>717</v>
      </c>
      <c r="I124" s="34" t="s">
        <v>822</v>
      </c>
      <c r="J124" s="72">
        <v>210</v>
      </c>
      <c r="K124" s="72"/>
      <c r="L124" s="72"/>
      <c r="M124" s="72"/>
      <c r="N124" s="72">
        <v>146</v>
      </c>
      <c r="O124" s="66">
        <v>1.4383561643835616</v>
      </c>
      <c r="P124" s="72">
        <v>2</v>
      </c>
      <c r="Q124" s="108">
        <f t="shared" si="21"/>
        <v>1.0117361392148928E-2</v>
      </c>
      <c r="R124" s="108">
        <f t="shared" si="20"/>
        <v>1.4552369125693663E-2</v>
      </c>
    </row>
    <row r="125" spans="1:18" s="38" customFormat="1" ht="23.25" hidden="1" customHeight="1">
      <c r="A125" s="17">
        <v>201710</v>
      </c>
      <c r="B125" s="34" t="s">
        <v>1019</v>
      </c>
      <c r="C125" s="34" t="s">
        <v>16</v>
      </c>
      <c r="D125" s="35">
        <v>43110</v>
      </c>
      <c r="E125" s="33" t="s">
        <v>1020</v>
      </c>
      <c r="F125" s="36">
        <v>288</v>
      </c>
      <c r="G125" s="37">
        <v>43120</v>
      </c>
      <c r="H125" s="34" t="s">
        <v>731</v>
      </c>
      <c r="I125" s="34" t="s">
        <v>822</v>
      </c>
      <c r="J125" s="72">
        <v>210</v>
      </c>
      <c r="K125" s="72"/>
      <c r="L125" s="72"/>
      <c r="M125" s="72"/>
      <c r="N125" s="72">
        <v>146</v>
      </c>
      <c r="O125" s="66">
        <v>1.4383561643835616</v>
      </c>
      <c r="P125" s="72">
        <v>2</v>
      </c>
      <c r="Q125" s="108">
        <f t="shared" si="21"/>
        <v>9.7126669364629697E-3</v>
      </c>
      <c r="R125" s="108">
        <f t="shared" si="20"/>
        <v>1.3970274360665915E-2</v>
      </c>
    </row>
    <row r="126" spans="1:18" s="38" customFormat="1" ht="23.25" hidden="1" customHeight="1">
      <c r="A126" s="17">
        <v>201710</v>
      </c>
      <c r="B126" s="34" t="s">
        <v>1021</v>
      </c>
      <c r="C126" s="34" t="s">
        <v>16</v>
      </c>
      <c r="D126" s="35">
        <v>43110</v>
      </c>
      <c r="E126" s="33" t="s">
        <v>1020</v>
      </c>
      <c r="F126" s="36">
        <v>360</v>
      </c>
      <c r="G126" s="37">
        <v>43137</v>
      </c>
      <c r="H126" s="34" t="s">
        <v>719</v>
      </c>
      <c r="I126" s="34" t="s">
        <v>822</v>
      </c>
      <c r="J126" s="72">
        <v>210</v>
      </c>
      <c r="K126" s="72"/>
      <c r="L126" s="72"/>
      <c r="M126" s="72"/>
      <c r="N126" s="72">
        <v>146</v>
      </c>
      <c r="O126" s="66">
        <v>1.4383561643835616</v>
      </c>
      <c r="P126" s="72">
        <v>2</v>
      </c>
      <c r="Q126" s="108">
        <f t="shared" si="21"/>
        <v>1.2140833670578713E-2</v>
      </c>
      <c r="R126" s="108">
        <f t="shared" si="20"/>
        <v>1.7462842950832395E-2</v>
      </c>
    </row>
    <row r="127" spans="1:18" s="38" customFormat="1" ht="23.25" hidden="1" customHeight="1">
      <c r="A127" s="17">
        <v>201710</v>
      </c>
      <c r="B127" s="34" t="s">
        <v>1022</v>
      </c>
      <c r="C127" s="34" t="s">
        <v>16</v>
      </c>
      <c r="D127" s="35">
        <v>43110</v>
      </c>
      <c r="E127" s="33" t="s">
        <v>1020</v>
      </c>
      <c r="F127" s="36">
        <v>372</v>
      </c>
      <c r="G127" s="37">
        <v>43139</v>
      </c>
      <c r="H127" s="34" t="s">
        <v>719</v>
      </c>
      <c r="I127" s="34" t="s">
        <v>822</v>
      </c>
      <c r="J127" s="72">
        <v>210</v>
      </c>
      <c r="K127" s="72"/>
      <c r="L127" s="72"/>
      <c r="M127" s="72"/>
      <c r="N127" s="72">
        <v>146</v>
      </c>
      <c r="O127" s="66">
        <v>1.4383561643835616</v>
      </c>
      <c r="P127" s="72">
        <v>2</v>
      </c>
      <c r="Q127" s="108">
        <f t="shared" si="21"/>
        <v>1.2545528126264671E-2</v>
      </c>
      <c r="R127" s="108">
        <f t="shared" si="20"/>
        <v>1.8044937715860142E-2</v>
      </c>
    </row>
    <row r="128" spans="1:18" s="38" customFormat="1" ht="23.25" hidden="1" customHeight="1">
      <c r="A128" s="17">
        <v>201710</v>
      </c>
      <c r="B128" s="34" t="s">
        <v>1023</v>
      </c>
      <c r="C128" s="34" t="s">
        <v>16</v>
      </c>
      <c r="D128" s="35">
        <v>43110</v>
      </c>
      <c r="E128" s="33" t="s">
        <v>1024</v>
      </c>
      <c r="F128" s="36">
        <v>372</v>
      </c>
      <c r="G128" s="37">
        <v>43137</v>
      </c>
      <c r="H128" s="34" t="s">
        <v>719</v>
      </c>
      <c r="I128" s="34" t="s">
        <v>822</v>
      </c>
      <c r="J128" s="72">
        <v>210</v>
      </c>
      <c r="K128" s="73"/>
      <c r="L128" s="73"/>
      <c r="M128" s="73"/>
      <c r="N128" s="72">
        <v>146</v>
      </c>
      <c r="O128" s="66">
        <v>1.4383561643835616</v>
      </c>
      <c r="P128" s="72">
        <v>2</v>
      </c>
      <c r="Q128" s="108">
        <f t="shared" si="21"/>
        <v>1.2545528126264671E-2</v>
      </c>
      <c r="R128" s="108">
        <f t="shared" si="20"/>
        <v>1.8044937715860142E-2</v>
      </c>
    </row>
    <row r="129" spans="1:18" s="38" customFormat="1" ht="23.25" hidden="1" customHeight="1">
      <c r="A129" s="17">
        <v>201710</v>
      </c>
      <c r="B129" s="34" t="s">
        <v>1025</v>
      </c>
      <c r="C129" s="34" t="s">
        <v>16</v>
      </c>
      <c r="D129" s="35">
        <v>43111</v>
      </c>
      <c r="E129" s="33" t="s">
        <v>1026</v>
      </c>
      <c r="F129" s="36">
        <v>492</v>
      </c>
      <c r="G129" s="37">
        <v>43115</v>
      </c>
      <c r="H129" s="34" t="s">
        <v>718</v>
      </c>
      <c r="I129" s="34" t="s">
        <v>782</v>
      </c>
      <c r="J129" s="72">
        <v>200</v>
      </c>
      <c r="K129" s="72"/>
      <c r="L129" s="72"/>
      <c r="M129" s="72"/>
      <c r="N129" s="72">
        <v>138</v>
      </c>
      <c r="O129" s="66">
        <v>1.4492753623188406</v>
      </c>
      <c r="P129" s="72">
        <v>2</v>
      </c>
      <c r="Q129" s="108">
        <f t="shared" si="21"/>
        <v>1.6592472683124242E-2</v>
      </c>
      <c r="R129" s="108">
        <f t="shared" si="20"/>
        <v>2.4047061859600351E-2</v>
      </c>
    </row>
    <row r="130" spans="1:18" s="38" customFormat="1" ht="23.25" hidden="1" customHeight="1">
      <c r="A130" s="17">
        <v>201710</v>
      </c>
      <c r="B130" s="34" t="s">
        <v>1027</v>
      </c>
      <c r="C130" s="34" t="s">
        <v>16</v>
      </c>
      <c r="D130" s="35">
        <v>43111</v>
      </c>
      <c r="E130" s="33" t="s">
        <v>1026</v>
      </c>
      <c r="F130" s="36">
        <v>4104</v>
      </c>
      <c r="G130" s="37">
        <v>43125</v>
      </c>
      <c r="H130" s="34" t="s">
        <v>718</v>
      </c>
      <c r="I130" s="34" t="s">
        <v>782</v>
      </c>
      <c r="J130" s="72">
        <v>200</v>
      </c>
      <c r="K130" s="72"/>
      <c r="L130" s="72"/>
      <c r="M130" s="72"/>
      <c r="N130" s="72">
        <v>138</v>
      </c>
      <c r="O130" s="66">
        <v>1.4492753623188406</v>
      </c>
      <c r="P130" s="72">
        <v>2</v>
      </c>
      <c r="Q130" s="108">
        <f t="shared" si="21"/>
        <v>0.13840550384459732</v>
      </c>
      <c r="R130" s="108">
        <f t="shared" si="20"/>
        <v>0.20058768673130048</v>
      </c>
    </row>
    <row r="131" spans="1:18" s="38" customFormat="1" ht="23.25" hidden="1" customHeight="1">
      <c r="A131" s="17">
        <v>201710</v>
      </c>
      <c r="B131" s="34" t="s">
        <v>1028</v>
      </c>
      <c r="C131" s="34" t="s">
        <v>16</v>
      </c>
      <c r="D131" s="35">
        <v>43113</v>
      </c>
      <c r="E131" s="33" t="s">
        <v>1026</v>
      </c>
      <c r="F131" s="36">
        <v>480</v>
      </c>
      <c r="G131" s="37">
        <v>43155</v>
      </c>
      <c r="H131" s="34" t="s">
        <v>718</v>
      </c>
      <c r="I131" s="34" t="s">
        <v>782</v>
      </c>
      <c r="J131" s="72">
        <v>200</v>
      </c>
      <c r="K131" s="72"/>
      <c r="L131" s="72"/>
      <c r="M131" s="72"/>
      <c r="N131" s="72">
        <v>138</v>
      </c>
      <c r="O131" s="66">
        <v>1.4492753623188406</v>
      </c>
      <c r="P131" s="72">
        <v>2</v>
      </c>
      <c r="Q131" s="108">
        <f t="shared" si="21"/>
        <v>1.6187778227438283E-2</v>
      </c>
      <c r="R131" s="108">
        <f t="shared" si="20"/>
        <v>2.3460548155707656E-2</v>
      </c>
    </row>
    <row r="132" spans="1:18" s="38" customFormat="1" ht="23.25" hidden="1" customHeight="1">
      <c r="A132" s="17">
        <v>201710</v>
      </c>
      <c r="B132" s="34" t="s">
        <v>1029</v>
      </c>
      <c r="C132" s="34" t="s">
        <v>16</v>
      </c>
      <c r="D132" s="35">
        <v>43115</v>
      </c>
      <c r="E132" s="33" t="s">
        <v>821</v>
      </c>
      <c r="F132" s="36">
        <v>5352</v>
      </c>
      <c r="G132" s="37">
        <v>43135</v>
      </c>
      <c r="H132" s="34" t="s">
        <v>723</v>
      </c>
      <c r="I132" s="34" t="s">
        <v>822</v>
      </c>
      <c r="J132" s="72">
        <v>210</v>
      </c>
      <c r="K132" s="72"/>
      <c r="L132" s="72"/>
      <c r="M132" s="72"/>
      <c r="N132" s="72">
        <v>146</v>
      </c>
      <c r="O132" s="66">
        <v>1.4383561643835616</v>
      </c>
      <c r="P132" s="72">
        <v>2</v>
      </c>
      <c r="Q132" s="108">
        <f t="shared" si="21"/>
        <v>0.18049372723593687</v>
      </c>
      <c r="R132" s="108">
        <f t="shared" si="20"/>
        <v>0.25961426520237496</v>
      </c>
    </row>
    <row r="133" spans="1:18" s="38" customFormat="1" ht="23.25" hidden="1" customHeight="1">
      <c r="A133" s="17">
        <v>201710</v>
      </c>
      <c r="B133" s="34" t="s">
        <v>1030</v>
      </c>
      <c r="C133" s="34" t="s">
        <v>16</v>
      </c>
      <c r="D133" s="35">
        <v>43118</v>
      </c>
      <c r="E133" s="33" t="s">
        <v>1031</v>
      </c>
      <c r="F133" s="36">
        <v>1488</v>
      </c>
      <c r="G133" s="37">
        <v>43138</v>
      </c>
      <c r="H133" s="34" t="s">
        <v>717</v>
      </c>
      <c r="I133" s="34" t="s">
        <v>822</v>
      </c>
      <c r="J133" s="72">
        <v>210</v>
      </c>
      <c r="K133" s="72"/>
      <c r="L133" s="72"/>
      <c r="M133" s="72"/>
      <c r="N133" s="72">
        <v>146</v>
      </c>
      <c r="O133" s="66">
        <v>1.4383561643835616</v>
      </c>
      <c r="P133" s="72">
        <v>2</v>
      </c>
      <c r="Q133" s="108">
        <f t="shared" si="21"/>
        <v>5.0182112505058683E-2</v>
      </c>
      <c r="R133" s="108">
        <f t="shared" si="20"/>
        <v>7.217975086344057E-2</v>
      </c>
    </row>
    <row r="134" spans="1:18" s="38" customFormat="1" ht="23.25" hidden="1" customHeight="1">
      <c r="A134" s="17">
        <v>201710</v>
      </c>
      <c r="B134" s="34" t="s">
        <v>1032</v>
      </c>
      <c r="C134" s="34" t="s">
        <v>16</v>
      </c>
      <c r="D134" s="35">
        <v>43119</v>
      </c>
      <c r="E134" s="33" t="s">
        <v>1033</v>
      </c>
      <c r="F134" s="36">
        <v>516</v>
      </c>
      <c r="G134" s="37">
        <v>43138</v>
      </c>
      <c r="H134" s="34" t="s">
        <v>717</v>
      </c>
      <c r="I134" s="34" t="s">
        <v>822</v>
      </c>
      <c r="J134" s="72">
        <v>210</v>
      </c>
      <c r="K134" s="72"/>
      <c r="L134" s="72"/>
      <c r="M134" s="72"/>
      <c r="N134" s="72">
        <v>146</v>
      </c>
      <c r="O134" s="66">
        <v>1.4383561643835616</v>
      </c>
      <c r="P134" s="72">
        <v>2</v>
      </c>
      <c r="Q134" s="108">
        <f t="shared" si="21"/>
        <v>1.7401861594496155E-2</v>
      </c>
      <c r="R134" s="108">
        <f t="shared" si="20"/>
        <v>2.5030074896193098E-2</v>
      </c>
    </row>
    <row r="135" spans="1:18" s="38" customFormat="1" ht="23.25" hidden="1" customHeight="1">
      <c r="A135" s="17">
        <v>201710</v>
      </c>
      <c r="B135" s="34" t="s">
        <v>1034</v>
      </c>
      <c r="C135" s="34" t="s">
        <v>16</v>
      </c>
      <c r="D135" s="35">
        <v>43119</v>
      </c>
      <c r="E135" s="33" t="s">
        <v>1033</v>
      </c>
      <c r="F135" s="36">
        <v>1416</v>
      </c>
      <c r="G135" s="37">
        <v>43138</v>
      </c>
      <c r="H135" s="34" t="s">
        <v>717</v>
      </c>
      <c r="I135" s="34" t="s">
        <v>822</v>
      </c>
      <c r="J135" s="72">
        <v>210</v>
      </c>
      <c r="K135" s="72"/>
      <c r="L135" s="72"/>
      <c r="M135" s="72"/>
      <c r="N135" s="72">
        <v>146</v>
      </c>
      <c r="O135" s="66">
        <v>1.4383561643835616</v>
      </c>
      <c r="P135" s="72">
        <v>2</v>
      </c>
      <c r="Q135" s="108">
        <f t="shared" si="21"/>
        <v>4.775394577094294E-2</v>
      </c>
      <c r="R135" s="108">
        <f t="shared" si="20"/>
        <v>6.8687182273274097E-2</v>
      </c>
    </row>
    <row r="136" spans="1:18" s="38" customFormat="1" ht="23.25" hidden="1" customHeight="1">
      <c r="A136" s="17">
        <v>201710</v>
      </c>
      <c r="B136" s="34" t="s">
        <v>1035</v>
      </c>
      <c r="C136" s="34" t="s">
        <v>16</v>
      </c>
      <c r="D136" s="35">
        <v>43120</v>
      </c>
      <c r="E136" s="33" t="s">
        <v>1036</v>
      </c>
      <c r="F136" s="36">
        <v>2268</v>
      </c>
      <c r="G136" s="37">
        <v>43139</v>
      </c>
      <c r="H136" s="34" t="s">
        <v>723</v>
      </c>
      <c r="I136" s="34" t="s">
        <v>822</v>
      </c>
      <c r="J136" s="72">
        <v>210</v>
      </c>
      <c r="K136" s="72"/>
      <c r="L136" s="72"/>
      <c r="M136" s="72"/>
      <c r="N136" s="72">
        <v>146</v>
      </c>
      <c r="O136" s="66">
        <v>1.4383561643835616</v>
      </c>
      <c r="P136" s="72">
        <v>2</v>
      </c>
      <c r="Q136" s="108">
        <f t="shared" si="21"/>
        <v>7.6487252124645896E-2</v>
      </c>
      <c r="R136" s="108">
        <f t="shared" si="20"/>
        <v>0.1100159105902441</v>
      </c>
    </row>
    <row r="137" spans="1:18" s="38" customFormat="1" ht="23.25" hidden="1" customHeight="1">
      <c r="A137" s="17">
        <v>201710</v>
      </c>
      <c r="B137" s="34" t="s">
        <v>1037</v>
      </c>
      <c r="C137" s="34" t="s">
        <v>16</v>
      </c>
      <c r="D137" s="35">
        <v>43120</v>
      </c>
      <c r="E137" s="33" t="s">
        <v>1038</v>
      </c>
      <c r="F137" s="36">
        <v>288</v>
      </c>
      <c r="G137" s="37">
        <v>43137</v>
      </c>
      <c r="H137" s="34" t="s">
        <v>719</v>
      </c>
      <c r="I137" s="34" t="s">
        <v>1039</v>
      </c>
      <c r="J137" s="72">
        <v>210</v>
      </c>
      <c r="K137" s="72"/>
      <c r="L137" s="72"/>
      <c r="M137" s="72"/>
      <c r="N137" s="72">
        <v>155</v>
      </c>
      <c r="O137" s="66">
        <v>1.3548387096774193</v>
      </c>
      <c r="P137" s="72">
        <v>2</v>
      </c>
      <c r="Q137" s="108">
        <f t="shared" si="21"/>
        <v>9.7126669364629697E-3</v>
      </c>
      <c r="R137" s="108">
        <f t="shared" si="20"/>
        <v>1.3159097139724022E-2</v>
      </c>
    </row>
    <row r="138" spans="1:18" s="38" customFormat="1" ht="23.25" hidden="1" customHeight="1">
      <c r="A138" s="17"/>
      <c r="B138" s="34"/>
      <c r="C138" s="41" t="s">
        <v>16</v>
      </c>
      <c r="D138" s="42" t="s">
        <v>1040</v>
      </c>
      <c r="E138" s="43" t="s">
        <v>1041</v>
      </c>
      <c r="F138" s="44">
        <v>13308</v>
      </c>
      <c r="G138" s="54" t="s">
        <v>1343</v>
      </c>
      <c r="H138" s="55"/>
      <c r="I138" s="34"/>
      <c r="J138" s="72">
        <v>210</v>
      </c>
      <c r="K138" s="72"/>
      <c r="L138" s="72"/>
      <c r="M138" s="72"/>
      <c r="N138" s="72">
        <v>137</v>
      </c>
      <c r="O138" s="66">
        <v>1.5328467153284671</v>
      </c>
      <c r="P138" s="72">
        <v>1</v>
      </c>
      <c r="Q138" s="108"/>
      <c r="R138" s="108"/>
    </row>
    <row r="139" spans="1:18" s="38" customFormat="1" ht="23.25" hidden="1" customHeight="1">
      <c r="A139" s="17"/>
      <c r="B139" s="34"/>
      <c r="C139" s="34"/>
      <c r="D139" s="35"/>
      <c r="E139" s="36"/>
      <c r="F139" s="39">
        <f>SUM(F109:F138)</f>
        <v>42960</v>
      </c>
      <c r="G139" s="37"/>
      <c r="H139" s="34"/>
      <c r="I139" s="34"/>
      <c r="J139" s="72"/>
      <c r="K139" s="72"/>
      <c r="L139" s="72"/>
      <c r="M139" s="72"/>
      <c r="N139" s="72"/>
      <c r="O139" s="66"/>
      <c r="P139" s="72"/>
      <c r="Q139" s="108"/>
      <c r="R139" s="108"/>
    </row>
    <row r="140" spans="1:18" s="45" customFormat="1" ht="23.25" hidden="1" customHeight="1">
      <c r="A140" s="17">
        <v>201712</v>
      </c>
      <c r="B140" s="34" t="s">
        <v>1042</v>
      </c>
      <c r="C140" s="34" t="s">
        <v>17</v>
      </c>
      <c r="D140" s="35" t="s">
        <v>1043</v>
      </c>
      <c r="E140" s="33" t="s">
        <v>1044</v>
      </c>
      <c r="F140" s="140">
        <v>7208</v>
      </c>
      <c r="G140" s="37">
        <v>43110</v>
      </c>
      <c r="H140" s="34" t="s">
        <v>717</v>
      </c>
      <c r="I140" s="34" t="s">
        <v>1045</v>
      </c>
      <c r="J140" s="73">
        <v>210</v>
      </c>
      <c r="K140" s="73"/>
      <c r="L140" s="73"/>
      <c r="M140" s="73"/>
      <c r="N140" s="73">
        <v>137</v>
      </c>
      <c r="O140" s="67">
        <v>1.5328467153284671</v>
      </c>
      <c r="P140" s="73">
        <v>1</v>
      </c>
      <c r="Q140" s="108"/>
      <c r="R140" s="108"/>
    </row>
    <row r="141" spans="1:18" s="45" customFormat="1" ht="23.25" hidden="1" customHeight="1">
      <c r="A141" s="17">
        <v>201712</v>
      </c>
      <c r="B141" s="34" t="s">
        <v>1046</v>
      </c>
      <c r="C141" s="34" t="s">
        <v>17</v>
      </c>
      <c r="D141" s="35" t="s">
        <v>1043</v>
      </c>
      <c r="E141" s="33" t="s">
        <v>1044</v>
      </c>
      <c r="F141" s="140"/>
      <c r="G141" s="37">
        <v>43110</v>
      </c>
      <c r="H141" s="34" t="s">
        <v>717</v>
      </c>
      <c r="I141" s="34" t="s">
        <v>1045</v>
      </c>
      <c r="J141" s="73">
        <v>210</v>
      </c>
      <c r="K141" s="73"/>
      <c r="L141" s="73"/>
      <c r="M141" s="73"/>
      <c r="N141" s="73">
        <v>137</v>
      </c>
      <c r="O141" s="67">
        <v>1.5328467153284671</v>
      </c>
      <c r="P141" s="73">
        <v>1</v>
      </c>
      <c r="Q141" s="108"/>
      <c r="R141" s="108"/>
    </row>
    <row r="142" spans="1:18" s="45" customFormat="1" ht="23.25" hidden="1" customHeight="1">
      <c r="A142" s="17">
        <v>201712</v>
      </c>
      <c r="B142" s="34" t="s">
        <v>1047</v>
      </c>
      <c r="C142" s="34" t="s">
        <v>17</v>
      </c>
      <c r="D142" s="35" t="s">
        <v>1043</v>
      </c>
      <c r="E142" s="33" t="s">
        <v>1044</v>
      </c>
      <c r="F142" s="140"/>
      <c r="G142" s="37">
        <v>43110</v>
      </c>
      <c r="H142" s="34" t="s">
        <v>717</v>
      </c>
      <c r="I142" s="34" t="s">
        <v>1045</v>
      </c>
      <c r="J142" s="73">
        <v>210</v>
      </c>
      <c r="K142" s="73"/>
      <c r="L142" s="73"/>
      <c r="M142" s="73"/>
      <c r="N142" s="73">
        <v>137</v>
      </c>
      <c r="O142" s="67">
        <v>1.5328467153284671</v>
      </c>
      <c r="P142" s="73">
        <v>1</v>
      </c>
      <c r="Q142" s="108"/>
      <c r="R142" s="108"/>
    </row>
    <row r="143" spans="1:18" s="38" customFormat="1" ht="23.25" hidden="1" customHeight="1">
      <c r="A143" s="17">
        <v>201710</v>
      </c>
      <c r="B143" s="34" t="s">
        <v>1048</v>
      </c>
      <c r="C143" s="34" t="s">
        <v>17</v>
      </c>
      <c r="D143" s="35">
        <v>43106</v>
      </c>
      <c r="E143" s="33" t="s">
        <v>795</v>
      </c>
      <c r="F143" s="36">
        <v>600</v>
      </c>
      <c r="G143" s="37">
        <v>43132</v>
      </c>
      <c r="H143" s="34" t="s">
        <v>1049</v>
      </c>
      <c r="I143" s="34" t="s">
        <v>782</v>
      </c>
      <c r="J143" s="72">
        <v>210</v>
      </c>
      <c r="K143" s="72"/>
      <c r="L143" s="72"/>
      <c r="M143" s="72"/>
      <c r="N143" s="72">
        <v>137</v>
      </c>
      <c r="O143" s="66">
        <v>1.5328467153284671</v>
      </c>
      <c r="P143" s="72">
        <v>1</v>
      </c>
      <c r="Q143" s="108"/>
      <c r="R143" s="108"/>
    </row>
    <row r="144" spans="1:18" s="38" customFormat="1" ht="23.25" hidden="1" customHeight="1">
      <c r="A144" s="17">
        <v>201711</v>
      </c>
      <c r="B144" s="34" t="s">
        <v>1050</v>
      </c>
      <c r="C144" s="34" t="s">
        <v>17</v>
      </c>
      <c r="D144" s="35">
        <v>43106</v>
      </c>
      <c r="E144" s="33" t="s">
        <v>795</v>
      </c>
      <c r="F144" s="36">
        <v>9516</v>
      </c>
      <c r="G144" s="37">
        <v>43155</v>
      </c>
      <c r="H144" s="34" t="s">
        <v>717</v>
      </c>
      <c r="I144" s="34" t="s">
        <v>782</v>
      </c>
      <c r="J144" s="72">
        <v>210</v>
      </c>
      <c r="K144" s="72"/>
      <c r="L144" s="72"/>
      <c r="M144" s="72"/>
      <c r="N144" s="72">
        <v>137</v>
      </c>
      <c r="O144" s="66">
        <v>1.5328467153284671</v>
      </c>
      <c r="P144" s="72">
        <v>1</v>
      </c>
      <c r="Q144" s="108"/>
      <c r="R144" s="108"/>
    </row>
    <row r="145" spans="1:18" s="38" customFormat="1" ht="23.25" hidden="1" customHeight="1">
      <c r="A145" s="17">
        <v>201711</v>
      </c>
      <c r="B145" s="34" t="s">
        <v>1051</v>
      </c>
      <c r="C145" s="34" t="s">
        <v>17</v>
      </c>
      <c r="D145" s="35">
        <v>43113</v>
      </c>
      <c r="E145" s="33" t="s">
        <v>795</v>
      </c>
      <c r="F145" s="36">
        <v>120</v>
      </c>
      <c r="G145" s="37">
        <v>43155</v>
      </c>
      <c r="H145" s="34" t="s">
        <v>717</v>
      </c>
      <c r="I145" s="34" t="s">
        <v>782</v>
      </c>
      <c r="J145" s="72">
        <v>210</v>
      </c>
      <c r="K145" s="72"/>
      <c r="L145" s="72"/>
      <c r="M145" s="72"/>
      <c r="N145" s="72">
        <v>137</v>
      </c>
      <c r="O145" s="66">
        <v>1.5328467153284671</v>
      </c>
      <c r="P145" s="72">
        <v>1</v>
      </c>
      <c r="Q145" s="108"/>
      <c r="R145" s="108"/>
    </row>
    <row r="146" spans="1:18" s="38" customFormat="1" ht="23.25" hidden="1" customHeight="1">
      <c r="A146" s="17">
        <v>201711</v>
      </c>
      <c r="B146" s="34" t="s">
        <v>1052</v>
      </c>
      <c r="C146" s="34" t="s">
        <v>17</v>
      </c>
      <c r="D146" s="35">
        <v>43113</v>
      </c>
      <c r="E146" s="33" t="s">
        <v>795</v>
      </c>
      <c r="F146" s="36">
        <v>120</v>
      </c>
      <c r="G146" s="37">
        <v>43155</v>
      </c>
      <c r="H146" s="34" t="s">
        <v>717</v>
      </c>
      <c r="I146" s="34" t="s">
        <v>782</v>
      </c>
      <c r="J146" s="72">
        <v>210</v>
      </c>
      <c r="K146" s="72"/>
      <c r="L146" s="72"/>
      <c r="M146" s="72"/>
      <c r="N146" s="72">
        <v>137</v>
      </c>
      <c r="O146" s="66">
        <v>1.5328467153284671</v>
      </c>
      <c r="P146" s="72">
        <v>1</v>
      </c>
      <c r="Q146" s="108"/>
      <c r="R146" s="108"/>
    </row>
    <row r="147" spans="1:18" s="38" customFormat="1" ht="23.25" hidden="1" customHeight="1">
      <c r="A147" s="17">
        <v>201711</v>
      </c>
      <c r="B147" s="34" t="s">
        <v>1053</v>
      </c>
      <c r="C147" s="34" t="s">
        <v>17</v>
      </c>
      <c r="D147" s="35">
        <v>43113</v>
      </c>
      <c r="E147" s="33" t="s">
        <v>795</v>
      </c>
      <c r="F147" s="36">
        <v>120</v>
      </c>
      <c r="G147" s="37">
        <v>43155</v>
      </c>
      <c r="H147" s="34" t="s">
        <v>717</v>
      </c>
      <c r="I147" s="34" t="s">
        <v>782</v>
      </c>
      <c r="J147" s="72">
        <v>210</v>
      </c>
      <c r="K147" s="72"/>
      <c r="L147" s="72"/>
      <c r="M147" s="72"/>
      <c r="N147" s="72">
        <v>137</v>
      </c>
      <c r="O147" s="66">
        <v>1.5328467153284671</v>
      </c>
      <c r="P147" s="72">
        <v>1</v>
      </c>
      <c r="Q147" s="108"/>
      <c r="R147" s="108"/>
    </row>
    <row r="148" spans="1:18" s="38" customFormat="1" ht="23.25" hidden="1" customHeight="1">
      <c r="A148" s="17">
        <v>201711</v>
      </c>
      <c r="B148" s="34" t="s">
        <v>1054</v>
      </c>
      <c r="C148" s="34" t="s">
        <v>17</v>
      </c>
      <c r="D148" s="35">
        <v>43113</v>
      </c>
      <c r="E148" s="33" t="s">
        <v>1055</v>
      </c>
      <c r="F148" s="36">
        <v>120</v>
      </c>
      <c r="G148" s="37">
        <v>43155</v>
      </c>
      <c r="H148" s="34" t="s">
        <v>717</v>
      </c>
      <c r="I148" s="34" t="s">
        <v>782</v>
      </c>
      <c r="J148" s="72">
        <v>210</v>
      </c>
      <c r="K148" s="72"/>
      <c r="L148" s="72"/>
      <c r="M148" s="72"/>
      <c r="N148" s="72">
        <v>137</v>
      </c>
      <c r="O148" s="66">
        <v>1.5328467153284671</v>
      </c>
      <c r="P148" s="72">
        <v>1</v>
      </c>
      <c r="Q148" s="108"/>
      <c r="R148" s="108"/>
    </row>
    <row r="149" spans="1:18" s="38" customFormat="1" ht="23.25" hidden="1" customHeight="1">
      <c r="A149" s="17">
        <v>201711</v>
      </c>
      <c r="B149" s="34" t="s">
        <v>1056</v>
      </c>
      <c r="C149" s="34" t="s">
        <v>17</v>
      </c>
      <c r="D149" s="35">
        <v>43113</v>
      </c>
      <c r="E149" s="33" t="s">
        <v>1055</v>
      </c>
      <c r="F149" s="36">
        <v>360</v>
      </c>
      <c r="G149" s="37">
        <v>43128</v>
      </c>
      <c r="H149" s="34" t="s">
        <v>730</v>
      </c>
      <c r="I149" s="34" t="s">
        <v>782</v>
      </c>
      <c r="J149" s="72">
        <v>210</v>
      </c>
      <c r="K149" s="72"/>
      <c r="L149" s="72"/>
      <c r="M149" s="72"/>
      <c r="N149" s="72">
        <v>137</v>
      </c>
      <c r="O149" s="66">
        <v>1.5328467153284671</v>
      </c>
      <c r="P149" s="72">
        <v>1</v>
      </c>
      <c r="Q149" s="108"/>
      <c r="R149" s="108"/>
    </row>
    <row r="150" spans="1:18" s="38" customFormat="1" ht="23.25" hidden="1" customHeight="1">
      <c r="A150" s="17">
        <v>201711</v>
      </c>
      <c r="B150" s="34" t="s">
        <v>1057</v>
      </c>
      <c r="C150" s="34" t="s">
        <v>17</v>
      </c>
      <c r="D150" s="35">
        <v>43115</v>
      </c>
      <c r="E150" s="33" t="s">
        <v>1058</v>
      </c>
      <c r="F150" s="36">
        <v>360</v>
      </c>
      <c r="G150" s="37">
        <v>43149</v>
      </c>
      <c r="H150" s="34" t="s">
        <v>718</v>
      </c>
      <c r="I150" s="34" t="s">
        <v>782</v>
      </c>
      <c r="J150" s="72">
        <v>210</v>
      </c>
      <c r="K150" s="72"/>
      <c r="L150" s="72"/>
      <c r="M150" s="72"/>
      <c r="N150" s="72">
        <v>137</v>
      </c>
      <c r="O150" s="66">
        <v>1.5328467153284671</v>
      </c>
      <c r="P150" s="72">
        <v>1</v>
      </c>
      <c r="Q150" s="108"/>
      <c r="R150" s="108"/>
    </row>
    <row r="151" spans="1:18" s="38" customFormat="1" ht="23.25" hidden="1" customHeight="1">
      <c r="A151" s="17">
        <v>201711</v>
      </c>
      <c r="B151" s="34" t="s">
        <v>1059</v>
      </c>
      <c r="C151" s="34" t="s">
        <v>17</v>
      </c>
      <c r="D151" s="35">
        <v>43115</v>
      </c>
      <c r="E151" s="33" t="s">
        <v>1055</v>
      </c>
      <c r="F151" s="36">
        <v>1068</v>
      </c>
      <c r="G151" s="37">
        <v>43155</v>
      </c>
      <c r="H151" s="34" t="s">
        <v>717</v>
      </c>
      <c r="I151" s="34" t="s">
        <v>782</v>
      </c>
      <c r="J151" s="72">
        <v>210</v>
      </c>
      <c r="K151" s="72"/>
      <c r="L151" s="72"/>
      <c r="M151" s="72"/>
      <c r="N151" s="72">
        <v>137</v>
      </c>
      <c r="O151" s="66">
        <v>1.5328467153284671</v>
      </c>
      <c r="P151" s="72">
        <v>1</v>
      </c>
      <c r="Q151" s="108"/>
      <c r="R151" s="108"/>
    </row>
    <row r="152" spans="1:18" s="38" customFormat="1" ht="23.25" hidden="1" customHeight="1">
      <c r="A152" s="17"/>
      <c r="B152" s="34"/>
      <c r="C152" s="41" t="s">
        <v>17</v>
      </c>
      <c r="D152" s="42" t="s">
        <v>1060</v>
      </c>
      <c r="E152" s="43" t="s">
        <v>1041</v>
      </c>
      <c r="F152" s="44">
        <v>24088</v>
      </c>
      <c r="G152" s="54" t="s">
        <v>1344</v>
      </c>
      <c r="H152" s="55"/>
      <c r="I152" s="34"/>
      <c r="J152" s="72">
        <v>210</v>
      </c>
      <c r="K152" s="72"/>
      <c r="L152" s="72"/>
      <c r="M152" s="72"/>
      <c r="N152" s="72">
        <v>137</v>
      </c>
      <c r="O152" s="66">
        <v>1.5328467153284671</v>
      </c>
      <c r="P152" s="72">
        <v>1</v>
      </c>
      <c r="Q152" s="108"/>
      <c r="R152" s="108"/>
    </row>
    <row r="153" spans="1:18" s="38" customFormat="1" ht="23.25" hidden="1" customHeight="1">
      <c r="A153" s="17"/>
      <c r="B153" s="34"/>
      <c r="C153" s="34"/>
      <c r="D153" s="35"/>
      <c r="E153" s="36"/>
      <c r="F153" s="39">
        <f>SUM(F140:F152)</f>
        <v>43680</v>
      </c>
      <c r="G153" s="37"/>
      <c r="H153" s="34"/>
      <c r="I153" s="34"/>
      <c r="J153" s="72"/>
      <c r="K153" s="72"/>
      <c r="L153" s="72"/>
      <c r="M153" s="72"/>
      <c r="N153" s="72"/>
      <c r="O153" s="66"/>
      <c r="P153" s="72"/>
      <c r="Q153" s="108"/>
      <c r="R153" s="108"/>
    </row>
    <row r="154" spans="1:18" s="38" customFormat="1" ht="23.25" hidden="1" customHeight="1">
      <c r="A154" s="17">
        <v>201712</v>
      </c>
      <c r="B154" s="34" t="s">
        <v>1061</v>
      </c>
      <c r="C154" s="34" t="s">
        <v>9</v>
      </c>
      <c r="D154" s="35">
        <v>43102</v>
      </c>
      <c r="E154" s="33" t="s">
        <v>1062</v>
      </c>
      <c r="F154" s="36">
        <v>4404</v>
      </c>
      <c r="G154" s="37">
        <v>43110</v>
      </c>
      <c r="H154" s="34" t="s">
        <v>717</v>
      </c>
      <c r="I154" s="34" t="s">
        <v>796</v>
      </c>
      <c r="J154" s="72">
        <v>210</v>
      </c>
      <c r="K154" s="72"/>
      <c r="L154" s="72"/>
      <c r="M154" s="72"/>
      <c r="N154" s="72">
        <v>143</v>
      </c>
      <c r="O154" s="66">
        <v>1.4685314685314685</v>
      </c>
      <c r="P154" s="72">
        <v>2</v>
      </c>
      <c r="Q154" s="108"/>
      <c r="R154" s="108"/>
    </row>
    <row r="155" spans="1:18" s="38" customFormat="1" ht="23.25" hidden="1" customHeight="1">
      <c r="A155" s="17">
        <v>201710</v>
      </c>
      <c r="B155" s="34" t="s">
        <v>1063</v>
      </c>
      <c r="C155" s="34" t="s">
        <v>9</v>
      </c>
      <c r="D155" s="35">
        <v>43104</v>
      </c>
      <c r="E155" s="33" t="s">
        <v>1064</v>
      </c>
      <c r="F155" s="36">
        <v>660</v>
      </c>
      <c r="G155" s="37">
        <v>43120</v>
      </c>
      <c r="H155" s="34" t="s">
        <v>730</v>
      </c>
      <c r="I155" s="34" t="s">
        <v>1065</v>
      </c>
      <c r="J155" s="72">
        <v>165</v>
      </c>
      <c r="K155" s="72"/>
      <c r="L155" s="72"/>
      <c r="M155" s="72"/>
      <c r="N155" s="72">
        <v>160</v>
      </c>
      <c r="O155" s="66">
        <v>1.03125</v>
      </c>
      <c r="P155" s="72">
        <v>4</v>
      </c>
      <c r="Q155" s="108">
        <f>F155/$F$364</f>
        <v>2.1777865769154622E-2</v>
      </c>
      <c r="R155" s="108">
        <f>O155*Q155</f>
        <v>2.2458424074440705E-2</v>
      </c>
    </row>
    <row r="156" spans="1:18" s="38" customFormat="1" ht="23.25" hidden="1" customHeight="1">
      <c r="A156" s="17">
        <v>201710</v>
      </c>
      <c r="B156" s="34" t="s">
        <v>1066</v>
      </c>
      <c r="C156" s="34" t="s">
        <v>9</v>
      </c>
      <c r="D156" s="35">
        <v>43105</v>
      </c>
      <c r="E156" s="33" t="s">
        <v>1064</v>
      </c>
      <c r="F156" s="36">
        <v>444</v>
      </c>
      <c r="G156" s="37">
        <v>43121</v>
      </c>
      <c r="H156" s="34" t="s">
        <v>718</v>
      </c>
      <c r="I156" s="34" t="s">
        <v>1065</v>
      </c>
      <c r="J156" s="72">
        <v>165</v>
      </c>
      <c r="K156" s="72"/>
      <c r="L156" s="72"/>
      <c r="M156" s="72"/>
      <c r="N156" s="72">
        <v>160</v>
      </c>
      <c r="O156" s="66">
        <v>1.03125</v>
      </c>
      <c r="P156" s="72">
        <v>4</v>
      </c>
      <c r="Q156" s="108">
        <f t="shared" ref="Q156:Q179" si="22">F156/$F$364</f>
        <v>1.4650564244704019E-2</v>
      </c>
      <c r="R156" s="108">
        <f t="shared" ref="R156:R179" si="23">O156*Q156</f>
        <v>1.5108394377351019E-2</v>
      </c>
    </row>
    <row r="157" spans="1:18" s="38" customFormat="1" ht="23.25" hidden="1" customHeight="1">
      <c r="A157" s="17">
        <v>201710</v>
      </c>
      <c r="B157" s="34" t="s">
        <v>1067</v>
      </c>
      <c r="C157" s="34" t="s">
        <v>9</v>
      </c>
      <c r="D157" s="35">
        <v>43105</v>
      </c>
      <c r="E157" s="33" t="s">
        <v>1064</v>
      </c>
      <c r="F157" s="36">
        <v>300</v>
      </c>
      <c r="G157" s="37">
        <v>43120</v>
      </c>
      <c r="H157" s="34" t="s">
        <v>721</v>
      </c>
      <c r="I157" s="34" t="s">
        <v>1065</v>
      </c>
      <c r="J157" s="72">
        <v>165</v>
      </c>
      <c r="K157" s="72"/>
      <c r="L157" s="72"/>
      <c r="M157" s="72"/>
      <c r="N157" s="72">
        <v>160</v>
      </c>
      <c r="O157" s="66">
        <v>1.03125</v>
      </c>
      <c r="P157" s="72">
        <v>4</v>
      </c>
      <c r="Q157" s="108">
        <f t="shared" si="22"/>
        <v>9.8990298950702837E-3</v>
      </c>
      <c r="R157" s="108">
        <f t="shared" si="23"/>
        <v>1.0208374579291231E-2</v>
      </c>
    </row>
    <row r="158" spans="1:18" s="38" customFormat="1" ht="23.25" hidden="1" customHeight="1">
      <c r="A158" s="17">
        <v>201710</v>
      </c>
      <c r="B158" s="34" t="s">
        <v>1068</v>
      </c>
      <c r="C158" s="34" t="s">
        <v>9</v>
      </c>
      <c r="D158" s="35">
        <v>43106</v>
      </c>
      <c r="E158" s="33" t="s">
        <v>1064</v>
      </c>
      <c r="F158" s="36">
        <v>240</v>
      </c>
      <c r="G158" s="37">
        <v>43122</v>
      </c>
      <c r="H158" s="34" t="s">
        <v>1069</v>
      </c>
      <c r="I158" s="34" t="s">
        <v>1065</v>
      </c>
      <c r="J158" s="72">
        <v>165</v>
      </c>
      <c r="K158" s="72"/>
      <c r="L158" s="72"/>
      <c r="M158" s="72"/>
      <c r="N158" s="72">
        <v>160</v>
      </c>
      <c r="O158" s="66">
        <v>1.03125</v>
      </c>
      <c r="P158" s="72">
        <v>4</v>
      </c>
      <c r="Q158" s="108">
        <f t="shared" si="22"/>
        <v>7.9192239160562269E-3</v>
      </c>
      <c r="R158" s="108">
        <f t="shared" si="23"/>
        <v>8.1666996634329834E-3</v>
      </c>
    </row>
    <row r="159" spans="1:18" s="38" customFormat="1" ht="23.25" hidden="1" customHeight="1">
      <c r="A159" s="17">
        <v>201710</v>
      </c>
      <c r="B159" s="34" t="s">
        <v>1070</v>
      </c>
      <c r="C159" s="34" t="s">
        <v>9</v>
      </c>
      <c r="D159" s="35">
        <v>43106</v>
      </c>
      <c r="E159" s="33" t="s">
        <v>1064</v>
      </c>
      <c r="F159" s="36">
        <v>3576</v>
      </c>
      <c r="G159" s="37">
        <v>43132</v>
      </c>
      <c r="H159" s="34" t="s">
        <v>723</v>
      </c>
      <c r="I159" s="34" t="s">
        <v>1065</v>
      </c>
      <c r="J159" s="72">
        <v>165</v>
      </c>
      <c r="K159" s="72"/>
      <c r="L159" s="72"/>
      <c r="M159" s="72"/>
      <c r="N159" s="72">
        <v>160</v>
      </c>
      <c r="O159" s="66">
        <v>1.03125</v>
      </c>
      <c r="P159" s="72">
        <v>4</v>
      </c>
      <c r="Q159" s="108">
        <f t="shared" si="22"/>
        <v>0.11799643634923777</v>
      </c>
      <c r="R159" s="108">
        <f t="shared" si="23"/>
        <v>0.12168382498515146</v>
      </c>
    </row>
    <row r="160" spans="1:18" s="38" customFormat="1" ht="23.25" hidden="1" customHeight="1">
      <c r="A160" s="17">
        <v>201710</v>
      </c>
      <c r="B160" s="34" t="s">
        <v>1071</v>
      </c>
      <c r="C160" s="34" t="s">
        <v>9</v>
      </c>
      <c r="D160" s="35">
        <v>43109</v>
      </c>
      <c r="E160" s="33" t="s">
        <v>1072</v>
      </c>
      <c r="F160" s="36">
        <v>828</v>
      </c>
      <c r="G160" s="37">
        <v>43120</v>
      </c>
      <c r="H160" s="34" t="s">
        <v>730</v>
      </c>
      <c r="I160" s="34" t="s">
        <v>1065</v>
      </c>
      <c r="J160" s="72">
        <v>165</v>
      </c>
      <c r="K160" s="72"/>
      <c r="L160" s="72"/>
      <c r="M160" s="72"/>
      <c r="N160" s="72">
        <v>160</v>
      </c>
      <c r="O160" s="66">
        <v>1.03125</v>
      </c>
      <c r="P160" s="72">
        <v>4</v>
      </c>
      <c r="Q160" s="108">
        <f t="shared" si="22"/>
        <v>2.7321322510393983E-2</v>
      </c>
      <c r="R160" s="108">
        <f t="shared" si="23"/>
        <v>2.8175113838843795E-2</v>
      </c>
    </row>
    <row r="161" spans="1:18" s="38" customFormat="1" ht="23.25" hidden="1" customHeight="1">
      <c r="A161" s="17">
        <v>201710</v>
      </c>
      <c r="B161" s="34" t="s">
        <v>1073</v>
      </c>
      <c r="C161" s="34" t="s">
        <v>9</v>
      </c>
      <c r="D161" s="35">
        <v>43110</v>
      </c>
      <c r="E161" s="33" t="s">
        <v>1072</v>
      </c>
      <c r="F161" s="36">
        <v>2328</v>
      </c>
      <c r="G161" s="37">
        <v>43121</v>
      </c>
      <c r="H161" s="34" t="s">
        <v>718</v>
      </c>
      <c r="I161" s="34" t="s">
        <v>1065</v>
      </c>
      <c r="J161" s="72">
        <v>165</v>
      </c>
      <c r="K161" s="72"/>
      <c r="L161" s="72"/>
      <c r="M161" s="72"/>
      <c r="N161" s="72">
        <v>160</v>
      </c>
      <c r="O161" s="66">
        <v>1.03125</v>
      </c>
      <c r="P161" s="72">
        <v>4</v>
      </c>
      <c r="Q161" s="108">
        <f t="shared" si="22"/>
        <v>7.6816471985745399E-2</v>
      </c>
      <c r="R161" s="108">
        <f t="shared" si="23"/>
        <v>7.9216986735299949E-2</v>
      </c>
    </row>
    <row r="162" spans="1:18" s="38" customFormat="1" ht="23.25" hidden="1" customHeight="1">
      <c r="A162" s="17">
        <v>201710</v>
      </c>
      <c r="B162" s="34" t="s">
        <v>1074</v>
      </c>
      <c r="C162" s="34" t="s">
        <v>9</v>
      </c>
      <c r="D162" s="35">
        <v>43110</v>
      </c>
      <c r="E162" s="33" t="s">
        <v>1072</v>
      </c>
      <c r="F162" s="36">
        <v>360</v>
      </c>
      <c r="G162" s="37">
        <v>43120</v>
      </c>
      <c r="H162" s="34" t="s">
        <v>721</v>
      </c>
      <c r="I162" s="34" t="s">
        <v>1065</v>
      </c>
      <c r="J162" s="72">
        <v>165</v>
      </c>
      <c r="K162" s="72"/>
      <c r="L162" s="72"/>
      <c r="M162" s="72"/>
      <c r="N162" s="72">
        <v>160</v>
      </c>
      <c r="O162" s="66">
        <v>1.03125</v>
      </c>
      <c r="P162" s="72">
        <v>4</v>
      </c>
      <c r="Q162" s="108">
        <f t="shared" si="22"/>
        <v>1.187883587408434E-2</v>
      </c>
      <c r="R162" s="108">
        <f t="shared" si="23"/>
        <v>1.2250049495149476E-2</v>
      </c>
    </row>
    <row r="163" spans="1:18" s="38" customFormat="1" ht="23.25" hidden="1" customHeight="1">
      <c r="A163" s="17">
        <v>201710</v>
      </c>
      <c r="B163" s="34" t="s">
        <v>1075</v>
      </c>
      <c r="C163" s="34" t="s">
        <v>9</v>
      </c>
      <c r="D163" s="35">
        <v>43112</v>
      </c>
      <c r="E163" s="33" t="s">
        <v>1072</v>
      </c>
      <c r="F163" s="36">
        <v>240</v>
      </c>
      <c r="G163" s="37">
        <v>43122</v>
      </c>
      <c r="H163" s="34" t="s">
        <v>1069</v>
      </c>
      <c r="I163" s="34" t="s">
        <v>1065</v>
      </c>
      <c r="J163" s="72">
        <v>165</v>
      </c>
      <c r="K163" s="72"/>
      <c r="L163" s="72"/>
      <c r="M163" s="72"/>
      <c r="N163" s="72">
        <v>160</v>
      </c>
      <c r="O163" s="66">
        <v>1.03125</v>
      </c>
      <c r="P163" s="72">
        <v>4</v>
      </c>
      <c r="Q163" s="108">
        <f t="shared" si="22"/>
        <v>7.9192239160562269E-3</v>
      </c>
      <c r="R163" s="108">
        <f t="shared" si="23"/>
        <v>8.1666996634329834E-3</v>
      </c>
    </row>
    <row r="164" spans="1:18" s="38" customFormat="1" ht="23.25" hidden="1" customHeight="1">
      <c r="A164" s="17">
        <v>201710</v>
      </c>
      <c r="B164" s="34" t="s">
        <v>1076</v>
      </c>
      <c r="C164" s="34" t="s">
        <v>9</v>
      </c>
      <c r="D164" s="35">
        <v>43112</v>
      </c>
      <c r="E164" s="33" t="s">
        <v>1077</v>
      </c>
      <c r="F164" s="36">
        <v>120</v>
      </c>
      <c r="G164" s="37">
        <v>43122</v>
      </c>
      <c r="H164" s="34" t="s">
        <v>1069</v>
      </c>
      <c r="I164" s="34" t="s">
        <v>1078</v>
      </c>
      <c r="J164" s="72">
        <v>165</v>
      </c>
      <c r="K164" s="72"/>
      <c r="L164" s="72"/>
      <c r="M164" s="72"/>
      <c r="N164" s="72">
        <v>160</v>
      </c>
      <c r="O164" s="66">
        <v>1.03125</v>
      </c>
      <c r="P164" s="72">
        <v>4</v>
      </c>
      <c r="Q164" s="108">
        <f t="shared" si="22"/>
        <v>3.9596119580281135E-3</v>
      </c>
      <c r="R164" s="108">
        <f t="shared" si="23"/>
        <v>4.0833498317164917E-3</v>
      </c>
    </row>
    <row r="165" spans="1:18" s="38" customFormat="1" ht="23.25" hidden="1" customHeight="1">
      <c r="A165" s="17">
        <v>201710</v>
      </c>
      <c r="B165" s="34" t="s">
        <v>1079</v>
      </c>
      <c r="C165" s="34" t="s">
        <v>9</v>
      </c>
      <c r="D165" s="35">
        <v>43112</v>
      </c>
      <c r="E165" s="33" t="s">
        <v>1077</v>
      </c>
      <c r="F165" s="36">
        <v>120</v>
      </c>
      <c r="G165" s="37">
        <v>43120</v>
      </c>
      <c r="H165" s="34" t="s">
        <v>736</v>
      </c>
      <c r="I165" s="34" t="s">
        <v>1078</v>
      </c>
      <c r="J165" s="72">
        <v>165</v>
      </c>
      <c r="K165" s="72"/>
      <c r="L165" s="72"/>
      <c r="M165" s="72"/>
      <c r="N165" s="72">
        <v>160</v>
      </c>
      <c r="O165" s="66">
        <v>1.03125</v>
      </c>
      <c r="P165" s="72">
        <v>4</v>
      </c>
      <c r="Q165" s="108">
        <f t="shared" si="22"/>
        <v>3.9596119580281135E-3</v>
      </c>
      <c r="R165" s="108">
        <f t="shared" si="23"/>
        <v>4.0833498317164917E-3</v>
      </c>
    </row>
    <row r="166" spans="1:18" s="38" customFormat="1" ht="23.25" hidden="1" customHeight="1">
      <c r="A166" s="17">
        <v>201710</v>
      </c>
      <c r="B166" s="34" t="s">
        <v>1080</v>
      </c>
      <c r="C166" s="34" t="s">
        <v>9</v>
      </c>
      <c r="D166" s="35">
        <v>43113</v>
      </c>
      <c r="E166" s="33" t="s">
        <v>1077</v>
      </c>
      <c r="F166" s="36">
        <v>660</v>
      </c>
      <c r="G166" s="37">
        <v>43127</v>
      </c>
      <c r="H166" s="34" t="s">
        <v>719</v>
      </c>
      <c r="I166" s="34" t="s">
        <v>1078</v>
      </c>
      <c r="J166" s="72">
        <v>165</v>
      </c>
      <c r="K166" s="72"/>
      <c r="L166" s="72"/>
      <c r="M166" s="72"/>
      <c r="N166" s="72">
        <v>160</v>
      </c>
      <c r="O166" s="66">
        <v>1.03125</v>
      </c>
      <c r="P166" s="72">
        <v>4</v>
      </c>
      <c r="Q166" s="108">
        <f t="shared" si="22"/>
        <v>2.1777865769154622E-2</v>
      </c>
      <c r="R166" s="108">
        <f t="shared" si="23"/>
        <v>2.2458424074440705E-2</v>
      </c>
    </row>
    <row r="167" spans="1:18" s="38" customFormat="1" ht="21.75" hidden="1" customHeight="1">
      <c r="A167" s="17">
        <v>201710</v>
      </c>
      <c r="B167" s="34" t="s">
        <v>1081</v>
      </c>
      <c r="C167" s="34" t="s">
        <v>9</v>
      </c>
      <c r="D167" s="35">
        <v>43113</v>
      </c>
      <c r="E167" s="33" t="s">
        <v>1082</v>
      </c>
      <c r="F167" s="36">
        <v>120</v>
      </c>
      <c r="G167" s="37">
        <v>43122</v>
      </c>
      <c r="H167" s="34" t="s">
        <v>1069</v>
      </c>
      <c r="I167" s="34" t="s">
        <v>1078</v>
      </c>
      <c r="J167" s="72">
        <v>165</v>
      </c>
      <c r="K167" s="72"/>
      <c r="L167" s="72"/>
      <c r="M167" s="72"/>
      <c r="N167" s="72">
        <v>160</v>
      </c>
      <c r="O167" s="66">
        <v>1.03125</v>
      </c>
      <c r="P167" s="72">
        <v>4</v>
      </c>
      <c r="Q167" s="108">
        <f t="shared" si="22"/>
        <v>3.9596119580281135E-3</v>
      </c>
      <c r="R167" s="108">
        <f t="shared" si="23"/>
        <v>4.0833498317164917E-3</v>
      </c>
    </row>
    <row r="168" spans="1:18" s="38" customFormat="1" ht="23.25" hidden="1" customHeight="1">
      <c r="A168" s="17">
        <v>201710</v>
      </c>
      <c r="B168" s="34" t="s">
        <v>1083</v>
      </c>
      <c r="C168" s="34" t="s">
        <v>9</v>
      </c>
      <c r="D168" s="35">
        <v>43113</v>
      </c>
      <c r="E168" s="33" t="s">
        <v>1084</v>
      </c>
      <c r="F168" s="36">
        <v>120</v>
      </c>
      <c r="G168" s="37">
        <v>43125</v>
      </c>
      <c r="H168" s="34" t="s">
        <v>718</v>
      </c>
      <c r="I168" s="34" t="s">
        <v>1085</v>
      </c>
      <c r="J168" s="72">
        <v>165</v>
      </c>
      <c r="K168" s="72"/>
      <c r="L168" s="72"/>
      <c r="M168" s="72"/>
      <c r="N168" s="72">
        <v>152</v>
      </c>
      <c r="O168" s="66">
        <v>1.0855263157894737</v>
      </c>
      <c r="P168" s="72">
        <v>4</v>
      </c>
      <c r="Q168" s="108">
        <f t="shared" si="22"/>
        <v>3.9596119580281135E-3</v>
      </c>
      <c r="R168" s="108">
        <f t="shared" si="23"/>
        <v>4.2982629807542024E-3</v>
      </c>
    </row>
    <row r="169" spans="1:18" s="38" customFormat="1" ht="23.25" hidden="1" customHeight="1">
      <c r="A169" s="17">
        <v>201710</v>
      </c>
      <c r="B169" s="34" t="s">
        <v>1086</v>
      </c>
      <c r="C169" s="34" t="s">
        <v>9</v>
      </c>
      <c r="D169" s="35">
        <v>43113</v>
      </c>
      <c r="E169" s="33" t="s">
        <v>1084</v>
      </c>
      <c r="F169" s="36">
        <v>120</v>
      </c>
      <c r="G169" s="37">
        <v>43123</v>
      </c>
      <c r="H169" s="34" t="s">
        <v>732</v>
      </c>
      <c r="I169" s="34" t="s">
        <v>1085</v>
      </c>
      <c r="J169" s="72">
        <v>165</v>
      </c>
      <c r="K169" s="72"/>
      <c r="L169" s="72"/>
      <c r="M169" s="72"/>
      <c r="N169" s="72">
        <v>152</v>
      </c>
      <c r="O169" s="66">
        <v>1.0855263157894737</v>
      </c>
      <c r="P169" s="72">
        <v>4</v>
      </c>
      <c r="Q169" s="108">
        <f t="shared" si="22"/>
        <v>3.9596119580281135E-3</v>
      </c>
      <c r="R169" s="108">
        <f t="shared" si="23"/>
        <v>4.2982629807542024E-3</v>
      </c>
    </row>
    <row r="170" spans="1:18" s="38" customFormat="1" ht="23.25" hidden="1" customHeight="1">
      <c r="A170" s="17">
        <v>201710</v>
      </c>
      <c r="B170" s="34" t="s">
        <v>1087</v>
      </c>
      <c r="C170" s="34" t="s">
        <v>9</v>
      </c>
      <c r="D170" s="35">
        <v>43113</v>
      </c>
      <c r="E170" s="33" t="s">
        <v>1088</v>
      </c>
      <c r="F170" s="36">
        <v>264</v>
      </c>
      <c r="G170" s="37">
        <v>43123</v>
      </c>
      <c r="H170" s="34" t="s">
        <v>732</v>
      </c>
      <c r="I170" s="34" t="s">
        <v>1089</v>
      </c>
      <c r="J170" s="72">
        <v>165</v>
      </c>
      <c r="K170" s="72"/>
      <c r="L170" s="72"/>
      <c r="M170" s="72"/>
      <c r="N170" s="72">
        <v>160</v>
      </c>
      <c r="O170" s="66">
        <v>1.03125</v>
      </c>
      <c r="P170" s="72">
        <v>4</v>
      </c>
      <c r="Q170" s="108">
        <f t="shared" si="22"/>
        <v>8.7111463076618486E-3</v>
      </c>
      <c r="R170" s="108">
        <f t="shared" si="23"/>
        <v>8.9833696297762812E-3</v>
      </c>
    </row>
    <row r="171" spans="1:18" s="38" customFormat="1" ht="23.25" hidden="1" customHeight="1">
      <c r="A171" s="17">
        <v>201710</v>
      </c>
      <c r="B171" s="34" t="s">
        <v>1090</v>
      </c>
      <c r="C171" s="34" t="s">
        <v>9</v>
      </c>
      <c r="D171" s="35">
        <v>43115</v>
      </c>
      <c r="E171" s="33" t="s">
        <v>1088</v>
      </c>
      <c r="F171" s="36">
        <v>516</v>
      </c>
      <c r="G171" s="37">
        <v>43127</v>
      </c>
      <c r="H171" s="34" t="s">
        <v>719</v>
      </c>
      <c r="I171" s="34" t="s">
        <v>1089</v>
      </c>
      <c r="J171" s="72">
        <v>165</v>
      </c>
      <c r="K171" s="72"/>
      <c r="L171" s="72"/>
      <c r="M171" s="72"/>
      <c r="N171" s="72">
        <v>160</v>
      </c>
      <c r="O171" s="66">
        <v>1.03125</v>
      </c>
      <c r="P171" s="72">
        <v>4</v>
      </c>
      <c r="Q171" s="108">
        <f t="shared" si="22"/>
        <v>1.7026331419520885E-2</v>
      </c>
      <c r="R171" s="108">
        <f t="shared" si="23"/>
        <v>1.7558404276380914E-2</v>
      </c>
    </row>
    <row r="172" spans="1:18" s="38" customFormat="1" ht="23.25" hidden="1" customHeight="1">
      <c r="A172" s="17">
        <v>201710</v>
      </c>
      <c r="B172" s="34" t="s">
        <v>1091</v>
      </c>
      <c r="C172" s="34" t="s">
        <v>9</v>
      </c>
      <c r="D172" s="35">
        <v>43115</v>
      </c>
      <c r="E172" s="33" t="s">
        <v>1072</v>
      </c>
      <c r="F172" s="36">
        <v>3744</v>
      </c>
      <c r="G172" s="37">
        <v>43131</v>
      </c>
      <c r="H172" s="34" t="s">
        <v>717</v>
      </c>
      <c r="I172" s="34" t="s">
        <v>1065</v>
      </c>
      <c r="J172" s="72">
        <v>165</v>
      </c>
      <c r="K172" s="72"/>
      <c r="L172" s="72"/>
      <c r="M172" s="72"/>
      <c r="N172" s="72">
        <v>160</v>
      </c>
      <c r="O172" s="66">
        <v>1.03125</v>
      </c>
      <c r="P172" s="72">
        <v>4</v>
      </c>
      <c r="Q172" s="108">
        <f t="shared" si="22"/>
        <v>0.12353989309047714</v>
      </c>
      <c r="R172" s="108">
        <f t="shared" si="23"/>
        <v>0.12740051474955455</v>
      </c>
    </row>
    <row r="173" spans="1:18" s="38" customFormat="1" ht="23.25" hidden="1" customHeight="1">
      <c r="A173" s="17">
        <v>201710</v>
      </c>
      <c r="B173" s="34" t="s">
        <v>1092</v>
      </c>
      <c r="C173" s="34" t="s">
        <v>9</v>
      </c>
      <c r="D173" s="35">
        <v>43118</v>
      </c>
      <c r="E173" s="33" t="s">
        <v>1072</v>
      </c>
      <c r="F173" s="36">
        <v>948</v>
      </c>
      <c r="G173" s="37">
        <v>43125</v>
      </c>
      <c r="H173" s="34" t="s">
        <v>718</v>
      </c>
      <c r="I173" s="34" t="s">
        <v>1065</v>
      </c>
      <c r="J173" s="72">
        <v>165</v>
      </c>
      <c r="K173" s="72"/>
      <c r="L173" s="72"/>
      <c r="M173" s="72"/>
      <c r="N173" s="72">
        <v>160</v>
      </c>
      <c r="O173" s="66">
        <v>1.03125</v>
      </c>
      <c r="P173" s="72">
        <v>4</v>
      </c>
      <c r="Q173" s="108">
        <f t="shared" si="22"/>
        <v>3.1280934468422096E-2</v>
      </c>
      <c r="R173" s="108">
        <f t="shared" si="23"/>
        <v>3.2258463670560289E-2</v>
      </c>
    </row>
    <row r="174" spans="1:18" s="38" customFormat="1" ht="23.25" hidden="1" customHeight="1">
      <c r="A174" s="17">
        <v>201710</v>
      </c>
      <c r="B174" s="34" t="s">
        <v>1093</v>
      </c>
      <c r="C174" s="34" t="s">
        <v>9</v>
      </c>
      <c r="D174" s="35">
        <v>43118</v>
      </c>
      <c r="E174" s="33" t="s">
        <v>1072</v>
      </c>
      <c r="F174" s="36">
        <v>9804</v>
      </c>
      <c r="G174" s="37">
        <v>43135</v>
      </c>
      <c r="H174" s="34" t="s">
        <v>723</v>
      </c>
      <c r="I174" s="34" t="s">
        <v>1065</v>
      </c>
      <c r="J174" s="72">
        <v>165</v>
      </c>
      <c r="K174" s="72"/>
      <c r="L174" s="72"/>
      <c r="M174" s="72"/>
      <c r="N174" s="72">
        <v>160</v>
      </c>
      <c r="O174" s="66">
        <v>1.03125</v>
      </c>
      <c r="P174" s="72">
        <v>4</v>
      </c>
      <c r="Q174" s="108">
        <f t="shared" si="22"/>
        <v>0.32350029697089683</v>
      </c>
      <c r="R174" s="108">
        <f t="shared" si="23"/>
        <v>0.33360968125123736</v>
      </c>
    </row>
    <row r="175" spans="1:18" s="38" customFormat="1" ht="23.25" hidden="1" customHeight="1">
      <c r="A175" s="17">
        <v>201710</v>
      </c>
      <c r="B175" s="34" t="s">
        <v>1094</v>
      </c>
      <c r="C175" s="34" t="s">
        <v>9</v>
      </c>
      <c r="D175" s="35">
        <v>43127</v>
      </c>
      <c r="E175" s="33" t="s">
        <v>1072</v>
      </c>
      <c r="F175" s="36">
        <v>1404</v>
      </c>
      <c r="G175" s="37">
        <v>43138</v>
      </c>
      <c r="H175" s="34" t="s">
        <v>717</v>
      </c>
      <c r="I175" s="34" t="s">
        <v>1065</v>
      </c>
      <c r="J175" s="72">
        <v>165</v>
      </c>
      <c r="K175" s="72"/>
      <c r="L175" s="72"/>
      <c r="M175" s="72"/>
      <c r="N175" s="72">
        <v>160</v>
      </c>
      <c r="O175" s="66">
        <v>1.03125</v>
      </c>
      <c r="P175" s="72">
        <v>4</v>
      </c>
      <c r="Q175" s="108">
        <f t="shared" si="22"/>
        <v>4.6327459908928927E-2</v>
      </c>
      <c r="R175" s="108">
        <f t="shared" si="23"/>
        <v>4.7775193031082956E-2</v>
      </c>
    </row>
    <row r="176" spans="1:18" s="38" customFormat="1" ht="23.25" hidden="1" customHeight="1">
      <c r="A176" s="17">
        <v>201710</v>
      </c>
      <c r="B176" s="34" t="s">
        <v>1095</v>
      </c>
      <c r="C176" s="34" t="s">
        <v>9</v>
      </c>
      <c r="D176" s="35">
        <v>43129</v>
      </c>
      <c r="E176" s="33" t="s">
        <v>1072</v>
      </c>
      <c r="F176" s="36">
        <v>924</v>
      </c>
      <c r="G176" s="37">
        <v>43138</v>
      </c>
      <c r="H176" s="34" t="s">
        <v>717</v>
      </c>
      <c r="I176" s="34" t="s">
        <v>1065</v>
      </c>
      <c r="J176" s="72">
        <v>165</v>
      </c>
      <c r="K176" s="72"/>
      <c r="L176" s="72"/>
      <c r="M176" s="72"/>
      <c r="N176" s="72">
        <v>160</v>
      </c>
      <c r="O176" s="66">
        <v>1.03125</v>
      </c>
      <c r="P176" s="72">
        <v>4</v>
      </c>
      <c r="Q176" s="108">
        <f t="shared" si="22"/>
        <v>3.0489012076816473E-2</v>
      </c>
      <c r="R176" s="108">
        <f t="shared" si="23"/>
        <v>3.1441793704216986E-2</v>
      </c>
    </row>
    <row r="177" spans="1:18" s="38" customFormat="1" ht="23.25" hidden="1" customHeight="1">
      <c r="A177" s="17">
        <v>201710</v>
      </c>
      <c r="B177" s="34" t="s">
        <v>1096</v>
      </c>
      <c r="C177" s="34" t="s">
        <v>9</v>
      </c>
      <c r="D177" s="35">
        <v>43130</v>
      </c>
      <c r="E177" s="33" t="s">
        <v>1064</v>
      </c>
      <c r="F177" s="36">
        <v>1404</v>
      </c>
      <c r="G177" s="37">
        <v>43138</v>
      </c>
      <c r="H177" s="34" t="s">
        <v>717</v>
      </c>
      <c r="I177" s="34" t="s">
        <v>1065</v>
      </c>
      <c r="J177" s="72">
        <v>165</v>
      </c>
      <c r="K177" s="72"/>
      <c r="L177" s="72"/>
      <c r="M177" s="72"/>
      <c r="N177" s="72">
        <v>160</v>
      </c>
      <c r="O177" s="66">
        <v>1.03125</v>
      </c>
      <c r="P177" s="72">
        <v>4</v>
      </c>
      <c r="Q177" s="108">
        <f t="shared" si="22"/>
        <v>4.6327459908928927E-2</v>
      </c>
      <c r="R177" s="108">
        <f t="shared" si="23"/>
        <v>4.7775193031082956E-2</v>
      </c>
    </row>
    <row r="178" spans="1:18" s="45" customFormat="1" ht="23.25" hidden="1" customHeight="1">
      <c r="A178" s="17">
        <v>201710</v>
      </c>
      <c r="B178" s="34" t="s">
        <v>1097</v>
      </c>
      <c r="C178" s="34" t="s">
        <v>9</v>
      </c>
      <c r="D178" s="35">
        <v>43131</v>
      </c>
      <c r="E178" s="33" t="s">
        <v>1064</v>
      </c>
      <c r="F178" s="36">
        <v>864</v>
      </c>
      <c r="G178" s="37">
        <v>43138</v>
      </c>
      <c r="H178" s="34" t="s">
        <v>717</v>
      </c>
      <c r="I178" s="34" t="s">
        <v>1065</v>
      </c>
      <c r="J178" s="72">
        <v>165</v>
      </c>
      <c r="K178" s="73"/>
      <c r="L178" s="73"/>
      <c r="M178" s="73"/>
      <c r="N178" s="72">
        <v>160</v>
      </c>
      <c r="O178" s="66">
        <v>1.03125</v>
      </c>
      <c r="P178" s="72">
        <v>4</v>
      </c>
      <c r="Q178" s="108">
        <f t="shared" si="22"/>
        <v>2.8509206097802414E-2</v>
      </c>
      <c r="R178" s="108">
        <f t="shared" si="23"/>
        <v>2.9400118788358739E-2</v>
      </c>
    </row>
    <row r="179" spans="1:18" s="38" customFormat="1" ht="23.25" hidden="1" customHeight="1">
      <c r="A179" s="17">
        <v>201710</v>
      </c>
      <c r="B179" s="34" t="s">
        <v>1098</v>
      </c>
      <c r="C179" s="34" t="s">
        <v>9</v>
      </c>
      <c r="D179" s="35">
        <v>43131</v>
      </c>
      <c r="E179" s="33" t="s">
        <v>1064</v>
      </c>
      <c r="F179" s="36">
        <f>1860-1662</f>
        <v>198</v>
      </c>
      <c r="G179" s="37">
        <v>43138</v>
      </c>
      <c r="H179" s="34" t="s">
        <v>717</v>
      </c>
      <c r="I179" s="34" t="s">
        <v>1065</v>
      </c>
      <c r="J179" s="72">
        <v>165</v>
      </c>
      <c r="K179" s="72"/>
      <c r="L179" s="72"/>
      <c r="M179" s="72"/>
      <c r="N179" s="72">
        <v>160</v>
      </c>
      <c r="O179" s="66">
        <v>1.03125</v>
      </c>
      <c r="P179" s="72">
        <v>4</v>
      </c>
      <c r="Q179" s="108">
        <f t="shared" si="22"/>
        <v>6.5333597307463869E-3</v>
      </c>
      <c r="R179" s="108">
        <f t="shared" si="23"/>
        <v>6.7375272223322118E-3</v>
      </c>
    </row>
    <row r="180" spans="1:18" s="38" customFormat="1" ht="23.25" hidden="1" customHeight="1">
      <c r="A180" s="17"/>
      <c r="B180" s="34"/>
      <c r="C180" s="46"/>
      <c r="D180" s="47"/>
      <c r="E180" s="36"/>
      <c r="F180" s="39">
        <f>SUM(F154:F179)</f>
        <v>34710</v>
      </c>
      <c r="G180" s="37"/>
      <c r="H180" s="34"/>
      <c r="I180" s="34"/>
      <c r="J180" s="72"/>
      <c r="K180" s="72"/>
      <c r="L180" s="72"/>
      <c r="M180" s="72"/>
      <c r="N180" s="72"/>
      <c r="O180" s="66"/>
      <c r="P180" s="72"/>
      <c r="Q180" s="108"/>
      <c r="R180" s="108"/>
    </row>
    <row r="181" spans="1:18" s="45" customFormat="1" ht="23.25" hidden="1" customHeight="1">
      <c r="A181" s="17">
        <v>201710</v>
      </c>
      <c r="B181" s="34" t="s">
        <v>1099</v>
      </c>
      <c r="C181" s="34" t="s">
        <v>10</v>
      </c>
      <c r="D181" s="35">
        <v>43102</v>
      </c>
      <c r="E181" s="33" t="s">
        <v>1100</v>
      </c>
      <c r="F181" s="49">
        <f>4800-1046</f>
        <v>3754</v>
      </c>
      <c r="G181" s="37">
        <v>43128</v>
      </c>
      <c r="H181" s="34" t="s">
        <v>718</v>
      </c>
      <c r="I181" s="34" t="s">
        <v>1101</v>
      </c>
      <c r="J181" s="73">
        <v>180</v>
      </c>
      <c r="K181" s="73"/>
      <c r="L181" s="73"/>
      <c r="M181" s="73"/>
      <c r="N181" s="73">
        <v>214</v>
      </c>
      <c r="O181" s="67">
        <v>0.8</v>
      </c>
      <c r="P181" s="72">
        <v>6</v>
      </c>
      <c r="Q181" s="108"/>
      <c r="R181" s="108"/>
    </row>
    <row r="182" spans="1:18" s="38" customFormat="1" ht="23.25" hidden="1" customHeight="1">
      <c r="A182" s="17">
        <v>201709</v>
      </c>
      <c r="B182" s="34" t="s">
        <v>1102</v>
      </c>
      <c r="C182" s="34" t="s">
        <v>10</v>
      </c>
      <c r="D182" s="35">
        <v>43104</v>
      </c>
      <c r="E182" s="33" t="s">
        <v>1103</v>
      </c>
      <c r="F182" s="36">
        <v>3636</v>
      </c>
      <c r="G182" s="37">
        <v>43112</v>
      </c>
      <c r="H182" s="34" t="s">
        <v>717</v>
      </c>
      <c r="I182" s="34" t="s">
        <v>1104</v>
      </c>
      <c r="J182" s="72">
        <v>200</v>
      </c>
      <c r="K182" s="72"/>
      <c r="L182" s="72"/>
      <c r="M182" s="72"/>
      <c r="N182" s="72">
        <v>149</v>
      </c>
      <c r="O182" s="66">
        <v>1.3422818791946309</v>
      </c>
      <c r="P182" s="72">
        <v>2</v>
      </c>
      <c r="Q182" s="108"/>
      <c r="R182" s="108"/>
    </row>
    <row r="183" spans="1:18" s="38" customFormat="1" ht="23.25" hidden="1" customHeight="1">
      <c r="A183" s="17">
        <v>201709</v>
      </c>
      <c r="B183" s="34" t="s">
        <v>1105</v>
      </c>
      <c r="C183" s="34" t="s">
        <v>10</v>
      </c>
      <c r="D183" s="35">
        <v>43108</v>
      </c>
      <c r="E183" s="33" t="s">
        <v>1106</v>
      </c>
      <c r="F183" s="36">
        <v>624</v>
      </c>
      <c r="G183" s="37">
        <v>43115</v>
      </c>
      <c r="H183" s="34" t="s">
        <v>717</v>
      </c>
      <c r="I183" s="34" t="s">
        <v>1104</v>
      </c>
      <c r="J183" s="72">
        <v>200</v>
      </c>
      <c r="K183" s="72"/>
      <c r="L183" s="72"/>
      <c r="M183" s="72"/>
      <c r="N183" s="72">
        <v>149</v>
      </c>
      <c r="O183" s="66">
        <v>1.3422818791946309</v>
      </c>
      <c r="P183" s="72">
        <v>2</v>
      </c>
      <c r="Q183" s="108"/>
      <c r="R183" s="108"/>
    </row>
    <row r="184" spans="1:18" s="38" customFormat="1" ht="23.25" hidden="1" customHeight="1">
      <c r="A184" s="17">
        <v>201709</v>
      </c>
      <c r="B184" s="34" t="s">
        <v>1107</v>
      </c>
      <c r="C184" s="34" t="s">
        <v>10</v>
      </c>
      <c r="D184" s="35">
        <v>43108</v>
      </c>
      <c r="E184" s="33" t="s">
        <v>1106</v>
      </c>
      <c r="F184" s="36">
        <v>516</v>
      </c>
      <c r="G184" s="37">
        <v>43116</v>
      </c>
      <c r="H184" s="34" t="s">
        <v>717</v>
      </c>
      <c r="I184" s="34" t="s">
        <v>1104</v>
      </c>
      <c r="J184" s="72">
        <v>200</v>
      </c>
      <c r="K184" s="72"/>
      <c r="L184" s="72"/>
      <c r="M184" s="72"/>
      <c r="N184" s="72">
        <v>149</v>
      </c>
      <c r="O184" s="66">
        <v>1.3422818791946309</v>
      </c>
      <c r="P184" s="72">
        <v>2</v>
      </c>
      <c r="Q184" s="108"/>
      <c r="R184" s="108"/>
    </row>
    <row r="185" spans="1:18" s="38" customFormat="1" ht="23.25" hidden="1" customHeight="1">
      <c r="A185" s="17">
        <v>201709</v>
      </c>
      <c r="B185" s="34" t="s">
        <v>1108</v>
      </c>
      <c r="C185" s="34" t="s">
        <v>10</v>
      </c>
      <c r="D185" s="35">
        <v>43109</v>
      </c>
      <c r="E185" s="33" t="s">
        <v>1106</v>
      </c>
      <c r="F185" s="36">
        <v>120</v>
      </c>
      <c r="G185" s="37">
        <v>43118</v>
      </c>
      <c r="H185" s="34" t="s">
        <v>717</v>
      </c>
      <c r="I185" s="34" t="s">
        <v>1104</v>
      </c>
      <c r="J185" s="72">
        <v>200</v>
      </c>
      <c r="K185" s="72"/>
      <c r="L185" s="72"/>
      <c r="M185" s="72"/>
      <c r="N185" s="72">
        <v>149</v>
      </c>
      <c r="O185" s="66">
        <v>1.3422818791946309</v>
      </c>
      <c r="P185" s="72">
        <v>2</v>
      </c>
      <c r="Q185" s="108"/>
      <c r="R185" s="108"/>
    </row>
    <row r="186" spans="1:18" s="38" customFormat="1" ht="23.25" hidden="1" customHeight="1">
      <c r="A186" s="17">
        <v>201710</v>
      </c>
      <c r="B186" s="34" t="s">
        <v>1109</v>
      </c>
      <c r="C186" s="34" t="s">
        <v>10</v>
      </c>
      <c r="D186" s="35">
        <v>43109</v>
      </c>
      <c r="E186" s="33" t="s">
        <v>1110</v>
      </c>
      <c r="F186" s="36">
        <v>1032</v>
      </c>
      <c r="G186" s="37">
        <v>43127</v>
      </c>
      <c r="H186" s="34" t="s">
        <v>719</v>
      </c>
      <c r="I186" s="34" t="s">
        <v>1111</v>
      </c>
      <c r="J186" s="72">
        <v>180</v>
      </c>
      <c r="K186" s="72"/>
      <c r="L186" s="72"/>
      <c r="M186" s="72"/>
      <c r="N186" s="72">
        <v>188</v>
      </c>
      <c r="O186" s="66">
        <v>0.95744680851063835</v>
      </c>
      <c r="P186" s="72">
        <v>5</v>
      </c>
      <c r="Q186" s="108"/>
      <c r="R186" s="108"/>
    </row>
    <row r="187" spans="1:18" s="38" customFormat="1" ht="23.25" hidden="1" customHeight="1">
      <c r="A187" s="17">
        <v>201710</v>
      </c>
      <c r="B187" s="34" t="s">
        <v>1112</v>
      </c>
      <c r="C187" s="34" t="s">
        <v>10</v>
      </c>
      <c r="D187" s="35">
        <v>43110</v>
      </c>
      <c r="E187" s="33" t="s">
        <v>1110</v>
      </c>
      <c r="F187" s="36">
        <v>120</v>
      </c>
      <c r="G187" s="37">
        <v>43136</v>
      </c>
      <c r="H187" s="34" t="s">
        <v>729</v>
      </c>
      <c r="I187" s="34" t="s">
        <v>1111</v>
      </c>
      <c r="J187" s="72">
        <v>180</v>
      </c>
      <c r="K187" s="72"/>
      <c r="L187" s="72"/>
      <c r="M187" s="72"/>
      <c r="N187" s="72">
        <v>188</v>
      </c>
      <c r="O187" s="66">
        <v>0.95744680851063835</v>
      </c>
      <c r="P187" s="72">
        <v>5</v>
      </c>
      <c r="Q187" s="108"/>
      <c r="R187" s="108"/>
    </row>
    <row r="188" spans="1:18" s="38" customFormat="1" ht="23.25" hidden="1" customHeight="1">
      <c r="A188" s="17">
        <v>201710</v>
      </c>
      <c r="B188" s="34" t="s">
        <v>1113</v>
      </c>
      <c r="C188" s="34" t="s">
        <v>10</v>
      </c>
      <c r="D188" s="35">
        <v>43110</v>
      </c>
      <c r="E188" s="33" t="s">
        <v>1114</v>
      </c>
      <c r="F188" s="36">
        <v>444</v>
      </c>
      <c r="G188" s="37">
        <v>43134</v>
      </c>
      <c r="H188" s="34" t="s">
        <v>719</v>
      </c>
      <c r="I188" s="34" t="s">
        <v>1111</v>
      </c>
      <c r="J188" s="72">
        <v>180</v>
      </c>
      <c r="K188" s="72"/>
      <c r="L188" s="72"/>
      <c r="M188" s="72"/>
      <c r="N188" s="72">
        <v>188</v>
      </c>
      <c r="O188" s="66">
        <v>0.95744680851063835</v>
      </c>
      <c r="P188" s="72">
        <v>5</v>
      </c>
      <c r="Q188" s="108"/>
      <c r="R188" s="108"/>
    </row>
    <row r="189" spans="1:18" s="38" customFormat="1" ht="23.25" hidden="1" customHeight="1">
      <c r="A189" s="17">
        <v>201710</v>
      </c>
      <c r="B189" s="34" t="s">
        <v>1115</v>
      </c>
      <c r="C189" s="34" t="s">
        <v>10</v>
      </c>
      <c r="D189" s="35">
        <v>43111</v>
      </c>
      <c r="E189" s="33" t="s">
        <v>1116</v>
      </c>
      <c r="F189" s="36">
        <v>1080</v>
      </c>
      <c r="G189" s="37">
        <v>43139</v>
      </c>
      <c r="H189" s="34" t="s">
        <v>719</v>
      </c>
      <c r="I189" s="34" t="s">
        <v>1111</v>
      </c>
      <c r="J189" s="72">
        <v>180</v>
      </c>
      <c r="K189" s="72"/>
      <c r="L189" s="72"/>
      <c r="M189" s="72"/>
      <c r="N189" s="72">
        <v>188</v>
      </c>
      <c r="O189" s="66">
        <v>0.95744680851063835</v>
      </c>
      <c r="P189" s="72">
        <v>5</v>
      </c>
      <c r="Q189" s="108"/>
      <c r="R189" s="108"/>
    </row>
    <row r="190" spans="1:18" s="38" customFormat="1" ht="23.25" hidden="1" customHeight="1">
      <c r="A190" s="17">
        <v>201710</v>
      </c>
      <c r="B190" s="34" t="s">
        <v>1117</v>
      </c>
      <c r="C190" s="34" t="s">
        <v>10</v>
      </c>
      <c r="D190" s="35">
        <v>43111</v>
      </c>
      <c r="E190" s="33" t="s">
        <v>1116</v>
      </c>
      <c r="F190" s="36">
        <v>120</v>
      </c>
      <c r="G190" s="37">
        <v>43136</v>
      </c>
      <c r="H190" s="34" t="s">
        <v>729</v>
      </c>
      <c r="I190" s="34" t="s">
        <v>1111</v>
      </c>
      <c r="J190" s="72">
        <v>180</v>
      </c>
      <c r="K190" s="72"/>
      <c r="L190" s="72"/>
      <c r="M190" s="72"/>
      <c r="N190" s="72">
        <v>188</v>
      </c>
      <c r="O190" s="66">
        <v>0.95744680851063835</v>
      </c>
      <c r="P190" s="72">
        <v>5</v>
      </c>
      <c r="Q190" s="108"/>
      <c r="R190" s="108"/>
    </row>
    <row r="191" spans="1:18" s="38" customFormat="1" ht="23.25" hidden="1" customHeight="1">
      <c r="A191" s="17">
        <v>201711</v>
      </c>
      <c r="B191" s="34" t="s">
        <v>1118</v>
      </c>
      <c r="C191" s="34" t="s">
        <v>10</v>
      </c>
      <c r="D191" s="35">
        <v>43112</v>
      </c>
      <c r="E191" s="33" t="s">
        <v>1110</v>
      </c>
      <c r="F191" s="36">
        <v>144</v>
      </c>
      <c r="G191" s="37">
        <v>43144</v>
      </c>
      <c r="H191" s="34" t="s">
        <v>719</v>
      </c>
      <c r="I191" s="34" t="s">
        <v>1111</v>
      </c>
      <c r="J191" s="72">
        <v>180</v>
      </c>
      <c r="K191" s="72"/>
      <c r="L191" s="72"/>
      <c r="M191" s="72"/>
      <c r="N191" s="72">
        <v>188</v>
      </c>
      <c r="O191" s="66">
        <v>0.95744680851063835</v>
      </c>
      <c r="P191" s="72">
        <v>5</v>
      </c>
      <c r="Q191" s="108"/>
      <c r="R191" s="108"/>
    </row>
    <row r="192" spans="1:18" s="38" customFormat="1" ht="23.25" hidden="1" customHeight="1">
      <c r="A192" s="17">
        <v>201711</v>
      </c>
      <c r="B192" s="34" t="s">
        <v>1119</v>
      </c>
      <c r="C192" s="34" t="s">
        <v>10</v>
      </c>
      <c r="D192" s="35">
        <v>43112</v>
      </c>
      <c r="E192" s="33" t="s">
        <v>1110</v>
      </c>
      <c r="F192" s="36">
        <v>1824</v>
      </c>
      <c r="G192" s="37">
        <v>43152</v>
      </c>
      <c r="H192" s="34" t="s">
        <v>717</v>
      </c>
      <c r="I192" s="34" t="s">
        <v>1111</v>
      </c>
      <c r="J192" s="72">
        <v>180</v>
      </c>
      <c r="K192" s="72"/>
      <c r="L192" s="72"/>
      <c r="M192" s="72"/>
      <c r="N192" s="72">
        <v>188</v>
      </c>
      <c r="O192" s="66">
        <v>0.95744680851063835</v>
      </c>
      <c r="P192" s="72">
        <v>5</v>
      </c>
      <c r="Q192" s="108"/>
      <c r="R192" s="108"/>
    </row>
    <row r="193" spans="1:18" s="38" customFormat="1" ht="23.25" hidden="1" customHeight="1">
      <c r="A193" s="17">
        <v>201711</v>
      </c>
      <c r="B193" s="34" t="s">
        <v>1120</v>
      </c>
      <c r="C193" s="34" t="s">
        <v>10</v>
      </c>
      <c r="D193" s="35">
        <v>43113</v>
      </c>
      <c r="E193" s="33" t="s">
        <v>1110</v>
      </c>
      <c r="F193" s="36">
        <v>144</v>
      </c>
      <c r="G193" s="37">
        <v>43149</v>
      </c>
      <c r="H193" s="34" t="s">
        <v>718</v>
      </c>
      <c r="I193" s="34" t="s">
        <v>1111</v>
      </c>
      <c r="J193" s="72">
        <v>180</v>
      </c>
      <c r="K193" s="72"/>
      <c r="L193" s="72"/>
      <c r="M193" s="72"/>
      <c r="N193" s="72">
        <v>188</v>
      </c>
      <c r="O193" s="66">
        <v>0.95744680851063835</v>
      </c>
      <c r="P193" s="72">
        <v>5</v>
      </c>
      <c r="Q193" s="108"/>
      <c r="R193" s="108"/>
    </row>
    <row r="194" spans="1:18" s="38" customFormat="1" ht="23.25" hidden="1" customHeight="1">
      <c r="A194" s="17">
        <v>201711</v>
      </c>
      <c r="B194" s="34" t="s">
        <v>1121</v>
      </c>
      <c r="C194" s="34" t="s">
        <v>10</v>
      </c>
      <c r="D194" s="35">
        <v>43113</v>
      </c>
      <c r="E194" s="33" t="s">
        <v>1110</v>
      </c>
      <c r="F194" s="36">
        <v>240</v>
      </c>
      <c r="G194" s="37">
        <v>43155</v>
      </c>
      <c r="H194" s="34" t="s">
        <v>717</v>
      </c>
      <c r="I194" s="34" t="s">
        <v>1111</v>
      </c>
      <c r="J194" s="72">
        <v>180</v>
      </c>
      <c r="K194" s="72"/>
      <c r="L194" s="72"/>
      <c r="M194" s="72"/>
      <c r="N194" s="72">
        <v>188</v>
      </c>
      <c r="O194" s="66">
        <v>0.95744680851063835</v>
      </c>
      <c r="P194" s="72">
        <v>5</v>
      </c>
      <c r="Q194" s="108"/>
      <c r="R194" s="108"/>
    </row>
    <row r="195" spans="1:18" s="38" customFormat="1" ht="23.25" hidden="1" customHeight="1">
      <c r="A195" s="17">
        <v>201711</v>
      </c>
      <c r="B195" s="34" t="s">
        <v>1122</v>
      </c>
      <c r="C195" s="34" t="s">
        <v>10</v>
      </c>
      <c r="D195" s="35">
        <v>43115</v>
      </c>
      <c r="E195" s="33" t="s">
        <v>1110</v>
      </c>
      <c r="F195" s="36">
        <v>780</v>
      </c>
      <c r="G195" s="37">
        <v>43155</v>
      </c>
      <c r="H195" s="34" t="s">
        <v>718</v>
      </c>
      <c r="I195" s="34" t="s">
        <v>1111</v>
      </c>
      <c r="J195" s="72">
        <v>180</v>
      </c>
      <c r="K195" s="72"/>
      <c r="L195" s="72"/>
      <c r="M195" s="72"/>
      <c r="N195" s="72">
        <v>188</v>
      </c>
      <c r="O195" s="66">
        <v>0.95744680851063835</v>
      </c>
      <c r="P195" s="72">
        <v>5</v>
      </c>
      <c r="Q195" s="108"/>
      <c r="R195" s="108"/>
    </row>
    <row r="196" spans="1:18" s="38" customFormat="1" ht="23.25" hidden="1" customHeight="1">
      <c r="A196" s="17">
        <v>201711</v>
      </c>
      <c r="B196" s="34" t="s">
        <v>1123</v>
      </c>
      <c r="C196" s="34" t="s">
        <v>10</v>
      </c>
      <c r="D196" s="35">
        <v>43115</v>
      </c>
      <c r="E196" s="33" t="s">
        <v>1110</v>
      </c>
      <c r="F196" s="36">
        <v>252</v>
      </c>
      <c r="G196" s="37">
        <v>43155</v>
      </c>
      <c r="H196" s="34" t="s">
        <v>717</v>
      </c>
      <c r="I196" s="34" t="s">
        <v>1111</v>
      </c>
      <c r="J196" s="72">
        <v>180</v>
      </c>
      <c r="K196" s="72"/>
      <c r="L196" s="72"/>
      <c r="M196" s="72"/>
      <c r="N196" s="72">
        <v>188</v>
      </c>
      <c r="O196" s="66">
        <v>0.95744680851063835</v>
      </c>
      <c r="P196" s="72">
        <v>5</v>
      </c>
      <c r="Q196" s="108"/>
      <c r="R196" s="108"/>
    </row>
    <row r="197" spans="1:18" s="38" customFormat="1" ht="23.25" hidden="1" customHeight="1">
      <c r="A197" s="17">
        <v>201711</v>
      </c>
      <c r="B197" s="34" t="s">
        <v>1124</v>
      </c>
      <c r="C197" s="34" t="s">
        <v>10</v>
      </c>
      <c r="D197" s="35">
        <v>43115</v>
      </c>
      <c r="E197" s="33" t="s">
        <v>1110</v>
      </c>
      <c r="F197" s="36">
        <v>696</v>
      </c>
      <c r="G197" s="37">
        <v>43155</v>
      </c>
      <c r="H197" s="34" t="s">
        <v>717</v>
      </c>
      <c r="I197" s="34" t="s">
        <v>1111</v>
      </c>
      <c r="J197" s="72">
        <v>180</v>
      </c>
      <c r="K197" s="72"/>
      <c r="L197" s="72"/>
      <c r="M197" s="72"/>
      <c r="N197" s="72">
        <v>188</v>
      </c>
      <c r="O197" s="66">
        <v>0.95744680851063835</v>
      </c>
      <c r="P197" s="72">
        <v>5</v>
      </c>
      <c r="Q197" s="108"/>
      <c r="R197" s="108"/>
    </row>
    <row r="198" spans="1:18" s="38" customFormat="1" ht="23.25" hidden="1" customHeight="1">
      <c r="A198" s="17">
        <v>201711</v>
      </c>
      <c r="B198" s="34" t="s">
        <v>1125</v>
      </c>
      <c r="C198" s="34" t="s">
        <v>10</v>
      </c>
      <c r="D198" s="35">
        <v>43116</v>
      </c>
      <c r="E198" s="33" t="s">
        <v>1110</v>
      </c>
      <c r="F198" s="36">
        <v>336</v>
      </c>
      <c r="G198" s="37">
        <v>43155</v>
      </c>
      <c r="H198" s="34" t="s">
        <v>718</v>
      </c>
      <c r="I198" s="34" t="s">
        <v>1111</v>
      </c>
      <c r="J198" s="72">
        <v>180</v>
      </c>
      <c r="K198" s="72"/>
      <c r="L198" s="72"/>
      <c r="M198" s="72"/>
      <c r="N198" s="72">
        <v>188</v>
      </c>
      <c r="O198" s="66">
        <v>0.95744680851063835</v>
      </c>
      <c r="P198" s="72">
        <v>5</v>
      </c>
      <c r="Q198" s="108"/>
      <c r="R198" s="108"/>
    </row>
    <row r="199" spans="1:18" s="38" customFormat="1" ht="23.25" hidden="1" customHeight="1">
      <c r="A199" s="17">
        <v>201711</v>
      </c>
      <c r="B199" s="34" t="s">
        <v>1126</v>
      </c>
      <c r="C199" s="34" t="s">
        <v>10</v>
      </c>
      <c r="D199" s="35">
        <v>43116</v>
      </c>
      <c r="E199" s="33" t="s">
        <v>1110</v>
      </c>
      <c r="F199" s="36">
        <v>228</v>
      </c>
      <c r="G199" s="37">
        <v>43155</v>
      </c>
      <c r="H199" s="34" t="s">
        <v>717</v>
      </c>
      <c r="I199" s="34" t="s">
        <v>1111</v>
      </c>
      <c r="J199" s="72">
        <v>180</v>
      </c>
      <c r="K199" s="72"/>
      <c r="L199" s="72"/>
      <c r="M199" s="72"/>
      <c r="N199" s="72">
        <v>188</v>
      </c>
      <c r="O199" s="66">
        <v>0.95744680851063835</v>
      </c>
      <c r="P199" s="72">
        <v>5</v>
      </c>
      <c r="Q199" s="108"/>
      <c r="R199" s="108"/>
    </row>
    <row r="200" spans="1:18" s="38" customFormat="1" ht="23.25" hidden="1" customHeight="1">
      <c r="A200" s="17">
        <v>201711</v>
      </c>
      <c r="B200" s="34" t="s">
        <v>1127</v>
      </c>
      <c r="C200" s="34" t="s">
        <v>10</v>
      </c>
      <c r="D200" s="35">
        <v>43116</v>
      </c>
      <c r="E200" s="33" t="s">
        <v>1110</v>
      </c>
      <c r="F200" s="36">
        <v>120</v>
      </c>
      <c r="G200" s="37">
        <v>43155</v>
      </c>
      <c r="H200" s="34" t="s">
        <v>717</v>
      </c>
      <c r="I200" s="34" t="s">
        <v>1111</v>
      </c>
      <c r="J200" s="72">
        <v>180</v>
      </c>
      <c r="K200" s="72"/>
      <c r="L200" s="72"/>
      <c r="M200" s="72"/>
      <c r="N200" s="72">
        <v>188</v>
      </c>
      <c r="O200" s="66">
        <v>0.95744680851063835</v>
      </c>
      <c r="P200" s="72">
        <v>5</v>
      </c>
      <c r="Q200" s="108"/>
      <c r="R200" s="108"/>
    </row>
    <row r="201" spans="1:18" s="38" customFormat="1" ht="23.25" hidden="1" customHeight="1">
      <c r="A201" s="17">
        <v>201710</v>
      </c>
      <c r="B201" s="34" t="s">
        <v>1128</v>
      </c>
      <c r="C201" s="34" t="s">
        <v>10</v>
      </c>
      <c r="D201" s="35">
        <v>43116</v>
      </c>
      <c r="E201" s="33" t="s">
        <v>1129</v>
      </c>
      <c r="F201" s="36">
        <v>288</v>
      </c>
      <c r="G201" s="37">
        <v>43120</v>
      </c>
      <c r="H201" s="34" t="s">
        <v>721</v>
      </c>
      <c r="I201" s="34" t="s">
        <v>1130</v>
      </c>
      <c r="J201" s="72">
        <v>180</v>
      </c>
      <c r="K201" s="72"/>
      <c r="L201" s="72"/>
      <c r="M201" s="72"/>
      <c r="N201" s="72">
        <v>188</v>
      </c>
      <c r="O201" s="66">
        <v>0.95744680851063835</v>
      </c>
      <c r="P201" s="72">
        <v>5</v>
      </c>
      <c r="Q201" s="108"/>
      <c r="R201" s="108"/>
    </row>
    <row r="202" spans="1:18" s="38" customFormat="1" ht="23.25" hidden="1" customHeight="1">
      <c r="A202" s="17">
        <v>201710</v>
      </c>
      <c r="B202" s="34" t="s">
        <v>1131</v>
      </c>
      <c r="C202" s="34" t="s">
        <v>10</v>
      </c>
      <c r="D202" s="35">
        <v>43116</v>
      </c>
      <c r="E202" s="33" t="s">
        <v>1129</v>
      </c>
      <c r="F202" s="36">
        <v>156</v>
      </c>
      <c r="G202" s="37">
        <v>43123</v>
      </c>
      <c r="H202" s="34" t="s">
        <v>732</v>
      </c>
      <c r="I202" s="34" t="s">
        <v>1130</v>
      </c>
      <c r="J202" s="72">
        <v>180</v>
      </c>
      <c r="K202" s="72"/>
      <c r="L202" s="72"/>
      <c r="M202" s="72"/>
      <c r="N202" s="72">
        <v>188</v>
      </c>
      <c r="O202" s="66">
        <v>0.95744680851063835</v>
      </c>
      <c r="P202" s="72">
        <v>5</v>
      </c>
      <c r="Q202" s="108"/>
      <c r="R202" s="108"/>
    </row>
    <row r="203" spans="1:18" s="38" customFormat="1" ht="23.25" hidden="1" customHeight="1">
      <c r="A203" s="17">
        <v>201710</v>
      </c>
      <c r="B203" s="34" t="s">
        <v>1132</v>
      </c>
      <c r="C203" s="34" t="s">
        <v>10</v>
      </c>
      <c r="D203" s="35">
        <v>43117</v>
      </c>
      <c r="E203" s="33" t="s">
        <v>1133</v>
      </c>
      <c r="F203" s="36">
        <v>288</v>
      </c>
      <c r="G203" s="37">
        <v>43120</v>
      </c>
      <c r="H203" s="34" t="s">
        <v>721</v>
      </c>
      <c r="I203" s="34" t="s">
        <v>1130</v>
      </c>
      <c r="J203" s="72">
        <v>180</v>
      </c>
      <c r="K203" s="72"/>
      <c r="L203" s="72"/>
      <c r="M203" s="72"/>
      <c r="N203" s="72">
        <v>188</v>
      </c>
      <c r="O203" s="66">
        <v>0.95744680851063835</v>
      </c>
      <c r="P203" s="72">
        <v>5</v>
      </c>
      <c r="Q203" s="108"/>
      <c r="R203" s="108"/>
    </row>
    <row r="204" spans="1:18" s="38" customFormat="1" ht="23.25" hidden="1" customHeight="1">
      <c r="A204" s="17">
        <v>201710</v>
      </c>
      <c r="B204" s="34" t="s">
        <v>1134</v>
      </c>
      <c r="C204" s="34" t="s">
        <v>10</v>
      </c>
      <c r="D204" s="35">
        <v>43117</v>
      </c>
      <c r="E204" s="33" t="s">
        <v>1133</v>
      </c>
      <c r="F204" s="36">
        <v>120</v>
      </c>
      <c r="G204" s="37">
        <v>43155</v>
      </c>
      <c r="H204" s="34" t="s">
        <v>717</v>
      </c>
      <c r="I204" s="34" t="s">
        <v>1130</v>
      </c>
      <c r="J204" s="72">
        <v>180</v>
      </c>
      <c r="K204" s="72"/>
      <c r="L204" s="72"/>
      <c r="M204" s="72"/>
      <c r="N204" s="72">
        <v>188</v>
      </c>
      <c r="O204" s="66">
        <v>0.95744680851063835</v>
      </c>
      <c r="P204" s="72">
        <v>5</v>
      </c>
      <c r="Q204" s="108"/>
      <c r="R204" s="108"/>
    </row>
    <row r="205" spans="1:18" s="38" customFormat="1" ht="23.25" hidden="1" customHeight="1">
      <c r="A205" s="17">
        <v>201710</v>
      </c>
      <c r="B205" s="34" t="s">
        <v>1135</v>
      </c>
      <c r="C205" s="34" t="s">
        <v>10</v>
      </c>
      <c r="D205" s="35">
        <v>43117</v>
      </c>
      <c r="E205" s="33" t="s">
        <v>1136</v>
      </c>
      <c r="F205" s="36">
        <v>120</v>
      </c>
      <c r="G205" s="37">
        <v>43155</v>
      </c>
      <c r="H205" s="34" t="s">
        <v>717</v>
      </c>
      <c r="I205" s="34" t="s">
        <v>1130</v>
      </c>
      <c r="J205" s="72">
        <v>180</v>
      </c>
      <c r="K205" s="72"/>
      <c r="L205" s="72"/>
      <c r="M205" s="72"/>
      <c r="N205" s="72">
        <v>188</v>
      </c>
      <c r="O205" s="66">
        <v>0.95744680851063835</v>
      </c>
      <c r="P205" s="72">
        <v>5</v>
      </c>
      <c r="Q205" s="108"/>
      <c r="R205" s="108"/>
    </row>
    <row r="206" spans="1:18" s="38" customFormat="1" ht="23.25" hidden="1" customHeight="1">
      <c r="A206" s="17">
        <v>201710</v>
      </c>
      <c r="B206" s="34" t="s">
        <v>1137</v>
      </c>
      <c r="C206" s="34" t="s">
        <v>10</v>
      </c>
      <c r="D206" s="35">
        <v>43117</v>
      </c>
      <c r="E206" s="33" t="s">
        <v>1129</v>
      </c>
      <c r="F206" s="36">
        <v>132</v>
      </c>
      <c r="G206" s="37">
        <v>43155</v>
      </c>
      <c r="H206" s="34" t="s">
        <v>717</v>
      </c>
      <c r="I206" s="34" t="s">
        <v>1130</v>
      </c>
      <c r="J206" s="72">
        <v>180</v>
      </c>
      <c r="K206" s="72"/>
      <c r="L206" s="72"/>
      <c r="M206" s="72"/>
      <c r="N206" s="72">
        <v>188</v>
      </c>
      <c r="O206" s="66">
        <v>0.95744680851063835</v>
      </c>
      <c r="P206" s="72">
        <v>5</v>
      </c>
      <c r="Q206" s="108"/>
      <c r="R206" s="108"/>
    </row>
    <row r="207" spans="1:18" s="38" customFormat="1" ht="23.25" hidden="1" customHeight="1">
      <c r="A207" s="17">
        <v>201710</v>
      </c>
      <c r="B207" s="34" t="s">
        <v>1138</v>
      </c>
      <c r="C207" s="34" t="s">
        <v>10</v>
      </c>
      <c r="D207" s="35">
        <v>43117</v>
      </c>
      <c r="E207" s="33" t="s">
        <v>1139</v>
      </c>
      <c r="F207" s="36">
        <v>156</v>
      </c>
      <c r="G207" s="37">
        <v>43155</v>
      </c>
      <c r="H207" s="34" t="s">
        <v>717</v>
      </c>
      <c r="I207" s="34" t="s">
        <v>1130</v>
      </c>
      <c r="J207" s="72">
        <v>180</v>
      </c>
      <c r="K207" s="72"/>
      <c r="L207" s="72"/>
      <c r="M207" s="72"/>
      <c r="N207" s="72">
        <v>188</v>
      </c>
      <c r="O207" s="66">
        <v>0.95744680851063835</v>
      </c>
      <c r="P207" s="72">
        <v>5</v>
      </c>
      <c r="Q207" s="108"/>
      <c r="R207" s="108"/>
    </row>
    <row r="208" spans="1:18" s="38" customFormat="1" ht="23.25" hidden="1" customHeight="1">
      <c r="A208" s="17">
        <v>201711</v>
      </c>
      <c r="B208" s="34" t="s">
        <v>1140</v>
      </c>
      <c r="C208" s="34" t="s">
        <v>10</v>
      </c>
      <c r="D208" s="35">
        <v>43118</v>
      </c>
      <c r="E208" s="33" t="s">
        <v>1129</v>
      </c>
      <c r="F208" s="36">
        <v>228</v>
      </c>
      <c r="G208" s="37">
        <v>43149</v>
      </c>
      <c r="H208" s="34" t="s">
        <v>718</v>
      </c>
      <c r="I208" s="34" t="s">
        <v>1130</v>
      </c>
      <c r="J208" s="72">
        <v>180</v>
      </c>
      <c r="K208" s="72"/>
      <c r="L208" s="72"/>
      <c r="M208" s="72"/>
      <c r="N208" s="72">
        <v>188</v>
      </c>
      <c r="O208" s="66">
        <v>0.95744680851063835</v>
      </c>
      <c r="P208" s="72">
        <v>5</v>
      </c>
      <c r="Q208" s="108"/>
      <c r="R208" s="108"/>
    </row>
    <row r="209" spans="1:18" s="38" customFormat="1" ht="23.25" hidden="1" customHeight="1">
      <c r="A209" s="17">
        <v>201711</v>
      </c>
      <c r="B209" s="34" t="s">
        <v>1141</v>
      </c>
      <c r="C209" s="34" t="s">
        <v>10</v>
      </c>
      <c r="D209" s="35">
        <v>43118</v>
      </c>
      <c r="E209" s="33" t="s">
        <v>1129</v>
      </c>
      <c r="F209" s="36">
        <v>168</v>
      </c>
      <c r="G209" s="37">
        <v>43155</v>
      </c>
      <c r="H209" s="34" t="s">
        <v>718</v>
      </c>
      <c r="I209" s="34" t="s">
        <v>1130</v>
      </c>
      <c r="J209" s="72">
        <v>180</v>
      </c>
      <c r="K209" s="72"/>
      <c r="L209" s="72"/>
      <c r="M209" s="72"/>
      <c r="N209" s="72">
        <v>188</v>
      </c>
      <c r="O209" s="66">
        <v>0.95744680851063835</v>
      </c>
      <c r="P209" s="72">
        <v>5</v>
      </c>
      <c r="Q209" s="108"/>
      <c r="R209" s="108"/>
    </row>
    <row r="210" spans="1:18" s="38" customFormat="1" ht="23.25" hidden="1" customHeight="1">
      <c r="A210" s="17">
        <v>201711</v>
      </c>
      <c r="B210" s="34" t="s">
        <v>1142</v>
      </c>
      <c r="C210" s="34" t="s">
        <v>10</v>
      </c>
      <c r="D210" s="35">
        <v>43118</v>
      </c>
      <c r="E210" s="33" t="s">
        <v>1129</v>
      </c>
      <c r="F210" s="36">
        <v>1092</v>
      </c>
      <c r="G210" s="37">
        <v>43155</v>
      </c>
      <c r="H210" s="34" t="s">
        <v>718</v>
      </c>
      <c r="I210" s="34" t="s">
        <v>1130</v>
      </c>
      <c r="J210" s="72">
        <v>180</v>
      </c>
      <c r="K210" s="72"/>
      <c r="L210" s="72"/>
      <c r="M210" s="72"/>
      <c r="N210" s="72">
        <v>188</v>
      </c>
      <c r="O210" s="66">
        <v>0.95744680851063835</v>
      </c>
      <c r="P210" s="72">
        <v>5</v>
      </c>
      <c r="Q210" s="108"/>
      <c r="R210" s="108"/>
    </row>
    <row r="211" spans="1:18" s="38" customFormat="1" ht="23.25" hidden="1" customHeight="1">
      <c r="A211" s="17">
        <v>201711</v>
      </c>
      <c r="B211" s="34" t="s">
        <v>1143</v>
      </c>
      <c r="C211" s="34" t="s">
        <v>10</v>
      </c>
      <c r="D211" s="35">
        <v>43118</v>
      </c>
      <c r="E211" s="33" t="s">
        <v>1129</v>
      </c>
      <c r="F211" s="36">
        <v>660</v>
      </c>
      <c r="G211" s="37">
        <v>43155</v>
      </c>
      <c r="H211" s="34" t="s">
        <v>717</v>
      </c>
      <c r="I211" s="34" t="s">
        <v>1130</v>
      </c>
      <c r="J211" s="72">
        <v>180</v>
      </c>
      <c r="K211" s="72"/>
      <c r="L211" s="72"/>
      <c r="M211" s="72"/>
      <c r="N211" s="72">
        <v>188</v>
      </c>
      <c r="O211" s="66">
        <v>0.95744680851063835</v>
      </c>
      <c r="P211" s="72">
        <v>5</v>
      </c>
      <c r="Q211" s="108"/>
      <c r="R211" s="108"/>
    </row>
    <row r="212" spans="1:18" s="38" customFormat="1" ht="23.25" hidden="1" customHeight="1">
      <c r="A212" s="17">
        <v>201711</v>
      </c>
      <c r="B212" s="34" t="s">
        <v>1144</v>
      </c>
      <c r="C212" s="34" t="s">
        <v>10</v>
      </c>
      <c r="D212" s="35">
        <v>43119</v>
      </c>
      <c r="E212" s="33" t="s">
        <v>1133</v>
      </c>
      <c r="F212" s="36">
        <v>180</v>
      </c>
      <c r="G212" s="37">
        <v>43149</v>
      </c>
      <c r="H212" s="34" t="s">
        <v>718</v>
      </c>
      <c r="I212" s="34" t="s">
        <v>1130</v>
      </c>
      <c r="J212" s="72">
        <v>180</v>
      </c>
      <c r="K212" s="72"/>
      <c r="L212" s="72"/>
      <c r="M212" s="72"/>
      <c r="N212" s="72">
        <v>188</v>
      </c>
      <c r="O212" s="66">
        <v>0.95744680851063835</v>
      </c>
      <c r="P212" s="72">
        <v>5</v>
      </c>
      <c r="Q212" s="108"/>
      <c r="R212" s="108"/>
    </row>
    <row r="213" spans="1:18" s="38" customFormat="1" ht="23.25" hidden="1" customHeight="1">
      <c r="A213" s="17">
        <v>201711</v>
      </c>
      <c r="B213" s="34" t="s">
        <v>1145</v>
      </c>
      <c r="C213" s="34" t="s">
        <v>10</v>
      </c>
      <c r="D213" s="35">
        <v>43119</v>
      </c>
      <c r="E213" s="33" t="s">
        <v>1133</v>
      </c>
      <c r="F213" s="36">
        <v>492</v>
      </c>
      <c r="G213" s="37">
        <v>43155</v>
      </c>
      <c r="H213" s="34" t="s">
        <v>717</v>
      </c>
      <c r="I213" s="34" t="s">
        <v>1130</v>
      </c>
      <c r="J213" s="72">
        <v>180</v>
      </c>
      <c r="K213" s="72"/>
      <c r="L213" s="72"/>
      <c r="M213" s="72"/>
      <c r="N213" s="72">
        <v>188</v>
      </c>
      <c r="O213" s="66">
        <v>0.95744680851063835</v>
      </c>
      <c r="P213" s="72">
        <v>5</v>
      </c>
      <c r="Q213" s="108"/>
      <c r="R213" s="108"/>
    </row>
    <row r="214" spans="1:18" s="38" customFormat="1" ht="23.25" hidden="1" customHeight="1">
      <c r="A214" s="17">
        <v>201711</v>
      </c>
      <c r="B214" s="34" t="s">
        <v>1146</v>
      </c>
      <c r="C214" s="34" t="s">
        <v>10</v>
      </c>
      <c r="D214" s="35">
        <v>43119</v>
      </c>
      <c r="E214" s="33" t="s">
        <v>1114</v>
      </c>
      <c r="F214" s="36">
        <v>648</v>
      </c>
      <c r="G214" s="37">
        <v>43149</v>
      </c>
      <c r="H214" s="34" t="s">
        <v>718</v>
      </c>
      <c r="I214" s="34" t="s">
        <v>1111</v>
      </c>
      <c r="J214" s="72">
        <v>180</v>
      </c>
      <c r="K214" s="72"/>
      <c r="L214" s="72"/>
      <c r="M214" s="72"/>
      <c r="N214" s="72">
        <v>188</v>
      </c>
      <c r="O214" s="66">
        <v>0.95744680851063835</v>
      </c>
      <c r="P214" s="72">
        <v>5</v>
      </c>
      <c r="Q214" s="108"/>
      <c r="R214" s="108"/>
    </row>
    <row r="215" spans="1:18" s="38" customFormat="1" ht="23.25" hidden="1" customHeight="1">
      <c r="A215" s="17">
        <v>201711</v>
      </c>
      <c r="B215" s="34" t="s">
        <v>1147</v>
      </c>
      <c r="C215" s="34" t="s">
        <v>10</v>
      </c>
      <c r="D215" s="35">
        <v>43119</v>
      </c>
      <c r="E215" s="33" t="s">
        <v>1114</v>
      </c>
      <c r="F215" s="36">
        <v>144</v>
      </c>
      <c r="G215" s="37">
        <v>43155</v>
      </c>
      <c r="H215" s="34" t="s">
        <v>717</v>
      </c>
      <c r="I215" s="34" t="s">
        <v>1111</v>
      </c>
      <c r="J215" s="72">
        <v>180</v>
      </c>
      <c r="K215" s="72"/>
      <c r="L215" s="72"/>
      <c r="M215" s="72"/>
      <c r="N215" s="72">
        <v>188</v>
      </c>
      <c r="O215" s="66">
        <v>0.95744680851063835</v>
      </c>
      <c r="P215" s="72">
        <v>5</v>
      </c>
      <c r="Q215" s="108"/>
      <c r="R215" s="108"/>
    </row>
    <row r="216" spans="1:18" s="38" customFormat="1" ht="23.25" hidden="1" customHeight="1">
      <c r="A216" s="17">
        <v>201711</v>
      </c>
      <c r="B216" s="34" t="s">
        <v>1148</v>
      </c>
      <c r="C216" s="34" t="s">
        <v>10</v>
      </c>
      <c r="D216" s="35">
        <v>43120</v>
      </c>
      <c r="E216" s="33" t="s">
        <v>1114</v>
      </c>
      <c r="F216" s="36">
        <v>612</v>
      </c>
      <c r="G216" s="37">
        <v>43155</v>
      </c>
      <c r="H216" s="34" t="s">
        <v>718</v>
      </c>
      <c r="I216" s="34" t="s">
        <v>1111</v>
      </c>
      <c r="J216" s="72">
        <v>180</v>
      </c>
      <c r="K216" s="72"/>
      <c r="L216" s="72"/>
      <c r="M216" s="72"/>
      <c r="N216" s="72">
        <v>188</v>
      </c>
      <c r="O216" s="66">
        <v>0.95744680851063835</v>
      </c>
      <c r="P216" s="72">
        <v>5</v>
      </c>
      <c r="Q216" s="108"/>
      <c r="R216" s="108"/>
    </row>
    <row r="217" spans="1:18" s="38" customFormat="1" ht="23.25" hidden="1" customHeight="1">
      <c r="A217" s="17">
        <v>201711</v>
      </c>
      <c r="B217" s="34" t="s">
        <v>1149</v>
      </c>
      <c r="C217" s="34" t="s">
        <v>10</v>
      </c>
      <c r="D217" s="35">
        <v>43120</v>
      </c>
      <c r="E217" s="33" t="s">
        <v>1114</v>
      </c>
      <c r="F217" s="36">
        <v>252</v>
      </c>
      <c r="G217" s="37">
        <v>43155</v>
      </c>
      <c r="H217" s="34" t="s">
        <v>717</v>
      </c>
      <c r="I217" s="34" t="s">
        <v>1111</v>
      </c>
      <c r="J217" s="72">
        <v>180</v>
      </c>
      <c r="K217" s="72"/>
      <c r="L217" s="72"/>
      <c r="M217" s="72"/>
      <c r="N217" s="72">
        <v>188</v>
      </c>
      <c r="O217" s="66">
        <v>0.95744680851063835</v>
      </c>
      <c r="P217" s="72">
        <v>5</v>
      </c>
      <c r="Q217" s="108"/>
      <c r="R217" s="108"/>
    </row>
    <row r="218" spans="1:18" s="38" customFormat="1" ht="23.25" hidden="1" customHeight="1">
      <c r="A218" s="17">
        <v>201711</v>
      </c>
      <c r="B218" s="34" t="s">
        <v>1150</v>
      </c>
      <c r="C218" s="34" t="s">
        <v>10</v>
      </c>
      <c r="D218" s="35">
        <v>43120</v>
      </c>
      <c r="E218" s="33" t="s">
        <v>1114</v>
      </c>
      <c r="F218" s="36">
        <v>120</v>
      </c>
      <c r="G218" s="37">
        <v>43155</v>
      </c>
      <c r="H218" s="34" t="s">
        <v>717</v>
      </c>
      <c r="I218" s="34" t="s">
        <v>1111</v>
      </c>
      <c r="J218" s="72">
        <v>180</v>
      </c>
      <c r="K218" s="72"/>
      <c r="L218" s="72"/>
      <c r="M218" s="72"/>
      <c r="N218" s="72">
        <v>188</v>
      </c>
      <c r="O218" s="66">
        <v>0.95744680851063835</v>
      </c>
      <c r="P218" s="72">
        <v>5</v>
      </c>
      <c r="Q218" s="108"/>
      <c r="R218" s="108"/>
    </row>
    <row r="219" spans="1:18" s="38" customFormat="1" ht="23.25" hidden="1" customHeight="1">
      <c r="A219" s="17">
        <v>201711</v>
      </c>
      <c r="B219" s="34" t="s">
        <v>1151</v>
      </c>
      <c r="C219" s="34" t="s">
        <v>10</v>
      </c>
      <c r="D219" s="35">
        <v>43120</v>
      </c>
      <c r="E219" s="33" t="s">
        <v>1114</v>
      </c>
      <c r="F219" s="36">
        <v>504</v>
      </c>
      <c r="G219" s="37">
        <v>43155</v>
      </c>
      <c r="H219" s="34" t="s">
        <v>717</v>
      </c>
      <c r="I219" s="34" t="s">
        <v>1111</v>
      </c>
      <c r="J219" s="72">
        <v>180</v>
      </c>
      <c r="K219" s="72"/>
      <c r="L219" s="72"/>
      <c r="M219" s="72"/>
      <c r="N219" s="72">
        <v>188</v>
      </c>
      <c r="O219" s="66">
        <v>0.95744680851063835</v>
      </c>
      <c r="P219" s="72">
        <v>5</v>
      </c>
      <c r="Q219" s="108"/>
      <c r="R219" s="108"/>
    </row>
    <row r="220" spans="1:18" s="38" customFormat="1" ht="23.25" hidden="1" customHeight="1">
      <c r="A220" s="17">
        <v>201711</v>
      </c>
      <c r="B220" s="34" t="s">
        <v>1152</v>
      </c>
      <c r="C220" s="34" t="s">
        <v>10</v>
      </c>
      <c r="D220" s="35">
        <v>43120</v>
      </c>
      <c r="E220" s="33" t="s">
        <v>1114</v>
      </c>
      <c r="F220" s="36">
        <v>120</v>
      </c>
      <c r="G220" s="37">
        <v>43155</v>
      </c>
      <c r="H220" s="34" t="s">
        <v>717</v>
      </c>
      <c r="I220" s="34" t="s">
        <v>1111</v>
      </c>
      <c r="J220" s="72">
        <v>180</v>
      </c>
      <c r="K220" s="72"/>
      <c r="L220" s="72"/>
      <c r="M220" s="72"/>
      <c r="N220" s="72">
        <v>188</v>
      </c>
      <c r="O220" s="66">
        <v>0.95744680851063835</v>
      </c>
      <c r="P220" s="72">
        <v>5</v>
      </c>
      <c r="Q220" s="108"/>
      <c r="R220" s="108"/>
    </row>
    <row r="221" spans="1:18" s="38" customFormat="1" ht="23.25" hidden="1" customHeight="1">
      <c r="A221" s="17">
        <v>201710</v>
      </c>
      <c r="B221" s="34" t="s">
        <v>1153</v>
      </c>
      <c r="C221" s="34" t="s">
        <v>10</v>
      </c>
      <c r="D221" s="35">
        <v>43122</v>
      </c>
      <c r="E221" s="33" t="s">
        <v>1154</v>
      </c>
      <c r="F221" s="36">
        <v>168</v>
      </c>
      <c r="G221" s="37">
        <v>43139</v>
      </c>
      <c r="H221" s="34" t="s">
        <v>719</v>
      </c>
      <c r="I221" s="34" t="s">
        <v>1111</v>
      </c>
      <c r="J221" s="72">
        <v>180</v>
      </c>
      <c r="K221" s="72"/>
      <c r="L221" s="72"/>
      <c r="M221" s="72"/>
      <c r="N221" s="72">
        <v>188</v>
      </c>
      <c r="O221" s="66">
        <v>0.95744680851063835</v>
      </c>
      <c r="P221" s="72">
        <v>5</v>
      </c>
      <c r="Q221" s="108"/>
      <c r="R221" s="108"/>
    </row>
    <row r="222" spans="1:18" s="38" customFormat="1" ht="23.25" hidden="1" customHeight="1">
      <c r="A222" s="17">
        <v>201711</v>
      </c>
      <c r="B222" s="34" t="s">
        <v>1155</v>
      </c>
      <c r="C222" s="34" t="s">
        <v>10</v>
      </c>
      <c r="D222" s="35">
        <v>43122</v>
      </c>
      <c r="E222" s="33" t="s">
        <v>1154</v>
      </c>
      <c r="F222" s="36">
        <v>120</v>
      </c>
      <c r="G222" s="37">
        <v>43149</v>
      </c>
      <c r="H222" s="34" t="s">
        <v>718</v>
      </c>
      <c r="I222" s="34" t="s">
        <v>1111</v>
      </c>
      <c r="J222" s="72">
        <v>180</v>
      </c>
      <c r="K222" s="72"/>
      <c r="L222" s="72"/>
      <c r="M222" s="72"/>
      <c r="N222" s="72">
        <v>188</v>
      </c>
      <c r="O222" s="66">
        <v>0.95744680851063835</v>
      </c>
      <c r="P222" s="72">
        <v>5</v>
      </c>
      <c r="Q222" s="108"/>
      <c r="R222" s="108"/>
    </row>
    <row r="223" spans="1:18" s="38" customFormat="1" ht="23.25" hidden="1" customHeight="1">
      <c r="A223" s="17">
        <v>201711</v>
      </c>
      <c r="B223" s="34" t="s">
        <v>1156</v>
      </c>
      <c r="C223" s="34" t="s">
        <v>10</v>
      </c>
      <c r="D223" s="35">
        <v>43122</v>
      </c>
      <c r="E223" s="33" t="s">
        <v>1157</v>
      </c>
      <c r="F223" s="36">
        <v>240</v>
      </c>
      <c r="G223" s="37">
        <v>43149</v>
      </c>
      <c r="H223" s="34" t="s">
        <v>718</v>
      </c>
      <c r="I223" s="34" t="s">
        <v>1111</v>
      </c>
      <c r="J223" s="72">
        <v>180</v>
      </c>
      <c r="K223" s="72"/>
      <c r="L223" s="72"/>
      <c r="M223" s="72"/>
      <c r="N223" s="72">
        <v>188</v>
      </c>
      <c r="O223" s="66">
        <v>0.95744680851063835</v>
      </c>
      <c r="P223" s="72">
        <v>5</v>
      </c>
      <c r="Q223" s="108"/>
      <c r="R223" s="108"/>
    </row>
    <row r="224" spans="1:18" s="38" customFormat="1" ht="23.25" hidden="1" customHeight="1">
      <c r="A224" s="17">
        <v>201711</v>
      </c>
      <c r="B224" s="34" t="s">
        <v>1158</v>
      </c>
      <c r="C224" s="34" t="s">
        <v>10</v>
      </c>
      <c r="D224" s="35">
        <v>43122</v>
      </c>
      <c r="E224" s="33" t="s">
        <v>1154</v>
      </c>
      <c r="F224" s="36">
        <v>720</v>
      </c>
      <c r="G224" s="37">
        <v>43151</v>
      </c>
      <c r="H224" s="34" t="s">
        <v>718</v>
      </c>
      <c r="I224" s="34" t="s">
        <v>1111</v>
      </c>
      <c r="J224" s="72">
        <v>180</v>
      </c>
      <c r="K224" s="72"/>
      <c r="L224" s="72"/>
      <c r="M224" s="72"/>
      <c r="N224" s="72">
        <v>188</v>
      </c>
      <c r="O224" s="66">
        <v>0.95744680851063835</v>
      </c>
      <c r="P224" s="72">
        <v>5</v>
      </c>
      <c r="Q224" s="108"/>
      <c r="R224" s="108"/>
    </row>
    <row r="225" spans="1:18" s="38" customFormat="1" ht="23.25" hidden="1" customHeight="1">
      <c r="A225" s="17">
        <v>201711</v>
      </c>
      <c r="B225" s="34" t="s">
        <v>1159</v>
      </c>
      <c r="C225" s="34" t="s">
        <v>10</v>
      </c>
      <c r="D225" s="35">
        <v>43123</v>
      </c>
      <c r="E225" s="33" t="s">
        <v>1154</v>
      </c>
      <c r="F225" s="36">
        <v>2196</v>
      </c>
      <c r="G225" s="37">
        <v>43152</v>
      </c>
      <c r="H225" s="34" t="s">
        <v>717</v>
      </c>
      <c r="I225" s="34" t="s">
        <v>1111</v>
      </c>
      <c r="J225" s="72">
        <v>180</v>
      </c>
      <c r="K225" s="72"/>
      <c r="L225" s="72"/>
      <c r="M225" s="72"/>
      <c r="N225" s="72">
        <v>188</v>
      </c>
      <c r="O225" s="66">
        <v>0.95744680851063835</v>
      </c>
      <c r="P225" s="72">
        <v>5</v>
      </c>
      <c r="Q225" s="108"/>
      <c r="R225" s="108"/>
    </row>
    <row r="226" spans="1:18" s="38" customFormat="1" ht="23.25" hidden="1" customHeight="1">
      <c r="A226" s="17">
        <v>201711</v>
      </c>
      <c r="B226" s="34" t="s">
        <v>1160</v>
      </c>
      <c r="C226" s="34" t="s">
        <v>10</v>
      </c>
      <c r="D226" s="35">
        <v>43124</v>
      </c>
      <c r="E226" s="33" t="s">
        <v>1154</v>
      </c>
      <c r="F226" s="36">
        <v>132</v>
      </c>
      <c r="G226" s="37">
        <v>43155</v>
      </c>
      <c r="H226" s="34" t="s">
        <v>717</v>
      </c>
      <c r="I226" s="34" t="s">
        <v>1111</v>
      </c>
      <c r="J226" s="72">
        <v>180</v>
      </c>
      <c r="K226" s="72"/>
      <c r="L226" s="72"/>
      <c r="M226" s="72"/>
      <c r="N226" s="72">
        <v>188</v>
      </c>
      <c r="O226" s="66">
        <v>0.95744680851063835</v>
      </c>
      <c r="P226" s="72">
        <v>5</v>
      </c>
      <c r="Q226" s="108"/>
      <c r="R226" s="108"/>
    </row>
    <row r="227" spans="1:18" s="38" customFormat="1" ht="23.25" hidden="1" customHeight="1">
      <c r="A227" s="17">
        <v>201711</v>
      </c>
      <c r="B227" s="34" t="s">
        <v>1161</v>
      </c>
      <c r="C227" s="34" t="s">
        <v>10</v>
      </c>
      <c r="D227" s="35">
        <v>43124</v>
      </c>
      <c r="E227" s="33" t="s">
        <v>1154</v>
      </c>
      <c r="F227" s="36">
        <v>348</v>
      </c>
      <c r="G227" s="37">
        <v>43155</v>
      </c>
      <c r="H227" s="34" t="s">
        <v>717</v>
      </c>
      <c r="I227" s="34" t="s">
        <v>1111</v>
      </c>
      <c r="J227" s="72">
        <v>180</v>
      </c>
      <c r="K227" s="72"/>
      <c r="L227" s="72"/>
      <c r="M227" s="72"/>
      <c r="N227" s="72">
        <v>188</v>
      </c>
      <c r="O227" s="66">
        <v>0.95744680851063835</v>
      </c>
      <c r="P227" s="72">
        <v>5</v>
      </c>
      <c r="Q227" s="108"/>
      <c r="R227" s="108"/>
    </row>
    <row r="228" spans="1:18" s="38" customFormat="1" ht="23.25" hidden="1" customHeight="1">
      <c r="A228" s="17">
        <v>201711</v>
      </c>
      <c r="B228" s="34" t="s">
        <v>1162</v>
      </c>
      <c r="C228" s="34" t="s">
        <v>10</v>
      </c>
      <c r="D228" s="35">
        <v>43124</v>
      </c>
      <c r="E228" s="33" t="s">
        <v>1154</v>
      </c>
      <c r="F228" s="36">
        <v>120</v>
      </c>
      <c r="G228" s="37">
        <v>43155</v>
      </c>
      <c r="H228" s="34" t="s">
        <v>717</v>
      </c>
      <c r="I228" s="34" t="s">
        <v>1111</v>
      </c>
      <c r="J228" s="72">
        <v>180</v>
      </c>
      <c r="K228" s="72"/>
      <c r="L228" s="72"/>
      <c r="M228" s="72"/>
      <c r="N228" s="72">
        <v>188</v>
      </c>
      <c r="O228" s="66">
        <v>0.95744680851063835</v>
      </c>
      <c r="P228" s="72">
        <v>5</v>
      </c>
      <c r="Q228" s="108"/>
      <c r="R228" s="108"/>
    </row>
    <row r="229" spans="1:18" s="38" customFormat="1" ht="23.25" hidden="1" customHeight="1">
      <c r="A229" s="17">
        <v>201711</v>
      </c>
      <c r="B229" s="34" t="s">
        <v>1163</v>
      </c>
      <c r="C229" s="34" t="s">
        <v>10</v>
      </c>
      <c r="D229" s="35">
        <v>43125</v>
      </c>
      <c r="E229" s="33" t="s">
        <v>1164</v>
      </c>
      <c r="F229" s="36">
        <v>1362</v>
      </c>
      <c r="G229" s="37">
        <v>43152</v>
      </c>
      <c r="H229" s="34" t="s">
        <v>717</v>
      </c>
      <c r="I229" s="34" t="s">
        <v>1111</v>
      </c>
      <c r="J229" s="72">
        <v>180</v>
      </c>
      <c r="K229" s="72"/>
      <c r="L229" s="72"/>
      <c r="M229" s="72"/>
      <c r="N229" s="72">
        <v>188</v>
      </c>
      <c r="O229" s="66">
        <v>0.95744680851063835</v>
      </c>
      <c r="P229" s="72">
        <v>5</v>
      </c>
      <c r="Q229" s="108"/>
      <c r="R229" s="108"/>
    </row>
    <row r="230" spans="1:18" s="38" customFormat="1" ht="23.25" hidden="1" customHeight="1">
      <c r="A230" s="17">
        <v>201711</v>
      </c>
      <c r="B230" s="34" t="s">
        <v>1165</v>
      </c>
      <c r="C230" s="34" t="s">
        <v>10</v>
      </c>
      <c r="D230" s="35">
        <v>43125</v>
      </c>
      <c r="E230" s="33" t="s">
        <v>1164</v>
      </c>
      <c r="F230" s="36">
        <v>132</v>
      </c>
      <c r="G230" s="37">
        <v>43149</v>
      </c>
      <c r="H230" s="34" t="s">
        <v>718</v>
      </c>
      <c r="I230" s="34" t="s">
        <v>1111</v>
      </c>
      <c r="J230" s="72">
        <v>180</v>
      </c>
      <c r="K230" s="72"/>
      <c r="L230" s="72"/>
      <c r="M230" s="72"/>
      <c r="N230" s="72">
        <v>188</v>
      </c>
      <c r="O230" s="66">
        <v>0.95744680851063835</v>
      </c>
      <c r="P230" s="72">
        <v>5</v>
      </c>
      <c r="Q230" s="108"/>
      <c r="R230" s="108"/>
    </row>
    <row r="231" spans="1:18" s="38" customFormat="1" ht="23.25" hidden="1" customHeight="1">
      <c r="A231" s="17">
        <v>201711</v>
      </c>
      <c r="B231" s="34" t="s">
        <v>1166</v>
      </c>
      <c r="C231" s="34" t="s">
        <v>10</v>
      </c>
      <c r="D231" s="35">
        <v>43126</v>
      </c>
      <c r="E231" s="33" t="s">
        <v>1164</v>
      </c>
      <c r="F231" s="36">
        <v>420</v>
      </c>
      <c r="G231" s="37">
        <v>43151</v>
      </c>
      <c r="H231" s="34" t="s">
        <v>718</v>
      </c>
      <c r="I231" s="34" t="s">
        <v>1111</v>
      </c>
      <c r="J231" s="72">
        <v>180</v>
      </c>
      <c r="K231" s="72"/>
      <c r="L231" s="72"/>
      <c r="M231" s="72"/>
      <c r="N231" s="72">
        <v>188</v>
      </c>
      <c r="O231" s="66">
        <v>0.95744680851063835</v>
      </c>
      <c r="P231" s="72">
        <v>5</v>
      </c>
      <c r="Q231" s="108"/>
      <c r="R231" s="108"/>
    </row>
    <row r="232" spans="1:18" s="38" customFormat="1" ht="23.25" hidden="1" customHeight="1">
      <c r="A232" s="17">
        <v>201711</v>
      </c>
      <c r="B232" s="34" t="s">
        <v>1167</v>
      </c>
      <c r="C232" s="34" t="s">
        <v>10</v>
      </c>
      <c r="D232" s="35">
        <v>43126</v>
      </c>
      <c r="E232" s="33" t="s">
        <v>1164</v>
      </c>
      <c r="F232" s="36">
        <v>144</v>
      </c>
      <c r="G232" s="37">
        <v>43155</v>
      </c>
      <c r="H232" s="34" t="s">
        <v>717</v>
      </c>
      <c r="I232" s="34" t="s">
        <v>1111</v>
      </c>
      <c r="J232" s="72">
        <v>180</v>
      </c>
      <c r="K232" s="72"/>
      <c r="L232" s="72"/>
      <c r="M232" s="72"/>
      <c r="N232" s="72">
        <v>188</v>
      </c>
      <c r="O232" s="66">
        <v>0.95744680851063835</v>
      </c>
      <c r="P232" s="72">
        <v>5</v>
      </c>
      <c r="Q232" s="108"/>
      <c r="R232" s="108"/>
    </row>
    <row r="233" spans="1:18" s="38" customFormat="1" ht="23.25" hidden="1" customHeight="1">
      <c r="A233" s="17">
        <v>201711</v>
      </c>
      <c r="B233" s="34" t="s">
        <v>1168</v>
      </c>
      <c r="C233" s="34" t="s">
        <v>10</v>
      </c>
      <c r="D233" s="35">
        <v>43126</v>
      </c>
      <c r="E233" s="33" t="s">
        <v>1164</v>
      </c>
      <c r="F233" s="36">
        <v>120</v>
      </c>
      <c r="G233" s="37">
        <v>43155</v>
      </c>
      <c r="H233" s="34" t="s">
        <v>717</v>
      </c>
      <c r="I233" s="34" t="s">
        <v>1111</v>
      </c>
      <c r="J233" s="72">
        <v>180</v>
      </c>
      <c r="K233" s="72"/>
      <c r="L233" s="72"/>
      <c r="M233" s="72"/>
      <c r="N233" s="72">
        <v>188</v>
      </c>
      <c r="O233" s="66">
        <v>0.95744680851063835</v>
      </c>
      <c r="P233" s="72">
        <v>5</v>
      </c>
      <c r="Q233" s="108"/>
      <c r="R233" s="108"/>
    </row>
    <row r="234" spans="1:18" s="38" customFormat="1" ht="23.25" hidden="1" customHeight="1">
      <c r="A234" s="17">
        <v>201711</v>
      </c>
      <c r="B234" s="34" t="s">
        <v>1169</v>
      </c>
      <c r="C234" s="34" t="s">
        <v>10</v>
      </c>
      <c r="D234" s="35">
        <v>43126</v>
      </c>
      <c r="E234" s="33" t="s">
        <v>1157</v>
      </c>
      <c r="F234" s="36">
        <v>1080</v>
      </c>
      <c r="G234" s="37">
        <v>43155</v>
      </c>
      <c r="H234" s="34" t="s">
        <v>718</v>
      </c>
      <c r="I234" s="34" t="s">
        <v>1111</v>
      </c>
      <c r="J234" s="72">
        <v>180</v>
      </c>
      <c r="K234" s="72"/>
      <c r="L234" s="72"/>
      <c r="M234" s="72"/>
      <c r="N234" s="72">
        <v>188</v>
      </c>
      <c r="O234" s="66">
        <v>0.95744680851063835</v>
      </c>
      <c r="P234" s="72">
        <v>5</v>
      </c>
      <c r="Q234" s="108"/>
      <c r="R234" s="108"/>
    </row>
    <row r="235" spans="1:18" s="38" customFormat="1" ht="23.25" hidden="1" customHeight="1">
      <c r="A235" s="17">
        <v>201711</v>
      </c>
      <c r="B235" s="34" t="s">
        <v>1170</v>
      </c>
      <c r="C235" s="34" t="s">
        <v>10</v>
      </c>
      <c r="D235" s="35">
        <v>43126</v>
      </c>
      <c r="E235" s="33" t="s">
        <v>1157</v>
      </c>
      <c r="F235" s="36">
        <v>600</v>
      </c>
      <c r="G235" s="37">
        <v>43150</v>
      </c>
      <c r="H235" s="34" t="s">
        <v>718</v>
      </c>
      <c r="I235" s="34" t="s">
        <v>1111</v>
      </c>
      <c r="J235" s="72">
        <v>180</v>
      </c>
      <c r="K235" s="72"/>
      <c r="L235" s="72"/>
      <c r="M235" s="72"/>
      <c r="N235" s="72">
        <v>188</v>
      </c>
      <c r="O235" s="66">
        <v>0.95744680851063835</v>
      </c>
      <c r="P235" s="72">
        <v>5</v>
      </c>
      <c r="Q235" s="108"/>
      <c r="R235" s="108"/>
    </row>
    <row r="236" spans="1:18" s="38" customFormat="1" ht="23.25" hidden="1" customHeight="1">
      <c r="A236" s="17">
        <v>201711</v>
      </c>
      <c r="B236" s="34" t="s">
        <v>1171</v>
      </c>
      <c r="C236" s="34" t="s">
        <v>10</v>
      </c>
      <c r="D236" s="35">
        <v>43127</v>
      </c>
      <c r="E236" s="33" t="s">
        <v>1172</v>
      </c>
      <c r="F236" s="36">
        <v>204</v>
      </c>
      <c r="G236" s="37">
        <v>43149</v>
      </c>
      <c r="H236" s="34" t="s">
        <v>718</v>
      </c>
      <c r="I236" s="34" t="s">
        <v>1111</v>
      </c>
      <c r="J236" s="72">
        <v>180</v>
      </c>
      <c r="K236" s="72"/>
      <c r="L236" s="72"/>
      <c r="M236" s="72"/>
      <c r="N236" s="72">
        <v>188</v>
      </c>
      <c r="O236" s="66">
        <v>0.95744680851063835</v>
      </c>
      <c r="P236" s="72">
        <v>5</v>
      </c>
      <c r="Q236" s="108"/>
      <c r="R236" s="108"/>
    </row>
    <row r="237" spans="1:18" s="38" customFormat="1" ht="23.25" hidden="1" customHeight="1">
      <c r="A237" s="17">
        <v>201711</v>
      </c>
      <c r="B237" s="34" t="s">
        <v>1173</v>
      </c>
      <c r="C237" s="34" t="s">
        <v>10</v>
      </c>
      <c r="D237" s="35">
        <v>43127</v>
      </c>
      <c r="E237" s="33" t="s">
        <v>1172</v>
      </c>
      <c r="F237" s="36">
        <v>192</v>
      </c>
      <c r="G237" s="37">
        <v>43155</v>
      </c>
      <c r="H237" s="34" t="s">
        <v>718</v>
      </c>
      <c r="I237" s="34" t="s">
        <v>1111</v>
      </c>
      <c r="J237" s="72">
        <v>180</v>
      </c>
      <c r="K237" s="72"/>
      <c r="L237" s="72"/>
      <c r="M237" s="72"/>
      <c r="N237" s="72">
        <v>188</v>
      </c>
      <c r="O237" s="66">
        <v>0.95744680851063835</v>
      </c>
      <c r="P237" s="72">
        <v>5</v>
      </c>
      <c r="Q237" s="108"/>
      <c r="R237" s="108"/>
    </row>
    <row r="238" spans="1:18" s="38" customFormat="1" ht="23.25" hidden="1" customHeight="1">
      <c r="A238" s="17">
        <v>201711</v>
      </c>
      <c r="B238" s="34" t="s">
        <v>1174</v>
      </c>
      <c r="C238" s="34" t="s">
        <v>10</v>
      </c>
      <c r="D238" s="35">
        <v>43127</v>
      </c>
      <c r="E238" s="33" t="s">
        <v>1157</v>
      </c>
      <c r="F238" s="36">
        <v>120</v>
      </c>
      <c r="G238" s="37">
        <v>43155</v>
      </c>
      <c r="H238" s="34" t="s">
        <v>717</v>
      </c>
      <c r="I238" s="34" t="s">
        <v>1111</v>
      </c>
      <c r="J238" s="72">
        <v>180</v>
      </c>
      <c r="K238" s="72"/>
      <c r="L238" s="72"/>
      <c r="M238" s="72"/>
      <c r="N238" s="72">
        <v>188</v>
      </c>
      <c r="O238" s="66">
        <v>0.95744680851063835</v>
      </c>
      <c r="P238" s="72">
        <v>5</v>
      </c>
      <c r="Q238" s="108"/>
      <c r="R238" s="108"/>
    </row>
    <row r="239" spans="1:18" s="38" customFormat="1" ht="23.25" hidden="1" customHeight="1">
      <c r="A239" s="17">
        <v>201711</v>
      </c>
      <c r="B239" s="34" t="s">
        <v>1175</v>
      </c>
      <c r="C239" s="34" t="s">
        <v>10</v>
      </c>
      <c r="D239" s="35">
        <v>43129</v>
      </c>
      <c r="E239" s="33" t="s">
        <v>1172</v>
      </c>
      <c r="F239" s="36">
        <v>636</v>
      </c>
      <c r="G239" s="37">
        <v>43155</v>
      </c>
      <c r="H239" s="34" t="s">
        <v>718</v>
      </c>
      <c r="I239" s="34" t="s">
        <v>1111</v>
      </c>
      <c r="J239" s="72">
        <v>180</v>
      </c>
      <c r="K239" s="72"/>
      <c r="L239" s="72"/>
      <c r="M239" s="72"/>
      <c r="N239" s="72">
        <v>188</v>
      </c>
      <c r="O239" s="66">
        <v>0.95744680851063835</v>
      </c>
      <c r="P239" s="72">
        <v>5</v>
      </c>
      <c r="Q239" s="108"/>
      <c r="R239" s="108"/>
    </row>
    <row r="240" spans="1:18" s="38" customFormat="1" ht="23.25" hidden="1" customHeight="1">
      <c r="A240" s="17">
        <v>201711</v>
      </c>
      <c r="B240" s="34" t="s">
        <v>1176</v>
      </c>
      <c r="C240" s="34" t="s">
        <v>10</v>
      </c>
      <c r="D240" s="35">
        <v>43129</v>
      </c>
      <c r="E240" s="33" t="s">
        <v>1172</v>
      </c>
      <c r="F240" s="36">
        <v>168</v>
      </c>
      <c r="G240" s="37">
        <v>43155</v>
      </c>
      <c r="H240" s="34" t="s">
        <v>717</v>
      </c>
      <c r="I240" s="34" t="s">
        <v>1111</v>
      </c>
      <c r="J240" s="72">
        <v>180</v>
      </c>
      <c r="K240" s="72"/>
      <c r="L240" s="72"/>
      <c r="M240" s="72"/>
      <c r="N240" s="72">
        <v>188</v>
      </c>
      <c r="O240" s="66">
        <v>0.95744680851063835</v>
      </c>
      <c r="P240" s="72">
        <v>5</v>
      </c>
      <c r="Q240" s="108"/>
      <c r="R240" s="108"/>
    </row>
    <row r="241" spans="1:18" s="38" customFormat="1" ht="23.25" hidden="1" customHeight="1">
      <c r="A241" s="17">
        <v>201711</v>
      </c>
      <c r="B241" s="34" t="s">
        <v>1177</v>
      </c>
      <c r="C241" s="34" t="s">
        <v>10</v>
      </c>
      <c r="D241" s="35">
        <v>43129</v>
      </c>
      <c r="E241" s="33" t="s">
        <v>1172</v>
      </c>
      <c r="F241" s="36">
        <v>252</v>
      </c>
      <c r="G241" s="37">
        <v>43155</v>
      </c>
      <c r="H241" s="34" t="s">
        <v>717</v>
      </c>
      <c r="I241" s="34" t="s">
        <v>1111</v>
      </c>
      <c r="J241" s="72">
        <v>180</v>
      </c>
      <c r="K241" s="72"/>
      <c r="L241" s="72"/>
      <c r="M241" s="72"/>
      <c r="N241" s="72">
        <v>188</v>
      </c>
      <c r="O241" s="66">
        <v>0.95744680851063835</v>
      </c>
      <c r="P241" s="72">
        <v>5</v>
      </c>
      <c r="Q241" s="108"/>
      <c r="R241" s="108"/>
    </row>
    <row r="242" spans="1:18" s="38" customFormat="1" ht="23.25" hidden="1" customHeight="1">
      <c r="A242" s="17">
        <v>201711</v>
      </c>
      <c r="B242" s="34" t="s">
        <v>1178</v>
      </c>
      <c r="C242" s="34" t="s">
        <v>10</v>
      </c>
      <c r="D242" s="35">
        <v>43129</v>
      </c>
      <c r="E242" s="33" t="s">
        <v>1172</v>
      </c>
      <c r="F242" s="36">
        <v>348</v>
      </c>
      <c r="G242" s="37">
        <v>43155</v>
      </c>
      <c r="H242" s="34" t="s">
        <v>717</v>
      </c>
      <c r="I242" s="34" t="s">
        <v>1111</v>
      </c>
      <c r="J242" s="72">
        <v>180</v>
      </c>
      <c r="K242" s="72"/>
      <c r="L242" s="72"/>
      <c r="M242" s="72"/>
      <c r="N242" s="72">
        <v>188</v>
      </c>
      <c r="O242" s="66">
        <v>0.95744680851063835</v>
      </c>
      <c r="P242" s="72">
        <v>5</v>
      </c>
      <c r="Q242" s="108"/>
      <c r="R242" s="108"/>
    </row>
    <row r="243" spans="1:18" s="38" customFormat="1" ht="23.25" hidden="1" customHeight="1">
      <c r="A243" s="17">
        <v>201711</v>
      </c>
      <c r="B243" s="34" t="s">
        <v>1179</v>
      </c>
      <c r="C243" s="34" t="s">
        <v>10</v>
      </c>
      <c r="D243" s="35">
        <v>43130</v>
      </c>
      <c r="E243" s="33" t="s">
        <v>1172</v>
      </c>
      <c r="F243" s="36">
        <v>120</v>
      </c>
      <c r="G243" s="37">
        <v>43155</v>
      </c>
      <c r="H243" s="34" t="s">
        <v>717</v>
      </c>
      <c r="I243" s="34" t="s">
        <v>1111</v>
      </c>
      <c r="J243" s="72">
        <v>180</v>
      </c>
      <c r="K243" s="72"/>
      <c r="L243" s="72"/>
      <c r="M243" s="72"/>
      <c r="N243" s="72">
        <v>188</v>
      </c>
      <c r="O243" s="66">
        <v>0.95744680851063835</v>
      </c>
      <c r="P243" s="72">
        <v>5</v>
      </c>
      <c r="Q243" s="108"/>
      <c r="R243" s="108"/>
    </row>
    <row r="244" spans="1:18" s="38" customFormat="1" ht="23.25" hidden="1" customHeight="1">
      <c r="A244" s="17">
        <v>201711</v>
      </c>
      <c r="B244" s="34" t="s">
        <v>1180</v>
      </c>
      <c r="C244" s="34" t="s">
        <v>10</v>
      </c>
      <c r="D244" s="35">
        <v>43130</v>
      </c>
      <c r="E244" s="33" t="s">
        <v>1116</v>
      </c>
      <c r="F244" s="36">
        <v>480</v>
      </c>
      <c r="G244" s="37">
        <v>43149</v>
      </c>
      <c r="H244" s="34" t="s">
        <v>718</v>
      </c>
      <c r="I244" s="34" t="s">
        <v>1111</v>
      </c>
      <c r="J244" s="72">
        <v>180</v>
      </c>
      <c r="K244" s="72"/>
      <c r="L244" s="72"/>
      <c r="M244" s="72"/>
      <c r="N244" s="72">
        <v>188</v>
      </c>
      <c r="O244" s="66">
        <v>0.95744680851063835</v>
      </c>
      <c r="P244" s="72">
        <v>5</v>
      </c>
      <c r="Q244" s="108"/>
      <c r="R244" s="108"/>
    </row>
    <row r="245" spans="1:18" s="38" customFormat="1" ht="23.25" hidden="1" customHeight="1">
      <c r="A245" s="17">
        <v>201711</v>
      </c>
      <c r="B245" s="34" t="s">
        <v>1181</v>
      </c>
      <c r="C245" s="34" t="s">
        <v>10</v>
      </c>
      <c r="D245" s="35">
        <v>43130</v>
      </c>
      <c r="E245" s="33" t="s">
        <v>1182</v>
      </c>
      <c r="F245" s="36">
        <v>240</v>
      </c>
      <c r="G245" s="37">
        <v>43146</v>
      </c>
      <c r="H245" s="34" t="s">
        <v>718</v>
      </c>
      <c r="I245" s="34" t="s">
        <v>1111</v>
      </c>
      <c r="J245" s="72">
        <v>180</v>
      </c>
      <c r="K245" s="72"/>
      <c r="L245" s="72"/>
      <c r="M245" s="72"/>
      <c r="N245" s="72">
        <v>188</v>
      </c>
      <c r="O245" s="66">
        <v>0.95744680851063835</v>
      </c>
      <c r="P245" s="72">
        <v>5</v>
      </c>
      <c r="Q245" s="108"/>
      <c r="R245" s="108"/>
    </row>
    <row r="246" spans="1:18" s="38" customFormat="1" ht="23.25" hidden="1" customHeight="1">
      <c r="A246" s="17">
        <v>201711</v>
      </c>
      <c r="B246" s="34" t="s">
        <v>1183</v>
      </c>
      <c r="C246" s="34" t="s">
        <v>10</v>
      </c>
      <c r="D246" s="35">
        <v>43130</v>
      </c>
      <c r="E246" s="33" t="s">
        <v>1182</v>
      </c>
      <c r="F246" s="36">
        <v>600</v>
      </c>
      <c r="G246" s="37">
        <v>43150</v>
      </c>
      <c r="H246" s="34" t="s">
        <v>718</v>
      </c>
      <c r="I246" s="34" t="s">
        <v>1111</v>
      </c>
      <c r="J246" s="72">
        <v>180</v>
      </c>
      <c r="K246" s="72"/>
      <c r="L246" s="72"/>
      <c r="M246" s="72"/>
      <c r="N246" s="72">
        <v>188</v>
      </c>
      <c r="O246" s="66">
        <v>0.95744680851063835</v>
      </c>
      <c r="P246" s="72">
        <v>5</v>
      </c>
      <c r="Q246" s="108"/>
      <c r="R246" s="108"/>
    </row>
    <row r="247" spans="1:18" s="38" customFormat="1" ht="23.25" hidden="1" customHeight="1">
      <c r="A247" s="17">
        <v>201711</v>
      </c>
      <c r="B247" s="34" t="s">
        <v>1184</v>
      </c>
      <c r="C247" s="34" t="s">
        <v>10</v>
      </c>
      <c r="D247" s="35">
        <v>43131</v>
      </c>
      <c r="E247" s="33" t="s">
        <v>1116</v>
      </c>
      <c r="F247" s="36">
        <v>672</v>
      </c>
      <c r="G247" s="37">
        <v>43151</v>
      </c>
      <c r="H247" s="34" t="s">
        <v>718</v>
      </c>
      <c r="I247" s="34" t="s">
        <v>1111</v>
      </c>
      <c r="J247" s="72">
        <v>180</v>
      </c>
      <c r="K247" s="72"/>
      <c r="L247" s="72"/>
      <c r="M247" s="72"/>
      <c r="N247" s="72">
        <v>188</v>
      </c>
      <c r="O247" s="66">
        <v>0.95744680851063835</v>
      </c>
      <c r="P247" s="72">
        <v>5</v>
      </c>
      <c r="Q247" s="108"/>
      <c r="R247" s="108"/>
    </row>
    <row r="248" spans="1:18" s="38" customFormat="1" ht="23.25" hidden="1" customHeight="1">
      <c r="A248" s="17">
        <v>201711</v>
      </c>
      <c r="B248" s="34" t="s">
        <v>1185</v>
      </c>
      <c r="C248" s="34" t="s">
        <v>10</v>
      </c>
      <c r="D248" s="35">
        <v>43131</v>
      </c>
      <c r="E248" s="33" t="s">
        <v>1116</v>
      </c>
      <c r="F248" s="36">
        <v>228</v>
      </c>
      <c r="G248" s="37">
        <v>43155</v>
      </c>
      <c r="H248" s="34" t="s">
        <v>717</v>
      </c>
      <c r="I248" s="34" t="s">
        <v>1111</v>
      </c>
      <c r="J248" s="72">
        <v>180</v>
      </c>
      <c r="K248" s="72"/>
      <c r="L248" s="72"/>
      <c r="M248" s="72"/>
      <c r="N248" s="72">
        <v>188</v>
      </c>
      <c r="O248" s="66">
        <v>0.95744680851063835</v>
      </c>
      <c r="P248" s="72">
        <v>5</v>
      </c>
      <c r="Q248" s="108"/>
      <c r="R248" s="108"/>
    </row>
    <row r="249" spans="1:18" s="38" customFormat="1" ht="23.25" hidden="1" customHeight="1">
      <c r="A249" s="17">
        <v>201711</v>
      </c>
      <c r="B249" s="34" t="s">
        <v>1186</v>
      </c>
      <c r="C249" s="34" t="s">
        <v>10</v>
      </c>
      <c r="D249" s="35">
        <v>43131</v>
      </c>
      <c r="E249" s="33" t="s">
        <v>1116</v>
      </c>
      <c r="F249" s="36">
        <v>348</v>
      </c>
      <c r="G249" s="37">
        <v>43155</v>
      </c>
      <c r="H249" s="34" t="s">
        <v>717</v>
      </c>
      <c r="I249" s="34" t="s">
        <v>1111</v>
      </c>
      <c r="J249" s="72">
        <v>180</v>
      </c>
      <c r="K249" s="72"/>
      <c r="L249" s="72"/>
      <c r="M249" s="72"/>
      <c r="N249" s="72">
        <v>188</v>
      </c>
      <c r="O249" s="66">
        <v>0.95744680851063835</v>
      </c>
      <c r="P249" s="72">
        <v>5</v>
      </c>
      <c r="Q249" s="108"/>
      <c r="R249" s="108"/>
    </row>
    <row r="250" spans="1:18" s="38" customFormat="1" ht="23.25" hidden="1" customHeight="1">
      <c r="A250" s="17">
        <v>201711</v>
      </c>
      <c r="B250" s="34" t="s">
        <v>1187</v>
      </c>
      <c r="C250" s="34" t="s">
        <v>10</v>
      </c>
      <c r="D250" s="35">
        <v>43131</v>
      </c>
      <c r="E250" s="33" t="s">
        <v>1182</v>
      </c>
      <c r="F250" s="36">
        <v>120</v>
      </c>
      <c r="G250" s="37">
        <v>43155</v>
      </c>
      <c r="H250" s="34" t="s">
        <v>717</v>
      </c>
      <c r="I250" s="34" t="s">
        <v>1111</v>
      </c>
      <c r="J250" s="72">
        <v>180</v>
      </c>
      <c r="K250" s="72"/>
      <c r="L250" s="72"/>
      <c r="M250" s="72"/>
      <c r="N250" s="72">
        <v>188</v>
      </c>
      <c r="O250" s="66">
        <v>0.95744680851063835</v>
      </c>
      <c r="P250" s="72">
        <v>5</v>
      </c>
      <c r="Q250" s="108"/>
      <c r="R250" s="108"/>
    </row>
    <row r="251" spans="1:18" s="38" customFormat="1" ht="23.25" hidden="1" customHeight="1">
      <c r="A251" s="17"/>
      <c r="B251" s="34"/>
      <c r="C251" s="34"/>
      <c r="D251" s="35"/>
      <c r="E251" s="36"/>
      <c r="F251" s="39">
        <f>SUM(F181:F250)</f>
        <v>35320</v>
      </c>
      <c r="G251" s="37"/>
      <c r="H251" s="34"/>
      <c r="I251" s="34"/>
      <c r="J251" s="72"/>
      <c r="K251" s="72"/>
      <c r="L251" s="72"/>
      <c r="M251" s="72"/>
      <c r="N251" s="72"/>
      <c r="O251" s="66"/>
      <c r="P251" s="72"/>
      <c r="Q251" s="108"/>
      <c r="R251" s="108"/>
    </row>
    <row r="252" spans="1:18" s="45" customFormat="1" ht="23.25" hidden="1" customHeight="1">
      <c r="A252" s="17">
        <v>201710</v>
      </c>
      <c r="B252" s="34" t="s">
        <v>1188</v>
      </c>
      <c r="C252" s="34" t="s">
        <v>11</v>
      </c>
      <c r="D252" s="35">
        <v>43102</v>
      </c>
      <c r="E252" s="33" t="s">
        <v>1189</v>
      </c>
      <c r="F252" s="49">
        <f>588-76</f>
        <v>512</v>
      </c>
      <c r="G252" s="37">
        <v>43125</v>
      </c>
      <c r="H252" s="34" t="s">
        <v>718</v>
      </c>
      <c r="I252" s="34" t="s">
        <v>1190</v>
      </c>
      <c r="J252" s="73">
        <v>190</v>
      </c>
      <c r="K252" s="73"/>
      <c r="L252" s="73"/>
      <c r="M252" s="73"/>
      <c r="N252" s="73">
        <v>205</v>
      </c>
      <c r="O252" s="67">
        <v>0.92682926829268297</v>
      </c>
      <c r="P252" s="73">
        <v>5</v>
      </c>
      <c r="Q252" s="108">
        <f>F252/$F$365</f>
        <v>1.3733905579399141E-2</v>
      </c>
      <c r="R252" s="108">
        <f>O252*Q252</f>
        <v>1.2728985658955302E-2</v>
      </c>
    </row>
    <row r="253" spans="1:18" s="38" customFormat="1" ht="23.25" hidden="1" customHeight="1">
      <c r="A253" s="17">
        <v>201710</v>
      </c>
      <c r="B253" s="34" t="s">
        <v>1191</v>
      </c>
      <c r="C253" s="34" t="s">
        <v>11</v>
      </c>
      <c r="D253" s="35">
        <v>43102</v>
      </c>
      <c r="E253" s="33" t="s">
        <v>1192</v>
      </c>
      <c r="F253" s="36">
        <v>4140</v>
      </c>
      <c r="G253" s="37">
        <v>43124</v>
      </c>
      <c r="H253" s="34" t="s">
        <v>717</v>
      </c>
      <c r="I253" s="34" t="s">
        <v>1193</v>
      </c>
      <c r="J253" s="72">
        <v>180</v>
      </c>
      <c r="K253" s="72"/>
      <c r="L253" s="72"/>
      <c r="M253" s="72"/>
      <c r="N253" s="72">
        <v>201</v>
      </c>
      <c r="O253" s="66">
        <v>0.89552238805970152</v>
      </c>
      <c r="P253" s="72">
        <v>5</v>
      </c>
      <c r="Q253" s="108">
        <f t="shared" ref="Q253:Q289" si="24">F253/$F$365</f>
        <v>0.11105150214592274</v>
      </c>
      <c r="R253" s="108">
        <f t="shared" ref="R253:R289" si="25">O253*Q253</f>
        <v>9.9449106399333798E-2</v>
      </c>
    </row>
    <row r="254" spans="1:18" s="38" customFormat="1" ht="23.25" hidden="1" customHeight="1">
      <c r="A254" s="17">
        <v>201710</v>
      </c>
      <c r="B254" s="34" t="s">
        <v>1194</v>
      </c>
      <c r="C254" s="34" t="s">
        <v>11</v>
      </c>
      <c r="D254" s="35">
        <v>43106</v>
      </c>
      <c r="E254" s="33" t="s">
        <v>1195</v>
      </c>
      <c r="F254" s="36">
        <v>1476</v>
      </c>
      <c r="G254" s="37">
        <v>43124</v>
      </c>
      <c r="H254" s="34" t="s">
        <v>717</v>
      </c>
      <c r="I254" s="34" t="s">
        <v>1193</v>
      </c>
      <c r="J254" s="72">
        <v>180</v>
      </c>
      <c r="K254" s="72"/>
      <c r="L254" s="72"/>
      <c r="M254" s="72"/>
      <c r="N254" s="72">
        <v>201</v>
      </c>
      <c r="O254" s="66">
        <v>0.89552238805970152</v>
      </c>
      <c r="P254" s="72">
        <v>5</v>
      </c>
      <c r="Q254" s="108">
        <f t="shared" si="24"/>
        <v>3.9592274678111591E-2</v>
      </c>
      <c r="R254" s="108">
        <f t="shared" si="25"/>
        <v>3.5455768368458145E-2</v>
      </c>
    </row>
    <row r="255" spans="1:18" s="38" customFormat="1" ht="23.25" hidden="1" customHeight="1">
      <c r="A255" s="17">
        <v>201710</v>
      </c>
      <c r="B255" s="34" t="s">
        <v>1196</v>
      </c>
      <c r="C255" s="34" t="s">
        <v>11</v>
      </c>
      <c r="D255" s="35">
        <v>43108</v>
      </c>
      <c r="E255" s="33" t="s">
        <v>1197</v>
      </c>
      <c r="F255" s="36">
        <v>192</v>
      </c>
      <c r="G255" s="37">
        <v>43125</v>
      </c>
      <c r="H255" s="34" t="s">
        <v>718</v>
      </c>
      <c r="I255" s="34" t="s">
        <v>1193</v>
      </c>
      <c r="J255" s="72">
        <v>180</v>
      </c>
      <c r="K255" s="72"/>
      <c r="L255" s="72"/>
      <c r="M255" s="72"/>
      <c r="N255" s="72">
        <v>201</v>
      </c>
      <c r="O255" s="66">
        <v>0.89552238805970152</v>
      </c>
      <c r="P255" s="72">
        <v>5</v>
      </c>
      <c r="Q255" s="108">
        <f t="shared" si="24"/>
        <v>5.1502145922746783E-3</v>
      </c>
      <c r="R255" s="108">
        <f t="shared" si="25"/>
        <v>4.6121324706937415E-3</v>
      </c>
    </row>
    <row r="256" spans="1:18" s="38" customFormat="1" ht="23.25" hidden="1" customHeight="1">
      <c r="A256" s="17">
        <v>201710</v>
      </c>
      <c r="B256" s="34" t="s">
        <v>1198</v>
      </c>
      <c r="C256" s="34" t="s">
        <v>11</v>
      </c>
      <c r="D256" s="35">
        <v>43106</v>
      </c>
      <c r="E256" s="33" t="s">
        <v>1199</v>
      </c>
      <c r="F256" s="36">
        <v>192</v>
      </c>
      <c r="G256" s="37">
        <v>43125</v>
      </c>
      <c r="H256" s="34" t="s">
        <v>718</v>
      </c>
      <c r="I256" s="34" t="s">
        <v>1193</v>
      </c>
      <c r="J256" s="72">
        <v>180</v>
      </c>
      <c r="K256" s="72"/>
      <c r="L256" s="72"/>
      <c r="M256" s="72"/>
      <c r="N256" s="72">
        <v>201</v>
      </c>
      <c r="O256" s="66">
        <v>0.89552238805970152</v>
      </c>
      <c r="P256" s="72">
        <v>5</v>
      </c>
      <c r="Q256" s="108">
        <f t="shared" si="24"/>
        <v>5.1502145922746783E-3</v>
      </c>
      <c r="R256" s="108">
        <f t="shared" si="25"/>
        <v>4.6121324706937415E-3</v>
      </c>
    </row>
    <row r="257" spans="1:18" s="38" customFormat="1" ht="23.25" hidden="1" customHeight="1">
      <c r="A257" s="17">
        <v>201710</v>
      </c>
      <c r="B257" s="34" t="s">
        <v>1200</v>
      </c>
      <c r="C257" s="34" t="s">
        <v>11</v>
      </c>
      <c r="D257" s="35">
        <v>43106</v>
      </c>
      <c r="E257" s="33" t="s">
        <v>1192</v>
      </c>
      <c r="F257" s="36">
        <v>1008</v>
      </c>
      <c r="G257" s="37">
        <v>43138</v>
      </c>
      <c r="H257" s="34" t="s">
        <v>717</v>
      </c>
      <c r="I257" s="34" t="s">
        <v>1193</v>
      </c>
      <c r="J257" s="72">
        <v>180</v>
      </c>
      <c r="K257" s="72"/>
      <c r="L257" s="72"/>
      <c r="M257" s="72"/>
      <c r="N257" s="72">
        <v>201</v>
      </c>
      <c r="O257" s="66">
        <v>0.89552238805970152</v>
      </c>
      <c r="P257" s="72">
        <v>5</v>
      </c>
      <c r="Q257" s="108">
        <f t="shared" si="24"/>
        <v>2.7038626609442059E-2</v>
      </c>
      <c r="R257" s="108">
        <f t="shared" si="25"/>
        <v>2.4213695471142143E-2</v>
      </c>
    </row>
    <row r="258" spans="1:18" s="38" customFormat="1" ht="23.25" hidden="1" customHeight="1">
      <c r="A258" s="17">
        <v>201710</v>
      </c>
      <c r="B258" s="34" t="s">
        <v>1201</v>
      </c>
      <c r="C258" s="34" t="s">
        <v>11</v>
      </c>
      <c r="D258" s="35">
        <v>43109</v>
      </c>
      <c r="E258" s="33" t="s">
        <v>1195</v>
      </c>
      <c r="F258" s="36">
        <v>900</v>
      </c>
      <c r="G258" s="37">
        <v>43138</v>
      </c>
      <c r="H258" s="34" t="s">
        <v>717</v>
      </c>
      <c r="I258" s="34" t="s">
        <v>1193</v>
      </c>
      <c r="J258" s="72">
        <v>180</v>
      </c>
      <c r="K258" s="72"/>
      <c r="L258" s="72"/>
      <c r="M258" s="72"/>
      <c r="N258" s="72">
        <v>201</v>
      </c>
      <c r="O258" s="66">
        <v>0.89552238805970152</v>
      </c>
      <c r="P258" s="72">
        <v>5</v>
      </c>
      <c r="Q258" s="108">
        <f t="shared" si="24"/>
        <v>2.4141630901287552E-2</v>
      </c>
      <c r="R258" s="108">
        <f t="shared" si="25"/>
        <v>2.1619370956376914E-2</v>
      </c>
    </row>
    <row r="259" spans="1:18" s="38" customFormat="1" ht="23.25" hidden="1" customHeight="1">
      <c r="A259" s="17">
        <v>201710</v>
      </c>
      <c r="B259" s="34" t="s">
        <v>1202</v>
      </c>
      <c r="C259" s="34" t="s">
        <v>11</v>
      </c>
      <c r="D259" s="35">
        <v>43109</v>
      </c>
      <c r="E259" s="33" t="s">
        <v>1197</v>
      </c>
      <c r="F259" s="36">
        <v>360</v>
      </c>
      <c r="G259" s="37">
        <v>43139</v>
      </c>
      <c r="H259" s="34" t="s">
        <v>718</v>
      </c>
      <c r="I259" s="34" t="s">
        <v>1193</v>
      </c>
      <c r="J259" s="72">
        <v>180</v>
      </c>
      <c r="K259" s="72"/>
      <c r="L259" s="72"/>
      <c r="M259" s="72"/>
      <c r="N259" s="72">
        <v>201</v>
      </c>
      <c r="O259" s="66">
        <v>0.89552238805970152</v>
      </c>
      <c r="P259" s="72">
        <v>5</v>
      </c>
      <c r="Q259" s="108">
        <f t="shared" si="24"/>
        <v>9.6566523605150223E-3</v>
      </c>
      <c r="R259" s="108">
        <f t="shared" si="25"/>
        <v>8.6477483825507673E-3</v>
      </c>
    </row>
    <row r="260" spans="1:18" s="38" customFormat="1" ht="23.25" hidden="1" customHeight="1">
      <c r="A260" s="17">
        <v>201710</v>
      </c>
      <c r="B260" s="34" t="s">
        <v>1203</v>
      </c>
      <c r="C260" s="34" t="s">
        <v>11</v>
      </c>
      <c r="D260" s="35">
        <v>43110</v>
      </c>
      <c r="E260" s="33" t="s">
        <v>1204</v>
      </c>
      <c r="F260" s="36">
        <v>936</v>
      </c>
      <c r="G260" s="37">
        <v>43124</v>
      </c>
      <c r="H260" s="34" t="s">
        <v>717</v>
      </c>
      <c r="I260" s="34" t="s">
        <v>1205</v>
      </c>
      <c r="J260" s="72">
        <v>190</v>
      </c>
      <c r="K260" s="72"/>
      <c r="L260" s="72"/>
      <c r="M260" s="72"/>
      <c r="N260" s="72">
        <v>200</v>
      </c>
      <c r="O260" s="66">
        <v>0.95</v>
      </c>
      <c r="P260" s="72">
        <v>5</v>
      </c>
      <c r="Q260" s="108">
        <f t="shared" si="24"/>
        <v>2.5107296137339054E-2</v>
      </c>
      <c r="R260" s="108">
        <f t="shared" si="25"/>
        <v>2.3851931330472101E-2</v>
      </c>
    </row>
    <row r="261" spans="1:18" s="38" customFormat="1" ht="23.25" hidden="1" customHeight="1">
      <c r="A261" s="17">
        <v>201710</v>
      </c>
      <c r="B261" s="34" t="s">
        <v>1206</v>
      </c>
      <c r="C261" s="34" t="s">
        <v>11</v>
      </c>
      <c r="D261" s="35">
        <v>43110</v>
      </c>
      <c r="E261" s="33" t="s">
        <v>1207</v>
      </c>
      <c r="F261" s="36">
        <v>228</v>
      </c>
      <c r="G261" s="37">
        <v>43125</v>
      </c>
      <c r="H261" s="34" t="s">
        <v>718</v>
      </c>
      <c r="I261" s="34" t="s">
        <v>1205</v>
      </c>
      <c r="J261" s="72">
        <v>190</v>
      </c>
      <c r="K261" s="72"/>
      <c r="L261" s="72"/>
      <c r="M261" s="72"/>
      <c r="N261" s="72">
        <v>200</v>
      </c>
      <c r="O261" s="66">
        <v>0.95</v>
      </c>
      <c r="P261" s="72">
        <v>5</v>
      </c>
      <c r="Q261" s="108">
        <f t="shared" si="24"/>
        <v>6.1158798283261805E-3</v>
      </c>
      <c r="R261" s="108">
        <f t="shared" si="25"/>
        <v>5.8100858369098708E-3</v>
      </c>
    </row>
    <row r="262" spans="1:18" s="38" customFormat="1" ht="23.25" hidden="1" customHeight="1">
      <c r="A262" s="17">
        <v>201710</v>
      </c>
      <c r="B262" s="34" t="s">
        <v>1208</v>
      </c>
      <c r="C262" s="34" t="s">
        <v>11</v>
      </c>
      <c r="D262" s="35">
        <v>43110</v>
      </c>
      <c r="E262" s="33" t="s">
        <v>1204</v>
      </c>
      <c r="F262" s="36">
        <v>900</v>
      </c>
      <c r="G262" s="37">
        <v>43138</v>
      </c>
      <c r="H262" s="34" t="s">
        <v>717</v>
      </c>
      <c r="I262" s="34" t="s">
        <v>1205</v>
      </c>
      <c r="J262" s="72">
        <v>190</v>
      </c>
      <c r="K262" s="72"/>
      <c r="L262" s="72"/>
      <c r="M262" s="72"/>
      <c r="N262" s="72">
        <v>200</v>
      </c>
      <c r="O262" s="66">
        <v>0.95</v>
      </c>
      <c r="P262" s="72">
        <v>5</v>
      </c>
      <c r="Q262" s="108">
        <f t="shared" si="24"/>
        <v>2.4141630901287552E-2</v>
      </c>
      <c r="R262" s="108">
        <f t="shared" si="25"/>
        <v>2.2934549356223174E-2</v>
      </c>
    </row>
    <row r="263" spans="1:18" s="38" customFormat="1" ht="23.25" hidden="1" customHeight="1">
      <c r="A263" s="17">
        <v>201710</v>
      </c>
      <c r="B263" s="34" t="s">
        <v>1209</v>
      </c>
      <c r="C263" s="34" t="s">
        <v>11</v>
      </c>
      <c r="D263" s="35">
        <v>43111</v>
      </c>
      <c r="E263" s="33" t="s">
        <v>1210</v>
      </c>
      <c r="F263" s="36">
        <v>936</v>
      </c>
      <c r="G263" s="37">
        <v>43124</v>
      </c>
      <c r="H263" s="34" t="s">
        <v>717</v>
      </c>
      <c r="I263" s="34" t="s">
        <v>1205</v>
      </c>
      <c r="J263" s="72">
        <v>190</v>
      </c>
      <c r="K263" s="72"/>
      <c r="L263" s="72"/>
      <c r="M263" s="72"/>
      <c r="N263" s="72">
        <v>200</v>
      </c>
      <c r="O263" s="66">
        <v>0.95</v>
      </c>
      <c r="P263" s="72">
        <v>5</v>
      </c>
      <c r="Q263" s="108">
        <f t="shared" si="24"/>
        <v>2.5107296137339054E-2</v>
      </c>
      <c r="R263" s="108">
        <f t="shared" si="25"/>
        <v>2.3851931330472101E-2</v>
      </c>
    </row>
    <row r="264" spans="1:18" s="38" customFormat="1" ht="23.25" hidden="1" customHeight="1">
      <c r="A264" s="17">
        <v>201710</v>
      </c>
      <c r="B264" s="34" t="s">
        <v>1211</v>
      </c>
      <c r="C264" s="34" t="s">
        <v>11</v>
      </c>
      <c r="D264" s="35">
        <v>43111</v>
      </c>
      <c r="E264" s="33" t="s">
        <v>1212</v>
      </c>
      <c r="F264" s="36">
        <v>228</v>
      </c>
      <c r="G264" s="37">
        <v>43125</v>
      </c>
      <c r="H264" s="34" t="s">
        <v>718</v>
      </c>
      <c r="I264" s="34" t="s">
        <v>1205</v>
      </c>
      <c r="J264" s="72">
        <v>190</v>
      </c>
      <c r="K264" s="72"/>
      <c r="L264" s="72"/>
      <c r="M264" s="72"/>
      <c r="N264" s="72">
        <v>200</v>
      </c>
      <c r="O264" s="66">
        <v>0.95</v>
      </c>
      <c r="P264" s="72">
        <v>5</v>
      </c>
      <c r="Q264" s="108">
        <f t="shared" si="24"/>
        <v>6.1158798283261805E-3</v>
      </c>
      <c r="R264" s="108">
        <f t="shared" si="25"/>
        <v>5.8100858369098708E-3</v>
      </c>
    </row>
    <row r="265" spans="1:18" s="38" customFormat="1" ht="23.25" hidden="1" customHeight="1">
      <c r="A265" s="17">
        <v>201710</v>
      </c>
      <c r="B265" s="34" t="s">
        <v>1213</v>
      </c>
      <c r="C265" s="34" t="s">
        <v>11</v>
      </c>
      <c r="D265" s="35">
        <v>43112</v>
      </c>
      <c r="E265" s="33" t="s">
        <v>1210</v>
      </c>
      <c r="F265" s="36">
        <v>1008</v>
      </c>
      <c r="G265" s="37">
        <v>43138</v>
      </c>
      <c r="H265" s="34" t="s">
        <v>717</v>
      </c>
      <c r="I265" s="34" t="s">
        <v>1205</v>
      </c>
      <c r="J265" s="72">
        <v>190</v>
      </c>
      <c r="K265" s="72"/>
      <c r="L265" s="72"/>
      <c r="M265" s="72"/>
      <c r="N265" s="72">
        <v>200</v>
      </c>
      <c r="O265" s="66">
        <v>0.95</v>
      </c>
      <c r="P265" s="72">
        <v>5</v>
      </c>
      <c r="Q265" s="108">
        <f t="shared" si="24"/>
        <v>2.7038626609442059E-2</v>
      </c>
      <c r="R265" s="108">
        <f t="shared" si="25"/>
        <v>2.5686695278969954E-2</v>
      </c>
    </row>
    <row r="266" spans="1:18" s="38" customFormat="1" ht="23.25" hidden="1" customHeight="1">
      <c r="A266" s="17">
        <v>201710</v>
      </c>
      <c r="B266" s="34" t="s">
        <v>1214</v>
      </c>
      <c r="C266" s="34" t="s">
        <v>11</v>
      </c>
      <c r="D266" s="35">
        <v>43112</v>
      </c>
      <c r="E266" s="33" t="s">
        <v>1215</v>
      </c>
      <c r="F266" s="36">
        <v>240</v>
      </c>
      <c r="G266" s="37">
        <v>43138</v>
      </c>
      <c r="H266" s="34" t="s">
        <v>717</v>
      </c>
      <c r="I266" s="34" t="s">
        <v>1190</v>
      </c>
      <c r="J266" s="72">
        <v>190</v>
      </c>
      <c r="K266" s="72"/>
      <c r="L266" s="72"/>
      <c r="M266" s="72"/>
      <c r="N266" s="72">
        <v>205</v>
      </c>
      <c r="O266" s="66">
        <v>0.92682926829268297</v>
      </c>
      <c r="P266" s="72">
        <v>5</v>
      </c>
      <c r="Q266" s="108">
        <f t="shared" si="24"/>
        <v>6.4377682403433476E-3</v>
      </c>
      <c r="R266" s="108">
        <f t="shared" si="25"/>
        <v>5.9667120276352984E-3</v>
      </c>
    </row>
    <row r="267" spans="1:18" s="38" customFormat="1" ht="23.25" hidden="1" customHeight="1">
      <c r="A267" s="17">
        <v>201710</v>
      </c>
      <c r="B267" s="34" t="s">
        <v>1216</v>
      </c>
      <c r="C267" s="34" t="s">
        <v>11</v>
      </c>
      <c r="D267" s="35">
        <v>43113</v>
      </c>
      <c r="E267" s="33" t="s">
        <v>1215</v>
      </c>
      <c r="F267" s="36">
        <v>996</v>
      </c>
      <c r="G267" s="37">
        <v>43138</v>
      </c>
      <c r="H267" s="34" t="s">
        <v>717</v>
      </c>
      <c r="I267" s="34" t="s">
        <v>1190</v>
      </c>
      <c r="J267" s="72">
        <v>190</v>
      </c>
      <c r="K267" s="72"/>
      <c r="L267" s="72"/>
      <c r="M267" s="72"/>
      <c r="N267" s="72">
        <v>205</v>
      </c>
      <c r="O267" s="66">
        <v>0.92682926829268297</v>
      </c>
      <c r="P267" s="72">
        <v>5</v>
      </c>
      <c r="Q267" s="108">
        <f t="shared" si="24"/>
        <v>2.6716738197424893E-2</v>
      </c>
      <c r="R267" s="108">
        <f t="shared" si="25"/>
        <v>2.4761854914686486E-2</v>
      </c>
    </row>
    <row r="268" spans="1:18" s="38" customFormat="1" ht="23.25" hidden="1" customHeight="1">
      <c r="A268" s="17">
        <v>201710</v>
      </c>
      <c r="B268" s="34" t="s">
        <v>1217</v>
      </c>
      <c r="C268" s="34" t="s">
        <v>11</v>
      </c>
      <c r="D268" s="35">
        <v>43115</v>
      </c>
      <c r="E268" s="33" t="s">
        <v>1215</v>
      </c>
      <c r="F268" s="36">
        <v>2424</v>
      </c>
      <c r="G268" s="37">
        <v>43139</v>
      </c>
      <c r="H268" s="34" t="s">
        <v>723</v>
      </c>
      <c r="I268" s="34" t="s">
        <v>1190</v>
      </c>
      <c r="J268" s="72">
        <v>190</v>
      </c>
      <c r="K268" s="72"/>
      <c r="L268" s="72"/>
      <c r="M268" s="72"/>
      <c r="N268" s="72">
        <v>205</v>
      </c>
      <c r="O268" s="66">
        <v>0.92682926829268297</v>
      </c>
      <c r="P268" s="72">
        <v>5</v>
      </c>
      <c r="Q268" s="108">
        <f t="shared" si="24"/>
        <v>6.5021459227467812E-2</v>
      </c>
      <c r="R268" s="108">
        <f t="shared" si="25"/>
        <v>6.0263791479116514E-2</v>
      </c>
    </row>
    <row r="269" spans="1:18" s="38" customFormat="1" ht="23.25" hidden="1" customHeight="1">
      <c r="A269" s="17">
        <v>201710</v>
      </c>
      <c r="B269" s="34" t="s">
        <v>1218</v>
      </c>
      <c r="C269" s="34" t="s">
        <v>11</v>
      </c>
      <c r="D269" s="35">
        <v>43115</v>
      </c>
      <c r="E269" s="33" t="s">
        <v>1215</v>
      </c>
      <c r="F269" s="36">
        <v>216</v>
      </c>
      <c r="G269" s="37">
        <v>43139</v>
      </c>
      <c r="H269" s="34" t="s">
        <v>720</v>
      </c>
      <c r="I269" s="34" t="s">
        <v>1190</v>
      </c>
      <c r="J269" s="72">
        <v>190</v>
      </c>
      <c r="K269" s="72"/>
      <c r="L269" s="72"/>
      <c r="M269" s="72"/>
      <c r="N269" s="72">
        <v>205</v>
      </c>
      <c r="O269" s="66">
        <v>0.92682926829268297</v>
      </c>
      <c r="P269" s="72">
        <v>5</v>
      </c>
      <c r="Q269" s="108">
        <f t="shared" si="24"/>
        <v>5.7939914163090125E-3</v>
      </c>
      <c r="R269" s="108">
        <f t="shared" si="25"/>
        <v>5.3700408248717676E-3</v>
      </c>
    </row>
    <row r="270" spans="1:18" s="38" customFormat="1" ht="23.25" hidden="1" customHeight="1">
      <c r="A270" s="17">
        <v>201710</v>
      </c>
      <c r="B270" s="34" t="s">
        <v>1219</v>
      </c>
      <c r="C270" s="34" t="s">
        <v>11</v>
      </c>
      <c r="D270" s="35">
        <v>43116</v>
      </c>
      <c r="E270" s="33" t="s">
        <v>1215</v>
      </c>
      <c r="F270" s="36">
        <v>384</v>
      </c>
      <c r="G270" s="37">
        <v>43153</v>
      </c>
      <c r="H270" s="34" t="s">
        <v>717</v>
      </c>
      <c r="I270" s="34" t="s">
        <v>1190</v>
      </c>
      <c r="J270" s="72">
        <v>190</v>
      </c>
      <c r="K270" s="72"/>
      <c r="L270" s="72"/>
      <c r="M270" s="72"/>
      <c r="N270" s="72">
        <v>205</v>
      </c>
      <c r="O270" s="66">
        <v>0.92682926829268297</v>
      </c>
      <c r="P270" s="72">
        <v>5</v>
      </c>
      <c r="Q270" s="108">
        <f t="shared" si="24"/>
        <v>1.0300429184549357E-2</v>
      </c>
      <c r="R270" s="108">
        <f t="shared" si="25"/>
        <v>9.5467392442164772E-3</v>
      </c>
    </row>
    <row r="271" spans="1:18" s="38" customFormat="1" ht="23.25" hidden="1" customHeight="1">
      <c r="A271" s="17">
        <v>201710</v>
      </c>
      <c r="B271" s="34" t="s">
        <v>1220</v>
      </c>
      <c r="C271" s="34" t="s">
        <v>11</v>
      </c>
      <c r="D271" s="35">
        <v>43117</v>
      </c>
      <c r="E271" s="33" t="s">
        <v>1221</v>
      </c>
      <c r="F271" s="36">
        <v>2016</v>
      </c>
      <c r="G271" s="37">
        <v>43140</v>
      </c>
      <c r="H271" s="34" t="s">
        <v>717</v>
      </c>
      <c r="I271" s="34" t="s">
        <v>1190</v>
      </c>
      <c r="J271" s="72">
        <v>190</v>
      </c>
      <c r="K271" s="72"/>
      <c r="L271" s="72"/>
      <c r="M271" s="72"/>
      <c r="N271" s="72">
        <v>205</v>
      </c>
      <c r="O271" s="66">
        <v>0.92682926829268297</v>
      </c>
      <c r="P271" s="72">
        <v>5</v>
      </c>
      <c r="Q271" s="108">
        <f t="shared" si="24"/>
        <v>5.4077253218884118E-2</v>
      </c>
      <c r="R271" s="108">
        <f t="shared" si="25"/>
        <v>5.01203810321365E-2</v>
      </c>
    </row>
    <row r="272" spans="1:18" s="38" customFormat="1" ht="23.25" hidden="1" customHeight="1">
      <c r="A272" s="17">
        <v>201710</v>
      </c>
      <c r="B272" s="34" t="s">
        <v>1222</v>
      </c>
      <c r="C272" s="34" t="s">
        <v>11</v>
      </c>
      <c r="D272" s="35">
        <v>43117</v>
      </c>
      <c r="E272" s="33" t="s">
        <v>1221</v>
      </c>
      <c r="F272" s="36">
        <v>228</v>
      </c>
      <c r="G272" s="37">
        <v>43138</v>
      </c>
      <c r="H272" s="34" t="s">
        <v>717</v>
      </c>
      <c r="I272" s="34" t="s">
        <v>1190</v>
      </c>
      <c r="J272" s="72">
        <v>190</v>
      </c>
      <c r="K272" s="72"/>
      <c r="L272" s="72"/>
      <c r="M272" s="72"/>
      <c r="N272" s="72">
        <v>205</v>
      </c>
      <c r="O272" s="66">
        <v>0.92682926829268297</v>
      </c>
      <c r="P272" s="72">
        <v>5</v>
      </c>
      <c r="Q272" s="108">
        <f t="shared" si="24"/>
        <v>6.1158798283261805E-3</v>
      </c>
      <c r="R272" s="108">
        <f t="shared" si="25"/>
        <v>5.6683764262535335E-3</v>
      </c>
    </row>
    <row r="273" spans="1:18" s="38" customFormat="1" ht="23.25" hidden="1" customHeight="1">
      <c r="A273" s="17">
        <v>201710</v>
      </c>
      <c r="B273" s="34" t="s">
        <v>1223</v>
      </c>
      <c r="C273" s="34" t="s">
        <v>11</v>
      </c>
      <c r="D273" s="35">
        <v>43118</v>
      </c>
      <c r="E273" s="33" t="s">
        <v>1189</v>
      </c>
      <c r="F273" s="36">
        <v>900</v>
      </c>
      <c r="G273" s="37">
        <v>43155</v>
      </c>
      <c r="H273" s="34" t="s">
        <v>718</v>
      </c>
      <c r="I273" s="34" t="s">
        <v>1190</v>
      </c>
      <c r="J273" s="72">
        <v>190</v>
      </c>
      <c r="K273" s="72"/>
      <c r="L273" s="72"/>
      <c r="M273" s="72"/>
      <c r="N273" s="72">
        <v>205</v>
      </c>
      <c r="O273" s="66">
        <v>0.92682926829268297</v>
      </c>
      <c r="P273" s="72">
        <v>5</v>
      </c>
      <c r="Q273" s="108">
        <f t="shared" si="24"/>
        <v>2.4141630901287552E-2</v>
      </c>
      <c r="R273" s="108">
        <f t="shared" si="25"/>
        <v>2.2375170103632366E-2</v>
      </c>
    </row>
    <row r="274" spans="1:18" s="38" customFormat="1" ht="23.25" hidden="1" customHeight="1">
      <c r="A274" s="17">
        <v>201710</v>
      </c>
      <c r="B274" s="34" t="s">
        <v>1224</v>
      </c>
      <c r="C274" s="34" t="s">
        <v>11</v>
      </c>
      <c r="D274" s="35">
        <v>43119</v>
      </c>
      <c r="E274" s="33" t="s">
        <v>1225</v>
      </c>
      <c r="F274" s="36">
        <v>1008</v>
      </c>
      <c r="G274" s="37">
        <v>43138</v>
      </c>
      <c r="H274" s="34" t="s">
        <v>717</v>
      </c>
      <c r="I274" s="34" t="s">
        <v>1190</v>
      </c>
      <c r="J274" s="72">
        <v>190</v>
      </c>
      <c r="K274" s="72"/>
      <c r="L274" s="72"/>
      <c r="M274" s="72"/>
      <c r="N274" s="72">
        <v>205</v>
      </c>
      <c r="O274" s="66">
        <v>0.92682926829268297</v>
      </c>
      <c r="P274" s="72">
        <v>5</v>
      </c>
      <c r="Q274" s="108">
        <f t="shared" si="24"/>
        <v>2.7038626609442059E-2</v>
      </c>
      <c r="R274" s="108">
        <f t="shared" si="25"/>
        <v>2.506019051606825E-2</v>
      </c>
    </row>
    <row r="275" spans="1:18" s="38" customFormat="1" ht="23.25" hidden="1" customHeight="1">
      <c r="A275" s="17">
        <v>201710</v>
      </c>
      <c r="B275" s="34" t="s">
        <v>1226</v>
      </c>
      <c r="C275" s="34" t="s">
        <v>11</v>
      </c>
      <c r="D275" s="35">
        <v>43119</v>
      </c>
      <c r="E275" s="33" t="s">
        <v>1225</v>
      </c>
      <c r="F275" s="36">
        <v>492</v>
      </c>
      <c r="G275" s="37">
        <v>43165</v>
      </c>
      <c r="H275" s="34" t="s">
        <v>726</v>
      </c>
      <c r="I275" s="34" t="s">
        <v>1190</v>
      </c>
      <c r="J275" s="72">
        <v>190</v>
      </c>
      <c r="K275" s="72"/>
      <c r="L275" s="72"/>
      <c r="M275" s="72"/>
      <c r="N275" s="72">
        <v>205</v>
      </c>
      <c r="O275" s="66">
        <v>0.92682926829268297</v>
      </c>
      <c r="P275" s="72">
        <v>5</v>
      </c>
      <c r="Q275" s="108">
        <f t="shared" si="24"/>
        <v>1.3197424892703863E-2</v>
      </c>
      <c r="R275" s="108">
        <f t="shared" si="25"/>
        <v>1.2231759656652361E-2</v>
      </c>
    </row>
    <row r="276" spans="1:18" s="38" customFormat="1" ht="23.25" hidden="1" customHeight="1">
      <c r="A276" s="17">
        <v>201710</v>
      </c>
      <c r="B276" s="34" t="s">
        <v>1227</v>
      </c>
      <c r="C276" s="34" t="s">
        <v>11</v>
      </c>
      <c r="D276" s="35">
        <v>43120</v>
      </c>
      <c r="E276" s="33" t="s">
        <v>1228</v>
      </c>
      <c r="F276" s="36">
        <v>1356</v>
      </c>
      <c r="G276" s="37">
        <v>43165</v>
      </c>
      <c r="H276" s="34" t="s">
        <v>730</v>
      </c>
      <c r="I276" s="34" t="s">
        <v>1190</v>
      </c>
      <c r="J276" s="72">
        <v>190</v>
      </c>
      <c r="K276" s="72"/>
      <c r="L276" s="72"/>
      <c r="M276" s="72"/>
      <c r="N276" s="72">
        <v>205</v>
      </c>
      <c r="O276" s="66">
        <v>0.92682926829268297</v>
      </c>
      <c r="P276" s="72">
        <v>5</v>
      </c>
      <c r="Q276" s="108">
        <f t="shared" si="24"/>
        <v>3.6373390557939915E-2</v>
      </c>
      <c r="R276" s="108">
        <f t="shared" si="25"/>
        <v>3.3711922956139437E-2</v>
      </c>
    </row>
    <row r="277" spans="1:18" s="38" customFormat="1" ht="23.25" hidden="1" customHeight="1">
      <c r="A277" s="17">
        <v>201710</v>
      </c>
      <c r="B277" s="34" t="s">
        <v>1229</v>
      </c>
      <c r="C277" s="34" t="s">
        <v>11</v>
      </c>
      <c r="D277" s="35">
        <v>43122</v>
      </c>
      <c r="E277" s="33" t="s">
        <v>1228</v>
      </c>
      <c r="F277" s="36">
        <v>240</v>
      </c>
      <c r="G277" s="37">
        <v>43165</v>
      </c>
      <c r="H277" s="34" t="s">
        <v>725</v>
      </c>
      <c r="I277" s="34" t="s">
        <v>1190</v>
      </c>
      <c r="J277" s="72">
        <v>190</v>
      </c>
      <c r="K277" s="72"/>
      <c r="L277" s="72"/>
      <c r="M277" s="72"/>
      <c r="N277" s="72">
        <v>205</v>
      </c>
      <c r="O277" s="66">
        <v>0.92682926829268297</v>
      </c>
      <c r="P277" s="72">
        <v>5</v>
      </c>
      <c r="Q277" s="108">
        <f t="shared" si="24"/>
        <v>6.4377682403433476E-3</v>
      </c>
      <c r="R277" s="108">
        <f t="shared" si="25"/>
        <v>5.9667120276352984E-3</v>
      </c>
    </row>
    <row r="278" spans="1:18" s="38" customFormat="1" ht="23.25" hidden="1" customHeight="1">
      <c r="A278" s="17">
        <v>201710</v>
      </c>
      <c r="B278" s="34" t="s">
        <v>1230</v>
      </c>
      <c r="C278" s="34" t="s">
        <v>11</v>
      </c>
      <c r="D278" s="35">
        <v>43122</v>
      </c>
      <c r="E278" s="33" t="s">
        <v>1228</v>
      </c>
      <c r="F278" s="36">
        <v>612</v>
      </c>
      <c r="G278" s="37">
        <v>43165</v>
      </c>
      <c r="H278" s="34" t="s">
        <v>726</v>
      </c>
      <c r="I278" s="34" t="s">
        <v>1190</v>
      </c>
      <c r="J278" s="72">
        <v>190</v>
      </c>
      <c r="K278" s="72"/>
      <c r="L278" s="72"/>
      <c r="M278" s="72"/>
      <c r="N278" s="72">
        <v>205</v>
      </c>
      <c r="O278" s="66">
        <v>0.92682926829268297</v>
      </c>
      <c r="P278" s="72">
        <v>5</v>
      </c>
      <c r="Q278" s="108">
        <f t="shared" si="24"/>
        <v>1.6416309012875538E-2</v>
      </c>
      <c r="R278" s="108">
        <f t="shared" si="25"/>
        <v>1.5215115670470011E-2</v>
      </c>
    </row>
    <row r="279" spans="1:18" s="38" customFormat="1" ht="23.25" hidden="1" customHeight="1">
      <c r="A279" s="17">
        <v>201710</v>
      </c>
      <c r="B279" s="34" t="s">
        <v>1231</v>
      </c>
      <c r="C279" s="34" t="s">
        <v>11</v>
      </c>
      <c r="D279" s="35">
        <v>43122</v>
      </c>
      <c r="E279" s="33" t="s">
        <v>1221</v>
      </c>
      <c r="F279" s="36">
        <v>3384</v>
      </c>
      <c r="G279" s="37">
        <v>43139</v>
      </c>
      <c r="H279" s="34" t="s">
        <v>723</v>
      </c>
      <c r="I279" s="34" t="s">
        <v>1190</v>
      </c>
      <c r="J279" s="72">
        <v>190</v>
      </c>
      <c r="K279" s="72"/>
      <c r="L279" s="72"/>
      <c r="M279" s="72"/>
      <c r="N279" s="72">
        <v>205</v>
      </c>
      <c r="O279" s="66">
        <v>0.92682926829268297</v>
      </c>
      <c r="P279" s="72">
        <v>5</v>
      </c>
      <c r="Q279" s="108">
        <f t="shared" si="24"/>
        <v>9.0772532188841196E-2</v>
      </c>
      <c r="R279" s="108">
        <f t="shared" si="25"/>
        <v>8.4130639589657691E-2</v>
      </c>
    </row>
    <row r="280" spans="1:18" s="38" customFormat="1" ht="23.25" hidden="1" customHeight="1">
      <c r="A280" s="17">
        <v>201710</v>
      </c>
      <c r="B280" s="34" t="s">
        <v>1232</v>
      </c>
      <c r="C280" s="34" t="s">
        <v>11</v>
      </c>
      <c r="D280" s="35">
        <v>43124</v>
      </c>
      <c r="E280" s="33" t="s">
        <v>1221</v>
      </c>
      <c r="F280" s="36">
        <v>1464</v>
      </c>
      <c r="G280" s="37">
        <v>43166</v>
      </c>
      <c r="H280" s="34" t="s">
        <v>730</v>
      </c>
      <c r="I280" s="34" t="s">
        <v>1190</v>
      </c>
      <c r="J280" s="72">
        <v>190</v>
      </c>
      <c r="K280" s="72"/>
      <c r="L280" s="72"/>
      <c r="M280" s="72"/>
      <c r="N280" s="72">
        <v>205</v>
      </c>
      <c r="O280" s="66">
        <v>0.92682926829268297</v>
      </c>
      <c r="P280" s="72">
        <v>5</v>
      </c>
      <c r="Q280" s="108">
        <f t="shared" si="24"/>
        <v>3.9270386266094422E-2</v>
      </c>
      <c r="R280" s="108">
        <f t="shared" si="25"/>
        <v>3.6396943368575317E-2</v>
      </c>
    </row>
    <row r="281" spans="1:18" s="38" customFormat="1" ht="23.25" hidden="1" customHeight="1">
      <c r="A281" s="17">
        <v>201711</v>
      </c>
      <c r="B281" s="34" t="s">
        <v>1233</v>
      </c>
      <c r="C281" s="34" t="s">
        <v>11</v>
      </c>
      <c r="D281" s="35">
        <v>43125</v>
      </c>
      <c r="E281" s="33" t="s">
        <v>1234</v>
      </c>
      <c r="F281" s="36">
        <v>1800</v>
      </c>
      <c r="G281" s="37">
        <v>43152</v>
      </c>
      <c r="H281" s="34" t="s">
        <v>717</v>
      </c>
      <c r="I281" s="34" t="s">
        <v>1235</v>
      </c>
      <c r="J281" s="72">
        <v>210</v>
      </c>
      <c r="K281" s="72"/>
      <c r="L281" s="72"/>
      <c r="M281" s="72"/>
      <c r="N281" s="72">
        <v>220</v>
      </c>
      <c r="O281" s="66">
        <v>0.95454545454545459</v>
      </c>
      <c r="P281" s="72">
        <v>5</v>
      </c>
      <c r="Q281" s="108">
        <f t="shared" si="24"/>
        <v>4.8283261802575105E-2</v>
      </c>
      <c r="R281" s="108">
        <f t="shared" si="25"/>
        <v>4.6088568084276235E-2</v>
      </c>
    </row>
    <row r="282" spans="1:18" s="38" customFormat="1" ht="23.25" hidden="1" customHeight="1">
      <c r="A282" s="17">
        <v>201711</v>
      </c>
      <c r="B282" s="34" t="s">
        <v>1236</v>
      </c>
      <c r="C282" s="34" t="s">
        <v>11</v>
      </c>
      <c r="D282" s="35">
        <v>43127</v>
      </c>
      <c r="E282" s="33" t="s">
        <v>1237</v>
      </c>
      <c r="F282" s="36">
        <v>1836</v>
      </c>
      <c r="G282" s="37">
        <v>43155</v>
      </c>
      <c r="H282" s="34" t="s">
        <v>718</v>
      </c>
      <c r="I282" s="34" t="s">
        <v>1238</v>
      </c>
      <c r="J282" s="72">
        <v>210</v>
      </c>
      <c r="K282" s="72"/>
      <c r="L282" s="72"/>
      <c r="M282" s="72"/>
      <c r="N282" s="72">
        <v>213</v>
      </c>
      <c r="O282" s="66">
        <v>0.9859154929577465</v>
      </c>
      <c r="P282" s="72">
        <v>5</v>
      </c>
      <c r="Q282" s="108">
        <f t="shared" si="24"/>
        <v>4.9248927038626607E-2</v>
      </c>
      <c r="R282" s="108">
        <f t="shared" si="25"/>
        <v>4.8555280178927643E-2</v>
      </c>
    </row>
    <row r="283" spans="1:18" s="38" customFormat="1" ht="23.25" hidden="1" customHeight="1">
      <c r="A283" s="17">
        <v>201711</v>
      </c>
      <c r="B283" s="34" t="s">
        <v>1239</v>
      </c>
      <c r="C283" s="34" t="s">
        <v>11</v>
      </c>
      <c r="D283" s="35">
        <v>43129</v>
      </c>
      <c r="E283" s="33" t="s">
        <v>1240</v>
      </c>
      <c r="F283" s="36">
        <v>360</v>
      </c>
      <c r="G283" s="37">
        <v>43149</v>
      </c>
      <c r="H283" s="34" t="s">
        <v>718</v>
      </c>
      <c r="I283" s="34" t="s">
        <v>1241</v>
      </c>
      <c r="J283" s="72">
        <v>200</v>
      </c>
      <c r="K283" s="72"/>
      <c r="L283" s="72"/>
      <c r="M283" s="72"/>
      <c r="N283" s="72">
        <v>220</v>
      </c>
      <c r="O283" s="66">
        <v>0.90909090909090906</v>
      </c>
      <c r="P283" s="72">
        <v>5</v>
      </c>
      <c r="Q283" s="108">
        <f t="shared" si="24"/>
        <v>9.6566523605150223E-3</v>
      </c>
      <c r="R283" s="108">
        <f t="shared" si="25"/>
        <v>8.7787748731954739E-3</v>
      </c>
    </row>
    <row r="284" spans="1:18" s="38" customFormat="1" ht="23.25" hidden="1" customHeight="1">
      <c r="A284" s="17">
        <v>201711</v>
      </c>
      <c r="B284" s="34" t="s">
        <v>1242</v>
      </c>
      <c r="C284" s="34" t="s">
        <v>11</v>
      </c>
      <c r="D284" s="35">
        <v>43129</v>
      </c>
      <c r="E284" s="33" t="s">
        <v>1240</v>
      </c>
      <c r="F284" s="36">
        <v>360</v>
      </c>
      <c r="G284" s="37">
        <v>43149</v>
      </c>
      <c r="H284" s="34" t="s">
        <v>718</v>
      </c>
      <c r="I284" s="34" t="s">
        <v>1241</v>
      </c>
      <c r="J284" s="72">
        <v>200</v>
      </c>
      <c r="K284" s="72"/>
      <c r="L284" s="72"/>
      <c r="M284" s="72"/>
      <c r="N284" s="72">
        <v>220</v>
      </c>
      <c r="O284" s="66">
        <v>0.90909090909090906</v>
      </c>
      <c r="P284" s="72">
        <v>5</v>
      </c>
      <c r="Q284" s="108">
        <f t="shared" si="24"/>
        <v>9.6566523605150223E-3</v>
      </c>
      <c r="R284" s="108">
        <f t="shared" si="25"/>
        <v>8.7787748731954739E-3</v>
      </c>
    </row>
    <row r="285" spans="1:18" s="38" customFormat="1" ht="23.25" hidden="1" customHeight="1">
      <c r="A285" s="17">
        <v>201711</v>
      </c>
      <c r="B285" s="34" t="s">
        <v>1243</v>
      </c>
      <c r="C285" s="34" t="s">
        <v>11</v>
      </c>
      <c r="D285" s="35">
        <v>43129</v>
      </c>
      <c r="E285" s="33" t="s">
        <v>1240</v>
      </c>
      <c r="F285" s="36">
        <v>1140</v>
      </c>
      <c r="G285" s="37">
        <v>43149</v>
      </c>
      <c r="H285" s="34" t="s">
        <v>718</v>
      </c>
      <c r="I285" s="34" t="s">
        <v>1241</v>
      </c>
      <c r="J285" s="72">
        <v>200</v>
      </c>
      <c r="K285" s="72"/>
      <c r="L285" s="72"/>
      <c r="M285" s="72"/>
      <c r="N285" s="72">
        <v>220</v>
      </c>
      <c r="O285" s="66">
        <v>0.90909090909090906</v>
      </c>
      <c r="P285" s="72">
        <v>5</v>
      </c>
      <c r="Q285" s="108">
        <f t="shared" si="24"/>
        <v>3.0579399141630902E-2</v>
      </c>
      <c r="R285" s="108">
        <f t="shared" si="25"/>
        <v>2.7799453765119001E-2</v>
      </c>
    </row>
    <row r="286" spans="1:18" s="38" customFormat="1" ht="23.25" hidden="1" customHeight="1">
      <c r="A286" s="17">
        <v>201711</v>
      </c>
      <c r="B286" s="34" t="s">
        <v>1244</v>
      </c>
      <c r="C286" s="34" t="s">
        <v>11</v>
      </c>
      <c r="D286" s="35">
        <v>43130</v>
      </c>
      <c r="E286" s="33" t="s">
        <v>1245</v>
      </c>
      <c r="F286" s="36">
        <v>420</v>
      </c>
      <c r="G286" s="37">
        <v>43149</v>
      </c>
      <c r="H286" s="34" t="s">
        <v>718</v>
      </c>
      <c r="I286" s="34" t="s">
        <v>1246</v>
      </c>
      <c r="J286" s="72">
        <v>200</v>
      </c>
      <c r="K286" s="72"/>
      <c r="L286" s="72"/>
      <c r="M286" s="72"/>
      <c r="N286" s="72">
        <v>224</v>
      </c>
      <c r="O286" s="66">
        <v>0.8928571428571429</v>
      </c>
      <c r="P286" s="72">
        <v>5</v>
      </c>
      <c r="Q286" s="108">
        <f t="shared" si="24"/>
        <v>1.1266094420600859E-2</v>
      </c>
      <c r="R286" s="108">
        <f t="shared" si="25"/>
        <v>1.0059012875536481E-2</v>
      </c>
    </row>
    <row r="287" spans="1:18" s="38" customFormat="1" ht="23.25" hidden="1" customHeight="1">
      <c r="A287" s="17">
        <v>201711</v>
      </c>
      <c r="B287" s="34" t="s">
        <v>1247</v>
      </c>
      <c r="C287" s="34" t="s">
        <v>11</v>
      </c>
      <c r="D287" s="35">
        <v>43130</v>
      </c>
      <c r="E287" s="33" t="s">
        <v>1245</v>
      </c>
      <c r="F287" s="36">
        <v>600</v>
      </c>
      <c r="G287" s="37">
        <v>43155</v>
      </c>
      <c r="H287" s="34" t="s">
        <v>718</v>
      </c>
      <c r="I287" s="34" t="s">
        <v>1246</v>
      </c>
      <c r="J287" s="72">
        <v>200</v>
      </c>
      <c r="K287" s="72"/>
      <c r="L287" s="72"/>
      <c r="M287" s="72"/>
      <c r="N287" s="72">
        <v>224</v>
      </c>
      <c r="O287" s="66">
        <v>0.8928571428571429</v>
      </c>
      <c r="P287" s="72">
        <v>5</v>
      </c>
      <c r="Q287" s="108">
        <f t="shared" si="24"/>
        <v>1.6094420600858368E-2</v>
      </c>
      <c r="R287" s="108">
        <f t="shared" si="25"/>
        <v>1.4370018393623544E-2</v>
      </c>
    </row>
    <row r="288" spans="1:18" s="38" customFormat="1" ht="23.25" hidden="1" customHeight="1">
      <c r="A288" s="17">
        <v>201710</v>
      </c>
      <c r="B288" s="34" t="s">
        <v>1248</v>
      </c>
      <c r="C288" s="34" t="s">
        <v>11</v>
      </c>
      <c r="D288" s="35">
        <v>43131</v>
      </c>
      <c r="E288" s="33" t="s">
        <v>1249</v>
      </c>
      <c r="F288" s="36">
        <v>360</v>
      </c>
      <c r="G288" s="37">
        <v>43138</v>
      </c>
      <c r="H288" s="34" t="s">
        <v>717</v>
      </c>
      <c r="I288" s="34" t="s">
        <v>1250</v>
      </c>
      <c r="J288" s="72">
        <v>180</v>
      </c>
      <c r="K288" s="72"/>
      <c r="L288" s="72"/>
      <c r="M288" s="72"/>
      <c r="N288" s="72">
        <v>208</v>
      </c>
      <c r="O288" s="66">
        <v>0.86538461538461542</v>
      </c>
      <c r="P288" s="72">
        <v>5</v>
      </c>
      <c r="Q288" s="108">
        <f t="shared" si="24"/>
        <v>9.6566523605150223E-3</v>
      </c>
      <c r="R288" s="108">
        <f t="shared" si="25"/>
        <v>8.3567183889072319E-3</v>
      </c>
    </row>
    <row r="289" spans="1:18" s="38" customFormat="1" ht="23.25" hidden="1" customHeight="1">
      <c r="A289" s="17">
        <v>201710</v>
      </c>
      <c r="B289" s="34" t="s">
        <v>1251</v>
      </c>
      <c r="C289" s="34" t="s">
        <v>11</v>
      </c>
      <c r="D289" s="35">
        <v>43131</v>
      </c>
      <c r="E289" s="33" t="s">
        <v>1252</v>
      </c>
      <c r="F289" s="36">
        <v>1428</v>
      </c>
      <c r="G289" s="37">
        <v>43138</v>
      </c>
      <c r="H289" s="34" t="s">
        <v>717</v>
      </c>
      <c r="I289" s="34" t="s">
        <v>1250</v>
      </c>
      <c r="J289" s="72">
        <v>180</v>
      </c>
      <c r="K289" s="72"/>
      <c r="L289" s="72"/>
      <c r="M289" s="72"/>
      <c r="N289" s="72">
        <v>208</v>
      </c>
      <c r="O289" s="66">
        <v>0.86538461538461542</v>
      </c>
      <c r="P289" s="72">
        <v>5</v>
      </c>
      <c r="Q289" s="108">
        <f t="shared" si="24"/>
        <v>3.8304721030042919E-2</v>
      </c>
      <c r="R289" s="108">
        <f t="shared" si="25"/>
        <v>3.3148316275998679E-2</v>
      </c>
    </row>
    <row r="290" spans="1:18" s="38" customFormat="1" ht="23.25" hidden="1" customHeight="1">
      <c r="A290" s="17"/>
      <c r="B290" s="34"/>
      <c r="C290" s="34"/>
      <c r="D290" s="35"/>
      <c r="E290" s="36"/>
      <c r="F290" s="39">
        <f>SUM(F252:F289)</f>
        <v>37280</v>
      </c>
      <c r="G290" s="37"/>
      <c r="H290" s="34"/>
      <c r="I290" s="34"/>
      <c r="J290" s="72"/>
      <c r="K290" s="72"/>
      <c r="L290" s="72"/>
      <c r="M290" s="72"/>
      <c r="N290" s="72"/>
      <c r="O290" s="66"/>
      <c r="P290" s="72"/>
      <c r="Q290" s="108"/>
      <c r="R290" s="108"/>
    </row>
    <row r="291" spans="1:18" s="38" customFormat="1" ht="23.25" hidden="1" customHeight="1">
      <c r="A291" s="17">
        <v>201710</v>
      </c>
      <c r="B291" s="34" t="s">
        <v>1253</v>
      </c>
      <c r="C291" s="34" t="s">
        <v>12</v>
      </c>
      <c r="D291" s="35">
        <v>43102</v>
      </c>
      <c r="E291" s="33" t="s">
        <v>1254</v>
      </c>
      <c r="F291" s="36">
        <v>600</v>
      </c>
      <c r="G291" s="37">
        <v>43129</v>
      </c>
      <c r="H291" s="34" t="s">
        <v>730</v>
      </c>
      <c r="I291" s="34" t="s">
        <v>747</v>
      </c>
      <c r="J291" s="72">
        <v>180</v>
      </c>
      <c r="K291" s="72"/>
      <c r="L291" s="72"/>
      <c r="M291" s="72"/>
      <c r="N291" s="72">
        <v>222</v>
      </c>
      <c r="O291" s="66">
        <v>0.81081081081081086</v>
      </c>
      <c r="P291" s="72">
        <v>6</v>
      </c>
      <c r="Q291" s="108">
        <f>F291/$F$367</f>
        <v>2.0709650697224906E-2</v>
      </c>
      <c r="R291" s="108">
        <f>O291*Q291</f>
        <v>1.67916086734256E-2</v>
      </c>
    </row>
    <row r="292" spans="1:18" s="38" customFormat="1" ht="23.25" hidden="1" customHeight="1">
      <c r="A292" s="17">
        <v>201710</v>
      </c>
      <c r="B292" s="34" t="s">
        <v>1255</v>
      </c>
      <c r="C292" s="34" t="s">
        <v>12</v>
      </c>
      <c r="D292" s="35">
        <v>43102</v>
      </c>
      <c r="E292" s="33" t="s">
        <v>1254</v>
      </c>
      <c r="F292" s="36">
        <v>360</v>
      </c>
      <c r="G292" s="37">
        <v>43120</v>
      </c>
      <c r="H292" s="34" t="s">
        <v>718</v>
      </c>
      <c r="I292" s="34" t="s">
        <v>747</v>
      </c>
      <c r="J292" s="72">
        <v>180</v>
      </c>
      <c r="K292" s="72"/>
      <c r="L292" s="72"/>
      <c r="M292" s="72"/>
      <c r="N292" s="72">
        <v>222</v>
      </c>
      <c r="O292" s="66">
        <v>0.81081081081081086</v>
      </c>
      <c r="P292" s="72">
        <v>6</v>
      </c>
      <c r="Q292" s="108">
        <f t="shared" ref="Q292:Q303" si="26">F292/$F$367</f>
        <v>1.2425790418334944E-2</v>
      </c>
      <c r="R292" s="108">
        <f t="shared" ref="R292:R303" si="27">O292*Q292</f>
        <v>1.0074965204055361E-2</v>
      </c>
    </row>
    <row r="293" spans="1:18" s="38" customFormat="1" ht="23.25" hidden="1" customHeight="1">
      <c r="A293" s="17">
        <v>201710</v>
      </c>
      <c r="B293" s="34" t="s">
        <v>1256</v>
      </c>
      <c r="C293" s="34" t="s">
        <v>12</v>
      </c>
      <c r="D293" s="35">
        <v>43103</v>
      </c>
      <c r="E293" s="33" t="s">
        <v>1254</v>
      </c>
      <c r="F293" s="36">
        <v>3024</v>
      </c>
      <c r="G293" s="37">
        <v>43124</v>
      </c>
      <c r="H293" s="34" t="s">
        <v>717</v>
      </c>
      <c r="I293" s="34" t="s">
        <v>747</v>
      </c>
      <c r="J293" s="72">
        <v>180</v>
      </c>
      <c r="K293" s="72"/>
      <c r="L293" s="72"/>
      <c r="M293" s="72"/>
      <c r="N293" s="72">
        <v>222</v>
      </c>
      <c r="O293" s="66">
        <v>0.81081081081081086</v>
      </c>
      <c r="P293" s="72">
        <v>6</v>
      </c>
      <c r="Q293" s="108">
        <f t="shared" si="26"/>
        <v>0.10437663951401353</v>
      </c>
      <c r="R293" s="108">
        <f t="shared" si="27"/>
        <v>8.4629707714065028E-2</v>
      </c>
    </row>
    <row r="294" spans="1:18" s="38" customFormat="1" ht="23.25" hidden="1" customHeight="1">
      <c r="A294" s="17">
        <v>201710</v>
      </c>
      <c r="B294" s="34" t="s">
        <v>1257</v>
      </c>
      <c r="C294" s="34" t="s">
        <v>12</v>
      </c>
      <c r="D294" s="35">
        <v>43105</v>
      </c>
      <c r="E294" s="33" t="s">
        <v>1254</v>
      </c>
      <c r="F294" s="36">
        <v>960</v>
      </c>
      <c r="G294" s="37">
        <v>43125</v>
      </c>
      <c r="H294" s="34" t="s">
        <v>718</v>
      </c>
      <c r="I294" s="34" t="s">
        <v>747</v>
      </c>
      <c r="J294" s="72">
        <v>180</v>
      </c>
      <c r="K294" s="72"/>
      <c r="L294" s="72"/>
      <c r="M294" s="72"/>
      <c r="N294" s="72">
        <v>222</v>
      </c>
      <c r="O294" s="66">
        <v>0.81081081081081086</v>
      </c>
      <c r="P294" s="72">
        <v>6</v>
      </c>
      <c r="Q294" s="108">
        <f t="shared" si="26"/>
        <v>3.3135441115559848E-2</v>
      </c>
      <c r="R294" s="108">
        <f t="shared" si="27"/>
        <v>2.6866573877480961E-2</v>
      </c>
    </row>
    <row r="295" spans="1:18" s="38" customFormat="1" ht="23.25" hidden="1" customHeight="1">
      <c r="A295" s="17">
        <v>201710</v>
      </c>
      <c r="B295" s="34" t="s">
        <v>1258</v>
      </c>
      <c r="C295" s="34" t="s">
        <v>12</v>
      </c>
      <c r="D295" s="35">
        <v>43106</v>
      </c>
      <c r="E295" s="33" t="s">
        <v>1254</v>
      </c>
      <c r="F295" s="36">
        <v>660</v>
      </c>
      <c r="G295" s="37">
        <v>43127</v>
      </c>
      <c r="H295" s="34" t="s">
        <v>717</v>
      </c>
      <c r="I295" s="34" t="s">
        <v>747</v>
      </c>
      <c r="J295" s="72">
        <v>180</v>
      </c>
      <c r="K295" s="72"/>
      <c r="L295" s="72"/>
      <c r="M295" s="72"/>
      <c r="N295" s="72">
        <v>222</v>
      </c>
      <c r="O295" s="66">
        <v>0.81081081081081086</v>
      </c>
      <c r="P295" s="72">
        <v>6</v>
      </c>
      <c r="Q295" s="108">
        <f t="shared" si="26"/>
        <v>2.2780615766947399E-2</v>
      </c>
      <c r="R295" s="108">
        <f t="shared" si="27"/>
        <v>1.8470769540768161E-2</v>
      </c>
    </row>
    <row r="296" spans="1:18" s="38" customFormat="1" ht="23.25" hidden="1" customHeight="1">
      <c r="A296" s="17">
        <v>201710</v>
      </c>
      <c r="B296" s="34" t="s">
        <v>1259</v>
      </c>
      <c r="C296" s="34" t="s">
        <v>12</v>
      </c>
      <c r="D296" s="35">
        <v>43106</v>
      </c>
      <c r="E296" s="33" t="s">
        <v>1254</v>
      </c>
      <c r="F296" s="36">
        <v>216</v>
      </c>
      <c r="G296" s="37">
        <v>43127</v>
      </c>
      <c r="H296" s="34" t="s">
        <v>717</v>
      </c>
      <c r="I296" s="34" t="s">
        <v>747</v>
      </c>
      <c r="J296" s="72">
        <v>180</v>
      </c>
      <c r="K296" s="72"/>
      <c r="L296" s="72"/>
      <c r="M296" s="72"/>
      <c r="N296" s="72">
        <v>222</v>
      </c>
      <c r="O296" s="66">
        <v>0.81081081081081086</v>
      </c>
      <c r="P296" s="72">
        <v>6</v>
      </c>
      <c r="Q296" s="108">
        <f t="shared" si="26"/>
        <v>7.4554742510009667E-3</v>
      </c>
      <c r="R296" s="108">
        <f t="shared" si="27"/>
        <v>6.0449791224332161E-3</v>
      </c>
    </row>
    <row r="297" spans="1:18" s="38" customFormat="1" ht="23.25" hidden="1" customHeight="1">
      <c r="A297" s="17">
        <v>201710</v>
      </c>
      <c r="B297" s="34" t="s">
        <v>1260</v>
      </c>
      <c r="C297" s="34" t="s">
        <v>12</v>
      </c>
      <c r="D297" s="35">
        <v>43106</v>
      </c>
      <c r="E297" s="33" t="s">
        <v>666</v>
      </c>
      <c r="F297" s="36">
        <v>3660</v>
      </c>
      <c r="G297" s="37">
        <v>43137</v>
      </c>
      <c r="H297" s="34" t="s">
        <v>723</v>
      </c>
      <c r="I297" s="34" t="s">
        <v>747</v>
      </c>
      <c r="J297" s="72">
        <v>180</v>
      </c>
      <c r="K297" s="72"/>
      <c r="L297" s="72"/>
      <c r="M297" s="72"/>
      <c r="N297" s="72">
        <v>222</v>
      </c>
      <c r="O297" s="66">
        <v>0.81081081081081086</v>
      </c>
      <c r="P297" s="72">
        <v>6</v>
      </c>
      <c r="Q297" s="108">
        <f t="shared" si="26"/>
        <v>0.12632886925307193</v>
      </c>
      <c r="R297" s="108">
        <f t="shared" si="27"/>
        <v>0.10242881290789617</v>
      </c>
    </row>
    <row r="298" spans="1:18" s="38" customFormat="1" ht="23.25" hidden="1" customHeight="1">
      <c r="A298" s="17">
        <v>201710</v>
      </c>
      <c r="B298" s="34" t="s">
        <v>1261</v>
      </c>
      <c r="C298" s="34" t="s">
        <v>12</v>
      </c>
      <c r="D298" s="35">
        <v>43110</v>
      </c>
      <c r="E298" s="33" t="s">
        <v>665</v>
      </c>
      <c r="F298" s="36">
        <v>1536</v>
      </c>
      <c r="G298" s="37">
        <v>43125</v>
      </c>
      <c r="H298" s="34" t="s">
        <v>718</v>
      </c>
      <c r="I298" s="34" t="s">
        <v>747</v>
      </c>
      <c r="J298" s="72">
        <v>180</v>
      </c>
      <c r="K298" s="72"/>
      <c r="L298" s="72"/>
      <c r="M298" s="72"/>
      <c r="N298" s="72">
        <v>222</v>
      </c>
      <c r="O298" s="66">
        <v>0.81081081081081086</v>
      </c>
      <c r="P298" s="72">
        <v>6</v>
      </c>
      <c r="Q298" s="108">
        <f t="shared" si="26"/>
        <v>5.3016705784895764E-2</v>
      </c>
      <c r="R298" s="108">
        <f t="shared" si="27"/>
        <v>4.2986518203969544E-2</v>
      </c>
    </row>
    <row r="299" spans="1:18" s="38" customFormat="1" ht="23.25" hidden="1" customHeight="1">
      <c r="A299" s="17">
        <v>201710</v>
      </c>
      <c r="B299" s="34" t="s">
        <v>1262</v>
      </c>
      <c r="C299" s="34" t="s">
        <v>12</v>
      </c>
      <c r="D299" s="35">
        <v>43111</v>
      </c>
      <c r="E299" s="33" t="s">
        <v>1263</v>
      </c>
      <c r="F299" s="36">
        <v>768</v>
      </c>
      <c r="G299" s="37">
        <v>43124</v>
      </c>
      <c r="H299" s="34" t="s">
        <v>717</v>
      </c>
      <c r="I299" s="34" t="s">
        <v>1264</v>
      </c>
      <c r="J299" s="72">
        <v>160</v>
      </c>
      <c r="K299" s="72"/>
      <c r="L299" s="72"/>
      <c r="M299" s="72"/>
      <c r="N299" s="72">
        <v>202</v>
      </c>
      <c r="O299" s="66">
        <v>0.79207920792079212</v>
      </c>
      <c r="P299" s="72">
        <v>6</v>
      </c>
      <c r="Q299" s="108">
        <f t="shared" si="26"/>
        <v>2.6508352892447882E-2</v>
      </c>
      <c r="R299" s="108">
        <f t="shared" si="27"/>
        <v>2.0996715162334957E-2</v>
      </c>
    </row>
    <row r="300" spans="1:18" s="38" customFormat="1" ht="23.25" hidden="1" customHeight="1">
      <c r="A300" s="17">
        <v>201710</v>
      </c>
      <c r="B300" s="34" t="s">
        <v>1265</v>
      </c>
      <c r="C300" s="34" t="s">
        <v>12</v>
      </c>
      <c r="D300" s="35">
        <v>43112</v>
      </c>
      <c r="E300" s="33" t="s">
        <v>1263</v>
      </c>
      <c r="F300" s="36">
        <v>228</v>
      </c>
      <c r="G300" s="37">
        <v>43127</v>
      </c>
      <c r="H300" s="34" t="s">
        <v>717</v>
      </c>
      <c r="I300" s="34" t="s">
        <v>1264</v>
      </c>
      <c r="J300" s="72">
        <v>160</v>
      </c>
      <c r="K300" s="72"/>
      <c r="L300" s="72"/>
      <c r="M300" s="72"/>
      <c r="N300" s="72">
        <v>202</v>
      </c>
      <c r="O300" s="66">
        <v>0.79207920792079212</v>
      </c>
      <c r="P300" s="72">
        <v>6</v>
      </c>
      <c r="Q300" s="108">
        <f t="shared" si="26"/>
        <v>7.8696672649454652E-3</v>
      </c>
      <c r="R300" s="108">
        <f t="shared" si="27"/>
        <v>6.2333998138181905E-3</v>
      </c>
    </row>
    <row r="301" spans="1:18" s="38" customFormat="1" ht="23.25" hidden="1" customHeight="1">
      <c r="A301" s="17">
        <v>201710</v>
      </c>
      <c r="B301" s="34" t="s">
        <v>1266</v>
      </c>
      <c r="C301" s="34" t="s">
        <v>12</v>
      </c>
      <c r="D301" s="35">
        <v>43112</v>
      </c>
      <c r="E301" s="33" t="s">
        <v>1263</v>
      </c>
      <c r="F301" s="36">
        <v>144</v>
      </c>
      <c r="G301" s="37">
        <v>43127</v>
      </c>
      <c r="H301" s="34" t="s">
        <v>717</v>
      </c>
      <c r="I301" s="34" t="s">
        <v>1264</v>
      </c>
      <c r="J301" s="72">
        <v>160</v>
      </c>
      <c r="K301" s="72"/>
      <c r="L301" s="72"/>
      <c r="M301" s="72"/>
      <c r="N301" s="72">
        <v>202</v>
      </c>
      <c r="O301" s="66">
        <v>0.79207920792079212</v>
      </c>
      <c r="P301" s="72">
        <v>6</v>
      </c>
      <c r="Q301" s="108">
        <f t="shared" si="26"/>
        <v>4.9703161673339772E-3</v>
      </c>
      <c r="R301" s="108">
        <f t="shared" si="27"/>
        <v>3.936884092937804E-3</v>
      </c>
    </row>
    <row r="302" spans="1:18" s="38" customFormat="1" ht="23.25" hidden="1" customHeight="1">
      <c r="A302" s="17">
        <v>201710</v>
      </c>
      <c r="B302" s="34" t="s">
        <v>1267</v>
      </c>
      <c r="C302" s="34" t="s">
        <v>12</v>
      </c>
      <c r="D302" s="35">
        <v>43112</v>
      </c>
      <c r="E302" s="33" t="s">
        <v>1263</v>
      </c>
      <c r="F302" s="36">
        <v>396</v>
      </c>
      <c r="G302" s="37">
        <v>43138</v>
      </c>
      <c r="H302" s="34" t="s">
        <v>717</v>
      </c>
      <c r="I302" s="34" t="s">
        <v>1264</v>
      </c>
      <c r="J302" s="72">
        <v>160</v>
      </c>
      <c r="K302" s="72"/>
      <c r="L302" s="72"/>
      <c r="M302" s="72"/>
      <c r="N302" s="72">
        <v>202</v>
      </c>
      <c r="O302" s="66">
        <v>0.79207920792079212</v>
      </c>
      <c r="P302" s="72">
        <v>6</v>
      </c>
      <c r="Q302" s="108">
        <f t="shared" si="26"/>
        <v>1.3668369460168438E-2</v>
      </c>
      <c r="R302" s="108">
        <f t="shared" si="27"/>
        <v>1.0826431255578962E-2</v>
      </c>
    </row>
    <row r="303" spans="1:18" s="38" customFormat="1" ht="23.25" hidden="1" customHeight="1">
      <c r="A303" s="17">
        <v>201710</v>
      </c>
      <c r="B303" s="34" t="s">
        <v>1268</v>
      </c>
      <c r="C303" s="34" t="s">
        <v>12</v>
      </c>
      <c r="D303" s="35">
        <v>43112</v>
      </c>
      <c r="E303" s="33" t="s">
        <v>1263</v>
      </c>
      <c r="F303" s="36">
        <v>276</v>
      </c>
      <c r="G303" s="37">
        <v>43132</v>
      </c>
      <c r="H303" s="34" t="s">
        <v>717</v>
      </c>
      <c r="I303" s="34" t="s">
        <v>1264</v>
      </c>
      <c r="J303" s="72">
        <v>160</v>
      </c>
      <c r="K303" s="72"/>
      <c r="L303" s="72"/>
      <c r="M303" s="72"/>
      <c r="N303" s="72">
        <v>202</v>
      </c>
      <c r="O303" s="66">
        <v>0.79207920792079212</v>
      </c>
      <c r="P303" s="72">
        <v>6</v>
      </c>
      <c r="Q303" s="108">
        <f t="shared" si="26"/>
        <v>9.5264393207234576E-3</v>
      </c>
      <c r="R303" s="108">
        <f t="shared" si="27"/>
        <v>7.5456945114641249E-3</v>
      </c>
    </row>
    <row r="304" spans="1:18" s="38" customFormat="1" ht="23.25" hidden="1" customHeight="1">
      <c r="A304" s="17">
        <v>201711</v>
      </c>
      <c r="B304" s="34" t="s">
        <v>1269</v>
      </c>
      <c r="C304" s="34" t="s">
        <v>12</v>
      </c>
      <c r="D304" s="35">
        <v>43113</v>
      </c>
      <c r="E304" s="33" t="s">
        <v>1270</v>
      </c>
      <c r="F304" s="36">
        <v>132</v>
      </c>
      <c r="G304" s="37">
        <v>43120</v>
      </c>
      <c r="H304" s="34" t="s">
        <v>719</v>
      </c>
      <c r="I304" s="34" t="s">
        <v>1271</v>
      </c>
      <c r="J304" s="72">
        <v>160</v>
      </c>
      <c r="K304" s="72"/>
      <c r="L304" s="72"/>
      <c r="M304" s="72"/>
      <c r="N304" s="72">
        <v>180</v>
      </c>
      <c r="O304" s="66">
        <v>0.88888888888888884</v>
      </c>
      <c r="P304" s="72">
        <v>5</v>
      </c>
      <c r="Q304" s="108">
        <f>F304/$F$366</f>
        <v>2.119460500963391E-2</v>
      </c>
      <c r="R304" s="108">
        <f>O304*Q304</f>
        <v>1.8839648897452363E-2</v>
      </c>
    </row>
    <row r="305" spans="1:18" s="38" customFormat="1" ht="23.25" hidden="1" customHeight="1">
      <c r="A305" s="17">
        <v>201711</v>
      </c>
      <c r="B305" s="34" t="s">
        <v>1272</v>
      </c>
      <c r="C305" s="34" t="s">
        <v>12</v>
      </c>
      <c r="D305" s="35">
        <v>43113</v>
      </c>
      <c r="E305" s="33" t="s">
        <v>1270</v>
      </c>
      <c r="F305" s="36">
        <v>1176</v>
      </c>
      <c r="G305" s="37">
        <v>43125</v>
      </c>
      <c r="H305" s="34" t="s">
        <v>718</v>
      </c>
      <c r="I305" s="34" t="s">
        <v>1271</v>
      </c>
      <c r="J305" s="72">
        <v>160</v>
      </c>
      <c r="K305" s="72"/>
      <c r="L305" s="72"/>
      <c r="M305" s="72"/>
      <c r="N305" s="72">
        <v>180</v>
      </c>
      <c r="O305" s="66">
        <v>0.88888888888888884</v>
      </c>
      <c r="P305" s="72">
        <v>5</v>
      </c>
      <c r="Q305" s="108">
        <f t="shared" ref="Q305:Q307" si="28">F305/$F$366</f>
        <v>0.18882466281310212</v>
      </c>
      <c r="R305" s="108">
        <f t="shared" ref="R305:R311" si="29">O305*Q305</f>
        <v>0.16784414472275744</v>
      </c>
    </row>
    <row r="306" spans="1:18" s="38" customFormat="1" ht="23.25" hidden="1" customHeight="1">
      <c r="A306" s="17">
        <v>201711</v>
      </c>
      <c r="B306" s="34" t="s">
        <v>1273</v>
      </c>
      <c r="C306" s="34" t="s">
        <v>12</v>
      </c>
      <c r="D306" s="35">
        <v>43115</v>
      </c>
      <c r="E306" s="33" t="s">
        <v>1274</v>
      </c>
      <c r="F306" s="36">
        <v>132</v>
      </c>
      <c r="G306" s="37">
        <v>43120</v>
      </c>
      <c r="H306" s="34" t="s">
        <v>719</v>
      </c>
      <c r="I306" s="34" t="s">
        <v>1271</v>
      </c>
      <c r="J306" s="72">
        <v>160</v>
      </c>
      <c r="K306" s="72"/>
      <c r="L306" s="72"/>
      <c r="M306" s="72"/>
      <c r="N306" s="72">
        <v>180</v>
      </c>
      <c r="O306" s="66">
        <v>0.88888888888888884</v>
      </c>
      <c r="P306" s="72">
        <v>5</v>
      </c>
      <c r="Q306" s="108">
        <f t="shared" si="28"/>
        <v>2.119460500963391E-2</v>
      </c>
      <c r="R306" s="108">
        <f t="shared" si="29"/>
        <v>1.8839648897452363E-2</v>
      </c>
    </row>
    <row r="307" spans="1:18" s="38" customFormat="1" ht="23.25" hidden="1" customHeight="1">
      <c r="A307" s="17">
        <v>201711</v>
      </c>
      <c r="B307" s="34" t="s">
        <v>1275</v>
      </c>
      <c r="C307" s="34" t="s">
        <v>12</v>
      </c>
      <c r="D307" s="35">
        <v>43115</v>
      </c>
      <c r="E307" s="33" t="s">
        <v>1274</v>
      </c>
      <c r="F307" s="36">
        <v>456</v>
      </c>
      <c r="G307" s="37">
        <v>43125</v>
      </c>
      <c r="H307" s="34" t="s">
        <v>718</v>
      </c>
      <c r="I307" s="34" t="s">
        <v>1271</v>
      </c>
      <c r="J307" s="72">
        <v>160</v>
      </c>
      <c r="K307" s="72"/>
      <c r="L307" s="72"/>
      <c r="M307" s="72"/>
      <c r="N307" s="72">
        <v>180</v>
      </c>
      <c r="O307" s="66">
        <v>0.88888888888888884</v>
      </c>
      <c r="P307" s="72">
        <v>5</v>
      </c>
      <c r="Q307" s="108">
        <f t="shared" si="28"/>
        <v>7.3217726396917149E-2</v>
      </c>
      <c r="R307" s="108">
        <f t="shared" si="29"/>
        <v>6.5082423463926356E-2</v>
      </c>
    </row>
    <row r="308" spans="1:18" s="38" customFormat="1" ht="23.25" hidden="1" customHeight="1">
      <c r="A308" s="17">
        <v>201710</v>
      </c>
      <c r="B308" s="34" t="s">
        <v>1276</v>
      </c>
      <c r="C308" s="34" t="s">
        <v>12</v>
      </c>
      <c r="D308" s="35">
        <v>43116</v>
      </c>
      <c r="E308" s="33" t="s">
        <v>665</v>
      </c>
      <c r="F308" s="36">
        <v>6636</v>
      </c>
      <c r="G308" s="37">
        <v>43127</v>
      </c>
      <c r="H308" s="34" t="s">
        <v>717</v>
      </c>
      <c r="I308" s="34" t="s">
        <v>747</v>
      </c>
      <c r="J308" s="72">
        <v>180</v>
      </c>
      <c r="K308" s="72"/>
      <c r="L308" s="72"/>
      <c r="M308" s="72"/>
      <c r="N308" s="72">
        <v>222</v>
      </c>
      <c r="O308" s="66">
        <v>0.81081081081081086</v>
      </c>
      <c r="P308" s="72">
        <v>6</v>
      </c>
      <c r="Q308" s="108">
        <f t="shared" ref="Q308:Q311" si="30">F308/$F$367</f>
        <v>0.22904873671130746</v>
      </c>
      <c r="R308" s="108">
        <f t="shared" si="29"/>
        <v>0.18571519192808714</v>
      </c>
    </row>
    <row r="309" spans="1:18" s="38" customFormat="1" ht="23.25" hidden="1" customHeight="1">
      <c r="A309" s="17">
        <v>201710</v>
      </c>
      <c r="B309" s="34" t="s">
        <v>316</v>
      </c>
      <c r="C309" s="34" t="s">
        <v>12</v>
      </c>
      <c r="D309" s="35">
        <v>43120</v>
      </c>
      <c r="E309" s="33" t="s">
        <v>666</v>
      </c>
      <c r="F309" s="36">
        <v>300</v>
      </c>
      <c r="G309" s="37">
        <v>43127</v>
      </c>
      <c r="H309" s="34" t="s">
        <v>717</v>
      </c>
      <c r="I309" s="34" t="s">
        <v>747</v>
      </c>
      <c r="J309" s="72">
        <v>180</v>
      </c>
      <c r="K309" s="72"/>
      <c r="L309" s="72"/>
      <c r="M309" s="72"/>
      <c r="N309" s="72">
        <v>222</v>
      </c>
      <c r="O309" s="66">
        <v>0.81081081081081086</v>
      </c>
      <c r="P309" s="72">
        <v>6</v>
      </c>
      <c r="Q309" s="108">
        <f t="shared" si="30"/>
        <v>1.0354825348612453E-2</v>
      </c>
      <c r="R309" s="108">
        <f t="shared" si="29"/>
        <v>8.3958043367127998E-3</v>
      </c>
    </row>
    <row r="310" spans="1:18" s="38" customFormat="1" ht="23.25" hidden="1" customHeight="1">
      <c r="A310" s="17">
        <v>201710</v>
      </c>
      <c r="B310" s="34" t="s">
        <v>1277</v>
      </c>
      <c r="C310" s="34" t="s">
        <v>12</v>
      </c>
      <c r="D310" s="35">
        <v>43120</v>
      </c>
      <c r="E310" s="33" t="s">
        <v>665</v>
      </c>
      <c r="F310" s="36">
        <v>312</v>
      </c>
      <c r="G310" s="37">
        <v>43127</v>
      </c>
      <c r="H310" s="34" t="s">
        <v>717</v>
      </c>
      <c r="I310" s="34" t="s">
        <v>747</v>
      </c>
      <c r="J310" s="72">
        <v>180</v>
      </c>
      <c r="K310" s="72"/>
      <c r="L310" s="72"/>
      <c r="M310" s="72"/>
      <c r="N310" s="72">
        <v>222</v>
      </c>
      <c r="O310" s="66">
        <v>0.81081081081081086</v>
      </c>
      <c r="P310" s="72">
        <v>6</v>
      </c>
      <c r="Q310" s="108">
        <f t="shared" si="30"/>
        <v>1.0769018362556951E-2</v>
      </c>
      <c r="R310" s="108">
        <f t="shared" si="29"/>
        <v>8.7316365101813131E-3</v>
      </c>
    </row>
    <row r="311" spans="1:18" s="38" customFormat="1" ht="23.25" hidden="1" customHeight="1">
      <c r="A311" s="17">
        <v>201710</v>
      </c>
      <c r="B311" s="34" t="s">
        <v>318</v>
      </c>
      <c r="C311" s="34" t="s">
        <v>12</v>
      </c>
      <c r="D311" s="35">
        <v>43122</v>
      </c>
      <c r="E311" s="33" t="s">
        <v>665</v>
      </c>
      <c r="F311" s="36">
        <v>1284</v>
      </c>
      <c r="G311" s="37">
        <v>43138</v>
      </c>
      <c r="H311" s="34" t="s">
        <v>717</v>
      </c>
      <c r="I311" s="34" t="s">
        <v>747</v>
      </c>
      <c r="J311" s="72">
        <v>180</v>
      </c>
      <c r="K311" s="72"/>
      <c r="L311" s="72"/>
      <c r="M311" s="72"/>
      <c r="N311" s="72">
        <v>222</v>
      </c>
      <c r="O311" s="66">
        <v>0.81081081081081086</v>
      </c>
      <c r="P311" s="72">
        <v>6</v>
      </c>
      <c r="Q311" s="108">
        <f t="shared" si="30"/>
        <v>4.4318652492061301E-2</v>
      </c>
      <c r="R311" s="108">
        <f t="shared" si="29"/>
        <v>3.5934042561130787E-2</v>
      </c>
    </row>
    <row r="312" spans="1:18" s="38" customFormat="1" ht="23.25" hidden="1" customHeight="1">
      <c r="A312" s="17">
        <v>201711</v>
      </c>
      <c r="B312" s="34" t="s">
        <v>1278</v>
      </c>
      <c r="C312" s="34" t="s">
        <v>12</v>
      </c>
      <c r="D312" s="35">
        <v>43123</v>
      </c>
      <c r="E312" s="33" t="s">
        <v>1270</v>
      </c>
      <c r="F312" s="36">
        <v>2088</v>
      </c>
      <c r="G312" s="37">
        <v>43138</v>
      </c>
      <c r="H312" s="34" t="s">
        <v>717</v>
      </c>
      <c r="I312" s="34" t="s">
        <v>1271</v>
      </c>
      <c r="J312" s="72">
        <v>160</v>
      </c>
      <c r="K312" s="72"/>
      <c r="L312" s="72"/>
      <c r="M312" s="72"/>
      <c r="N312" s="72">
        <v>180</v>
      </c>
      <c r="O312" s="66">
        <v>0.88888888888888884</v>
      </c>
      <c r="P312" s="72">
        <v>5</v>
      </c>
      <c r="Q312" s="108">
        <f t="shared" ref="Q312:Q315" si="31">F312/$F$366</f>
        <v>0.33526011560693642</v>
      </c>
      <c r="R312" s="108">
        <f t="shared" ref="R312:R319" si="32">O312*Q312</f>
        <v>0.29800899165061012</v>
      </c>
    </row>
    <row r="313" spans="1:18" s="38" customFormat="1" ht="23.25" hidden="1" customHeight="1">
      <c r="A313" s="17">
        <v>201711</v>
      </c>
      <c r="B313" s="34" t="s">
        <v>1279</v>
      </c>
      <c r="C313" s="34" t="s">
        <v>12</v>
      </c>
      <c r="D313" s="35">
        <v>43124</v>
      </c>
      <c r="E313" s="33" t="s">
        <v>1270</v>
      </c>
      <c r="F313" s="36">
        <v>12</v>
      </c>
      <c r="G313" s="37">
        <v>43155</v>
      </c>
      <c r="H313" s="34" t="s">
        <v>718</v>
      </c>
      <c r="I313" s="34" t="s">
        <v>1271</v>
      </c>
      <c r="J313" s="72">
        <v>160</v>
      </c>
      <c r="K313" s="72"/>
      <c r="L313" s="72"/>
      <c r="M313" s="72"/>
      <c r="N313" s="72">
        <v>180</v>
      </c>
      <c r="O313" s="66">
        <v>0.88888888888888884</v>
      </c>
      <c r="P313" s="72">
        <v>5</v>
      </c>
      <c r="Q313" s="108">
        <f t="shared" si="31"/>
        <v>1.9267822736030828E-3</v>
      </c>
      <c r="R313" s="108">
        <f t="shared" si="32"/>
        <v>1.7126953543138512E-3</v>
      </c>
    </row>
    <row r="314" spans="1:18" s="38" customFormat="1" ht="23.25" hidden="1" customHeight="1">
      <c r="A314" s="17">
        <v>201711</v>
      </c>
      <c r="B314" s="34" t="s">
        <v>1280</v>
      </c>
      <c r="C314" s="34" t="s">
        <v>12</v>
      </c>
      <c r="D314" s="35">
        <v>43124</v>
      </c>
      <c r="E314" s="33" t="s">
        <v>1274</v>
      </c>
      <c r="F314" s="36">
        <v>2220</v>
      </c>
      <c r="G314" s="37">
        <v>43138</v>
      </c>
      <c r="H314" s="34" t="s">
        <v>717</v>
      </c>
      <c r="I314" s="34" t="s">
        <v>1271</v>
      </c>
      <c r="J314" s="72">
        <v>160</v>
      </c>
      <c r="K314" s="72"/>
      <c r="L314" s="72"/>
      <c r="M314" s="72"/>
      <c r="N314" s="72">
        <v>180</v>
      </c>
      <c r="O314" s="66">
        <v>0.88888888888888884</v>
      </c>
      <c r="P314" s="72">
        <v>5</v>
      </c>
      <c r="Q314" s="108">
        <f t="shared" si="31"/>
        <v>0.35645472061657035</v>
      </c>
      <c r="R314" s="108">
        <f t="shared" si="32"/>
        <v>0.3168486405480625</v>
      </c>
    </row>
    <row r="315" spans="1:18" s="38" customFormat="1" ht="23.25" hidden="1" customHeight="1">
      <c r="A315" s="17">
        <v>201711</v>
      </c>
      <c r="B315" s="34" t="s">
        <v>1281</v>
      </c>
      <c r="C315" s="34" t="s">
        <v>12</v>
      </c>
      <c r="D315" s="35">
        <v>43126</v>
      </c>
      <c r="E315" s="33" t="s">
        <v>1274</v>
      </c>
      <c r="F315" s="36">
        <v>12</v>
      </c>
      <c r="G315" s="37">
        <v>43155</v>
      </c>
      <c r="H315" s="34" t="s">
        <v>718</v>
      </c>
      <c r="I315" s="34" t="s">
        <v>1271</v>
      </c>
      <c r="J315" s="72">
        <v>160</v>
      </c>
      <c r="K315" s="72"/>
      <c r="L315" s="72"/>
      <c r="M315" s="72"/>
      <c r="N315" s="72">
        <v>180</v>
      </c>
      <c r="O315" s="66">
        <v>0.88888888888888884</v>
      </c>
      <c r="P315" s="72">
        <v>5</v>
      </c>
      <c r="Q315" s="108">
        <f t="shared" si="31"/>
        <v>1.9267822736030828E-3</v>
      </c>
      <c r="R315" s="108">
        <f t="shared" si="32"/>
        <v>1.7126953543138512E-3</v>
      </c>
    </row>
    <row r="316" spans="1:18" s="38" customFormat="1" ht="23.25" hidden="1" customHeight="1">
      <c r="A316" s="17">
        <v>201710</v>
      </c>
      <c r="B316" s="34" t="s">
        <v>1282</v>
      </c>
      <c r="C316" s="34" t="s">
        <v>12</v>
      </c>
      <c r="D316" s="35">
        <v>43126</v>
      </c>
      <c r="E316" s="33" t="s">
        <v>1283</v>
      </c>
      <c r="F316" s="36">
        <v>2100</v>
      </c>
      <c r="G316" s="37">
        <v>43138</v>
      </c>
      <c r="H316" s="34" t="s">
        <v>717</v>
      </c>
      <c r="I316" s="34" t="s">
        <v>788</v>
      </c>
      <c r="J316" s="72">
        <v>170</v>
      </c>
      <c r="K316" s="72"/>
      <c r="L316" s="72"/>
      <c r="M316" s="72"/>
      <c r="N316" s="72">
        <v>207</v>
      </c>
      <c r="O316" s="66">
        <v>0.82125603864734298</v>
      </c>
      <c r="P316" s="72">
        <v>6</v>
      </c>
      <c r="Q316" s="108">
        <f t="shared" ref="Q316:Q319" si="33">F316/$F$367</f>
        <v>7.2483777440287167E-2</v>
      </c>
      <c r="R316" s="108">
        <f t="shared" si="32"/>
        <v>5.9527739926805885E-2</v>
      </c>
    </row>
    <row r="317" spans="1:18" s="38" customFormat="1" ht="23.25" hidden="1" customHeight="1">
      <c r="A317" s="17">
        <v>201711</v>
      </c>
      <c r="B317" s="34" t="s">
        <v>1284</v>
      </c>
      <c r="C317" s="34" t="s">
        <v>12</v>
      </c>
      <c r="D317" s="35">
        <v>43129</v>
      </c>
      <c r="E317" s="33" t="s">
        <v>1254</v>
      </c>
      <c r="F317" s="36">
        <v>1884</v>
      </c>
      <c r="G317" s="37">
        <v>43148</v>
      </c>
      <c r="H317" s="34" t="s">
        <v>734</v>
      </c>
      <c r="I317" s="34" t="s">
        <v>747</v>
      </c>
      <c r="J317" s="72">
        <v>180</v>
      </c>
      <c r="K317" s="72"/>
      <c r="L317" s="72"/>
      <c r="M317" s="72"/>
      <c r="N317" s="72">
        <v>222</v>
      </c>
      <c r="O317" s="66">
        <v>0.81081081081081086</v>
      </c>
      <c r="P317" s="72">
        <v>6</v>
      </c>
      <c r="Q317" s="108">
        <f t="shared" si="33"/>
        <v>6.5028303189286207E-2</v>
      </c>
      <c r="R317" s="108">
        <f t="shared" si="32"/>
        <v>5.2725651234556387E-2</v>
      </c>
    </row>
    <row r="318" spans="1:18" s="38" customFormat="1" ht="23.25" hidden="1" customHeight="1">
      <c r="A318" s="17">
        <v>201711</v>
      </c>
      <c r="B318" s="34" t="s">
        <v>1285</v>
      </c>
      <c r="C318" s="34" t="s">
        <v>12</v>
      </c>
      <c r="D318" s="35">
        <v>43130</v>
      </c>
      <c r="E318" s="33" t="s">
        <v>610</v>
      </c>
      <c r="F318" s="36">
        <v>1800</v>
      </c>
      <c r="G318" s="37">
        <v>43148</v>
      </c>
      <c r="H318" s="34" t="s">
        <v>730</v>
      </c>
      <c r="I318" s="34" t="s">
        <v>747</v>
      </c>
      <c r="J318" s="72">
        <v>180</v>
      </c>
      <c r="K318" s="72"/>
      <c r="L318" s="72"/>
      <c r="M318" s="72"/>
      <c r="N318" s="72">
        <v>222</v>
      </c>
      <c r="O318" s="66">
        <v>0.81081081081081086</v>
      </c>
      <c r="P318" s="72">
        <v>6</v>
      </c>
      <c r="Q318" s="108">
        <f t="shared" si="33"/>
        <v>6.2128952091674718E-2</v>
      </c>
      <c r="R318" s="108">
        <f t="shared" si="32"/>
        <v>5.0374826020276799E-2</v>
      </c>
    </row>
    <row r="319" spans="1:18" s="38" customFormat="1" ht="23.25" hidden="1" customHeight="1">
      <c r="A319" s="17">
        <v>201711</v>
      </c>
      <c r="B319" s="34" t="s">
        <v>1286</v>
      </c>
      <c r="C319" s="34" t="s">
        <v>12</v>
      </c>
      <c r="D319" s="35">
        <v>43131</v>
      </c>
      <c r="E319" s="33" t="s">
        <v>610</v>
      </c>
      <c r="F319" s="49">
        <f>3180-1352</f>
        <v>1828</v>
      </c>
      <c r="G319" s="37">
        <v>43149</v>
      </c>
      <c r="H319" s="34" t="s">
        <v>718</v>
      </c>
      <c r="I319" s="34" t="s">
        <v>747</v>
      </c>
      <c r="J319" s="72">
        <v>180</v>
      </c>
      <c r="K319" s="72"/>
      <c r="L319" s="72"/>
      <c r="M319" s="72"/>
      <c r="N319" s="72">
        <v>222</v>
      </c>
      <c r="O319" s="66">
        <v>0.81081081081081086</v>
      </c>
      <c r="P319" s="72">
        <v>6</v>
      </c>
      <c r="Q319" s="108">
        <f t="shared" si="33"/>
        <v>6.3095402457545219E-2</v>
      </c>
      <c r="R319" s="108">
        <f t="shared" si="32"/>
        <v>5.1158434425036668E-2</v>
      </c>
    </row>
    <row r="320" spans="1:18" s="38" customFormat="1" ht="23.25" hidden="1" customHeight="1">
      <c r="A320" s="17"/>
      <c r="B320" s="34"/>
      <c r="C320" s="34"/>
      <c r="D320" s="35"/>
      <c r="E320" s="36"/>
      <c r="F320" s="39">
        <f>SUM(F291:F319)</f>
        <v>35200</v>
      </c>
      <c r="G320" s="37"/>
      <c r="H320" s="34"/>
      <c r="I320" s="34"/>
      <c r="J320" s="72"/>
      <c r="K320" s="72"/>
      <c r="L320" s="72"/>
      <c r="M320" s="72"/>
      <c r="N320" s="72"/>
      <c r="O320" s="66"/>
      <c r="P320" s="72"/>
      <c r="Q320" s="108"/>
      <c r="R320" s="108"/>
    </row>
    <row r="321" spans="1:18" s="38" customFormat="1" ht="23.25" customHeight="1">
      <c r="A321" s="17">
        <v>201712</v>
      </c>
      <c r="B321" s="34" t="s">
        <v>1287</v>
      </c>
      <c r="C321" s="34" t="s">
        <v>7</v>
      </c>
      <c r="D321" s="35">
        <v>43102</v>
      </c>
      <c r="E321" s="33" t="s">
        <v>1062</v>
      </c>
      <c r="F321" s="36">
        <v>5020</v>
      </c>
      <c r="G321" s="37">
        <v>43110</v>
      </c>
      <c r="H321" s="34" t="s">
        <v>717</v>
      </c>
      <c r="I321" s="34" t="s">
        <v>796</v>
      </c>
      <c r="J321" s="72">
        <v>210</v>
      </c>
      <c r="K321" s="72"/>
      <c r="L321" s="72"/>
      <c r="M321" s="72"/>
      <c r="N321" s="72">
        <v>143</v>
      </c>
      <c r="O321" s="66">
        <v>1.4685314685314685</v>
      </c>
      <c r="P321" s="72">
        <v>2</v>
      </c>
      <c r="Q321" s="108"/>
      <c r="R321" s="108"/>
    </row>
    <row r="322" spans="1:18" s="38" customFormat="1" ht="23.25" customHeight="1">
      <c r="A322" s="17">
        <v>201710</v>
      </c>
      <c r="B322" s="34" t="s">
        <v>1288</v>
      </c>
      <c r="C322" s="34" t="s">
        <v>7</v>
      </c>
      <c r="D322" s="35">
        <v>43105</v>
      </c>
      <c r="E322" s="33" t="s">
        <v>1289</v>
      </c>
      <c r="F322" s="36">
        <v>228</v>
      </c>
      <c r="G322" s="37">
        <v>43111</v>
      </c>
      <c r="H322" s="34" t="s">
        <v>718</v>
      </c>
      <c r="I322" s="34" t="s">
        <v>782</v>
      </c>
      <c r="J322" s="72">
        <v>210</v>
      </c>
      <c r="K322" s="72"/>
      <c r="L322" s="72"/>
      <c r="M322" s="72"/>
      <c r="N322" s="72">
        <v>137</v>
      </c>
      <c r="O322" s="66">
        <v>1.5328467153284671</v>
      </c>
      <c r="P322" s="72">
        <v>1</v>
      </c>
      <c r="Q322" s="108">
        <f>F322/$F$368</f>
        <v>6.7209055535903785E-3</v>
      </c>
      <c r="R322" s="108">
        <f>O322*Q322</f>
        <v>1.0302118001853865E-2</v>
      </c>
    </row>
    <row r="323" spans="1:18" s="38" customFormat="1" ht="23.25" customHeight="1">
      <c r="A323" s="17">
        <v>201710</v>
      </c>
      <c r="B323" s="34" t="s">
        <v>1290</v>
      </c>
      <c r="C323" s="34" t="s">
        <v>7</v>
      </c>
      <c r="D323" s="35">
        <v>43105</v>
      </c>
      <c r="E323" s="33" t="s">
        <v>1289</v>
      </c>
      <c r="F323" s="36">
        <v>1872</v>
      </c>
      <c r="G323" s="37">
        <v>43125</v>
      </c>
      <c r="H323" s="34" t="s">
        <v>718</v>
      </c>
      <c r="I323" s="34" t="s">
        <v>782</v>
      </c>
      <c r="J323" s="72">
        <v>210</v>
      </c>
      <c r="K323" s="72"/>
      <c r="L323" s="72"/>
      <c r="M323" s="72"/>
      <c r="N323" s="72">
        <v>137</v>
      </c>
      <c r="O323" s="66">
        <v>1.5328467153284671</v>
      </c>
      <c r="P323" s="72">
        <v>1</v>
      </c>
      <c r="Q323" s="108">
        <f>F323/$F$368</f>
        <v>5.5182171913689425E-2</v>
      </c>
      <c r="R323" s="108">
        <f>O323*Q323</f>
        <v>8.458581096258963E-2</v>
      </c>
    </row>
    <row r="324" spans="1:18" s="38" customFormat="1" ht="23.25" customHeight="1">
      <c r="A324" s="17">
        <v>201710</v>
      </c>
      <c r="B324" s="34" t="s">
        <v>1291</v>
      </c>
      <c r="C324" s="34" t="s">
        <v>7</v>
      </c>
      <c r="D324" s="35">
        <v>43111</v>
      </c>
      <c r="E324" s="33" t="s">
        <v>1292</v>
      </c>
      <c r="F324" s="36">
        <v>3576</v>
      </c>
      <c r="G324" s="37">
        <v>43125</v>
      </c>
      <c r="H324" s="34" t="s">
        <v>718</v>
      </c>
      <c r="I324" s="34" t="s">
        <v>1293</v>
      </c>
      <c r="J324" s="72">
        <v>220</v>
      </c>
      <c r="K324" s="72"/>
      <c r="L324" s="72"/>
      <c r="M324" s="72"/>
      <c r="N324" s="72">
        <v>191</v>
      </c>
      <c r="O324" s="66">
        <v>1.1518324607329844</v>
      </c>
      <c r="P324" s="72">
        <v>3</v>
      </c>
      <c r="Q324" s="108"/>
      <c r="R324" s="108"/>
    </row>
    <row r="325" spans="1:18" s="38" customFormat="1" ht="23.25" customHeight="1">
      <c r="A325" s="17">
        <v>201711</v>
      </c>
      <c r="B325" s="34" t="s">
        <v>1294</v>
      </c>
      <c r="C325" s="34" t="s">
        <v>7</v>
      </c>
      <c r="D325" s="35">
        <v>43115</v>
      </c>
      <c r="E325" s="33" t="s">
        <v>1295</v>
      </c>
      <c r="F325" s="36">
        <v>960</v>
      </c>
      <c r="G325" s="37">
        <v>43125</v>
      </c>
      <c r="H325" s="34" t="s">
        <v>718</v>
      </c>
      <c r="I325" s="34" t="s">
        <v>1296</v>
      </c>
      <c r="J325" s="72">
        <v>250</v>
      </c>
      <c r="K325" s="72"/>
      <c r="L325" s="72"/>
      <c r="M325" s="72"/>
      <c r="N325" s="72">
        <v>144</v>
      </c>
      <c r="O325" s="66">
        <v>1.7361111111111112</v>
      </c>
      <c r="P325" s="72">
        <v>1</v>
      </c>
      <c r="Q325" s="108">
        <f t="shared" ref="Q325:Q330" si="34">F325/$F$368</f>
        <v>2.8298549699327911E-2</v>
      </c>
      <c r="R325" s="108">
        <f t="shared" ref="R325:R330" si="35">O325*Q325</f>
        <v>4.9129426561333178E-2</v>
      </c>
    </row>
    <row r="326" spans="1:18" s="38" customFormat="1" ht="23.25" customHeight="1">
      <c r="A326" s="17">
        <v>201711</v>
      </c>
      <c r="B326" s="34" t="s">
        <v>1297</v>
      </c>
      <c r="C326" s="34" t="s">
        <v>7</v>
      </c>
      <c r="D326" s="35">
        <v>43115</v>
      </c>
      <c r="E326" s="33" t="s">
        <v>1298</v>
      </c>
      <c r="F326" s="36">
        <v>360</v>
      </c>
      <c r="G326" s="37">
        <v>43128</v>
      </c>
      <c r="H326" s="34" t="s">
        <v>730</v>
      </c>
      <c r="I326" s="34" t="s">
        <v>1296</v>
      </c>
      <c r="J326" s="72">
        <v>250</v>
      </c>
      <c r="K326" s="72"/>
      <c r="L326" s="72"/>
      <c r="M326" s="72"/>
      <c r="N326" s="72">
        <v>144</v>
      </c>
      <c r="O326" s="66">
        <v>1.7361111111111112</v>
      </c>
      <c r="P326" s="72">
        <v>1</v>
      </c>
      <c r="Q326" s="108">
        <f t="shared" si="34"/>
        <v>1.0611956137247965E-2</v>
      </c>
      <c r="R326" s="108">
        <f t="shared" si="35"/>
        <v>1.8423534960499942E-2</v>
      </c>
    </row>
    <row r="327" spans="1:18" s="38" customFormat="1" ht="23.25" customHeight="1">
      <c r="A327" s="17">
        <v>201711</v>
      </c>
      <c r="B327" s="34" t="s">
        <v>1299</v>
      </c>
      <c r="C327" s="34" t="s">
        <v>7</v>
      </c>
      <c r="D327" s="35">
        <v>43115</v>
      </c>
      <c r="E327" s="33" t="s">
        <v>1298</v>
      </c>
      <c r="F327" s="36">
        <v>240</v>
      </c>
      <c r="G327" s="37">
        <v>43153</v>
      </c>
      <c r="H327" s="34" t="s">
        <v>717</v>
      </c>
      <c r="I327" s="34" t="s">
        <v>1296</v>
      </c>
      <c r="J327" s="72">
        <v>250</v>
      </c>
      <c r="K327" s="72"/>
      <c r="L327" s="72"/>
      <c r="M327" s="72"/>
      <c r="N327" s="72">
        <v>144</v>
      </c>
      <c r="O327" s="66">
        <v>1.7361111111111112</v>
      </c>
      <c r="P327" s="72">
        <v>1</v>
      </c>
      <c r="Q327" s="108">
        <f t="shared" si="34"/>
        <v>7.0746374248319777E-3</v>
      </c>
      <c r="R327" s="108">
        <f t="shared" si="35"/>
        <v>1.2282356640333295E-2</v>
      </c>
    </row>
    <row r="328" spans="1:18" s="38" customFormat="1" ht="23.25" customHeight="1">
      <c r="A328" s="17">
        <v>201711</v>
      </c>
      <c r="B328" s="34" t="s">
        <v>1300</v>
      </c>
      <c r="C328" s="34" t="s">
        <v>7</v>
      </c>
      <c r="D328" s="35">
        <v>43115</v>
      </c>
      <c r="E328" s="33" t="s">
        <v>1295</v>
      </c>
      <c r="F328" s="36">
        <v>408</v>
      </c>
      <c r="G328" s="37">
        <v>43142</v>
      </c>
      <c r="H328" s="34" t="s">
        <v>718</v>
      </c>
      <c r="I328" s="34" t="s">
        <v>1296</v>
      </c>
      <c r="J328" s="72">
        <v>250</v>
      </c>
      <c r="K328" s="72"/>
      <c r="L328" s="72"/>
      <c r="M328" s="72"/>
      <c r="N328" s="72">
        <v>144</v>
      </c>
      <c r="O328" s="66">
        <v>1.7361111111111112</v>
      </c>
      <c r="P328" s="72">
        <v>1</v>
      </c>
      <c r="Q328" s="108">
        <f t="shared" si="34"/>
        <v>1.2026883622214362E-2</v>
      </c>
      <c r="R328" s="108">
        <f t="shared" si="35"/>
        <v>2.0880006288566601E-2</v>
      </c>
    </row>
    <row r="329" spans="1:18" s="38" customFormat="1" ht="23.25" customHeight="1">
      <c r="A329" s="17">
        <v>201711</v>
      </c>
      <c r="B329" s="34" t="s">
        <v>1301</v>
      </c>
      <c r="C329" s="34" t="s">
        <v>7</v>
      </c>
      <c r="D329" s="35">
        <v>43116</v>
      </c>
      <c r="E329" s="33" t="s">
        <v>1298</v>
      </c>
      <c r="F329" s="36">
        <v>312</v>
      </c>
      <c r="G329" s="37">
        <v>43155</v>
      </c>
      <c r="H329" s="34" t="s">
        <v>717</v>
      </c>
      <c r="I329" s="34" t="s">
        <v>1296</v>
      </c>
      <c r="J329" s="72">
        <v>250</v>
      </c>
      <c r="K329" s="72"/>
      <c r="L329" s="72"/>
      <c r="M329" s="72"/>
      <c r="N329" s="72">
        <v>144</v>
      </c>
      <c r="O329" s="66">
        <v>1.7361111111111112</v>
      </c>
      <c r="P329" s="72">
        <v>1</v>
      </c>
      <c r="Q329" s="108">
        <f t="shared" si="34"/>
        <v>9.1970286522815702E-3</v>
      </c>
      <c r="R329" s="108">
        <f t="shared" si="35"/>
        <v>1.5967063632433283E-2</v>
      </c>
    </row>
    <row r="330" spans="1:18" s="38" customFormat="1" ht="23.25" customHeight="1">
      <c r="A330" s="17"/>
      <c r="B330" s="34"/>
      <c r="C330" s="41" t="s">
        <v>7</v>
      </c>
      <c r="D330" s="42" t="s">
        <v>1302</v>
      </c>
      <c r="E330" s="43" t="s">
        <v>1041</v>
      </c>
      <c r="F330" s="44">
        <v>29544</v>
      </c>
      <c r="G330" s="54" t="s">
        <v>1345</v>
      </c>
      <c r="H330" s="55"/>
      <c r="I330" s="34"/>
      <c r="J330" s="72">
        <v>210</v>
      </c>
      <c r="K330" s="72"/>
      <c r="L330" s="72"/>
      <c r="M330" s="72"/>
      <c r="N330" s="72">
        <v>137</v>
      </c>
      <c r="O330" s="66">
        <v>1.5328467153284671</v>
      </c>
      <c r="P330" s="72">
        <v>1</v>
      </c>
      <c r="Q330" s="108">
        <f t="shared" si="34"/>
        <v>0.87088786699681642</v>
      </c>
      <c r="R330" s="108">
        <f t="shared" si="35"/>
        <v>1.334937606345485</v>
      </c>
    </row>
    <row r="331" spans="1:18" s="38" customFormat="1" ht="23.25" hidden="1" customHeight="1">
      <c r="A331" s="17"/>
      <c r="B331" s="34"/>
      <c r="C331" s="34"/>
      <c r="D331" s="35"/>
      <c r="E331" s="36"/>
      <c r="F331" s="39">
        <f>SUM(F321:F330)</f>
        <v>42520</v>
      </c>
      <c r="G331" s="37"/>
      <c r="H331" s="34"/>
      <c r="I331" s="34"/>
      <c r="J331" s="72"/>
      <c r="K331" s="72"/>
      <c r="L331" s="72"/>
      <c r="M331" s="72"/>
      <c r="N331" s="72"/>
      <c r="O331" s="66"/>
      <c r="P331" s="72"/>
      <c r="Q331" s="108"/>
      <c r="R331" s="108"/>
    </row>
    <row r="332" spans="1:18" s="38" customFormat="1" ht="23.25" hidden="1" customHeight="1">
      <c r="A332" s="17">
        <v>201709</v>
      </c>
      <c r="B332" s="34" t="s">
        <v>1303</v>
      </c>
      <c r="C332" s="34" t="s">
        <v>8</v>
      </c>
      <c r="D332" s="35">
        <v>43102</v>
      </c>
      <c r="E332" s="33" t="s">
        <v>1304</v>
      </c>
      <c r="F332" s="49">
        <v>2460</v>
      </c>
      <c r="G332" s="37">
        <v>43109</v>
      </c>
      <c r="H332" s="34" t="s">
        <v>717</v>
      </c>
      <c r="I332" s="34" t="s">
        <v>1039</v>
      </c>
      <c r="J332" s="72">
        <v>210</v>
      </c>
      <c r="K332" s="72"/>
      <c r="L332" s="72"/>
      <c r="M332" s="72"/>
      <c r="N332" s="72">
        <v>155</v>
      </c>
      <c r="O332" s="66">
        <v>1.3548387096774193</v>
      </c>
      <c r="P332" s="72">
        <v>2</v>
      </c>
      <c r="Q332" s="108">
        <f>F332/$F$369</f>
        <v>0.21155830753353974</v>
      </c>
      <c r="R332" s="108">
        <f>O332*Q332</f>
        <v>0.28662738440027963</v>
      </c>
    </row>
    <row r="333" spans="1:18" s="38" customFormat="1" ht="23.25" hidden="1" customHeight="1">
      <c r="A333" s="17">
        <v>201708</v>
      </c>
      <c r="B333" s="34" t="s">
        <v>1305</v>
      </c>
      <c r="C333" s="34" t="s">
        <v>8</v>
      </c>
      <c r="D333" s="35">
        <v>43103</v>
      </c>
      <c r="E333" s="33" t="s">
        <v>1306</v>
      </c>
      <c r="F333" s="36">
        <v>132</v>
      </c>
      <c r="G333" s="37">
        <v>43109</v>
      </c>
      <c r="H333" s="34" t="s">
        <v>735</v>
      </c>
      <c r="I333" s="34" t="s">
        <v>1039</v>
      </c>
      <c r="J333" s="72">
        <v>210</v>
      </c>
      <c r="K333" s="72"/>
      <c r="L333" s="72"/>
      <c r="M333" s="72"/>
      <c r="N333" s="72">
        <v>155</v>
      </c>
      <c r="O333" s="66">
        <v>1.3548387096774193</v>
      </c>
      <c r="P333" s="72">
        <v>2</v>
      </c>
      <c r="Q333" s="108">
        <f t="shared" ref="Q333:Q353" si="36">F333/$F$369</f>
        <v>1.1351909184726523E-2</v>
      </c>
      <c r="R333" s="108">
        <f t="shared" ref="R333:R353" si="37">O333*Q333</f>
        <v>1.5380005992210127E-2</v>
      </c>
    </row>
    <row r="334" spans="1:18" s="38" customFormat="1" ht="23.25" hidden="1" customHeight="1">
      <c r="A334" s="17">
        <v>201708</v>
      </c>
      <c r="B334" s="34" t="s">
        <v>1307</v>
      </c>
      <c r="C334" s="34" t="s">
        <v>8</v>
      </c>
      <c r="D334" s="35">
        <v>43103</v>
      </c>
      <c r="E334" s="33" t="s">
        <v>1308</v>
      </c>
      <c r="F334" s="36">
        <v>132</v>
      </c>
      <c r="G334" s="37">
        <v>43109</v>
      </c>
      <c r="H334" s="34" t="s">
        <v>735</v>
      </c>
      <c r="I334" s="34" t="s">
        <v>1039</v>
      </c>
      <c r="J334" s="72">
        <v>210</v>
      </c>
      <c r="K334" s="72"/>
      <c r="L334" s="72"/>
      <c r="M334" s="72"/>
      <c r="N334" s="72">
        <v>155</v>
      </c>
      <c r="O334" s="66">
        <v>1.3548387096774193</v>
      </c>
      <c r="P334" s="72">
        <v>2</v>
      </c>
      <c r="Q334" s="108">
        <f t="shared" si="36"/>
        <v>1.1351909184726523E-2</v>
      </c>
      <c r="R334" s="108">
        <f t="shared" si="37"/>
        <v>1.5380005992210127E-2</v>
      </c>
    </row>
    <row r="335" spans="1:18" s="38" customFormat="1" ht="23.25" hidden="1" customHeight="1">
      <c r="A335" s="17">
        <v>201708</v>
      </c>
      <c r="B335" s="34" t="s">
        <v>1309</v>
      </c>
      <c r="C335" s="34" t="s">
        <v>8</v>
      </c>
      <c r="D335" s="35">
        <v>43103</v>
      </c>
      <c r="E335" s="33" t="s">
        <v>1310</v>
      </c>
      <c r="F335" s="36">
        <v>576</v>
      </c>
      <c r="G335" s="37">
        <v>43109</v>
      </c>
      <c r="H335" s="34" t="s">
        <v>735</v>
      </c>
      <c r="I335" s="34" t="s">
        <v>1311</v>
      </c>
      <c r="J335" s="72">
        <v>210</v>
      </c>
      <c r="K335" s="72"/>
      <c r="L335" s="72"/>
      <c r="M335" s="72"/>
      <c r="N335" s="72">
        <v>152</v>
      </c>
      <c r="O335" s="66">
        <v>1.381578947368421</v>
      </c>
      <c r="P335" s="72">
        <v>2</v>
      </c>
      <c r="Q335" s="108">
        <f t="shared" si="36"/>
        <v>4.9535603715170282E-2</v>
      </c>
      <c r="R335" s="108">
        <f t="shared" si="37"/>
        <v>6.8437347238064203E-2</v>
      </c>
    </row>
    <row r="336" spans="1:18" s="38" customFormat="1" ht="23.25" hidden="1" customHeight="1">
      <c r="A336" s="17">
        <v>201708</v>
      </c>
      <c r="B336" s="34" t="s">
        <v>1312</v>
      </c>
      <c r="C336" s="34" t="s">
        <v>8</v>
      </c>
      <c r="D336" s="35">
        <v>43103</v>
      </c>
      <c r="E336" s="33" t="s">
        <v>1310</v>
      </c>
      <c r="F336" s="36">
        <v>1296</v>
      </c>
      <c r="G336" s="37">
        <v>43109</v>
      </c>
      <c r="H336" s="34" t="s">
        <v>731</v>
      </c>
      <c r="I336" s="34" t="s">
        <v>1311</v>
      </c>
      <c r="J336" s="72">
        <v>210</v>
      </c>
      <c r="K336" s="72"/>
      <c r="L336" s="72"/>
      <c r="M336" s="72"/>
      <c r="N336" s="72">
        <v>152</v>
      </c>
      <c r="O336" s="66">
        <v>1.381578947368421</v>
      </c>
      <c r="P336" s="72">
        <v>2</v>
      </c>
      <c r="Q336" s="108">
        <f t="shared" si="36"/>
        <v>0.11145510835913312</v>
      </c>
      <c r="R336" s="108">
        <f t="shared" si="37"/>
        <v>0.15398403128564445</v>
      </c>
    </row>
    <row r="337" spans="1:18" s="38" customFormat="1" ht="23.25" hidden="1" customHeight="1">
      <c r="A337" s="17">
        <v>201709</v>
      </c>
      <c r="B337" s="34" t="s">
        <v>1313</v>
      </c>
      <c r="C337" s="34" t="s">
        <v>8</v>
      </c>
      <c r="D337" s="35">
        <v>43104</v>
      </c>
      <c r="E337" s="33" t="s">
        <v>1310</v>
      </c>
      <c r="F337" s="36">
        <v>564</v>
      </c>
      <c r="G337" s="37">
        <v>43115</v>
      </c>
      <c r="H337" s="34" t="s">
        <v>717</v>
      </c>
      <c r="I337" s="34" t="s">
        <v>1311</v>
      </c>
      <c r="J337" s="72">
        <v>210</v>
      </c>
      <c r="K337" s="72"/>
      <c r="L337" s="72"/>
      <c r="M337" s="72"/>
      <c r="N337" s="72">
        <v>152</v>
      </c>
      <c r="O337" s="66">
        <v>1.381578947368421</v>
      </c>
      <c r="P337" s="72">
        <v>2</v>
      </c>
      <c r="Q337" s="108">
        <f t="shared" si="36"/>
        <v>4.8503611971104234E-2</v>
      </c>
      <c r="R337" s="108">
        <f t="shared" si="37"/>
        <v>6.7011569170604537E-2</v>
      </c>
    </row>
    <row r="338" spans="1:18" s="38" customFormat="1" ht="23.25" hidden="1" customHeight="1">
      <c r="A338" s="17">
        <v>201709</v>
      </c>
      <c r="B338" s="34" t="s">
        <v>1314</v>
      </c>
      <c r="C338" s="34" t="s">
        <v>8</v>
      </c>
      <c r="D338" s="35">
        <v>43105</v>
      </c>
      <c r="E338" s="33" t="s">
        <v>1310</v>
      </c>
      <c r="F338" s="36">
        <v>192</v>
      </c>
      <c r="G338" s="37">
        <v>43118</v>
      </c>
      <c r="H338" s="34" t="s">
        <v>717</v>
      </c>
      <c r="I338" s="34" t="s">
        <v>1311</v>
      </c>
      <c r="J338" s="72">
        <v>210</v>
      </c>
      <c r="K338" s="72"/>
      <c r="L338" s="72"/>
      <c r="M338" s="72"/>
      <c r="N338" s="72">
        <v>152</v>
      </c>
      <c r="O338" s="66">
        <v>1.381578947368421</v>
      </c>
      <c r="P338" s="72">
        <v>2</v>
      </c>
      <c r="Q338" s="108">
        <f t="shared" si="36"/>
        <v>1.6511867905056758E-2</v>
      </c>
      <c r="R338" s="108">
        <f t="shared" si="37"/>
        <v>2.281244907935473E-2</v>
      </c>
    </row>
    <row r="339" spans="1:18" s="38" customFormat="1" ht="23.25" hidden="1" customHeight="1">
      <c r="A339" s="17">
        <v>201709</v>
      </c>
      <c r="B339" s="34" t="s">
        <v>1315</v>
      </c>
      <c r="C339" s="34" t="s">
        <v>8</v>
      </c>
      <c r="D339" s="35">
        <v>43105</v>
      </c>
      <c r="E339" s="33" t="s">
        <v>1316</v>
      </c>
      <c r="F339" s="36">
        <v>504</v>
      </c>
      <c r="G339" s="37">
        <v>43115</v>
      </c>
      <c r="H339" s="34" t="s">
        <v>717</v>
      </c>
      <c r="I339" s="34" t="s">
        <v>1311</v>
      </c>
      <c r="J339" s="72">
        <v>210</v>
      </c>
      <c r="K339" s="72"/>
      <c r="L339" s="72"/>
      <c r="M339" s="72"/>
      <c r="N339" s="72">
        <v>152</v>
      </c>
      <c r="O339" s="66">
        <v>1.381578947368421</v>
      </c>
      <c r="P339" s="72">
        <v>2</v>
      </c>
      <c r="Q339" s="108">
        <f t="shared" si="36"/>
        <v>4.3343653250773995E-2</v>
      </c>
      <c r="R339" s="108">
        <f t="shared" si="37"/>
        <v>5.9882678833306176E-2</v>
      </c>
    </row>
    <row r="340" spans="1:18" s="38" customFormat="1" ht="23.25" hidden="1" customHeight="1">
      <c r="A340" s="17">
        <v>201709</v>
      </c>
      <c r="B340" s="34" t="s">
        <v>1317</v>
      </c>
      <c r="C340" s="34" t="s">
        <v>8</v>
      </c>
      <c r="D340" s="35">
        <v>43105</v>
      </c>
      <c r="E340" s="33" t="s">
        <v>1316</v>
      </c>
      <c r="F340" s="36">
        <v>144</v>
      </c>
      <c r="G340" s="37">
        <v>43118</v>
      </c>
      <c r="H340" s="34" t="s">
        <v>717</v>
      </c>
      <c r="I340" s="34" t="s">
        <v>1311</v>
      </c>
      <c r="J340" s="72">
        <v>210</v>
      </c>
      <c r="K340" s="72"/>
      <c r="L340" s="72"/>
      <c r="M340" s="72"/>
      <c r="N340" s="72">
        <v>152</v>
      </c>
      <c r="O340" s="66">
        <v>1.381578947368421</v>
      </c>
      <c r="P340" s="72">
        <v>2</v>
      </c>
      <c r="Q340" s="108">
        <f t="shared" si="36"/>
        <v>1.238390092879257E-2</v>
      </c>
      <c r="R340" s="108">
        <f t="shared" si="37"/>
        <v>1.7109336809516051E-2</v>
      </c>
    </row>
    <row r="341" spans="1:18" s="38" customFormat="1" ht="23.25" hidden="1" customHeight="1">
      <c r="A341" s="17">
        <v>201709</v>
      </c>
      <c r="B341" s="34" t="s">
        <v>1318</v>
      </c>
      <c r="C341" s="34" t="s">
        <v>8</v>
      </c>
      <c r="D341" s="35">
        <v>43105</v>
      </c>
      <c r="E341" s="33" t="s">
        <v>1319</v>
      </c>
      <c r="F341" s="36">
        <v>876</v>
      </c>
      <c r="G341" s="37">
        <v>43115</v>
      </c>
      <c r="H341" s="34" t="s">
        <v>717</v>
      </c>
      <c r="I341" s="34" t="s">
        <v>1039</v>
      </c>
      <c r="J341" s="72">
        <v>210</v>
      </c>
      <c r="K341" s="72"/>
      <c r="L341" s="72"/>
      <c r="M341" s="72"/>
      <c r="N341" s="72">
        <v>155</v>
      </c>
      <c r="O341" s="66">
        <v>1.3548387096774193</v>
      </c>
      <c r="P341" s="72">
        <v>2</v>
      </c>
      <c r="Q341" s="108">
        <f t="shared" si="36"/>
        <v>7.533539731682147E-2</v>
      </c>
      <c r="R341" s="108">
        <f t="shared" si="37"/>
        <v>0.10206731249375811</v>
      </c>
    </row>
    <row r="342" spans="1:18" s="38" customFormat="1" ht="23.25" hidden="1" customHeight="1">
      <c r="A342" s="17">
        <v>201709</v>
      </c>
      <c r="B342" s="34" t="s">
        <v>1320</v>
      </c>
      <c r="C342" s="34" t="s">
        <v>8</v>
      </c>
      <c r="D342" s="35">
        <v>43106</v>
      </c>
      <c r="E342" s="33" t="s">
        <v>1319</v>
      </c>
      <c r="F342" s="36">
        <v>1104</v>
      </c>
      <c r="G342" s="37">
        <v>43116</v>
      </c>
      <c r="H342" s="34" t="s">
        <v>717</v>
      </c>
      <c r="I342" s="34" t="s">
        <v>1039</v>
      </c>
      <c r="J342" s="72">
        <v>210</v>
      </c>
      <c r="K342" s="72"/>
      <c r="L342" s="72"/>
      <c r="M342" s="72"/>
      <c r="N342" s="72">
        <v>155</v>
      </c>
      <c r="O342" s="66">
        <v>1.3548387096774193</v>
      </c>
      <c r="P342" s="72">
        <v>2</v>
      </c>
      <c r="Q342" s="108">
        <f t="shared" si="36"/>
        <v>9.4943240454076372E-2</v>
      </c>
      <c r="R342" s="108">
        <f t="shared" si="37"/>
        <v>0.1286327773893938</v>
      </c>
    </row>
    <row r="343" spans="1:18" s="38" customFormat="1" ht="23.25" hidden="1" customHeight="1">
      <c r="A343" s="17">
        <v>201709</v>
      </c>
      <c r="B343" s="34" t="s">
        <v>1321</v>
      </c>
      <c r="C343" s="34" t="s">
        <v>8</v>
      </c>
      <c r="D343" s="35">
        <v>43106</v>
      </c>
      <c r="E343" s="33" t="s">
        <v>1319</v>
      </c>
      <c r="F343" s="36">
        <v>600</v>
      </c>
      <c r="G343" s="37">
        <v>43116</v>
      </c>
      <c r="H343" s="34" t="s">
        <v>717</v>
      </c>
      <c r="I343" s="34" t="s">
        <v>1039</v>
      </c>
      <c r="J343" s="72">
        <v>210</v>
      </c>
      <c r="K343" s="72"/>
      <c r="L343" s="72"/>
      <c r="M343" s="72"/>
      <c r="N343" s="72">
        <v>155</v>
      </c>
      <c r="O343" s="66">
        <v>1.3548387096774193</v>
      </c>
      <c r="P343" s="72">
        <v>2</v>
      </c>
      <c r="Q343" s="108">
        <f t="shared" si="36"/>
        <v>5.159958720330237E-2</v>
      </c>
      <c r="R343" s="108">
        <f t="shared" si="37"/>
        <v>6.9909118146409654E-2</v>
      </c>
    </row>
    <row r="344" spans="1:18" s="38" customFormat="1" ht="23.25" hidden="1" customHeight="1">
      <c r="A344" s="17">
        <v>201709</v>
      </c>
      <c r="B344" s="34" t="s">
        <v>1322</v>
      </c>
      <c r="C344" s="34" t="s">
        <v>8</v>
      </c>
      <c r="D344" s="35">
        <v>43106</v>
      </c>
      <c r="E344" s="33" t="s">
        <v>1319</v>
      </c>
      <c r="F344" s="36">
        <v>132</v>
      </c>
      <c r="G344" s="37">
        <v>43118</v>
      </c>
      <c r="H344" s="34" t="s">
        <v>717</v>
      </c>
      <c r="I344" s="34" t="s">
        <v>1039</v>
      </c>
      <c r="J344" s="72">
        <v>210</v>
      </c>
      <c r="K344" s="72"/>
      <c r="L344" s="72"/>
      <c r="M344" s="72"/>
      <c r="N344" s="72">
        <v>155</v>
      </c>
      <c r="O344" s="66">
        <v>1.3548387096774193</v>
      </c>
      <c r="P344" s="72">
        <v>2</v>
      </c>
      <c r="Q344" s="108">
        <f t="shared" si="36"/>
        <v>1.1351909184726523E-2</v>
      </c>
      <c r="R344" s="108">
        <f t="shared" si="37"/>
        <v>1.5380005992210127E-2</v>
      </c>
    </row>
    <row r="345" spans="1:18" s="38" customFormat="1" ht="23.25" hidden="1" customHeight="1">
      <c r="A345" s="17">
        <v>201709</v>
      </c>
      <c r="B345" s="34" t="s">
        <v>1323</v>
      </c>
      <c r="C345" s="34" t="s">
        <v>8</v>
      </c>
      <c r="D345" s="35">
        <v>43106</v>
      </c>
      <c r="E345" s="33" t="s">
        <v>1319</v>
      </c>
      <c r="F345" s="36">
        <v>228</v>
      </c>
      <c r="G345" s="37">
        <v>43118</v>
      </c>
      <c r="H345" s="34" t="s">
        <v>717</v>
      </c>
      <c r="I345" s="34" t="s">
        <v>1039</v>
      </c>
      <c r="J345" s="72">
        <v>210</v>
      </c>
      <c r="K345" s="72"/>
      <c r="L345" s="72"/>
      <c r="M345" s="72"/>
      <c r="N345" s="72">
        <v>155</v>
      </c>
      <c r="O345" s="66">
        <v>1.3548387096774193</v>
      </c>
      <c r="P345" s="72">
        <v>2</v>
      </c>
      <c r="Q345" s="108">
        <f t="shared" si="36"/>
        <v>1.9607843137254902E-2</v>
      </c>
      <c r="R345" s="108">
        <f t="shared" si="37"/>
        <v>2.656546489563567E-2</v>
      </c>
    </row>
    <row r="346" spans="1:18" s="38" customFormat="1" ht="23.25" hidden="1" customHeight="1">
      <c r="A346" s="17">
        <v>201709</v>
      </c>
      <c r="B346" s="34" t="s">
        <v>1324</v>
      </c>
      <c r="C346" s="34" t="s">
        <v>8</v>
      </c>
      <c r="D346" s="35">
        <v>43108</v>
      </c>
      <c r="E346" s="33" t="s">
        <v>1319</v>
      </c>
      <c r="F346" s="36">
        <v>120</v>
      </c>
      <c r="G346" s="37">
        <v>43124</v>
      </c>
      <c r="H346" s="34" t="s">
        <v>726</v>
      </c>
      <c r="I346" s="34" t="s">
        <v>1039</v>
      </c>
      <c r="J346" s="72">
        <v>210</v>
      </c>
      <c r="K346" s="72"/>
      <c r="L346" s="72"/>
      <c r="M346" s="72"/>
      <c r="N346" s="72">
        <v>155</v>
      </c>
      <c r="O346" s="66">
        <v>1.3548387096774193</v>
      </c>
      <c r="P346" s="72">
        <v>2</v>
      </c>
      <c r="Q346" s="108">
        <f t="shared" si="36"/>
        <v>1.0319917440660475E-2</v>
      </c>
      <c r="R346" s="108">
        <f t="shared" si="37"/>
        <v>1.3981823629281933E-2</v>
      </c>
    </row>
    <row r="347" spans="1:18" s="38" customFormat="1" ht="23.25" hidden="1" customHeight="1">
      <c r="A347" s="17">
        <v>201708</v>
      </c>
      <c r="B347" s="34" t="s">
        <v>1325</v>
      </c>
      <c r="C347" s="34" t="s">
        <v>8</v>
      </c>
      <c r="D347" s="35">
        <v>43108</v>
      </c>
      <c r="E347" s="33" t="s">
        <v>1326</v>
      </c>
      <c r="F347" s="36">
        <v>576</v>
      </c>
      <c r="G347" s="37">
        <v>43124</v>
      </c>
      <c r="H347" s="34" t="s">
        <v>1012</v>
      </c>
      <c r="I347" s="34" t="s">
        <v>1039</v>
      </c>
      <c r="J347" s="72">
        <v>210</v>
      </c>
      <c r="K347" s="72"/>
      <c r="L347" s="72"/>
      <c r="M347" s="72"/>
      <c r="N347" s="72">
        <v>155</v>
      </c>
      <c r="O347" s="66">
        <v>1.3548387096774193</v>
      </c>
      <c r="P347" s="72">
        <v>2</v>
      </c>
      <c r="Q347" s="108">
        <f t="shared" si="36"/>
        <v>4.9535603715170282E-2</v>
      </c>
      <c r="R347" s="108">
        <f t="shared" si="37"/>
        <v>6.7112753420553284E-2</v>
      </c>
    </row>
    <row r="348" spans="1:18" s="38" customFormat="1" ht="23.25" hidden="1" customHeight="1">
      <c r="A348" s="17">
        <v>201708</v>
      </c>
      <c r="B348" s="34" t="s">
        <v>1327</v>
      </c>
      <c r="C348" s="34" t="s">
        <v>8</v>
      </c>
      <c r="D348" s="35">
        <v>43108</v>
      </c>
      <c r="E348" s="33" t="s">
        <v>1326</v>
      </c>
      <c r="F348" s="36">
        <v>120</v>
      </c>
      <c r="G348" s="37">
        <v>43118</v>
      </c>
      <c r="H348" s="34" t="s">
        <v>717</v>
      </c>
      <c r="I348" s="34" t="s">
        <v>1039</v>
      </c>
      <c r="J348" s="72">
        <v>210</v>
      </c>
      <c r="K348" s="72"/>
      <c r="L348" s="72"/>
      <c r="M348" s="72"/>
      <c r="N348" s="72">
        <v>155</v>
      </c>
      <c r="O348" s="66">
        <v>1.3548387096774193</v>
      </c>
      <c r="P348" s="72">
        <v>2</v>
      </c>
      <c r="Q348" s="108">
        <f t="shared" si="36"/>
        <v>1.0319917440660475E-2</v>
      </c>
      <c r="R348" s="108">
        <f t="shared" si="37"/>
        <v>1.3981823629281933E-2</v>
      </c>
    </row>
    <row r="349" spans="1:18" s="38" customFormat="1" ht="23.25" hidden="1" customHeight="1">
      <c r="A349" s="17">
        <v>201708</v>
      </c>
      <c r="B349" s="34" t="s">
        <v>1328</v>
      </c>
      <c r="C349" s="34" t="s">
        <v>8</v>
      </c>
      <c r="D349" s="35">
        <v>43108</v>
      </c>
      <c r="E349" s="33" t="s">
        <v>1014</v>
      </c>
      <c r="F349" s="36">
        <v>444</v>
      </c>
      <c r="G349" s="37">
        <v>43109</v>
      </c>
      <c r="H349" s="34" t="s">
        <v>735</v>
      </c>
      <c r="I349" s="34" t="s">
        <v>822</v>
      </c>
      <c r="J349" s="72">
        <v>210</v>
      </c>
      <c r="K349" s="72"/>
      <c r="L349" s="72"/>
      <c r="M349" s="72"/>
      <c r="N349" s="72">
        <v>146</v>
      </c>
      <c r="O349" s="66">
        <v>1.4383561643835616</v>
      </c>
      <c r="P349" s="72">
        <v>2</v>
      </c>
      <c r="Q349" s="108">
        <f t="shared" si="36"/>
        <v>3.8183694530443756E-2</v>
      </c>
      <c r="R349" s="108">
        <f t="shared" si="37"/>
        <v>5.4921752406802658E-2</v>
      </c>
    </row>
    <row r="350" spans="1:18" s="38" customFormat="1" ht="23.25" hidden="1" customHeight="1">
      <c r="A350" s="17">
        <v>201709</v>
      </c>
      <c r="B350" s="34" t="s">
        <v>1329</v>
      </c>
      <c r="C350" s="34" t="s">
        <v>8</v>
      </c>
      <c r="D350" s="35">
        <v>43109</v>
      </c>
      <c r="E350" s="33" t="s">
        <v>1014</v>
      </c>
      <c r="F350" s="36">
        <v>144</v>
      </c>
      <c r="G350" s="37">
        <v>43124</v>
      </c>
      <c r="H350" s="34" t="s">
        <v>726</v>
      </c>
      <c r="I350" s="34" t="s">
        <v>822</v>
      </c>
      <c r="J350" s="72">
        <v>210</v>
      </c>
      <c r="K350" s="72"/>
      <c r="L350" s="72"/>
      <c r="M350" s="72"/>
      <c r="N350" s="72">
        <v>146</v>
      </c>
      <c r="O350" s="66">
        <v>1.4383561643835616</v>
      </c>
      <c r="P350" s="72">
        <v>2</v>
      </c>
      <c r="Q350" s="108">
        <f t="shared" si="36"/>
        <v>1.238390092879257E-2</v>
      </c>
      <c r="R350" s="108">
        <f t="shared" si="37"/>
        <v>1.7812460240044108E-2</v>
      </c>
    </row>
    <row r="351" spans="1:18" s="38" customFormat="1" ht="23.25" hidden="1" customHeight="1">
      <c r="A351" s="17">
        <v>201709</v>
      </c>
      <c r="B351" s="34" t="s">
        <v>1330</v>
      </c>
      <c r="C351" s="34" t="s">
        <v>8</v>
      </c>
      <c r="D351" s="35">
        <v>43109</v>
      </c>
      <c r="E351" s="33" t="s">
        <v>1331</v>
      </c>
      <c r="F351" s="36">
        <v>480</v>
      </c>
      <c r="G351" s="37">
        <v>43124</v>
      </c>
      <c r="H351" s="34" t="s">
        <v>726</v>
      </c>
      <c r="I351" s="34" t="s">
        <v>1332</v>
      </c>
      <c r="J351" s="72">
        <v>200</v>
      </c>
      <c r="K351" s="72"/>
      <c r="L351" s="72"/>
      <c r="M351" s="72"/>
      <c r="N351" s="72">
        <v>147</v>
      </c>
      <c r="O351" s="66">
        <v>1.3605442176870748</v>
      </c>
      <c r="P351" s="72">
        <v>2</v>
      </c>
      <c r="Q351" s="108">
        <f t="shared" si="36"/>
        <v>4.1279669762641899E-2</v>
      </c>
      <c r="R351" s="108">
        <f t="shared" si="37"/>
        <v>5.6162816003594421E-2</v>
      </c>
    </row>
    <row r="352" spans="1:18" s="38" customFormat="1" ht="23.25" hidden="1" customHeight="1">
      <c r="A352" s="17">
        <v>201709</v>
      </c>
      <c r="B352" s="34" t="s">
        <v>1333</v>
      </c>
      <c r="C352" s="34" t="s">
        <v>8</v>
      </c>
      <c r="D352" s="35">
        <v>43109</v>
      </c>
      <c r="E352" s="33" t="s">
        <v>1331</v>
      </c>
      <c r="F352" s="36">
        <v>660</v>
      </c>
      <c r="G352" s="37">
        <v>43124</v>
      </c>
      <c r="H352" s="34" t="s">
        <v>726</v>
      </c>
      <c r="I352" s="34" t="s">
        <v>1332</v>
      </c>
      <c r="J352" s="72">
        <v>200</v>
      </c>
      <c r="K352" s="72"/>
      <c r="L352" s="72"/>
      <c r="M352" s="72"/>
      <c r="N352" s="72">
        <v>147</v>
      </c>
      <c r="O352" s="66">
        <v>1.3605442176870748</v>
      </c>
      <c r="P352" s="72">
        <v>2</v>
      </c>
      <c r="Q352" s="108">
        <f t="shared" si="36"/>
        <v>5.6759545923632609E-2</v>
      </c>
      <c r="R352" s="108">
        <f t="shared" si="37"/>
        <v>7.7223872004942323E-2</v>
      </c>
    </row>
    <row r="353" spans="1:18" s="38" customFormat="1" ht="23.25" hidden="1" customHeight="1">
      <c r="A353" s="17">
        <v>201710</v>
      </c>
      <c r="B353" s="34" t="s">
        <v>1334</v>
      </c>
      <c r="C353" s="34" t="s">
        <v>8</v>
      </c>
      <c r="D353" s="35">
        <v>43109</v>
      </c>
      <c r="E353" s="33" t="s">
        <v>1033</v>
      </c>
      <c r="F353" s="36">
        <v>144</v>
      </c>
      <c r="G353" s="37">
        <v>43125</v>
      </c>
      <c r="H353" s="34" t="s">
        <v>718</v>
      </c>
      <c r="I353" s="34" t="s">
        <v>822</v>
      </c>
      <c r="J353" s="72">
        <v>210</v>
      </c>
      <c r="K353" s="72"/>
      <c r="L353" s="72"/>
      <c r="M353" s="72"/>
      <c r="N353" s="72">
        <v>146</v>
      </c>
      <c r="O353" s="66">
        <v>1.4383561643835616</v>
      </c>
      <c r="P353" s="72">
        <v>2</v>
      </c>
      <c r="Q353" s="108">
        <f t="shared" si="36"/>
        <v>1.238390092879257E-2</v>
      </c>
      <c r="R353" s="108">
        <f t="shared" si="37"/>
        <v>1.7812460240044108E-2</v>
      </c>
    </row>
    <row r="354" spans="1:18" s="38" customFormat="1" ht="23.25" hidden="1" customHeight="1">
      <c r="A354" s="17">
        <v>201711</v>
      </c>
      <c r="B354" s="34" t="s">
        <v>1335</v>
      </c>
      <c r="C354" s="34" t="s">
        <v>8</v>
      </c>
      <c r="D354" s="35" t="s">
        <v>1336</v>
      </c>
      <c r="E354" s="33" t="s">
        <v>1044</v>
      </c>
      <c r="F354" s="36">
        <v>12360</v>
      </c>
      <c r="G354" s="37">
        <v>43155</v>
      </c>
      <c r="H354" s="34" t="s">
        <v>717</v>
      </c>
      <c r="I354" s="34" t="s">
        <v>782</v>
      </c>
      <c r="J354" s="72">
        <v>210</v>
      </c>
      <c r="K354" s="72"/>
      <c r="L354" s="72"/>
      <c r="M354" s="72"/>
      <c r="N354" s="72">
        <v>137</v>
      </c>
      <c r="O354" s="66">
        <v>1.5328467153284671</v>
      </c>
      <c r="P354" s="72">
        <v>1</v>
      </c>
      <c r="Q354" s="108"/>
      <c r="R354" s="108"/>
    </row>
    <row r="355" spans="1:18" s="38" customFormat="1" ht="23.25" hidden="1" customHeight="1">
      <c r="A355" s="76"/>
      <c r="B355" s="34"/>
      <c r="C355" s="41" t="s">
        <v>8</v>
      </c>
      <c r="D355" s="42" t="s">
        <v>1302</v>
      </c>
      <c r="E355" s="43" t="s">
        <v>1041</v>
      </c>
      <c r="F355" s="44">
        <v>19612</v>
      </c>
      <c r="G355" s="54" t="s">
        <v>1346</v>
      </c>
      <c r="H355" s="55"/>
      <c r="I355" s="34"/>
      <c r="J355" s="72">
        <v>210</v>
      </c>
      <c r="K355" s="72"/>
      <c r="L355" s="72"/>
      <c r="M355" s="72"/>
      <c r="N355" s="72">
        <v>137</v>
      </c>
      <c r="O355" s="66">
        <v>1.5328467153284671</v>
      </c>
      <c r="P355" s="72">
        <v>1</v>
      </c>
      <c r="Q355" s="108"/>
      <c r="R355" s="108"/>
    </row>
    <row r="356" spans="1:18" s="38" customFormat="1" ht="23.25" hidden="1" customHeight="1">
      <c r="A356" s="76"/>
      <c r="B356" s="34"/>
      <c r="C356" s="34"/>
      <c r="D356" s="35"/>
      <c r="E356" s="36"/>
      <c r="F356" s="39">
        <f>SUM(F332:F355)</f>
        <v>43600</v>
      </c>
      <c r="G356" s="37"/>
      <c r="H356" s="34"/>
      <c r="I356" s="34"/>
      <c r="J356" s="72"/>
      <c r="K356" s="72"/>
      <c r="L356" s="72"/>
      <c r="M356" s="72"/>
      <c r="N356" s="72"/>
      <c r="O356" s="66"/>
      <c r="P356" s="72"/>
      <c r="Q356" s="108"/>
      <c r="R356" s="108"/>
    </row>
    <row r="357" spans="1:18" s="38" customFormat="1" ht="30" hidden="1" customHeight="1">
      <c r="A357" s="76"/>
      <c r="B357" s="34"/>
      <c r="C357" s="34"/>
      <c r="D357" s="35"/>
      <c r="E357" s="36"/>
      <c r="F357" s="48">
        <f>SUM(F356,F331,F320,F290,F251,F180,F153,F139,F108,F98,F18)</f>
        <v>422710</v>
      </c>
      <c r="G357" s="37"/>
      <c r="H357" s="34"/>
      <c r="I357" s="34"/>
      <c r="J357" s="72"/>
      <c r="K357" s="72"/>
      <c r="L357" s="72"/>
      <c r="M357" s="72"/>
      <c r="N357" s="72"/>
      <c r="O357" s="66"/>
      <c r="P357" s="72"/>
      <c r="Q357" s="108"/>
      <c r="R357" s="108"/>
    </row>
    <row r="358" spans="1:18">
      <c r="F358" s="93">
        <v>22420</v>
      </c>
      <c r="Q358" s="108"/>
      <c r="R358" s="108"/>
    </row>
    <row r="359" spans="1:18">
      <c r="F359" s="93">
        <v>12540</v>
      </c>
    </row>
    <row r="360" spans="1:18">
      <c r="F360" s="93">
        <v>25556</v>
      </c>
    </row>
    <row r="361" spans="1:18">
      <c r="F361" s="93">
        <v>10044</v>
      </c>
    </row>
    <row r="362" spans="1:18">
      <c r="F362" s="93">
        <v>36640</v>
      </c>
    </row>
    <row r="363" spans="1:18">
      <c r="F363" s="40">
        <v>29652</v>
      </c>
    </row>
    <row r="364" spans="1:18">
      <c r="F364" s="109">
        <v>30306</v>
      </c>
    </row>
    <row r="365" spans="1:18">
      <c r="F365" s="109">
        <v>37280</v>
      </c>
    </row>
    <row r="366" spans="1:18">
      <c r="F366" s="109">
        <v>6228</v>
      </c>
    </row>
    <row r="367" spans="1:18">
      <c r="F367" s="109">
        <v>28972</v>
      </c>
    </row>
    <row r="368" spans="1:18">
      <c r="F368" s="109">
        <v>33924</v>
      </c>
    </row>
    <row r="369" spans="6:6">
      <c r="F369" s="109">
        <v>11628</v>
      </c>
    </row>
    <row r="370" spans="6:6">
      <c r="F370" s="109"/>
    </row>
    <row r="371" spans="6:6">
      <c r="F371" s="109"/>
    </row>
    <row r="372" spans="6:6">
      <c r="F372" s="109"/>
    </row>
    <row r="373" spans="6:6">
      <c r="F373" s="109"/>
    </row>
    <row r="374" spans="6:6">
      <c r="F374" s="109"/>
    </row>
    <row r="375" spans="6:6">
      <c r="F375" s="109"/>
    </row>
    <row r="376" spans="6:6">
      <c r="F376" s="109"/>
    </row>
    <row r="377" spans="6:6">
      <c r="F377" s="109"/>
    </row>
    <row r="378" spans="6:6">
      <c r="F378" s="109"/>
    </row>
    <row r="379" spans="6:6">
      <c r="F379" s="109"/>
    </row>
  </sheetData>
  <autoFilter ref="A1:P357">
    <filterColumn colId="2">
      <filters>
        <filter val="A2L10"/>
      </filters>
    </filterColumn>
  </autoFilter>
  <mergeCells count="1">
    <mergeCell ref="F140:F142"/>
  </mergeCells>
  <phoneticPr fontId="7" type="noConversion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產線級別數量統計表</vt:lpstr>
      <vt:lpstr>A1厂</vt:lpstr>
      <vt:lpstr>A2厂</vt:lpstr>
    </vt:vector>
  </TitlesOfParts>
  <Company>my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welcome</cp:lastModifiedBy>
  <cp:lastPrinted>2017-12-30T01:28:56Z</cp:lastPrinted>
  <dcterms:created xsi:type="dcterms:W3CDTF">2008-09-12T06:13:00Z</dcterms:created>
  <dcterms:modified xsi:type="dcterms:W3CDTF">2018-01-02T09:10:09Z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1033-10.2.0.5845</vt:lpwstr>
  </property>
</Properties>
</file>