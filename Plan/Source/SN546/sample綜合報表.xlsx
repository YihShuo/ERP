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45" windowWidth="12030" windowHeight="5205" tabRatio="854" firstSheet="5" activeTab="5"/>
  </bookViews>
  <sheets>
    <sheet name="目   錄" sheetId="1" r:id="rId1"/>
    <sheet name="1.月份產能總表" sheetId="2" r:id="rId2"/>
    <sheet name="2.1年度品牌報表" sheetId="4" r:id="rId3"/>
    <sheet name="2.2月份預計出貨數量" sheetId="18" r:id="rId4"/>
    <sheet name="3-1.人員刷卡出勤" sheetId="9" r:id="rId5"/>
    <sheet name="3.2.A1廠人均時產能-針車" sheetId="25" r:id="rId6"/>
    <sheet name="3.3.A2廠人均時產能-針車" sheetId="22" r:id="rId7"/>
    <sheet name="3.4 A1廠人均時產能-成型" sheetId="26" r:id="rId8"/>
    <sheet name="3.5.A2廠人均時產能-成型" sheetId="20" r:id="rId9"/>
    <sheet name="3.6.A廠總計產能" sheetId="27" r:id="rId10"/>
    <sheet name="3.7.A廠人員分攤POH產能" sheetId="23" r:id="rId11"/>
    <sheet name="5.1 全廠線均產能" sheetId="24" r:id="rId12"/>
  </sheets>
  <externalReferences>
    <externalReference r:id="rId13"/>
    <externalReference r:id="rId14"/>
  </externalReferences>
  <calcPr calcId="124519"/>
</workbook>
</file>

<file path=xl/calcChain.xml><?xml version="1.0" encoding="utf-8"?>
<calcChain xmlns="http://schemas.openxmlformats.org/spreadsheetml/2006/main">
  <c r="F20" i="24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E20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E19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E17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E16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E15"/>
  <c r="F13" l="1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E13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E12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E11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E9"/>
  <c r="F33" i="2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E3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E13"/>
  <c r="F23"/>
  <c r="G23"/>
  <c r="G8" i="24" s="1"/>
  <c r="H23" i="23"/>
  <c r="I23"/>
  <c r="J23"/>
  <c r="K23"/>
  <c r="K8" i="24" s="1"/>
  <c r="L23" i="23"/>
  <c r="M23"/>
  <c r="N23"/>
  <c r="O23"/>
  <c r="O8" i="24" s="1"/>
  <c r="P23" i="23"/>
  <c r="Q23"/>
  <c r="R23"/>
  <c r="S23"/>
  <c r="S8" i="24" s="1"/>
  <c r="T23" i="23"/>
  <c r="U23"/>
  <c r="V23"/>
  <c r="W23"/>
  <c r="W8" i="24" s="1"/>
  <c r="X23" i="23"/>
  <c r="Y23"/>
  <c r="Z23"/>
  <c r="AA23"/>
  <c r="AA8" i="24" s="1"/>
  <c r="AB23" i="23"/>
  <c r="AC23"/>
  <c r="AD23"/>
  <c r="AE23"/>
  <c r="AE8" i="24" s="1"/>
  <c r="AF23" i="23"/>
  <c r="AG23"/>
  <c r="AH23"/>
  <c r="AI23"/>
  <c r="AI8" i="24" s="1"/>
  <c r="E23" i="23"/>
  <c r="E8" i="24" s="1"/>
  <c r="F8"/>
  <c r="H8"/>
  <c r="I8"/>
  <c r="J8"/>
  <c r="L8"/>
  <c r="M8"/>
  <c r="N8"/>
  <c r="P8"/>
  <c r="Q8"/>
  <c r="R8"/>
  <c r="T8"/>
  <c r="U8"/>
  <c r="V8"/>
  <c r="X8"/>
  <c r="Y8"/>
  <c r="Z8"/>
  <c r="AB8"/>
  <c r="AC8"/>
  <c r="AD8"/>
  <c r="AF8"/>
  <c r="AG8"/>
  <c r="AH8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E7"/>
  <c r="F5" l="1"/>
  <c r="F6" s="1"/>
  <c r="G5"/>
  <c r="G6" s="1"/>
  <c r="H5"/>
  <c r="I5"/>
  <c r="J5"/>
  <c r="J6" s="1"/>
  <c r="K5"/>
  <c r="K6" s="1"/>
  <c r="L5"/>
  <c r="M5"/>
  <c r="N5"/>
  <c r="N6" s="1"/>
  <c r="O5"/>
  <c r="O6" s="1"/>
  <c r="P5"/>
  <c r="Q5"/>
  <c r="R5"/>
  <c r="S5"/>
  <c r="T5"/>
  <c r="U5"/>
  <c r="V5"/>
  <c r="W5"/>
  <c r="X5"/>
  <c r="Y5"/>
  <c r="Z5"/>
  <c r="Z6" s="1"/>
  <c r="AA5"/>
  <c r="AA6" s="1"/>
  <c r="AB5"/>
  <c r="AC5"/>
  <c r="AD5"/>
  <c r="AD6" s="1"/>
  <c r="AE5"/>
  <c r="AE6" s="1"/>
  <c r="AF5"/>
  <c r="AG5"/>
  <c r="AH5"/>
  <c r="AH6" s="1"/>
  <c r="AI5"/>
  <c r="AI6" s="1"/>
  <c r="E5"/>
  <c r="D13" i="23"/>
  <c r="C13"/>
  <c r="C12"/>
  <c r="D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E1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E3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E22"/>
  <c r="C11"/>
  <c r="D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E1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C30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E3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E2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C37"/>
  <c r="C38"/>
  <c r="C39"/>
  <c r="C40"/>
  <c r="C41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C36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C35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C34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C26"/>
  <c r="C27"/>
  <c r="C28"/>
  <c r="C29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C25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C24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C17"/>
  <c r="C18"/>
  <c r="C19"/>
  <c r="C20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C16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C15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C14"/>
  <c r="D14"/>
  <c r="E14"/>
  <c r="C10"/>
  <c r="D10"/>
  <c r="C9"/>
  <c r="D9"/>
  <c r="C8"/>
  <c r="D8"/>
  <c r="C7"/>
  <c r="D7"/>
  <c r="C6"/>
  <c r="D6"/>
  <c r="C5"/>
  <c r="D5"/>
  <c r="C4"/>
  <c r="D4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I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E5"/>
  <c r="E6"/>
  <c r="E7"/>
  <c r="E8"/>
  <c r="E9"/>
  <c r="E10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E4"/>
  <c r="I6" i="24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E18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E14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E10"/>
  <c r="P6"/>
  <c r="W6"/>
  <c r="AB6"/>
  <c r="AC6"/>
  <c r="AF6"/>
  <c r="AG6"/>
  <c r="H6"/>
  <c r="L6"/>
  <c r="M6"/>
  <c r="Q6"/>
  <c r="R6"/>
  <c r="S6"/>
  <c r="T6"/>
  <c r="U6"/>
  <c r="V6"/>
  <c r="X6"/>
  <c r="Y6"/>
  <c r="E6"/>
  <c r="D21" i="23" l="1"/>
  <c r="D22"/>
  <c r="D31"/>
  <c r="D32"/>
  <c r="D33" s="1"/>
  <c r="C31"/>
  <c r="D23"/>
  <c r="C32"/>
  <c r="C33" s="1"/>
  <c r="C21"/>
  <c r="C23" s="1"/>
  <c r="C22"/>
  <c r="D16" i="24"/>
  <c r="D15"/>
  <c r="D14"/>
  <c r="D8"/>
  <c r="D12"/>
  <c r="D11"/>
  <c r="D10"/>
  <c r="D7"/>
  <c r="D20"/>
  <c r="D19"/>
  <c r="D6"/>
  <c r="D18"/>
  <c r="D5"/>
  <c r="D9"/>
  <c r="D37"/>
  <c r="D33"/>
  <c r="D32"/>
  <c r="B30"/>
  <c r="D29"/>
  <c r="D28"/>
  <c r="D26"/>
  <c r="D25"/>
  <c r="D24"/>
  <c r="D22"/>
  <c r="B17"/>
  <c r="B34" s="1"/>
  <c r="D36" l="1"/>
  <c r="D23"/>
  <c r="D13"/>
  <c r="D27"/>
  <c r="D35" l="1"/>
  <c r="D17"/>
  <c r="D30"/>
  <c r="D31"/>
  <c r="D34"/>
</calcChain>
</file>

<file path=xl/sharedStrings.xml><?xml version="1.0" encoding="utf-8"?>
<sst xmlns="http://schemas.openxmlformats.org/spreadsheetml/2006/main" count="1039" uniqueCount="302">
  <si>
    <t>序號</t>
  </si>
  <si>
    <t>備注</t>
  </si>
  <si>
    <t>項目</t>
  </si>
  <si>
    <t>實際產量</t>
  </si>
  <si>
    <t>回到首頁</t>
  </si>
  <si>
    <t>10月</t>
  </si>
  <si>
    <t>11月</t>
  </si>
  <si>
    <t>12月</t>
  </si>
  <si>
    <t>01月</t>
  </si>
  <si>
    <t>02月</t>
  </si>
  <si>
    <t>03月</t>
  </si>
  <si>
    <t>04月</t>
  </si>
  <si>
    <t>05月</t>
  </si>
  <si>
    <t>06月</t>
  </si>
  <si>
    <t>07月</t>
  </si>
  <si>
    <t>08月</t>
  </si>
  <si>
    <t>09月</t>
  </si>
  <si>
    <t>小計</t>
  </si>
  <si>
    <t>1.月份產能總表</t>
    <phoneticPr fontId="33" type="noConversion"/>
  </si>
  <si>
    <t>客人</t>
  </si>
  <si>
    <t>品牌</t>
    <phoneticPr fontId="6" type="noConversion"/>
  </si>
  <si>
    <t>出貨階段</t>
    <phoneticPr fontId="6" type="noConversion"/>
  </si>
  <si>
    <t>各品牌月份預計出貨</t>
    <phoneticPr fontId="31" type="noConversion"/>
  </si>
  <si>
    <r>
      <t>2017</t>
    </r>
    <r>
      <rPr>
        <b/>
        <sz val="18"/>
        <color indexed="12"/>
        <rFont val="細明體"/>
        <family val="3"/>
        <charset val="136"/>
      </rPr>
      <t>年綜合報表目錄</t>
    </r>
    <phoneticPr fontId="32" type="noConversion"/>
  </si>
  <si>
    <t>單位項目</t>
    <phoneticPr fontId="2" type="noConversion"/>
  </si>
  <si>
    <t>接單雙數</t>
  </si>
  <si>
    <t>提前生產</t>
  </si>
  <si>
    <t>欠數</t>
  </si>
  <si>
    <t>備註：</t>
  </si>
  <si>
    <t>Converse</t>
  </si>
  <si>
    <t>CONS外銷</t>
    <phoneticPr fontId="2" type="noConversion"/>
  </si>
  <si>
    <t>完成雙數</t>
    <phoneticPr fontId="2" type="noConversion"/>
  </si>
  <si>
    <t>CONS內銷</t>
    <phoneticPr fontId="2" type="noConversion"/>
  </si>
  <si>
    <t>實際產量</t>
    <phoneticPr fontId="2" type="noConversion"/>
  </si>
  <si>
    <t>目標與實際差異</t>
    <phoneticPr fontId="2" type="noConversion"/>
  </si>
  <si>
    <t>標準與實際差異</t>
    <phoneticPr fontId="2" type="noConversion"/>
  </si>
  <si>
    <t>目標與實際達成率</t>
    <phoneticPr fontId="2" type="noConversion"/>
  </si>
  <si>
    <t>實際出貨數</t>
  </si>
  <si>
    <t>差異數</t>
    <phoneticPr fontId="31" type="noConversion"/>
  </si>
  <si>
    <t>預計出貨數</t>
  </si>
  <si>
    <r>
      <t>2017</t>
    </r>
    <r>
      <rPr>
        <b/>
        <sz val="16"/>
        <color indexed="30"/>
        <rFont val="細明體"/>
        <family val="3"/>
        <charset val="136"/>
      </rPr>
      <t>年度品牌接單生產報表</t>
    </r>
    <r>
      <rPr>
        <b/>
        <sz val="16"/>
        <color indexed="30"/>
        <rFont val="Calibri"/>
        <family val="2"/>
      </rPr>
      <t>-</t>
    </r>
    <r>
      <rPr>
        <b/>
        <sz val="16"/>
        <color indexed="30"/>
        <rFont val="細明體"/>
        <family val="3"/>
        <charset val="136"/>
      </rPr>
      <t>每天更新（以月份訂單統計）</t>
    </r>
    <phoneticPr fontId="7" type="noConversion"/>
  </si>
  <si>
    <t>2.2月份預計出貨數量</t>
    <phoneticPr fontId="31" type="noConversion"/>
  </si>
  <si>
    <t>2.1年度品牌報表</t>
    <phoneticPr fontId="31" type="noConversion"/>
  </si>
  <si>
    <t>項目</t>
    <phoneticPr fontId="37" type="noConversion"/>
  </si>
  <si>
    <t>總計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</si>
  <si>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</si>
  <si>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</si>
  <si>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</si>
  <si>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</si>
  <si>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</si>
  <si>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</si>
  <si>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</si>
  <si>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</si>
  <si>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Total</t>
  </si>
  <si>
    <t>3月份</t>
    <phoneticPr fontId="6" type="noConversion"/>
  </si>
  <si>
    <t>2017年度03月份產量達成狀況明細表</t>
    <phoneticPr fontId="31" type="noConversion"/>
  </si>
  <si>
    <t>總計</t>
    <phoneticPr fontId="31" type="noConversion"/>
  </si>
  <si>
    <t>日平均</t>
    <phoneticPr fontId="31" type="noConversion"/>
  </si>
  <si>
    <t>標準產量</t>
    <phoneticPr fontId="31" type="noConversion"/>
  </si>
  <si>
    <t>A1廠成型</t>
    <phoneticPr fontId="31" type="noConversion"/>
  </si>
  <si>
    <t>A1廠BB鞋</t>
    <phoneticPr fontId="31" type="noConversion"/>
  </si>
  <si>
    <t>A廠區小計</t>
    <phoneticPr fontId="31" type="noConversion"/>
  </si>
  <si>
    <t>目標產量</t>
    <phoneticPr fontId="2" type="noConversion"/>
  </si>
  <si>
    <t>A2廠成型</t>
    <phoneticPr fontId="31" type="noConversion"/>
  </si>
  <si>
    <t>標準與實際達成率</t>
    <phoneticPr fontId="2" type="noConversion"/>
  </si>
  <si>
    <t>目標產量</t>
    <phoneticPr fontId="31" type="noConversion"/>
  </si>
  <si>
    <t>實際產量</t>
    <phoneticPr fontId="31" type="noConversion"/>
  </si>
  <si>
    <t>目標產量</t>
    <phoneticPr fontId="31" type="noConversion"/>
  </si>
  <si>
    <t>實際產量</t>
    <phoneticPr fontId="31" type="noConversion"/>
  </si>
  <si>
    <t>目標與實際差異</t>
    <phoneticPr fontId="2" type="noConversion"/>
  </si>
  <si>
    <t>標準與實際差異</t>
    <phoneticPr fontId="2" type="noConversion"/>
  </si>
  <si>
    <t>目標與實際達成率</t>
    <phoneticPr fontId="2" type="noConversion"/>
  </si>
  <si>
    <t>標準與實際達成率</t>
    <phoneticPr fontId="2" type="noConversion"/>
  </si>
  <si>
    <t>目標與實際差異</t>
    <phoneticPr fontId="31" type="noConversion"/>
  </si>
  <si>
    <t>標準與實際差異</t>
    <phoneticPr fontId="31" type="noConversion"/>
  </si>
  <si>
    <t>目標與實際達成率</t>
    <phoneticPr fontId="31" type="noConversion"/>
  </si>
  <si>
    <t>標準與實際達成率</t>
    <phoneticPr fontId="31" type="noConversion"/>
  </si>
  <si>
    <t>單位:雙</t>
  </si>
  <si>
    <t>廠別</t>
  </si>
  <si>
    <t>線數</t>
  </si>
  <si>
    <t>平均</t>
  </si>
  <si>
    <t>A1成型</t>
  </si>
  <si>
    <t>線均產量</t>
  </si>
  <si>
    <t>線均時產</t>
    <phoneticPr fontId="118" type="noConversion"/>
  </si>
  <si>
    <t>人均時產</t>
    <phoneticPr fontId="31" type="noConversion"/>
  </si>
  <si>
    <t>A2成型</t>
  </si>
  <si>
    <t>BB</t>
  </si>
  <si>
    <t>A廠成型</t>
    <phoneticPr fontId="31" type="noConversion"/>
  </si>
  <si>
    <t>B1成型</t>
  </si>
  <si>
    <t>B7成型</t>
    <phoneticPr fontId="7" type="noConversion"/>
  </si>
  <si>
    <t>B廠成型</t>
    <phoneticPr fontId="31" type="noConversion"/>
  </si>
  <si>
    <t>全廠成型</t>
  </si>
  <si>
    <t>線均時產</t>
    <phoneticPr fontId="118" type="noConversion"/>
  </si>
  <si>
    <t>5.1.全廠線均產能</t>
    <phoneticPr fontId="31" type="noConversion"/>
  </si>
  <si>
    <t>2017年03月各廠線均，人均產量狀況表</t>
    <phoneticPr fontId="37" type="noConversion"/>
  </si>
  <si>
    <t>2017/03月針車人均時產能報表</t>
    <phoneticPr fontId="31" type="noConversion"/>
  </si>
  <si>
    <t>Lean線</t>
    <phoneticPr fontId="37" type="noConversion"/>
  </si>
  <si>
    <t>日平均</t>
    <phoneticPr fontId="37" type="noConversion"/>
  </si>
  <si>
    <t>3-1.人員刷卡出勤</t>
    <phoneticPr fontId="31" type="noConversion"/>
  </si>
  <si>
    <t>A2</t>
    <phoneticPr fontId="37" type="noConversion"/>
  </si>
  <si>
    <t>BB</t>
    <phoneticPr fontId="37" type="noConversion"/>
  </si>
  <si>
    <t>Lean線</t>
    <phoneticPr fontId="37" type="noConversion"/>
  </si>
  <si>
    <t>總計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</si>
  <si>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</si>
  <si>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</si>
  <si>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</si>
  <si>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A1</t>
    <phoneticPr fontId="37" type="noConversion"/>
  </si>
  <si>
    <t>標準產量</t>
    <phoneticPr fontId="37" type="noConversion"/>
  </si>
  <si>
    <t>標準產量</t>
    <phoneticPr fontId="37" type="noConversion"/>
  </si>
  <si>
    <t>03月人事刷卡出勤報表</t>
  </si>
  <si>
    <t>廠別</t>
    <phoneticPr fontId="37" type="noConversion"/>
  </si>
  <si>
    <t>刷卡總數</t>
  </si>
  <si>
    <t>刷卡直工</t>
  </si>
  <si>
    <t>刷卡間工</t>
  </si>
  <si>
    <t>VP</t>
  </si>
  <si>
    <t>R3</t>
  </si>
  <si>
    <t>R2</t>
  </si>
  <si>
    <t>R1</t>
  </si>
  <si>
    <t>GC</t>
  </si>
  <si>
    <t>BR2</t>
  </si>
  <si>
    <t>BR1</t>
  </si>
  <si>
    <t>BP</t>
  </si>
  <si>
    <t>B7</t>
  </si>
  <si>
    <t>B6</t>
  </si>
  <si>
    <t>B1</t>
  </si>
  <si>
    <t>B</t>
  </si>
  <si>
    <t>A2</t>
  </si>
  <si>
    <t>A1A2</t>
  </si>
  <si>
    <t>A1</t>
  </si>
  <si>
    <t>總計</t>
    <phoneticPr fontId="31" type="noConversion"/>
  </si>
  <si>
    <t>廠內分攤</t>
    <phoneticPr fontId="37" type="noConversion"/>
  </si>
  <si>
    <t>廠外分攤</t>
    <phoneticPr fontId="37" type="noConversion"/>
  </si>
  <si>
    <t>3.2.A1廠人均時產能-針車</t>
    <phoneticPr fontId="31" type="noConversion"/>
  </si>
  <si>
    <t>3.3.A2廠人均時產能-針車</t>
    <phoneticPr fontId="31" type="noConversion"/>
  </si>
  <si>
    <t>3.4.A1廠人均時產能-成型</t>
    <phoneticPr fontId="31" type="noConversion"/>
  </si>
  <si>
    <t>3.5.A2廠人均時產能-成型</t>
    <phoneticPr fontId="31" type="noConversion"/>
  </si>
  <si>
    <t>3.6.A廠總計產能</t>
    <phoneticPr fontId="31" type="noConversion"/>
  </si>
  <si>
    <t>3.7.A廠人員分攤POH產能</t>
    <phoneticPr fontId="31" type="noConversion"/>
  </si>
  <si>
    <t>Lean線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</si>
  <si>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</si>
  <si>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</si>
  <si>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</si>
  <si>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</si>
  <si>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</si>
  <si>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</si>
  <si>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</si>
  <si>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</si>
  <si>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A2_LEAN1-01_M</t>
    <phoneticPr fontId="37" type="noConversion"/>
  </si>
  <si>
    <t>A2_LEAN1-02_M</t>
    <phoneticPr fontId="37" type="noConversion"/>
  </si>
  <si>
    <t>A2_LEAN1-03_M</t>
    <phoneticPr fontId="37" type="noConversion"/>
  </si>
  <si>
    <t>A2_LEAN1-04_M</t>
    <phoneticPr fontId="37" type="noConversion"/>
  </si>
  <si>
    <t>A2_LEAN1-05_M</t>
    <phoneticPr fontId="37" type="noConversion"/>
  </si>
  <si>
    <t>A2_LEAN2-06_M</t>
    <phoneticPr fontId="37" type="noConversion"/>
  </si>
  <si>
    <t>A2_LEAN2-07_M</t>
    <phoneticPr fontId="37" type="noConversion"/>
  </si>
  <si>
    <t>A2_LEAN2-08_M</t>
    <phoneticPr fontId="37" type="noConversion"/>
  </si>
  <si>
    <t>A2_LEAN2-09_M</t>
    <phoneticPr fontId="37" type="noConversion"/>
  </si>
  <si>
    <t>A2_LEAN2-10_M</t>
    <phoneticPr fontId="37" type="noConversion"/>
  </si>
  <si>
    <t>A2_LEAN2-11_M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</si>
  <si>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</si>
  <si>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</si>
  <si>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</si>
  <si>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</si>
  <si>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</si>
  <si>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</si>
  <si>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</si>
  <si>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A2_LEAN3-12_M</t>
    <phoneticPr fontId="37" type="noConversion"/>
  </si>
  <si>
    <t>標準產量</t>
    <phoneticPr fontId="37" type="noConversion"/>
  </si>
  <si>
    <t>A2_LEAN3-13_M</t>
    <phoneticPr fontId="37" type="noConversion"/>
  </si>
  <si>
    <t>A2_LEAN3-14_M</t>
    <phoneticPr fontId="37" type="noConversion"/>
  </si>
  <si>
    <t>A2_LEAN3-15_M</t>
    <phoneticPr fontId="37" type="noConversion"/>
  </si>
  <si>
    <t>A2_LEAN3-16_M</t>
    <phoneticPr fontId="37" type="noConversion"/>
  </si>
  <si>
    <t>A2_LEAN3-17_M</t>
    <phoneticPr fontId="37" type="noConversion"/>
  </si>
  <si>
    <t>2017/03月成型人均時產能報表</t>
    <phoneticPr fontId="31" type="noConversion"/>
  </si>
  <si>
    <t>Lean線</t>
    <phoneticPr fontId="37" type="noConversion"/>
  </si>
  <si>
    <t>項目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</si>
  <si>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</si>
  <si>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</si>
  <si>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</si>
  <si>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</si>
  <si>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</si>
  <si>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</si>
  <si>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</si>
  <si>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</si>
  <si>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A2_LEAN1-01_G</t>
    <phoneticPr fontId="37" type="noConversion"/>
  </si>
  <si>
    <t>A2_LEAN1-02_G</t>
    <phoneticPr fontId="37" type="noConversion"/>
  </si>
  <si>
    <t>A2_LEAN1-03_G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</si>
  <si>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</si>
  <si>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</si>
  <si>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</si>
  <si>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</si>
  <si>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</si>
  <si>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</si>
  <si>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</si>
  <si>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</si>
  <si>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A2_LEAN1-04_G</t>
    <phoneticPr fontId="37" type="noConversion"/>
  </si>
  <si>
    <t>A2_LEAN1-05_G</t>
    <phoneticPr fontId="37" type="noConversion"/>
  </si>
  <si>
    <t>A2_LEAN2-06_G</t>
    <phoneticPr fontId="37" type="noConversion"/>
  </si>
  <si>
    <t>A2_LEAN2-07_G</t>
    <phoneticPr fontId="37" type="noConversion"/>
  </si>
  <si>
    <t>A2_LEAN2-08_G</t>
    <phoneticPr fontId="37" type="noConversion"/>
  </si>
  <si>
    <t>A2_LEAN2-09_G</t>
    <phoneticPr fontId="37" type="noConversion"/>
  </si>
  <si>
    <t>A2_LEAN2-10_G</t>
    <phoneticPr fontId="37" type="noConversion"/>
  </si>
  <si>
    <t>A2_LEAN2-11_G</t>
    <phoneticPr fontId="37" type="noConversion"/>
  </si>
  <si>
    <t>A2_LEAN3-12_G</t>
    <phoneticPr fontId="37" type="noConversion"/>
  </si>
  <si>
    <t>A2_LEAN3-13_G</t>
    <phoneticPr fontId="37" type="noConversion"/>
  </si>
  <si>
    <t>A2_LEAN3-14_G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</si>
  <si>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</si>
  <si>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</si>
  <si>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</si>
  <si>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A2_LEAN3-15_G</t>
    <phoneticPr fontId="37" type="noConversion"/>
  </si>
  <si>
    <t>A2_LEAN3-16_G</t>
    <phoneticPr fontId="37" type="noConversion"/>
  </si>
  <si>
    <t>A2_LEAN3-17_G</t>
    <phoneticPr fontId="37" type="noConversion"/>
  </si>
  <si>
    <t>差異</t>
    <phoneticPr fontId="37" type="noConversion"/>
  </si>
  <si>
    <t>2017/03月成型人均時產能報表</t>
    <phoneticPr fontId="31" type="noConversion"/>
  </si>
  <si>
    <t>日平均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</si>
  <si>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</si>
  <si>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</si>
  <si>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</si>
  <si>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時產能</t>
    <phoneticPr fontId="37" type="noConversion"/>
  </si>
  <si>
    <t>人均時產</t>
    <phoneticPr fontId="37" type="noConversion"/>
  </si>
  <si>
    <t>2017/03月A廠人員分攤POH產能</t>
    <phoneticPr fontId="31" type="noConversion"/>
  </si>
  <si>
    <t>廠內分攤</t>
    <phoneticPr fontId="37" type="noConversion"/>
  </si>
  <si>
    <t>廠外分攤</t>
    <phoneticPr fontId="37" type="noConversion"/>
  </si>
  <si>
    <t>時產能</t>
    <phoneticPr fontId="37" type="noConversion"/>
  </si>
  <si>
    <t>廠內分攤</t>
    <phoneticPr fontId="37" type="noConversion"/>
  </si>
  <si>
    <t>廠外分攤</t>
    <phoneticPr fontId="37" type="noConversion"/>
  </si>
  <si>
    <t>2017/03月成型人均時產能報表</t>
    <phoneticPr fontId="31" type="noConversion"/>
  </si>
  <si>
    <t>Lean線</t>
    <phoneticPr fontId="37" type="noConversion"/>
  </si>
  <si>
    <t>項目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</si>
  <si>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</si>
  <si>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</si>
  <si>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</si>
  <si>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</si>
  <si>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</si>
  <si>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</si>
  <si>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</si>
  <si>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</si>
  <si>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A1_LEAN1-01_G</t>
    <phoneticPr fontId="37" type="noConversion"/>
  </si>
  <si>
    <t>A1_LEAN1-02_G</t>
    <phoneticPr fontId="37" type="noConversion"/>
  </si>
  <si>
    <t>A1_LEAN1-03_G</t>
    <phoneticPr fontId="37" type="noConversion"/>
  </si>
  <si>
    <t>A1_LEAN1-04_G</t>
    <phoneticPr fontId="37" type="noConversion"/>
  </si>
  <si>
    <t>A1_LEAN2-05_G</t>
    <phoneticPr fontId="37" type="noConversion"/>
  </si>
  <si>
    <t>A1_LEAN2-06_G</t>
    <phoneticPr fontId="37" type="noConversion"/>
  </si>
  <si>
    <t>A1_LEAN2-07_G</t>
    <phoneticPr fontId="37" type="noConversion"/>
  </si>
  <si>
    <t>A1_LEAN2-08_G</t>
    <phoneticPr fontId="37" type="noConversion"/>
  </si>
  <si>
    <t>A1_LEAN3-09_G</t>
    <phoneticPr fontId="37" type="noConversion"/>
  </si>
  <si>
    <t>A1_LEAN3-10_G</t>
    <phoneticPr fontId="37" type="noConversion"/>
  </si>
  <si>
    <t>A1_LEAN3-11_G</t>
    <phoneticPr fontId="37" type="noConversion"/>
  </si>
  <si>
    <t>A1_LEAN3-12_G</t>
    <phoneticPr fontId="37" type="noConversion"/>
  </si>
  <si>
    <t>A1_LEAN4-13_G</t>
    <phoneticPr fontId="37" type="noConversion"/>
  </si>
  <si>
    <t>A1_LEAN4-14_G</t>
    <phoneticPr fontId="37" type="noConversion"/>
  </si>
  <si>
    <t>A1_LEAN4-15_G</t>
    <phoneticPr fontId="37" type="noConversion"/>
  </si>
  <si>
    <t>A1_LEAN4-16_G</t>
    <phoneticPr fontId="37" type="noConversion"/>
  </si>
  <si>
    <t>A1_LEAN5-17_G</t>
    <phoneticPr fontId="37" type="noConversion"/>
  </si>
  <si>
    <t>工時</t>
    <phoneticPr fontId="37" type="noConversion"/>
  </si>
  <si>
    <t>A1_LEAN5-18_G</t>
    <phoneticPr fontId="37" type="noConversion"/>
  </si>
  <si>
    <t>A1_LEAN5-19_G</t>
    <phoneticPr fontId="37" type="noConversion"/>
  </si>
  <si>
    <t>A1_LEAN5-20_G</t>
    <phoneticPr fontId="37" type="noConversion"/>
  </si>
  <si>
    <t>A1_LEAN5-21_G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</si>
  <si>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</si>
  <si>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</si>
  <si>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</si>
  <si>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</si>
  <si>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</si>
  <si>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</si>
  <si>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</si>
  <si>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</si>
  <si>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A1_LEAN1-01_M</t>
    <phoneticPr fontId="37" type="noConversion"/>
  </si>
  <si>
    <t>A1_LEAN1-02_M</t>
    <phoneticPr fontId="37" type="noConversion"/>
  </si>
  <si>
    <t>A1_LEAN1-03_M</t>
    <phoneticPr fontId="37" type="noConversion"/>
  </si>
  <si>
    <t>A1_LEAN1-04_M</t>
    <phoneticPr fontId="37" type="noConversion"/>
  </si>
  <si>
    <t>A1_LEAN2-05_M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</si>
  <si>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</si>
  <si>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</si>
  <si>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</si>
  <si>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</si>
  <si>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</si>
  <si>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時產能</t>
    <phoneticPr fontId="37" type="noConversion"/>
  </si>
  <si>
    <t>人均時產</t>
    <phoneticPr fontId="37" type="noConversion"/>
  </si>
  <si>
    <t>A1_LEAN2-06_M</t>
    <phoneticPr fontId="37" type="noConversion"/>
  </si>
  <si>
    <t>標準產量</t>
    <phoneticPr fontId="37" type="noConversion"/>
  </si>
  <si>
    <t>A1_LEAN2-07_M</t>
    <phoneticPr fontId="37" type="noConversion"/>
  </si>
  <si>
    <t>A1_LEAN2-08_M</t>
    <phoneticPr fontId="37" type="noConversion"/>
  </si>
  <si>
    <t>A1_LEAN3-09_M</t>
    <phoneticPr fontId="37" type="noConversion"/>
  </si>
  <si>
    <t>A1_LEAN3-10_M</t>
    <phoneticPr fontId="37" type="noConversion"/>
  </si>
  <si>
    <t>A1_LEAN3-11_M</t>
    <phoneticPr fontId="37" type="noConversion"/>
  </si>
  <si>
    <t>A1_LEAN3-12_M</t>
    <phoneticPr fontId="37" type="noConversion"/>
  </si>
  <si>
    <t>A1_LEAN4-13_M</t>
    <phoneticPr fontId="37" type="noConversion"/>
  </si>
  <si>
    <t>A1_LEAN4-14_M</t>
    <phoneticPr fontId="37" type="noConversion"/>
  </si>
  <si>
    <t>A1_LEAN4-15_M</t>
    <phoneticPr fontId="37" type="noConversion"/>
  </si>
  <si>
    <t>A1_LEAN4-16_M</t>
    <phoneticPr fontId="37" type="noConversion"/>
  </si>
  <si>
    <t>A1_LEAN5-17_M</t>
    <phoneticPr fontId="37" type="noConversion"/>
  </si>
  <si>
    <t>工時</t>
    <phoneticPr fontId="37" type="noConversion"/>
  </si>
  <si>
    <t>A1_LEAN5-18_M</t>
    <phoneticPr fontId="37" type="noConversion"/>
  </si>
  <si>
    <t>標準產量</t>
    <phoneticPr fontId="37" type="noConversion"/>
  </si>
  <si>
    <t>目標產量</t>
    <phoneticPr fontId="37" type="noConversion"/>
  </si>
  <si>
    <t>實際產量</t>
    <phoneticPr fontId="37" type="noConversion"/>
  </si>
  <si>
    <t>差異</t>
    <phoneticPr fontId="37" type="noConversion"/>
  </si>
  <si>
    <t>工時</t>
    <phoneticPr fontId="37" type="noConversion"/>
  </si>
  <si>
    <t>直工人數</t>
    <phoneticPr fontId="37" type="noConversion"/>
  </si>
  <si>
    <t>A1_LEAN5-19_M</t>
    <phoneticPr fontId="37" type="noConversion"/>
  </si>
  <si>
    <t>A1_LEAN5-20_M</t>
    <phoneticPr fontId="37" type="noConversion"/>
  </si>
  <si>
    <t>A1_LEAN5-21_M</t>
    <phoneticPr fontId="37" type="noConversion"/>
  </si>
</sst>
</file>

<file path=xl/styles.xml><?xml version="1.0" encoding="utf-8"?>
<styleSheet xmlns="http://schemas.openxmlformats.org/spreadsheetml/2006/main">
  <numFmts count="13"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_-* #,##0_-;\-* #,##0_-;_-* &quot;-&quot;??_-;_-@_-"/>
    <numFmt numFmtId="179" formatCode="m/d;@"/>
    <numFmt numFmtId="180" formatCode="0;_쐀"/>
    <numFmt numFmtId="181" formatCode="0;_Ѐ"/>
    <numFmt numFmtId="182" formatCode="0_ ;[Red]\-0\ "/>
    <numFmt numFmtId="183" formatCode="0.0"/>
    <numFmt numFmtId="184" formatCode="#,##0.0"/>
    <numFmt numFmtId="185" formatCode="General\%"/>
    <numFmt numFmtId="186" formatCode="#,##0.00_ "/>
    <numFmt numFmtId="187" formatCode="0.00_ "/>
  </numFmts>
  <fonts count="123">
    <font>
      <sz val="11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2"/>
      <color indexed="8"/>
      <name val="!Ps2OcuAe"/>
      <family val="1"/>
      <charset val="136"/>
    </font>
    <font>
      <b/>
      <sz val="18"/>
      <color indexed="12"/>
      <name val="!Ps2OcuAe"/>
      <family val="1"/>
      <charset val="136"/>
    </font>
    <font>
      <sz val="18"/>
      <color indexed="8"/>
      <name val="¡Ps2OcuAe"/>
      <family val="3"/>
      <charset val="134"/>
    </font>
    <font>
      <sz val="12"/>
      <color indexed="18"/>
      <name val="¡Ps2OcuAe"/>
      <family val="3"/>
      <charset val="134"/>
    </font>
    <font>
      <sz val="12"/>
      <color indexed="8"/>
      <name val="¡Ps2OcuAe"/>
      <family val="3"/>
      <charset val="134"/>
    </font>
    <font>
      <b/>
      <sz val="12"/>
      <color indexed="12"/>
      <name val="!Ps2OcuAe"/>
      <family val="1"/>
      <charset val="136"/>
    </font>
    <font>
      <u/>
      <sz val="12"/>
      <color indexed="12"/>
      <name val="!Ps2OcuAe"/>
      <family val="1"/>
      <charset val="136"/>
    </font>
    <font>
      <u/>
      <sz val="12"/>
      <color indexed="12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12"/>
      <name val="新細明體"/>
      <family val="1"/>
      <charset val="136"/>
    </font>
    <font>
      <sz val="10"/>
      <color indexed="14"/>
      <name val="新細明體"/>
      <family val="1"/>
      <charset val="136"/>
    </font>
    <font>
      <b/>
      <sz val="10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b/>
      <sz val="16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0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sz val="12"/>
      <color indexed="8"/>
      <name val="????"/>
      <family val="1"/>
      <charset val="136"/>
    </font>
    <font>
      <sz val="12"/>
      <name val="Times New Roman"/>
      <family val="1"/>
    </font>
    <font>
      <b/>
      <sz val="18"/>
      <color indexed="12"/>
      <name val="細明體"/>
      <family val="3"/>
      <charset val="136"/>
    </font>
    <font>
      <sz val="9"/>
      <name val="新細明體"/>
      <family val="1"/>
      <charset val="136"/>
    </font>
    <font>
      <sz val="9"/>
      <name val="!Ps2OcuAe"/>
      <family val="1"/>
      <charset val="136"/>
    </font>
    <font>
      <sz val="9"/>
      <name val="新細明體"/>
      <family val="1"/>
      <charset val="136"/>
    </font>
    <font>
      <b/>
      <sz val="16"/>
      <color indexed="30"/>
      <name val="Calibri"/>
      <family val="2"/>
    </font>
    <font>
      <sz val="10"/>
      <color rgb="FFFF00FF"/>
      <name val="新細明體"/>
      <family val="1"/>
      <charset val="136"/>
    </font>
    <font>
      <sz val="11"/>
      <color indexed="8"/>
      <name val="Arial"/>
      <family val="2"/>
    </font>
    <font>
      <sz val="9"/>
      <name val="細明體"/>
      <family val="3"/>
      <charset val="136"/>
    </font>
    <font>
      <sz val="12"/>
      <color indexed="18"/>
      <name val="細明體"/>
      <family val="3"/>
      <charset val="136"/>
    </font>
    <font>
      <sz val="12"/>
      <color indexed="8"/>
      <name val="¡Ps2OcuAe"/>
      <charset val="134"/>
    </font>
    <font>
      <sz val="12"/>
      <color indexed="8"/>
      <name val="!Ps2OcuAe"/>
      <family val="1"/>
    </font>
    <font>
      <sz val="12"/>
      <color indexed="8"/>
      <name val="·s²Ó©úÅé"/>
      <family val="2"/>
    </font>
    <font>
      <sz val="12"/>
      <name val="新細明體"/>
      <family val="1"/>
    </font>
    <font>
      <sz val="12"/>
      <color indexed="8"/>
      <name val="????"/>
      <family val="1"/>
    </font>
    <font>
      <sz val="12"/>
      <color indexed="8"/>
      <name val="·s²Ó©úÅé"/>
      <family val="2"/>
    </font>
    <font>
      <sz val="10"/>
      <color indexed="8"/>
      <name val="Arial"/>
      <family val="2"/>
    </font>
    <font>
      <sz val="12"/>
      <color indexed="8"/>
      <name val="·s²Ó©úÅé"/>
      <family val="1"/>
      <charset val="136"/>
    </font>
    <font>
      <sz val="12"/>
      <color indexed="8"/>
      <name val="¡Ps2OcuAe"/>
      <family val="1"/>
      <charset val="136"/>
    </font>
    <font>
      <sz val="11"/>
      <color indexed="8"/>
      <name val="!!OoE^"/>
      <family val="1"/>
    </font>
    <font>
      <sz val="11"/>
      <color indexed="9"/>
      <name val="!!OoE^"/>
      <family val="1"/>
    </font>
    <font>
      <sz val="11"/>
      <color indexed="17"/>
      <name val="§ºÊ^"/>
      <charset val="134"/>
    </font>
    <font>
      <sz val="11"/>
      <color indexed="17"/>
      <name val="宋体"/>
      <charset val="136"/>
    </font>
    <font>
      <sz val="11"/>
      <color indexed="17"/>
      <name val="¡±oE^"/>
      <charset val="134"/>
    </font>
    <font>
      <sz val="11"/>
      <color indexed="17"/>
      <name val="??"/>
      <family val="1"/>
    </font>
    <font>
      <sz val="11"/>
      <color indexed="17"/>
      <name val="!!OoE^"/>
      <family val="1"/>
    </font>
    <font>
      <sz val="11"/>
      <color indexed="17"/>
      <name val="!¡ÓoE^"/>
      <charset val="134"/>
    </font>
    <font>
      <sz val="12"/>
      <color indexed="8"/>
      <name val="VNI-Times"/>
    </font>
    <font>
      <sz val="11"/>
      <color indexed="20"/>
      <name val="!!OoE^"/>
      <family val="1"/>
    </font>
    <font>
      <sz val="11"/>
      <color indexed="20"/>
      <name val="§ºÊ^"/>
      <charset val="134"/>
    </font>
    <font>
      <sz val="11"/>
      <color indexed="20"/>
      <name val="宋体"/>
      <charset val="136"/>
    </font>
    <font>
      <sz val="11"/>
      <color indexed="20"/>
      <name val="¡±oE^"/>
      <charset val="134"/>
    </font>
    <font>
      <sz val="11"/>
      <color indexed="20"/>
      <name val="??"/>
      <family val="1"/>
    </font>
    <font>
      <sz val="11"/>
      <color indexed="20"/>
      <name val="!¡ÓoE^"/>
      <charset val="134"/>
    </font>
    <font>
      <sz val="11"/>
      <color indexed="60"/>
      <name val="!!OoE^"/>
      <family val="1"/>
    </font>
    <font>
      <i/>
      <sz val="11"/>
      <color indexed="23"/>
      <name val="!!OoE^"/>
      <family val="1"/>
    </font>
    <font>
      <sz val="11"/>
      <color indexed="62"/>
      <name val="!!OoE^"/>
      <family val="1"/>
    </font>
    <font>
      <b/>
      <sz val="11"/>
      <color indexed="63"/>
      <name val="!!OoE^"/>
      <family val="1"/>
    </font>
    <font>
      <sz val="11"/>
      <color indexed="10"/>
      <name val="!!OoE^"/>
      <family val="1"/>
    </font>
    <font>
      <b/>
      <sz val="18"/>
      <color indexed="56"/>
      <name val="!!OoE^"/>
      <family val="1"/>
    </font>
    <font>
      <b/>
      <sz val="15"/>
      <color indexed="56"/>
      <name val="!!OoE^"/>
      <family val="1"/>
    </font>
    <font>
      <b/>
      <sz val="13"/>
      <color indexed="56"/>
      <name val="!!OoE^"/>
      <family val="1"/>
    </font>
    <font>
      <b/>
      <sz val="11"/>
      <color indexed="56"/>
      <name val="!!OoE^"/>
      <family val="1"/>
    </font>
    <font>
      <b/>
      <sz val="18"/>
      <color indexed="56"/>
      <name val="§ºÊ^"/>
      <charset val="134"/>
    </font>
    <font>
      <b/>
      <sz val="11"/>
      <color indexed="9"/>
      <name val="!!OoE^"/>
      <family val="1"/>
    </font>
    <font>
      <b/>
      <sz val="11"/>
      <color indexed="8"/>
      <name val="!!OoE^"/>
      <family val="1"/>
    </font>
    <font>
      <b/>
      <sz val="11"/>
      <color indexed="52"/>
      <name val="!!OoE^"/>
      <family val="1"/>
    </font>
    <font>
      <sz val="11"/>
      <color indexed="52"/>
      <name val="!!OoE^"/>
      <family val="1"/>
    </font>
    <font>
      <sz val="12"/>
      <color theme="1"/>
      <name val="新細明體"/>
      <family val="2"/>
      <charset val="136"/>
      <scheme val="minor"/>
    </font>
    <font>
      <b/>
      <sz val="16"/>
      <color indexed="30"/>
      <name val="細明體"/>
      <family val="3"/>
      <charset val="136"/>
    </font>
    <font>
      <sz val="10"/>
      <color rgb="FFFF0000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color rgb="FFFF00FF"/>
      <name val="新細明體"/>
      <family val="1"/>
      <charset val="136"/>
    </font>
    <font>
      <sz val="10"/>
      <color indexed="8"/>
      <name val="細明體"/>
      <family val="3"/>
      <charset val="136"/>
    </font>
    <font>
      <b/>
      <sz val="2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8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i/>
      <sz val="11"/>
      <color indexed="8"/>
      <name val="Calibri"/>
      <family val="2"/>
    </font>
    <font>
      <i/>
      <sz val="8"/>
      <color rgb="FFFF0000"/>
      <name val="新細明體"/>
      <family val="1"/>
      <charset val="136"/>
      <scheme val="minor"/>
    </font>
    <font>
      <sz val="8"/>
      <color rgb="FFFF0000"/>
      <name val="新細明體"/>
      <family val="1"/>
      <charset val="136"/>
      <scheme val="minor"/>
    </font>
    <font>
      <b/>
      <i/>
      <sz val="8"/>
      <color rgb="FFFF0000"/>
      <name val="新細明體"/>
      <family val="1"/>
      <charset val="136"/>
      <scheme val="minor"/>
    </font>
    <font>
      <b/>
      <sz val="8"/>
      <color rgb="FFFF0000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b/>
      <u/>
      <sz val="20"/>
      <color indexed="10"/>
      <name val="細明體"/>
      <family val="3"/>
      <charset val="136"/>
    </font>
    <font>
      <b/>
      <sz val="8"/>
      <color rgb="FF000000"/>
      <name val="新細明體"/>
      <family val="1"/>
      <charset val="136"/>
      <scheme val="minor"/>
    </font>
    <font>
      <sz val="8"/>
      <color rgb="FF000000"/>
      <name val="新細明體"/>
      <family val="1"/>
      <charset val="136"/>
      <scheme val="minor"/>
    </font>
    <font>
      <i/>
      <sz val="8"/>
      <color rgb="FF000000"/>
      <name val="新細明體"/>
      <family val="1"/>
      <charset val="136"/>
      <scheme val="minor"/>
    </font>
    <font>
      <b/>
      <i/>
      <sz val="8"/>
      <color rgb="FF000000"/>
      <name val="新細明體"/>
      <family val="1"/>
      <charset val="136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i/>
      <sz val="11"/>
      <color rgb="FFFF0000"/>
      <name val="Calibri"/>
      <family val="2"/>
    </font>
    <font>
      <sz val="11"/>
      <color rgb="FFFF0000"/>
      <name val="Calibri"/>
      <family val="2"/>
    </font>
    <font>
      <sz val="14"/>
      <color theme="1"/>
      <name val="新細明體"/>
      <family val="1"/>
      <charset val="136"/>
      <scheme val="minor"/>
    </font>
    <font>
      <sz val="11"/>
      <color rgb="FFFF0000"/>
      <name val="Arial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indexed="8"/>
      <name val="Calibri"/>
      <family val="2"/>
    </font>
    <font>
      <sz val="8"/>
      <color rgb="FFFF0000"/>
      <name val="Calibri"/>
      <family val="2"/>
    </font>
    <font>
      <sz val="11"/>
      <color indexed="8"/>
      <name val="Calibri"/>
      <family val="2"/>
    </font>
    <font>
      <b/>
      <u/>
      <sz val="10"/>
      <color indexed="1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0"/>
      <color indexed="8"/>
      <name val="Tahoma"/>
      <family val="2"/>
    </font>
    <font>
      <u/>
      <sz val="11"/>
      <color indexed="20"/>
      <name val="Calibri"/>
      <family val="2"/>
    </font>
    <font>
      <sz val="10"/>
      <color rgb="FF0000CC"/>
      <name val="新細明體"/>
      <family val="1"/>
      <charset val="136"/>
    </font>
    <font>
      <i/>
      <sz val="12"/>
      <name val="標楷體"/>
      <family val="4"/>
      <charset val="136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00FF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80">
    <xf numFmtId="0" fontId="0" fillId="0" borderId="0"/>
    <xf numFmtId="0" fontId="29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0" fontId="26" fillId="0" borderId="0"/>
    <xf numFmtId="0" fontId="28" fillId="0" borderId="0" applyProtection="0"/>
    <xf numFmtId="0" fontId="6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40" fillId="0" borderId="0" applyProtection="0"/>
    <xf numFmtId="0" fontId="41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39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3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0" fillId="0" borderId="0" applyProtection="0"/>
    <xf numFmtId="0" fontId="43" fillId="0" borderId="0" applyProtection="0"/>
    <xf numFmtId="0" fontId="43" fillId="0" borderId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44" fillId="0" borderId="0" applyProtection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42" fillId="0" borderId="0" applyProtection="0"/>
    <xf numFmtId="0" fontId="42" fillId="0" borderId="0" applyProtection="0"/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26" fillId="0" borderId="0"/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7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7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7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28" fillId="0" borderId="0" applyProtection="0"/>
    <xf numFmtId="0" fontId="46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6" fillId="0" borderId="0" applyProtection="0"/>
    <xf numFmtId="0" fontId="6" fillId="0" borderId="0" applyProtection="0"/>
    <xf numFmtId="0" fontId="28" fillId="0" borderId="0" applyProtection="0"/>
    <xf numFmtId="0" fontId="28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0" fillId="0" borderId="0" applyProtection="0"/>
    <xf numFmtId="0" fontId="41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1" fillId="0" borderId="0" applyProtection="0"/>
    <xf numFmtId="0" fontId="42" fillId="0" borderId="0" applyProtection="0"/>
    <xf numFmtId="0" fontId="39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3" fillId="0" borderId="0" applyProtection="0"/>
    <xf numFmtId="0" fontId="41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40" fillId="0" borderId="0" applyProtection="0"/>
    <xf numFmtId="0" fontId="43" fillId="0" borderId="0" applyProtection="0"/>
    <xf numFmtId="0" fontId="43" fillId="0" borderId="0" applyProtection="0"/>
    <xf numFmtId="0" fontId="4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 applyProtection="0"/>
    <xf numFmtId="0" fontId="42" fillId="0" borderId="0" applyProtection="0"/>
    <xf numFmtId="0" fontId="42" fillId="0" borderId="0" applyProtection="0"/>
    <xf numFmtId="0" fontId="42" fillId="0" borderId="0" applyProtection="0"/>
    <xf numFmtId="0" fontId="26" fillId="0" borderId="0"/>
    <xf numFmtId="0" fontId="26" fillId="0" borderId="0"/>
    <xf numFmtId="0" fontId="29" fillId="0" borderId="0"/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6" fillId="0" borderId="0"/>
    <xf numFmtId="0" fontId="26" fillId="0" borderId="0"/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6" fillId="25" borderId="16" applyNumberFormat="0" applyFont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67" fillId="0" borderId="0" applyNumberFormat="0" applyFill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2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23" borderId="11" applyNumberFormat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22" borderId="10" applyNumberFormat="0" applyAlignment="0" applyProtection="0">
      <alignment vertical="center"/>
    </xf>
    <xf numFmtId="0" fontId="65" fillId="9" borderId="10" applyNumberFormat="0" applyAlignment="0" applyProtection="0">
      <alignment vertical="center"/>
    </xf>
    <xf numFmtId="0" fontId="66" fillId="22" borderId="17" applyNumberForma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6" fillId="0" borderId="0"/>
    <xf numFmtId="0" fontId="7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5" fillId="0" borderId="0">
      <alignment vertical="top"/>
    </xf>
    <xf numFmtId="0" fontId="3" fillId="0" borderId="0"/>
    <xf numFmtId="0" fontId="15" fillId="0" borderId="0"/>
    <xf numFmtId="0" fontId="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>
      <alignment vertical="center"/>
    </xf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>
      <alignment vertical="center"/>
    </xf>
    <xf numFmtId="0" fontId="15" fillId="0" borderId="0"/>
    <xf numFmtId="0" fontId="1" fillId="0" borderId="0"/>
    <xf numFmtId="0" fontId="15" fillId="0" borderId="0"/>
    <xf numFmtId="0" fontId="1" fillId="0" borderId="0"/>
    <xf numFmtId="177" fontId="15" fillId="0" borderId="0" applyFont="0" applyFill="0" applyBorder="0" applyAlignment="0" applyProtection="0"/>
    <xf numFmtId="0" fontId="29" fillId="0" borderId="0"/>
    <xf numFmtId="43" fontId="113" fillId="0" borderId="0" applyFont="0" applyFill="0" applyBorder="0" applyAlignment="0" applyProtection="0">
      <alignment vertical="center"/>
    </xf>
    <xf numFmtId="0" fontId="6" fillId="0" borderId="0"/>
    <xf numFmtId="0" fontId="117" fillId="0" borderId="0">
      <alignment vertical="center"/>
    </xf>
  </cellStyleXfs>
  <cellXfs count="419">
    <xf numFmtId="0" fontId="0" fillId="0" borderId="0" xfId="0"/>
    <xf numFmtId="0" fontId="9" fillId="0" borderId="1" xfId="16" applyFont="1" applyBorder="1" applyAlignment="1">
      <alignment horizontal="center"/>
    </xf>
    <xf numFmtId="0" fontId="17" fillId="0" borderId="0" xfId="0" applyFont="1" applyAlignment="1">
      <alignment vertical="center"/>
    </xf>
    <xf numFmtId="0" fontId="24" fillId="0" borderId="0" xfId="17" applyFont="1" applyAlignment="1">
      <alignment horizontal="center" vertical="center" wrapText="1"/>
    </xf>
    <xf numFmtId="0" fontId="24" fillId="0" borderId="0" xfId="17" applyFont="1" applyAlignment="1">
      <alignment horizontal="center"/>
    </xf>
    <xf numFmtId="0" fontId="24" fillId="0" borderId="0" xfId="17" applyFont="1" applyAlignment="1">
      <alignment horizontal="center" vertical="center"/>
    </xf>
    <xf numFmtId="0" fontId="25" fillId="0" borderId="0" xfId="4" applyFont="1"/>
    <xf numFmtId="0" fontId="22" fillId="0" borderId="0" xfId="4" applyFont="1"/>
    <xf numFmtId="0" fontId="0" fillId="0" borderId="0" xfId="0" applyAlignment="1">
      <alignment vertical="center"/>
    </xf>
    <xf numFmtId="0" fontId="27" fillId="0" borderId="0" xfId="10" applyFont="1">
      <alignment vertical="center"/>
    </xf>
    <xf numFmtId="0" fontId="27" fillId="0" borderId="0" xfId="10" applyFont="1" applyFill="1">
      <alignment vertical="center"/>
    </xf>
    <xf numFmtId="0" fontId="13" fillId="0" borderId="1" xfId="18" applyBorder="1" applyAlignment="1" applyProtection="1">
      <alignment horizontal="left" vertical="center"/>
    </xf>
    <xf numFmtId="0" fontId="17" fillId="0" borderId="0" xfId="0" applyFont="1" applyFill="1" applyAlignment="1">
      <alignment horizontal="center" vertical="center" shrinkToFit="1"/>
    </xf>
    <xf numFmtId="0" fontId="9" fillId="0" borderId="1" xfId="16" applyFont="1" applyBorder="1" applyAlignment="1">
      <alignment horizontal="center" wrapText="1"/>
    </xf>
    <xf numFmtId="0" fontId="10" fillId="0" borderId="0" xfId="16" applyFont="1" applyAlignment="1">
      <alignment horizontal="center" wrapText="1"/>
    </xf>
    <xf numFmtId="0" fontId="8" fillId="0" borderId="0" xfId="16" applyFont="1" applyAlignment="1">
      <alignment horizontal="center"/>
    </xf>
    <xf numFmtId="0" fontId="10" fillId="0" borderId="0" xfId="16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16" applyFont="1" applyAlignment="1">
      <alignment horizontal="left"/>
    </xf>
    <xf numFmtId="0" fontId="10" fillId="0" borderId="1" xfId="16" applyFont="1" applyBorder="1" applyAlignment="1">
      <alignment horizontal="center" vertical="center"/>
    </xf>
    <xf numFmtId="0" fontId="11" fillId="0" borderId="1" xfId="16" applyFont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0" fontId="13" fillId="0" borderId="1" xfId="18" applyBorder="1" applyAlignment="1" applyProtection="1"/>
    <xf numFmtId="0" fontId="36" fillId="0" borderId="0" xfId="10" applyFont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78" fontId="35" fillId="0" borderId="7" xfId="3" applyNumberFormat="1" applyFont="1" applyBorder="1" applyAlignment="1">
      <alignment horizontal="center" vertical="center"/>
    </xf>
    <xf numFmtId="0" fontId="38" fillId="0" borderId="1" xfId="16" applyFont="1" applyBorder="1" applyAlignment="1">
      <alignment horizontal="center"/>
    </xf>
    <xf numFmtId="179" fontId="16" fillId="0" borderId="1" xfId="10" applyNumberFormat="1" applyFont="1" applyBorder="1" applyAlignment="1">
      <alignment horizontal="center" vertical="center" shrinkToFit="1"/>
    </xf>
    <xf numFmtId="0" fontId="22" fillId="0" borderId="0" xfId="4" applyFont="1" applyAlignment="1">
      <alignment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NumberFormat="1" applyFont="1" applyFill="1" applyAlignment="1">
      <alignment horizontal="center" vertical="center" shrinkToFit="1"/>
    </xf>
    <xf numFmtId="0" fontId="17" fillId="0" borderId="20" xfId="0" applyFont="1" applyBorder="1" applyAlignment="1">
      <alignment horizontal="center" vertical="center"/>
    </xf>
    <xf numFmtId="178" fontId="82" fillId="0" borderId="21" xfId="3" applyNumberFormat="1" applyFont="1" applyBorder="1" applyAlignment="1">
      <alignment vertical="center"/>
    </xf>
    <xf numFmtId="178" fontId="17" fillId="0" borderId="22" xfId="3" applyNumberFormat="1" applyFont="1" applyBorder="1">
      <alignment vertical="center"/>
    </xf>
    <xf numFmtId="0" fontId="81" fillId="0" borderId="24" xfId="0" applyFont="1" applyBorder="1" applyAlignment="1">
      <alignment horizontal="center" vertical="center"/>
    </xf>
    <xf numFmtId="178" fontId="81" fillId="0" borderId="25" xfId="3" applyNumberFormat="1" applyFont="1" applyBorder="1" applyAlignment="1">
      <alignment vertical="center"/>
    </xf>
    <xf numFmtId="178" fontId="18" fillId="0" borderId="25" xfId="2175" applyNumberFormat="1" applyFont="1" applyFill="1" applyBorder="1" applyAlignment="1">
      <alignment horizontal="center"/>
    </xf>
    <xf numFmtId="178" fontId="18" fillId="0" borderId="25" xfId="3" applyNumberFormat="1" applyFont="1" applyBorder="1" applyAlignment="1">
      <alignment horizontal="center"/>
    </xf>
    <xf numFmtId="178" fontId="81" fillId="0" borderId="26" xfId="3" applyNumberFormat="1" applyFont="1" applyBorder="1">
      <alignment vertical="center"/>
    </xf>
    <xf numFmtId="178" fontId="0" fillId="0" borderId="0" xfId="0" applyNumberFormat="1" applyAlignment="1">
      <alignment vertical="center"/>
    </xf>
    <xf numFmtId="0" fontId="35" fillId="0" borderId="25" xfId="0" applyFont="1" applyBorder="1" applyAlignment="1">
      <alignment horizontal="center" vertical="center"/>
    </xf>
    <xf numFmtId="178" fontId="35" fillId="0" borderId="25" xfId="3" applyNumberFormat="1" applyFont="1" applyBorder="1" applyAlignment="1">
      <alignment vertical="center"/>
    </xf>
    <xf numFmtId="178" fontId="19" fillId="0" borderId="25" xfId="2175" applyNumberFormat="1" applyFont="1" applyFill="1" applyBorder="1" applyAlignment="1">
      <alignment horizontal="center"/>
    </xf>
    <xf numFmtId="178" fontId="19" fillId="0" borderId="25" xfId="3" applyNumberFormat="1" applyFont="1" applyBorder="1" applyAlignment="1">
      <alignment horizontal="center"/>
    </xf>
    <xf numFmtId="178" fontId="35" fillId="0" borderId="26" xfId="3" applyNumberFormat="1" applyFont="1" applyBorder="1">
      <alignment vertical="center"/>
    </xf>
    <xf numFmtId="0" fontId="79" fillId="0" borderId="28" xfId="0" applyFont="1" applyBorder="1" applyAlignment="1">
      <alignment horizontal="center" vertical="center"/>
    </xf>
    <xf numFmtId="178" fontId="20" fillId="0" borderId="28" xfId="3" applyNumberFormat="1" applyFont="1" applyFill="1" applyBorder="1" applyAlignment="1">
      <alignment horizontal="center"/>
    </xf>
    <xf numFmtId="178" fontId="83" fillId="0" borderId="29" xfId="3" applyNumberFormat="1" applyFont="1" applyBorder="1">
      <alignment vertical="center"/>
    </xf>
    <xf numFmtId="0" fontId="17" fillId="0" borderId="21" xfId="0" applyFont="1" applyBorder="1" applyAlignment="1">
      <alignment horizontal="center" vertical="center"/>
    </xf>
    <xf numFmtId="178" fontId="82" fillId="26" borderId="21" xfId="3" applyNumberFormat="1" applyFont="1" applyFill="1" applyBorder="1" applyAlignment="1">
      <alignment vertical="center"/>
    </xf>
    <xf numFmtId="0" fontId="84" fillId="0" borderId="0" xfId="0" applyFont="1" applyAlignment="1">
      <alignment vertical="center"/>
    </xf>
    <xf numFmtId="0" fontId="85" fillId="0" borderId="0" xfId="4" applyFont="1" applyAlignment="1"/>
    <xf numFmtId="0" fontId="85" fillId="0" borderId="0" xfId="0" applyFont="1" applyAlignment="1">
      <alignment vertical="center"/>
    </xf>
    <xf numFmtId="0" fontId="0" fillId="0" borderId="0" xfId="4" applyFont="1" applyAlignment="1"/>
    <xf numFmtId="183" fontId="16" fillId="0" borderId="0" xfId="2176" applyNumberFormat="1" applyFont="1" applyFill="1" applyBorder="1"/>
    <xf numFmtId="183" fontId="80" fillId="3" borderId="0" xfId="2176" applyNumberFormat="1" applyFont="1" applyFill="1" applyBorder="1"/>
    <xf numFmtId="183" fontId="17" fillId="0" borderId="0" xfId="2176" applyNumberFormat="1" applyFont="1" applyFill="1" applyBorder="1"/>
    <xf numFmtId="0" fontId="15" fillId="0" borderId="0" xfId="2176" applyFont="1" applyFill="1"/>
    <xf numFmtId="0" fontId="17" fillId="0" borderId="0" xfId="2176" applyFont="1" applyFill="1"/>
    <xf numFmtId="184" fontId="17" fillId="0" borderId="0" xfId="2176" applyNumberFormat="1" applyFont="1" applyFill="1"/>
    <xf numFmtId="0" fontId="21" fillId="0" borderId="0" xfId="2176" applyFont="1" applyFill="1"/>
    <xf numFmtId="0" fontId="17" fillId="0" borderId="0" xfId="2176" applyFont="1" applyFill="1" applyBorder="1"/>
    <xf numFmtId="0" fontId="17" fillId="0" borderId="0" xfId="2176" applyFont="1"/>
    <xf numFmtId="0" fontId="36" fillId="0" borderId="0" xfId="10" applyFont="1">
      <alignment vertical="center"/>
    </xf>
    <xf numFmtId="0" fontId="16" fillId="0" borderId="1" xfId="10" applyFont="1" applyBorder="1" applyAlignment="1">
      <alignment horizontal="center" vertical="center"/>
    </xf>
    <xf numFmtId="0" fontId="23" fillId="0" borderId="0" xfId="17" applyFont="1" applyAlignment="1">
      <alignment horizontal="center"/>
    </xf>
    <xf numFmtId="0" fontId="45" fillId="0" borderId="1" xfId="10" applyFont="1" applyBorder="1" applyAlignment="1">
      <alignment horizontal="center" vertical="center"/>
    </xf>
    <xf numFmtId="0" fontId="86" fillId="0" borderId="1" xfId="10" applyFont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92" fillId="0" borderId="0" xfId="0" applyFont="1"/>
    <xf numFmtId="0" fontId="103" fillId="0" borderId="0" xfId="0" applyFont="1"/>
    <xf numFmtId="0" fontId="104" fillId="27" borderId="1" xfId="0" applyFont="1" applyFill="1" applyBorder="1" applyAlignment="1">
      <alignment horizontal="center" vertical="center"/>
    </xf>
    <xf numFmtId="0" fontId="104" fillId="0" borderId="0" xfId="0" applyFont="1"/>
    <xf numFmtId="0" fontId="92" fillId="0" borderId="0" xfId="0" applyFont="1" applyAlignment="1">
      <alignment vertical="center"/>
    </xf>
    <xf numFmtId="0" fontId="108" fillId="27" borderId="33" xfId="10" applyFont="1" applyFill="1" applyBorder="1">
      <alignment vertical="center"/>
    </xf>
    <xf numFmtId="0" fontId="36" fillId="0" borderId="33" xfId="10" applyFont="1" applyBorder="1">
      <alignment vertical="center"/>
    </xf>
    <xf numFmtId="0" fontId="17" fillId="0" borderId="34" xfId="9" applyFont="1" applyFill="1" applyBorder="1" applyAlignment="1">
      <alignment horizontal="center" vertical="center" shrinkToFit="1"/>
    </xf>
    <xf numFmtId="0" fontId="17" fillId="0" borderId="34" xfId="0" applyFont="1" applyFill="1" applyBorder="1" applyAlignment="1">
      <alignment horizontal="center" vertical="center" shrinkToFit="1"/>
    </xf>
    <xf numFmtId="0" fontId="17" fillId="27" borderId="34" xfId="0" applyFont="1" applyFill="1" applyBorder="1" applyAlignment="1">
      <alignment horizontal="left" vertical="center"/>
    </xf>
    <xf numFmtId="180" fontId="17" fillId="27" borderId="34" xfId="9" applyNumberFormat="1" applyFont="1" applyFill="1" applyBorder="1" applyAlignment="1">
      <alignment horizontal="center" vertical="center"/>
    </xf>
    <xf numFmtId="181" fontId="17" fillId="27" borderId="34" xfId="0" applyNumberFormat="1" applyFont="1" applyFill="1" applyBorder="1" applyAlignment="1">
      <alignment horizontal="center" vertical="center"/>
    </xf>
    <xf numFmtId="178" fontId="17" fillId="27" borderId="34" xfId="2" applyNumberFormat="1" applyFont="1" applyFill="1" applyBorder="1" applyAlignment="1">
      <alignment horizontal="right" vertical="center"/>
    </xf>
    <xf numFmtId="0" fontId="17" fillId="27" borderId="34" xfId="0" applyFont="1" applyFill="1" applyBorder="1" applyAlignment="1">
      <alignment horizontal="center" vertical="center" shrinkToFit="1"/>
    </xf>
    <xf numFmtId="0" fontId="17" fillId="33" borderId="34" xfId="0" applyFont="1" applyFill="1" applyBorder="1" applyAlignment="1">
      <alignment horizontal="left" vertical="center"/>
    </xf>
    <xf numFmtId="0" fontId="16" fillId="33" borderId="34" xfId="0" applyFont="1" applyFill="1" applyBorder="1" applyAlignment="1">
      <alignment horizontal="center" vertical="center"/>
    </xf>
    <xf numFmtId="178" fontId="17" fillId="33" borderId="34" xfId="2" applyNumberFormat="1" applyFont="1" applyFill="1" applyBorder="1" applyAlignment="1">
      <alignment horizontal="center" vertical="center"/>
    </xf>
    <xf numFmtId="9" fontId="17" fillId="33" borderId="34" xfId="0" applyNumberFormat="1" applyFont="1" applyFill="1" applyBorder="1" applyAlignment="1">
      <alignment horizontal="center" vertical="center" shrinkToFit="1"/>
    </xf>
    <xf numFmtId="0" fontId="17" fillId="33" borderId="34" xfId="0" applyFont="1" applyFill="1" applyBorder="1" applyAlignment="1">
      <alignment horizontal="center" vertical="center" shrinkToFit="1"/>
    </xf>
    <xf numFmtId="0" fontId="17" fillId="0" borderId="34" xfId="0" applyFont="1" applyBorder="1" applyAlignment="1">
      <alignment horizontal="left" vertical="center"/>
    </xf>
    <xf numFmtId="0" fontId="17" fillId="0" borderId="34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176" fontId="17" fillId="0" borderId="34" xfId="0" applyNumberFormat="1" applyFont="1" applyBorder="1" applyAlignment="1">
      <alignment horizontal="right" vertical="center"/>
    </xf>
    <xf numFmtId="0" fontId="17" fillId="0" borderId="34" xfId="0" applyFont="1" applyBorder="1" applyAlignment="1">
      <alignment horizontal="center" vertical="center" shrinkToFit="1"/>
    </xf>
    <xf numFmtId="0" fontId="80" fillId="0" borderId="34" xfId="0" applyFont="1" applyBorder="1" applyAlignment="1">
      <alignment horizontal="left" vertical="center"/>
    </xf>
    <xf numFmtId="182" fontId="17" fillId="0" borderId="34" xfId="0" applyNumberFormat="1" applyFont="1" applyFill="1" applyBorder="1" applyAlignment="1">
      <alignment horizontal="center" vertical="center"/>
    </xf>
    <xf numFmtId="182" fontId="17" fillId="0" borderId="34" xfId="0" applyNumberFormat="1" applyFont="1" applyBorder="1" applyAlignment="1">
      <alignment horizontal="center" vertical="center"/>
    </xf>
    <xf numFmtId="185" fontId="17" fillId="0" borderId="34" xfId="12" applyNumberFormat="1" applyFont="1" applyFill="1" applyBorder="1" applyAlignment="1">
      <alignment horizontal="center" vertical="center"/>
    </xf>
    <xf numFmtId="185" fontId="17" fillId="0" borderId="34" xfId="12" applyNumberFormat="1" applyFont="1" applyBorder="1" applyAlignment="1">
      <alignment horizontal="center" vertical="center"/>
    </xf>
    <xf numFmtId="185" fontId="17" fillId="0" borderId="34" xfId="0" applyNumberFormat="1" applyFont="1" applyBorder="1" applyAlignment="1">
      <alignment horizontal="center" vertical="center" shrinkToFit="1"/>
    </xf>
    <xf numFmtId="0" fontId="17" fillId="27" borderId="34" xfId="0" applyNumberFormat="1" applyFont="1" applyFill="1" applyBorder="1" applyAlignment="1">
      <alignment horizontal="center" vertical="center" shrinkToFit="1"/>
    </xf>
    <xf numFmtId="0" fontId="17" fillId="33" borderId="34" xfId="0" applyNumberFormat="1" applyFont="1" applyFill="1" applyBorder="1" applyAlignment="1">
      <alignment horizontal="center" vertical="center" shrinkToFit="1"/>
    </xf>
    <xf numFmtId="0" fontId="17" fillId="0" borderId="34" xfId="0" applyNumberFormat="1" applyFont="1" applyFill="1" applyBorder="1" applyAlignment="1">
      <alignment horizontal="center" vertical="center" shrinkToFit="1"/>
    </xf>
    <xf numFmtId="177" fontId="17" fillId="27" borderId="34" xfId="2" applyFont="1" applyFill="1" applyBorder="1" applyAlignment="1">
      <alignment horizontal="center" vertical="center"/>
    </xf>
    <xf numFmtId="177" fontId="16" fillId="33" borderId="34" xfId="2" applyFont="1" applyFill="1" applyBorder="1" applyAlignment="1">
      <alignment horizontal="center" vertical="center"/>
    </xf>
    <xf numFmtId="177" fontId="17" fillId="0" borderId="34" xfId="2" applyFont="1" applyFill="1" applyBorder="1" applyAlignment="1">
      <alignment horizontal="center" vertical="center"/>
    </xf>
    <xf numFmtId="185" fontId="17" fillId="0" borderId="34" xfId="0" applyNumberFormat="1" applyFont="1" applyFill="1" applyBorder="1" applyAlignment="1">
      <alignment horizontal="center" vertical="center" shrinkToFit="1"/>
    </xf>
    <xf numFmtId="0" fontId="11" fillId="0" borderId="1" xfId="16" applyFont="1" applyBorder="1" applyAlignment="1">
      <alignment horizontal="center" vertical="center"/>
    </xf>
    <xf numFmtId="0" fontId="111" fillId="0" borderId="0" xfId="0" applyFont="1"/>
    <xf numFmtId="0" fontId="111" fillId="0" borderId="0" xfId="0" applyFont="1" applyAlignment="1">
      <alignment vertical="center"/>
    </xf>
    <xf numFmtId="0" fontId="115" fillId="0" borderId="0" xfId="2178" applyFont="1" applyAlignment="1">
      <alignment horizontal="left"/>
    </xf>
    <xf numFmtId="0" fontId="115" fillId="0" borderId="0" xfId="2178" applyFont="1"/>
    <xf numFmtId="0" fontId="115" fillId="0" borderId="0" xfId="2178" applyFont="1" applyFill="1"/>
    <xf numFmtId="0" fontId="14" fillId="0" borderId="0" xfId="2178" applyFont="1" applyAlignment="1">
      <alignment vertical="center"/>
    </xf>
    <xf numFmtId="0" fontId="116" fillId="0" borderId="0" xfId="2178" applyFont="1"/>
    <xf numFmtId="0" fontId="114" fillId="0" borderId="0" xfId="19" applyFont="1" applyFill="1" applyBorder="1" applyAlignment="1" applyProtection="1"/>
    <xf numFmtId="0" fontId="16" fillId="0" borderId="0" xfId="2178" applyFont="1"/>
    <xf numFmtId="0" fontId="16" fillId="0" borderId="34" xfId="2178" applyFont="1" applyBorder="1" applyAlignment="1">
      <alignment horizontal="center"/>
    </xf>
    <xf numFmtId="0" fontId="16" fillId="0" borderId="34" xfId="2178" applyFont="1" applyFill="1" applyBorder="1" applyAlignment="1">
      <alignment horizontal="center"/>
    </xf>
    <xf numFmtId="38" fontId="16" fillId="0" borderId="36" xfId="2179" applyNumberFormat="1" applyFont="1" applyFill="1" applyBorder="1" applyAlignment="1">
      <alignment horizontal="left" vertical="center"/>
    </xf>
    <xf numFmtId="178" fontId="16" fillId="0" borderId="36" xfId="2177" applyNumberFormat="1" applyFont="1" applyFill="1" applyBorder="1" applyAlignment="1"/>
    <xf numFmtId="178" fontId="16" fillId="0" borderId="36" xfId="2178" applyNumberFormat="1" applyFont="1" applyBorder="1"/>
    <xf numFmtId="0" fontId="19" fillId="0" borderId="37" xfId="2179" applyFont="1" applyFill="1" applyBorder="1" applyAlignment="1">
      <alignment horizontal="left" vertical="center"/>
    </xf>
    <xf numFmtId="178" fontId="19" fillId="0" borderId="37" xfId="2177" applyNumberFormat="1" applyFont="1" applyFill="1" applyBorder="1" applyAlignment="1"/>
    <xf numFmtId="178" fontId="19" fillId="0" borderId="37" xfId="2178" applyNumberFormat="1" applyFont="1" applyBorder="1"/>
    <xf numFmtId="0" fontId="18" fillId="0" borderId="38" xfId="2179" applyFont="1" applyFill="1" applyBorder="1" applyAlignment="1">
      <alignment horizontal="left" vertical="center"/>
    </xf>
    <xf numFmtId="178" fontId="18" fillId="0" borderId="38" xfId="2177" quotePrefix="1" applyNumberFormat="1" applyFont="1" applyFill="1" applyBorder="1" applyAlignment="1"/>
    <xf numFmtId="178" fontId="18" fillId="0" borderId="38" xfId="2177" applyNumberFormat="1" applyFont="1" applyFill="1" applyBorder="1" applyAlignment="1"/>
    <xf numFmtId="178" fontId="18" fillId="0" borderId="38" xfId="2177" applyNumberFormat="1" applyFont="1" applyBorder="1" applyAlignment="1"/>
    <xf numFmtId="0" fontId="18" fillId="0" borderId="39" xfId="2179" applyFont="1" applyFill="1" applyBorder="1" applyAlignment="1">
      <alignment horizontal="left" vertical="center"/>
    </xf>
    <xf numFmtId="177" fontId="18" fillId="0" borderId="39" xfId="2177" quotePrefix="1" applyNumberFormat="1" applyFont="1" applyFill="1" applyBorder="1" applyAlignment="1"/>
    <xf numFmtId="178" fontId="18" fillId="0" borderId="4" xfId="2177" applyNumberFormat="1" applyFont="1" applyFill="1" applyBorder="1" applyAlignment="1"/>
    <xf numFmtId="178" fontId="18" fillId="0" borderId="4" xfId="2177" applyNumberFormat="1" applyFont="1" applyBorder="1" applyAlignment="1"/>
    <xf numFmtId="0" fontId="10" fillId="0" borderId="34" xfId="16" applyFont="1" applyBorder="1" applyAlignment="1">
      <alignment horizontal="center"/>
    </xf>
    <xf numFmtId="178" fontId="16" fillId="26" borderId="36" xfId="2177" applyNumberFormat="1" applyFont="1" applyFill="1" applyBorder="1" applyAlignment="1"/>
    <xf numFmtId="178" fontId="19" fillId="26" borderId="37" xfId="2177" applyNumberFormat="1" applyFont="1" applyFill="1" applyBorder="1" applyAlignment="1"/>
    <xf numFmtId="178" fontId="18" fillId="26" borderId="38" xfId="2177" quotePrefix="1" applyNumberFormat="1" applyFont="1" applyFill="1" applyBorder="1" applyAlignment="1"/>
    <xf numFmtId="177" fontId="18" fillId="26" borderId="39" xfId="2177" quotePrefix="1" applyNumberFormat="1" applyFont="1" applyFill="1" applyBorder="1" applyAlignment="1"/>
    <xf numFmtId="178" fontId="16" fillId="0" borderId="40" xfId="2178" applyNumberFormat="1" applyFont="1" applyBorder="1"/>
    <xf numFmtId="178" fontId="16" fillId="0" borderId="4" xfId="2177" applyNumberFormat="1" applyFont="1" applyFill="1" applyBorder="1" applyAlignment="1"/>
    <xf numFmtId="0" fontId="18" fillId="0" borderId="0" xfId="2178" applyFont="1" applyBorder="1" applyAlignment="1">
      <alignment horizontal="center" vertical="center"/>
    </xf>
    <xf numFmtId="0" fontId="18" fillId="0" borderId="0" xfId="2179" applyFont="1" applyFill="1" applyBorder="1" applyAlignment="1">
      <alignment horizontal="left" vertical="center"/>
    </xf>
    <xf numFmtId="177" fontId="18" fillId="0" borderId="0" xfId="2177" quotePrefix="1" applyNumberFormat="1" applyFont="1" applyFill="1" applyBorder="1" applyAlignment="1"/>
    <xf numFmtId="38" fontId="16" fillId="0" borderId="34" xfId="2179" applyNumberFormat="1" applyFont="1" applyFill="1" applyBorder="1" applyAlignment="1">
      <alignment horizontal="left" vertical="center"/>
    </xf>
    <xf numFmtId="178" fontId="16" fillId="0" borderId="34" xfId="2178" applyNumberFormat="1" applyFont="1" applyBorder="1"/>
    <xf numFmtId="178" fontId="16" fillId="0" borderId="34" xfId="2177" applyNumberFormat="1" applyFont="1" applyFill="1" applyBorder="1" applyAlignment="1"/>
    <xf numFmtId="178" fontId="18" fillId="0" borderId="34" xfId="2177" applyNumberFormat="1" applyFont="1" applyFill="1" applyBorder="1" applyAlignment="1"/>
    <xf numFmtId="0" fontId="19" fillId="0" borderId="34" xfId="2179" applyFont="1" applyFill="1" applyBorder="1" applyAlignment="1">
      <alignment horizontal="left" vertical="center"/>
    </xf>
    <xf numFmtId="178" fontId="19" fillId="0" borderId="34" xfId="2178" applyNumberFormat="1" applyFont="1" applyBorder="1"/>
    <xf numFmtId="178" fontId="19" fillId="0" borderId="34" xfId="2177" applyNumberFormat="1" applyFont="1" applyFill="1" applyBorder="1" applyAlignment="1"/>
    <xf numFmtId="0" fontId="18" fillId="0" borderId="34" xfId="2179" applyFont="1" applyFill="1" applyBorder="1" applyAlignment="1">
      <alignment horizontal="left" vertical="center"/>
    </xf>
    <xf numFmtId="178" fontId="18" fillId="0" borderId="34" xfId="2177" applyNumberFormat="1" applyFont="1" applyBorder="1" applyAlignment="1"/>
    <xf numFmtId="178" fontId="18" fillId="0" borderId="34" xfId="2177" quotePrefix="1" applyNumberFormat="1" applyFont="1" applyFill="1" applyBorder="1" applyAlignment="1"/>
    <xf numFmtId="177" fontId="18" fillId="0" borderId="34" xfId="2177" quotePrefix="1" applyNumberFormat="1" applyFont="1" applyFill="1" applyBorder="1" applyAlignment="1"/>
    <xf numFmtId="38" fontId="16" fillId="0" borderId="40" xfId="2179" applyNumberFormat="1" applyFont="1" applyFill="1" applyBorder="1" applyAlignment="1">
      <alignment horizontal="left" vertical="center"/>
    </xf>
    <xf numFmtId="178" fontId="16" fillId="0" borderId="40" xfId="2177" applyNumberFormat="1" applyFont="1" applyFill="1" applyBorder="1" applyAlignment="1"/>
    <xf numFmtId="178" fontId="16" fillId="0" borderId="34" xfId="2177" quotePrefix="1" applyNumberFormat="1" applyFont="1" applyFill="1" applyBorder="1" applyAlignment="1"/>
    <xf numFmtId="178" fontId="19" fillId="26" borderId="34" xfId="2177" applyNumberFormat="1" applyFont="1" applyFill="1" applyBorder="1" applyAlignment="1"/>
    <xf numFmtId="178" fontId="18" fillId="26" borderId="34" xfId="2177" quotePrefix="1" applyNumberFormat="1" applyFont="1" applyFill="1" applyBorder="1" applyAlignment="1"/>
    <xf numFmtId="177" fontId="18" fillId="26" borderId="34" xfId="2177" quotePrefix="1" applyNumberFormat="1" applyFont="1" applyFill="1" applyBorder="1" applyAlignment="1"/>
    <xf numFmtId="177" fontId="18" fillId="26" borderId="0" xfId="2177" quotePrefix="1" applyNumberFormat="1" applyFont="1" applyFill="1" applyBorder="1" applyAlignment="1"/>
    <xf numFmtId="178" fontId="16" fillId="26" borderId="34" xfId="2177" quotePrefix="1" applyNumberFormat="1" applyFont="1" applyFill="1" applyBorder="1" applyAlignment="1"/>
    <xf numFmtId="178" fontId="16" fillId="26" borderId="40" xfId="2177" applyNumberFormat="1" applyFont="1" applyFill="1" applyBorder="1" applyAlignment="1"/>
    <xf numFmtId="186" fontId="16" fillId="26" borderId="36" xfId="2177" applyNumberFormat="1" applyFont="1" applyFill="1" applyBorder="1" applyAlignment="1"/>
    <xf numFmtId="186" fontId="16" fillId="0" borderId="36" xfId="2178" applyNumberFormat="1" applyFont="1" applyBorder="1"/>
    <xf numFmtId="178" fontId="119" fillId="0" borderId="36" xfId="2178" applyNumberFormat="1" applyFont="1" applyBorder="1"/>
    <xf numFmtId="178" fontId="35" fillId="26" borderId="36" xfId="2178" applyNumberFormat="1" applyFont="1" applyFill="1" applyBorder="1"/>
    <xf numFmtId="0" fontId="0" fillId="27" borderId="41" xfId="0" applyFill="1" applyBorder="1" applyAlignment="1">
      <alignment horizontal="center" vertical="center"/>
    </xf>
    <xf numFmtId="0" fontId="23" fillId="0" borderId="0" xfId="17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27" borderId="42" xfId="0" applyFill="1" applyBorder="1" applyAlignment="1">
      <alignment horizontal="center" vertical="center"/>
    </xf>
    <xf numFmtId="0" fontId="88" fillId="27" borderId="42" xfId="0" applyFont="1" applyFill="1" applyBorder="1" applyAlignment="1">
      <alignment horizontal="center" vertical="center"/>
    </xf>
    <xf numFmtId="0" fontId="103" fillId="27" borderId="42" xfId="0" applyFont="1" applyFill="1" applyBorder="1" applyAlignment="1">
      <alignment horizontal="center" vertical="center"/>
    </xf>
    <xf numFmtId="0" fontId="89" fillId="28" borderId="42" xfId="0" applyFont="1" applyFill="1" applyBorder="1" applyAlignment="1">
      <alignment vertical="center"/>
    </xf>
    <xf numFmtId="0" fontId="89" fillId="0" borderId="42" xfId="0" applyFont="1" applyBorder="1" applyAlignment="1">
      <alignment vertical="center"/>
    </xf>
    <xf numFmtId="0" fontId="0" fillId="27" borderId="43" xfId="0" applyFill="1" applyBorder="1" applyAlignment="1">
      <alignment horizontal="center" vertical="center"/>
    </xf>
    <xf numFmtId="0" fontId="92" fillId="30" borderId="43" xfId="0" applyFont="1" applyFill="1" applyBorder="1" applyAlignment="1">
      <alignment horizontal="center" vertical="center"/>
    </xf>
    <xf numFmtId="0" fontId="0" fillId="27" borderId="43" xfId="0" applyFont="1" applyFill="1" applyBorder="1" applyAlignment="1">
      <alignment horizontal="center" vertical="center"/>
    </xf>
    <xf numFmtId="0" fontId="89" fillId="28" borderId="43" xfId="0" applyFont="1" applyFill="1" applyBorder="1" applyAlignment="1">
      <alignment vertical="center"/>
    </xf>
    <xf numFmtId="0" fontId="93" fillId="31" borderId="43" xfId="0" applyFont="1" applyFill="1" applyBorder="1" applyAlignment="1">
      <alignment vertical="center"/>
    </xf>
    <xf numFmtId="0" fontId="94" fillId="31" borderId="43" xfId="0" applyFont="1" applyFill="1" applyBorder="1" applyAlignment="1">
      <alignment vertical="center"/>
    </xf>
    <xf numFmtId="0" fontId="101" fillId="31" borderId="43" xfId="0" applyFont="1" applyFill="1" applyBorder="1" applyAlignment="1">
      <alignment vertical="center"/>
    </xf>
    <xf numFmtId="0" fontId="100" fillId="31" borderId="43" xfId="0" applyFont="1" applyFill="1" applyBorder="1" applyAlignment="1">
      <alignment vertical="center"/>
    </xf>
    <xf numFmtId="0" fontId="89" fillId="0" borderId="43" xfId="0" applyFont="1" applyBorder="1" applyAlignment="1">
      <alignment vertical="center"/>
    </xf>
    <xf numFmtId="0" fontId="93" fillId="0" borderId="43" xfId="0" applyFont="1" applyBorder="1" applyAlignment="1">
      <alignment vertical="center"/>
    </xf>
    <xf numFmtId="0" fontId="94" fillId="0" borderId="43" xfId="0" applyFont="1" applyBorder="1" applyAlignment="1">
      <alignment vertical="center"/>
    </xf>
    <xf numFmtId="0" fontId="101" fillId="0" borderId="43" xfId="0" applyFont="1" applyBorder="1" applyAlignment="1">
      <alignment vertical="center"/>
    </xf>
    <xf numFmtId="0" fontId="100" fillId="0" borderId="43" xfId="0" applyFont="1" applyBorder="1" applyAlignment="1">
      <alignment vertical="center"/>
    </xf>
    <xf numFmtId="0" fontId="120" fillId="0" borderId="0" xfId="17" applyFont="1" applyAlignment="1">
      <alignment horizontal="center"/>
    </xf>
    <xf numFmtId="0" fontId="112" fillId="31" borderId="43" xfId="0" applyFont="1" applyFill="1" applyBorder="1" applyAlignment="1">
      <alignment vertical="center"/>
    </xf>
    <xf numFmtId="0" fontId="112" fillId="0" borderId="43" xfId="0" applyFont="1" applyBorder="1" applyAlignment="1">
      <alignment vertical="center"/>
    </xf>
    <xf numFmtId="0" fontId="90" fillId="0" borderId="43" xfId="0" applyFont="1" applyBorder="1" applyAlignment="1">
      <alignment vertical="center"/>
    </xf>
    <xf numFmtId="0" fontId="0" fillId="27" borderId="44" xfId="0" applyFill="1" applyBorder="1" applyAlignment="1">
      <alignment horizontal="center" vertical="center"/>
    </xf>
    <xf numFmtId="0" fontId="88" fillId="27" borderId="44" xfId="0" applyFont="1" applyFill="1" applyBorder="1" applyAlignment="1">
      <alignment horizontal="center" vertical="center"/>
    </xf>
    <xf numFmtId="0" fontId="103" fillId="27" borderId="44" xfId="0" applyFont="1" applyFill="1" applyBorder="1" applyAlignment="1">
      <alignment horizontal="center" vertical="center"/>
    </xf>
    <xf numFmtId="0" fontId="92" fillId="27" borderId="44" xfId="0" applyFont="1" applyFill="1" applyBorder="1" applyAlignment="1">
      <alignment horizontal="center" vertical="center"/>
    </xf>
    <xf numFmtId="0" fontId="92" fillId="30" borderId="44" xfId="0" applyFont="1" applyFill="1" applyBorder="1" applyAlignment="1">
      <alignment horizontal="center" vertical="center"/>
    </xf>
    <xf numFmtId="0" fontId="92" fillId="27" borderId="44" xfId="0" applyFont="1" applyFill="1" applyBorder="1" applyAlignment="1">
      <alignment vertical="center"/>
    </xf>
    <xf numFmtId="0" fontId="0" fillId="27" borderId="44" xfId="0" applyFill="1" applyBorder="1" applyAlignment="1">
      <alignment vertical="center"/>
    </xf>
    <xf numFmtId="0" fontId="89" fillId="28" borderId="44" xfId="0" applyFont="1" applyFill="1" applyBorder="1" applyAlignment="1">
      <alignment vertical="center"/>
    </xf>
    <xf numFmtId="0" fontId="99" fillId="31" borderId="44" xfId="0" applyFont="1" applyFill="1" applyBorder="1" applyAlignment="1">
      <alignment vertical="center"/>
    </xf>
    <xf numFmtId="0" fontId="101" fillId="31" borderId="44" xfId="0" applyFont="1" applyFill="1" applyBorder="1" applyAlignment="1">
      <alignment vertical="center"/>
    </xf>
    <xf numFmtId="0" fontId="100" fillId="31" borderId="44" xfId="0" applyFont="1" applyFill="1" applyBorder="1" applyAlignment="1">
      <alignment vertical="center"/>
    </xf>
    <xf numFmtId="0" fontId="93" fillId="31" borderId="44" xfId="0" applyFont="1" applyFill="1" applyBorder="1" applyAlignment="1">
      <alignment vertical="center"/>
    </xf>
    <xf numFmtId="0" fontId="94" fillId="31" borderId="44" xfId="0" applyFont="1" applyFill="1" applyBorder="1" applyAlignment="1">
      <alignment vertical="center"/>
    </xf>
    <xf numFmtId="0" fontId="105" fillId="31" borderId="44" xfId="0" applyFont="1" applyFill="1" applyBorder="1" applyAlignment="1">
      <alignment vertical="center"/>
    </xf>
    <xf numFmtId="0" fontId="106" fillId="31" borderId="44" xfId="0" applyFont="1" applyFill="1" applyBorder="1" applyAlignment="1">
      <alignment vertical="center"/>
    </xf>
    <xf numFmtId="0" fontId="109" fillId="31" borderId="44" xfId="0" applyFont="1" applyFill="1" applyBorder="1" applyAlignment="1">
      <alignment vertical="center"/>
    </xf>
    <xf numFmtId="0" fontId="110" fillId="31" borderId="44" xfId="0" applyFont="1" applyFill="1" applyBorder="1" applyAlignment="1">
      <alignment vertical="center"/>
    </xf>
    <xf numFmtId="0" fontId="89" fillId="0" borderId="44" xfId="0" applyFont="1" applyBorder="1" applyAlignment="1">
      <alignment vertical="center"/>
    </xf>
    <xf numFmtId="0" fontId="99" fillId="0" borderId="44" xfId="0" applyFont="1" applyBorder="1" applyAlignment="1">
      <alignment vertical="center"/>
    </xf>
    <xf numFmtId="0" fontId="101" fillId="0" borderId="44" xfId="0" applyFont="1" applyBorder="1" applyAlignment="1">
      <alignment vertical="center"/>
    </xf>
    <xf numFmtId="0" fontId="100" fillId="0" borderId="44" xfId="0" applyFont="1" applyBorder="1" applyAlignment="1">
      <alignment vertical="center"/>
    </xf>
    <xf numFmtId="0" fontId="93" fillId="0" borderId="44" xfId="0" applyFont="1" applyBorder="1" applyAlignment="1">
      <alignment vertical="center"/>
    </xf>
    <xf numFmtId="0" fontId="94" fillId="0" borderId="44" xfId="0" applyFont="1" applyBorder="1" applyAlignment="1">
      <alignment vertical="center"/>
    </xf>
    <xf numFmtId="0" fontId="105" fillId="0" borderId="44" xfId="0" applyFont="1" applyBorder="1" applyAlignment="1">
      <alignment vertical="center"/>
    </xf>
    <xf numFmtId="0" fontId="106" fillId="0" borderId="44" xfId="0" applyFont="1" applyBorder="1" applyAlignment="1">
      <alignment vertical="center"/>
    </xf>
    <xf numFmtId="0" fontId="96" fillId="0" borderId="44" xfId="0" applyFont="1" applyBorder="1" applyAlignment="1">
      <alignment vertical="center"/>
    </xf>
    <xf numFmtId="0" fontId="90" fillId="29" borderId="44" xfId="0" applyFont="1" applyFill="1" applyBorder="1" applyAlignment="1">
      <alignment vertical="center"/>
    </xf>
    <xf numFmtId="0" fontId="99" fillId="32" borderId="44" xfId="0" applyFont="1" applyFill="1" applyBorder="1" applyAlignment="1">
      <alignment vertical="center"/>
    </xf>
    <xf numFmtId="0" fontId="102" fillId="32" borderId="44" xfId="0" applyFont="1" applyFill="1" applyBorder="1" applyAlignment="1">
      <alignment vertical="center"/>
    </xf>
    <xf numFmtId="0" fontId="95" fillId="32" borderId="44" xfId="0" applyFont="1" applyFill="1" applyBorder="1" applyAlignment="1">
      <alignment vertical="center"/>
    </xf>
    <xf numFmtId="0" fontId="96" fillId="32" borderId="44" xfId="0" applyFont="1" applyFill="1" applyBorder="1" applyAlignment="1">
      <alignment vertical="center"/>
    </xf>
    <xf numFmtId="0" fontId="105" fillId="32" borderId="44" xfId="0" applyFont="1" applyFill="1" applyBorder="1" applyAlignment="1">
      <alignment vertical="center"/>
    </xf>
    <xf numFmtId="0" fontId="106" fillId="32" borderId="44" xfId="0" applyFont="1" applyFill="1" applyBorder="1" applyAlignment="1">
      <alignment vertical="center"/>
    </xf>
    <xf numFmtId="0" fontId="0" fillId="27" borderId="45" xfId="0" applyFill="1" applyBorder="1" applyAlignment="1">
      <alignment horizontal="center" vertical="center"/>
    </xf>
    <xf numFmtId="0" fontId="88" fillId="27" borderId="45" xfId="0" applyFont="1" applyFill="1" applyBorder="1" applyAlignment="1">
      <alignment horizontal="center" vertical="center"/>
    </xf>
    <xf numFmtId="0" fontId="103" fillId="27" borderId="45" xfId="0" applyFont="1" applyFill="1" applyBorder="1" applyAlignment="1">
      <alignment horizontal="center" vertical="center"/>
    </xf>
    <xf numFmtId="0" fontId="92" fillId="27" borderId="45" xfId="0" applyFont="1" applyFill="1" applyBorder="1" applyAlignment="1">
      <alignment horizontal="center" vertical="center"/>
    </xf>
    <xf numFmtId="0" fontId="0" fillId="27" borderId="45" xfId="0" applyFont="1" applyFill="1" applyBorder="1" applyAlignment="1">
      <alignment horizontal="center" vertical="center"/>
    </xf>
    <xf numFmtId="0" fontId="92" fillId="30" borderId="45" xfId="0" applyFont="1" applyFill="1" applyBorder="1" applyAlignment="1">
      <alignment horizontal="center" vertical="center"/>
    </xf>
    <xf numFmtId="0" fontId="92" fillId="27" borderId="45" xfId="0" applyFont="1" applyFill="1" applyBorder="1" applyAlignment="1">
      <alignment vertical="center"/>
    </xf>
    <xf numFmtId="0" fontId="0" fillId="27" borderId="45" xfId="0" applyFill="1" applyBorder="1" applyAlignment="1">
      <alignment vertical="center"/>
    </xf>
    <xf numFmtId="0" fontId="89" fillId="28" borderId="45" xfId="0" applyFont="1" applyFill="1" applyBorder="1" applyAlignment="1">
      <alignment vertical="center"/>
    </xf>
    <xf numFmtId="0" fontId="99" fillId="31" borderId="45" xfId="0" applyFont="1" applyFill="1" applyBorder="1" applyAlignment="1">
      <alignment vertical="center"/>
    </xf>
    <xf numFmtId="0" fontId="93" fillId="31" borderId="45" xfId="0" applyFont="1" applyFill="1" applyBorder="1" applyAlignment="1">
      <alignment vertical="center"/>
    </xf>
    <xf numFmtId="0" fontId="94" fillId="31" borderId="45" xfId="0" applyFont="1" applyFill="1" applyBorder="1" applyAlignment="1">
      <alignment vertical="center"/>
    </xf>
    <xf numFmtId="0" fontId="101" fillId="31" borderId="45" xfId="0" applyFont="1" applyFill="1" applyBorder="1" applyAlignment="1">
      <alignment vertical="center"/>
    </xf>
    <xf numFmtId="0" fontId="100" fillId="31" borderId="45" xfId="0" applyFont="1" applyFill="1" applyBorder="1" applyAlignment="1">
      <alignment vertical="center"/>
    </xf>
    <xf numFmtId="0" fontId="105" fillId="31" borderId="45" xfId="0" applyFont="1" applyFill="1" applyBorder="1" applyAlignment="1">
      <alignment vertical="center"/>
    </xf>
    <xf numFmtId="0" fontId="106" fillId="31" borderId="45" xfId="0" applyFont="1" applyFill="1" applyBorder="1" applyAlignment="1">
      <alignment vertical="center"/>
    </xf>
    <xf numFmtId="0" fontId="89" fillId="0" borderId="45" xfId="0" applyFont="1" applyBorder="1" applyAlignment="1">
      <alignment vertical="center"/>
    </xf>
    <xf numFmtId="0" fontId="99" fillId="0" borderId="45" xfId="0" applyFont="1" applyBorder="1" applyAlignment="1">
      <alignment vertical="center"/>
    </xf>
    <xf numFmtId="0" fontId="93" fillId="0" borderId="45" xfId="0" applyFont="1" applyBorder="1" applyAlignment="1">
      <alignment vertical="center"/>
    </xf>
    <xf numFmtId="0" fontId="94" fillId="0" borderId="45" xfId="0" applyFont="1" applyBorder="1" applyAlignment="1">
      <alignment vertical="center"/>
    </xf>
    <xf numFmtId="0" fontId="101" fillId="0" borderId="45" xfId="0" applyFont="1" applyBorder="1" applyAlignment="1">
      <alignment vertical="center"/>
    </xf>
    <xf numFmtId="0" fontId="100" fillId="0" borderId="45" xfId="0" applyFont="1" applyBorder="1" applyAlignment="1">
      <alignment vertical="center"/>
    </xf>
    <xf numFmtId="0" fontId="105" fillId="0" borderId="45" xfId="0" applyFont="1" applyBorder="1" applyAlignment="1">
      <alignment vertical="center"/>
    </xf>
    <xf numFmtId="0" fontId="106" fillId="0" borderId="45" xfId="0" applyFont="1" applyBorder="1" applyAlignment="1">
      <alignment vertical="center"/>
    </xf>
    <xf numFmtId="0" fontId="90" fillId="29" borderId="45" xfId="0" applyFont="1" applyFill="1" applyBorder="1" applyAlignment="1">
      <alignment vertical="center"/>
    </xf>
    <xf numFmtId="0" fontId="99" fillId="32" borderId="45" xfId="0" applyFont="1" applyFill="1" applyBorder="1" applyAlignment="1">
      <alignment vertical="center"/>
    </xf>
    <xf numFmtId="0" fontId="95" fillId="32" borderId="45" xfId="0" applyFont="1" applyFill="1" applyBorder="1" applyAlignment="1">
      <alignment vertical="center"/>
    </xf>
    <xf numFmtId="0" fontId="96" fillId="32" borderId="45" xfId="0" applyFont="1" applyFill="1" applyBorder="1" applyAlignment="1">
      <alignment vertical="center"/>
    </xf>
    <xf numFmtId="0" fontId="102" fillId="32" borderId="45" xfId="0" applyFont="1" applyFill="1" applyBorder="1" applyAlignment="1">
      <alignment vertical="center"/>
    </xf>
    <xf numFmtId="0" fontId="105" fillId="32" borderId="45" xfId="0" applyFont="1" applyFill="1" applyBorder="1" applyAlignment="1">
      <alignment vertical="center"/>
    </xf>
    <xf numFmtId="0" fontId="106" fillId="32" borderId="45" xfId="0" applyFont="1" applyFill="1" applyBorder="1" applyAlignment="1">
      <alignment vertical="center"/>
    </xf>
    <xf numFmtId="0" fontId="109" fillId="31" borderId="45" xfId="0" applyFont="1" applyFill="1" applyBorder="1" applyAlignment="1">
      <alignment vertical="center"/>
    </xf>
    <xf numFmtId="0" fontId="110" fillId="31" borderId="45" xfId="0" applyFont="1" applyFill="1" applyBorder="1" applyAlignment="1">
      <alignment vertical="center"/>
    </xf>
    <xf numFmtId="0" fontId="96" fillId="0" borderId="45" xfId="0" applyFont="1" applyBorder="1" applyAlignment="1">
      <alignment vertical="center"/>
    </xf>
    <xf numFmtId="0" fontId="0" fillId="27" borderId="46" xfId="0" applyFill="1" applyBorder="1" applyAlignment="1">
      <alignment horizontal="center" vertical="center"/>
    </xf>
    <xf numFmtId="0" fontId="88" fillId="27" borderId="46" xfId="0" applyFont="1" applyFill="1" applyBorder="1" applyAlignment="1">
      <alignment horizontal="center" vertical="center"/>
    </xf>
    <xf numFmtId="0" fontId="103" fillId="27" borderId="46" xfId="0" applyFont="1" applyFill="1" applyBorder="1" applyAlignment="1">
      <alignment horizontal="center" vertical="center"/>
    </xf>
    <xf numFmtId="0" fontId="92" fillId="27" borderId="46" xfId="0" applyFont="1" applyFill="1" applyBorder="1" applyAlignment="1">
      <alignment horizontal="center" vertical="center"/>
    </xf>
    <xf numFmtId="0" fontId="92" fillId="30" borderId="46" xfId="0" applyFont="1" applyFill="1" applyBorder="1" applyAlignment="1">
      <alignment horizontal="center" vertical="center"/>
    </xf>
    <xf numFmtId="0" fontId="92" fillId="27" borderId="46" xfId="0" applyFont="1" applyFill="1" applyBorder="1" applyAlignment="1">
      <alignment vertical="center"/>
    </xf>
    <xf numFmtId="0" fontId="0" fillId="27" borderId="46" xfId="0" applyFill="1" applyBorder="1" applyAlignment="1">
      <alignment vertical="center"/>
    </xf>
    <xf numFmtId="0" fontId="89" fillId="28" borderId="46" xfId="0" applyFont="1" applyFill="1" applyBorder="1" applyAlignment="1">
      <alignment vertical="center"/>
    </xf>
    <xf numFmtId="0" fontId="99" fillId="31" borderId="46" xfId="0" applyFont="1" applyFill="1" applyBorder="1" applyAlignment="1">
      <alignment vertical="center"/>
    </xf>
    <xf numFmtId="0" fontId="93" fillId="31" borderId="46" xfId="0" applyFont="1" applyFill="1" applyBorder="1" applyAlignment="1">
      <alignment vertical="center"/>
    </xf>
    <xf numFmtId="0" fontId="94" fillId="31" borderId="46" xfId="0" applyFont="1" applyFill="1" applyBorder="1" applyAlignment="1">
      <alignment vertical="center"/>
    </xf>
    <xf numFmtId="0" fontId="101" fillId="31" borderId="46" xfId="0" applyFont="1" applyFill="1" applyBorder="1" applyAlignment="1">
      <alignment vertical="center"/>
    </xf>
    <xf numFmtId="0" fontId="100" fillId="31" borderId="46" xfId="0" applyFont="1" applyFill="1" applyBorder="1" applyAlignment="1">
      <alignment vertical="center"/>
    </xf>
    <xf numFmtId="0" fontId="105" fillId="31" borderId="46" xfId="0" applyFont="1" applyFill="1" applyBorder="1" applyAlignment="1">
      <alignment vertical="center"/>
    </xf>
    <xf numFmtId="0" fontId="106" fillId="31" borderId="46" xfId="0" applyFont="1" applyFill="1" applyBorder="1" applyAlignment="1">
      <alignment vertical="center"/>
    </xf>
    <xf numFmtId="0" fontId="89" fillId="0" borderId="46" xfId="0" applyFont="1" applyBorder="1" applyAlignment="1">
      <alignment vertical="center"/>
    </xf>
    <xf numFmtId="0" fontId="99" fillId="0" borderId="46" xfId="0" applyFont="1" applyBorder="1" applyAlignment="1">
      <alignment vertical="center"/>
    </xf>
    <xf numFmtId="0" fontId="93" fillId="0" borderId="46" xfId="0" applyFont="1" applyBorder="1" applyAlignment="1">
      <alignment vertical="center"/>
    </xf>
    <xf numFmtId="0" fontId="94" fillId="0" borderId="46" xfId="0" applyFont="1" applyBorder="1" applyAlignment="1">
      <alignment vertical="center"/>
    </xf>
    <xf numFmtId="0" fontId="101" fillId="0" borderId="46" xfId="0" applyFont="1" applyBorder="1" applyAlignment="1">
      <alignment vertical="center"/>
    </xf>
    <xf numFmtId="0" fontId="100" fillId="0" borderId="46" xfId="0" applyFont="1" applyBorder="1" applyAlignment="1">
      <alignment vertical="center"/>
    </xf>
    <xf numFmtId="0" fontId="105" fillId="0" borderId="46" xfId="0" applyFont="1" applyBorder="1" applyAlignment="1">
      <alignment vertical="center"/>
    </xf>
    <xf numFmtId="0" fontId="106" fillId="0" borderId="46" xfId="0" applyFont="1" applyBorder="1" applyAlignment="1">
      <alignment vertical="center"/>
    </xf>
    <xf numFmtId="0" fontId="96" fillId="0" borderId="46" xfId="0" applyFont="1" applyBorder="1" applyAlignment="1">
      <alignment vertical="center"/>
    </xf>
    <xf numFmtId="0" fontId="90" fillId="29" borderId="46" xfId="0" applyFont="1" applyFill="1" applyBorder="1" applyAlignment="1">
      <alignment vertical="center"/>
    </xf>
    <xf numFmtId="0" fontId="99" fillId="32" borderId="46" xfId="0" applyFont="1" applyFill="1" applyBorder="1" applyAlignment="1">
      <alignment vertical="center"/>
    </xf>
    <xf numFmtId="0" fontId="95" fillId="32" borderId="46" xfId="0" applyFont="1" applyFill="1" applyBorder="1" applyAlignment="1">
      <alignment vertical="center"/>
    </xf>
    <xf numFmtId="0" fontId="96" fillId="32" borderId="46" xfId="0" applyFont="1" applyFill="1" applyBorder="1" applyAlignment="1">
      <alignment vertical="center"/>
    </xf>
    <xf numFmtId="0" fontId="102" fillId="32" borderId="46" xfId="0" applyFont="1" applyFill="1" applyBorder="1" applyAlignment="1">
      <alignment vertical="center"/>
    </xf>
    <xf numFmtId="0" fontId="105" fillId="32" borderId="46" xfId="0" applyFont="1" applyFill="1" applyBorder="1" applyAlignment="1">
      <alignment vertical="center"/>
    </xf>
    <xf numFmtId="0" fontId="106" fillId="32" borderId="46" xfId="0" applyFont="1" applyFill="1" applyBorder="1" applyAlignment="1">
      <alignment vertical="center"/>
    </xf>
    <xf numFmtId="0" fontId="109" fillId="31" borderId="46" xfId="0" applyFont="1" applyFill="1" applyBorder="1" applyAlignment="1">
      <alignment vertical="center"/>
    </xf>
    <xf numFmtId="0" fontId="110" fillId="31" borderId="46" xfId="0" applyFont="1" applyFill="1" applyBorder="1" applyAlignment="1">
      <alignment vertical="center"/>
    </xf>
    <xf numFmtId="0" fontId="0" fillId="30" borderId="42" xfId="0" applyFont="1" applyFill="1" applyBorder="1" applyAlignment="1">
      <alignment horizontal="center" vertical="center"/>
    </xf>
    <xf numFmtId="0" fontId="0" fillId="27" borderId="42" xfId="0" applyFont="1" applyFill="1" applyBorder="1" applyAlignment="1">
      <alignment horizontal="center" vertical="center"/>
    </xf>
    <xf numFmtId="0" fontId="0" fillId="30" borderId="42" xfId="0" applyFont="1" applyFill="1" applyBorder="1" applyAlignment="1">
      <alignment vertical="center"/>
    </xf>
    <xf numFmtId="0" fontId="0" fillId="27" borderId="42" xfId="0" applyFont="1" applyFill="1" applyBorder="1" applyAlignment="1">
      <alignment vertical="center"/>
    </xf>
    <xf numFmtId="0" fontId="122" fillId="31" borderId="42" xfId="0" applyFont="1" applyFill="1" applyBorder="1" applyAlignment="1">
      <alignment vertical="center"/>
    </xf>
    <xf numFmtId="0" fontId="122" fillId="26" borderId="42" xfId="0" applyFont="1" applyFill="1" applyBorder="1" applyAlignment="1">
      <alignment vertical="center"/>
    </xf>
    <xf numFmtId="0" fontId="90" fillId="27" borderId="42" xfId="0" applyFont="1" applyFill="1" applyBorder="1" applyAlignment="1">
      <alignment vertical="center"/>
    </xf>
    <xf numFmtId="187" fontId="90" fillId="27" borderId="42" xfId="0" applyNumberFormat="1" applyFont="1" applyFill="1" applyBorder="1" applyAlignment="1">
      <alignment vertical="center"/>
    </xf>
    <xf numFmtId="187" fontId="99" fillId="27" borderId="42" xfId="0" applyNumberFormat="1" applyFont="1" applyFill="1" applyBorder="1" applyAlignment="1">
      <alignment vertical="center"/>
    </xf>
    <xf numFmtId="0" fontId="122" fillId="26" borderId="46" xfId="0" applyFont="1" applyFill="1" applyBorder="1" applyAlignment="1">
      <alignment vertical="center"/>
    </xf>
    <xf numFmtId="187" fontId="90" fillId="0" borderId="43" xfId="0" applyNumberFormat="1" applyFont="1" applyBorder="1" applyAlignment="1">
      <alignment vertical="center"/>
    </xf>
    <xf numFmtId="187" fontId="121" fillId="0" borderId="43" xfId="0" applyNumberFormat="1" applyFont="1" applyBorder="1" applyAlignment="1">
      <alignment vertical="center"/>
    </xf>
    <xf numFmtId="0" fontId="122" fillId="27" borderId="42" xfId="0" applyFont="1" applyFill="1" applyBorder="1" applyAlignment="1">
      <alignment vertical="center"/>
    </xf>
    <xf numFmtId="0" fontId="0" fillId="27" borderId="47" xfId="0" applyFill="1" applyBorder="1" applyAlignment="1">
      <alignment horizontal="center" vertical="center"/>
    </xf>
    <xf numFmtId="0" fontId="88" fillId="27" borderId="47" xfId="0" applyFont="1" applyFill="1" applyBorder="1" applyAlignment="1">
      <alignment horizontal="center" vertical="center"/>
    </xf>
    <xf numFmtId="0" fontId="103" fillId="27" borderId="47" xfId="0" applyFont="1" applyFill="1" applyBorder="1" applyAlignment="1">
      <alignment horizontal="center" vertical="center"/>
    </xf>
    <xf numFmtId="0" fontId="92" fillId="27" borderId="47" xfId="0" applyFont="1" applyFill="1" applyBorder="1" applyAlignment="1">
      <alignment horizontal="center" vertical="center"/>
    </xf>
    <xf numFmtId="0" fontId="0" fillId="27" borderId="47" xfId="0" applyFont="1" applyFill="1" applyBorder="1" applyAlignment="1">
      <alignment horizontal="center" vertical="center"/>
    </xf>
    <xf numFmtId="0" fontId="92" fillId="30" borderId="47" xfId="0" applyFont="1" applyFill="1" applyBorder="1" applyAlignment="1">
      <alignment horizontal="center" vertical="center"/>
    </xf>
    <xf numFmtId="0" fontId="92" fillId="27" borderId="47" xfId="0" applyFont="1" applyFill="1" applyBorder="1" applyAlignment="1">
      <alignment vertical="center"/>
    </xf>
    <xf numFmtId="0" fontId="0" fillId="27" borderId="47" xfId="0" applyFill="1" applyBorder="1" applyAlignment="1">
      <alignment vertical="center"/>
    </xf>
    <xf numFmtId="0" fontId="89" fillId="28" borderId="47" xfId="0" applyFont="1" applyFill="1" applyBorder="1" applyAlignment="1">
      <alignment vertical="center"/>
    </xf>
    <xf numFmtId="0" fontId="99" fillId="31" borderId="47" xfId="0" applyFont="1" applyFill="1" applyBorder="1" applyAlignment="1">
      <alignment vertical="center"/>
    </xf>
    <xf numFmtId="0" fontId="101" fillId="31" borderId="47" xfId="0" applyFont="1" applyFill="1" applyBorder="1" applyAlignment="1">
      <alignment vertical="center"/>
    </xf>
    <xf numFmtId="0" fontId="100" fillId="31" borderId="47" xfId="0" applyFont="1" applyFill="1" applyBorder="1" applyAlignment="1">
      <alignment vertical="center"/>
    </xf>
    <xf numFmtId="0" fontId="93" fillId="31" borderId="47" xfId="0" applyFont="1" applyFill="1" applyBorder="1" applyAlignment="1">
      <alignment vertical="center"/>
    </xf>
    <xf numFmtId="0" fontId="94" fillId="31" borderId="47" xfId="0" applyFont="1" applyFill="1" applyBorder="1" applyAlignment="1">
      <alignment vertical="center"/>
    </xf>
    <xf numFmtId="0" fontId="105" fillId="31" borderId="47" xfId="0" applyFont="1" applyFill="1" applyBorder="1" applyAlignment="1">
      <alignment vertical="center"/>
    </xf>
    <xf numFmtId="0" fontId="106" fillId="31" borderId="47" xfId="0" applyFont="1" applyFill="1" applyBorder="1" applyAlignment="1">
      <alignment vertical="center"/>
    </xf>
    <xf numFmtId="0" fontId="109" fillId="31" borderId="47" xfId="0" applyFont="1" applyFill="1" applyBorder="1" applyAlignment="1">
      <alignment vertical="center"/>
    </xf>
    <xf numFmtId="0" fontId="110" fillId="31" borderId="47" xfId="0" applyFont="1" applyFill="1" applyBorder="1" applyAlignment="1">
      <alignment vertical="center"/>
    </xf>
    <xf numFmtId="0" fontId="89" fillId="0" borderId="47" xfId="0" applyFont="1" applyBorder="1" applyAlignment="1">
      <alignment vertical="center"/>
    </xf>
    <xf numFmtId="0" fontId="99" fillId="0" borderId="47" xfId="0" applyFont="1" applyBorder="1" applyAlignment="1">
      <alignment vertical="center"/>
    </xf>
    <xf numFmtId="0" fontId="101" fillId="0" borderId="47" xfId="0" applyFont="1" applyBorder="1" applyAlignment="1">
      <alignment vertical="center"/>
    </xf>
    <xf numFmtId="0" fontId="100" fillId="0" borderId="47" xfId="0" applyFont="1" applyBorder="1" applyAlignment="1">
      <alignment vertical="center"/>
    </xf>
    <xf numFmtId="0" fontId="93" fillId="0" borderId="47" xfId="0" applyFont="1" applyBorder="1" applyAlignment="1">
      <alignment vertical="center"/>
    </xf>
    <xf numFmtId="0" fontId="94" fillId="0" borderId="47" xfId="0" applyFont="1" applyBorder="1" applyAlignment="1">
      <alignment vertical="center"/>
    </xf>
    <xf numFmtId="0" fontId="105" fillId="0" borderId="47" xfId="0" applyFont="1" applyBorder="1" applyAlignment="1">
      <alignment vertical="center"/>
    </xf>
    <xf numFmtId="0" fontId="106" fillId="0" borderId="47" xfId="0" applyFont="1" applyBorder="1" applyAlignment="1">
      <alignment vertical="center"/>
    </xf>
    <xf numFmtId="0" fontId="96" fillId="0" borderId="47" xfId="0" applyFont="1" applyBorder="1" applyAlignment="1">
      <alignment vertical="center"/>
    </xf>
    <xf numFmtId="0" fontId="90" fillId="29" borderId="47" xfId="0" applyFont="1" applyFill="1" applyBorder="1" applyAlignment="1">
      <alignment vertical="center"/>
    </xf>
    <xf numFmtId="0" fontId="99" fillId="32" borderId="47" xfId="0" applyFont="1" applyFill="1" applyBorder="1" applyAlignment="1">
      <alignment vertical="center"/>
    </xf>
    <xf numFmtId="0" fontId="102" fillId="32" borderId="47" xfId="0" applyFont="1" applyFill="1" applyBorder="1" applyAlignment="1">
      <alignment vertical="center"/>
    </xf>
    <xf numFmtId="0" fontId="95" fillId="32" borderId="47" xfId="0" applyFont="1" applyFill="1" applyBorder="1" applyAlignment="1">
      <alignment vertical="center"/>
    </xf>
    <xf numFmtId="0" fontId="96" fillId="32" borderId="47" xfId="0" applyFont="1" applyFill="1" applyBorder="1" applyAlignment="1">
      <alignment vertical="center"/>
    </xf>
    <xf numFmtId="0" fontId="105" fillId="32" borderId="47" xfId="0" applyFont="1" applyFill="1" applyBorder="1" applyAlignment="1">
      <alignment vertical="center"/>
    </xf>
    <xf numFmtId="0" fontId="106" fillId="32" borderId="47" xfId="0" applyFont="1" applyFill="1" applyBorder="1" applyAlignment="1">
      <alignment vertical="center"/>
    </xf>
    <xf numFmtId="0" fontId="7" fillId="0" borderId="9" xfId="16" applyFont="1" applyBorder="1" applyAlignment="1">
      <alignment horizontal="center"/>
    </xf>
    <xf numFmtId="0" fontId="11" fillId="0" borderId="1" xfId="16" applyFont="1" applyBorder="1" applyAlignment="1">
      <alignment horizontal="center" vertical="center"/>
    </xf>
    <xf numFmtId="0" fontId="11" fillId="0" borderId="43" xfId="16" applyFont="1" applyBorder="1" applyAlignment="1">
      <alignment horizontal="center" vertical="center"/>
    </xf>
    <xf numFmtId="0" fontId="21" fillId="33" borderId="34" xfId="0" applyFont="1" applyFill="1" applyBorder="1" applyAlignment="1">
      <alignment horizontal="center" vertical="center" wrapText="1" shrinkToFit="1"/>
    </xf>
    <xf numFmtId="0" fontId="98" fillId="2" borderId="0" xfId="19" applyFont="1" applyFill="1" applyBorder="1" applyAlignment="1" applyProtection="1"/>
    <xf numFmtId="0" fontId="0" fillId="0" borderId="0" xfId="0" applyAlignment="1"/>
    <xf numFmtId="0" fontId="17" fillId="0" borderId="34" xfId="0" applyFont="1" applyFill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4" xfId="0" applyFont="1" applyFill="1" applyBorder="1" applyAlignment="1">
      <alignment horizontal="center" vertical="center" wrapText="1" shrinkToFit="1"/>
    </xf>
    <xf numFmtId="0" fontId="81" fillId="0" borderId="19" xfId="0" applyFont="1" applyBorder="1" applyAlignment="1">
      <alignment horizontal="center" vertical="center"/>
    </xf>
    <xf numFmtId="0" fontId="81" fillId="0" borderId="23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0" fontId="81" fillId="0" borderId="30" xfId="0" applyFont="1" applyBorder="1" applyAlignment="1">
      <alignment horizontal="center" vertical="center"/>
    </xf>
    <xf numFmtId="0" fontId="81" fillId="0" borderId="31" xfId="0" applyFont="1" applyBorder="1" applyAlignment="1">
      <alignment horizontal="center" vertical="center"/>
    </xf>
    <xf numFmtId="0" fontId="81" fillId="0" borderId="32" xfId="0" applyFont="1" applyBorder="1" applyAlignment="1">
      <alignment horizontal="center" vertical="center"/>
    </xf>
    <xf numFmtId="0" fontId="36" fillId="0" borderId="33" xfId="10" applyFont="1" applyBorder="1" applyAlignment="1">
      <alignment horizontal="center" vertical="center"/>
    </xf>
    <xf numFmtId="0" fontId="14" fillId="0" borderId="9" xfId="10" applyFont="1" applyFill="1" applyBorder="1" applyAlignment="1">
      <alignment horizontal="center" vertical="center"/>
    </xf>
    <xf numFmtId="0" fontId="45" fillId="0" borderId="1" xfId="10" applyFont="1" applyBorder="1" applyAlignment="1">
      <alignment horizontal="center" vertical="center"/>
    </xf>
    <xf numFmtId="0" fontId="16" fillId="0" borderId="3" xfId="10" applyFont="1" applyBorder="1" applyAlignment="1">
      <alignment horizontal="center" vertical="center"/>
    </xf>
    <xf numFmtId="0" fontId="16" fillId="0" borderId="2" xfId="10" applyFont="1" applyBorder="1" applyAlignment="1">
      <alignment horizontal="center" vertical="center"/>
    </xf>
    <xf numFmtId="0" fontId="97" fillId="0" borderId="3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107" fillId="0" borderId="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91" fillId="0" borderId="3" xfId="0" applyFont="1" applyBorder="1" applyAlignment="1">
      <alignment horizontal="center" vertical="center" wrapText="1"/>
    </xf>
    <xf numFmtId="0" fontId="91" fillId="0" borderId="4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0" fontId="97" fillId="0" borderId="35" xfId="0" applyFont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 wrapText="1"/>
    </xf>
    <xf numFmtId="0" fontId="97" fillId="0" borderId="2" xfId="0" applyFont="1" applyBorder="1" applyAlignment="1">
      <alignment horizontal="center" vertical="center" wrapText="1"/>
    </xf>
    <xf numFmtId="0" fontId="18" fillId="0" borderId="34" xfId="2178" applyFont="1" applyBorder="1" applyAlignment="1">
      <alignment horizontal="center" vertical="center"/>
    </xf>
    <xf numFmtId="0" fontId="16" fillId="0" borderId="34" xfId="2178" applyFont="1" applyBorder="1" applyAlignment="1">
      <alignment horizontal="center" vertical="center"/>
    </xf>
    <xf numFmtId="0" fontId="16" fillId="0" borderId="35" xfId="2178" applyFont="1" applyBorder="1" applyAlignment="1">
      <alignment horizontal="center" vertical="center"/>
    </xf>
    <xf numFmtId="0" fontId="16" fillId="0" borderId="4" xfId="2178" applyFont="1" applyBorder="1" applyAlignment="1">
      <alignment horizontal="center" vertical="center"/>
    </xf>
    <xf numFmtId="0" fontId="16" fillId="0" borderId="2" xfId="2178" applyFont="1" applyBorder="1" applyAlignment="1">
      <alignment horizontal="center" vertical="center"/>
    </xf>
    <xf numFmtId="0" fontId="16" fillId="0" borderId="35" xfId="2178" applyFont="1" applyFill="1" applyBorder="1" applyAlignment="1">
      <alignment horizontal="center" vertical="center"/>
    </xf>
    <xf numFmtId="0" fontId="16" fillId="0" borderId="4" xfId="2178" applyFont="1" applyFill="1" applyBorder="1" applyAlignment="1">
      <alignment horizontal="center" vertical="center"/>
    </xf>
    <xf numFmtId="0" fontId="16" fillId="0" borderId="2" xfId="2178" applyFont="1" applyFill="1" applyBorder="1" applyAlignment="1">
      <alignment horizontal="center" vertical="center"/>
    </xf>
    <xf numFmtId="0" fontId="18" fillId="0" borderId="4" xfId="2178" applyFont="1" applyBorder="1" applyAlignment="1">
      <alignment horizontal="center" vertical="center"/>
    </xf>
    <xf numFmtId="0" fontId="18" fillId="0" borderId="2" xfId="2178" applyFont="1" applyBorder="1" applyAlignment="1">
      <alignment horizontal="center" vertical="center"/>
    </xf>
    <xf numFmtId="0" fontId="16" fillId="0" borderId="35" xfId="2179" applyFont="1" applyBorder="1" applyAlignment="1">
      <alignment horizontal="center" vertical="center" wrapText="1"/>
    </xf>
    <xf numFmtId="0" fontId="16" fillId="0" borderId="4" xfId="2179" applyFont="1" applyBorder="1" applyAlignment="1">
      <alignment horizontal="center" vertical="center" wrapText="1"/>
    </xf>
    <xf numFmtId="0" fontId="16" fillId="0" borderId="2" xfId="2179" applyFont="1" applyBorder="1" applyAlignment="1">
      <alignment horizontal="center" vertical="center" wrapText="1"/>
    </xf>
    <xf numFmtId="0" fontId="0" fillId="27" borderId="48" xfId="0" applyFill="1" applyBorder="1" applyAlignment="1">
      <alignment horizontal="center" vertical="center"/>
    </xf>
    <xf numFmtId="0" fontId="88" fillId="27" borderId="48" xfId="0" applyFont="1" applyFill="1" applyBorder="1" applyAlignment="1">
      <alignment horizontal="center" vertical="center"/>
    </xf>
    <xf numFmtId="0" fontId="103" fillId="27" borderId="48" xfId="0" applyFont="1" applyFill="1" applyBorder="1" applyAlignment="1">
      <alignment horizontal="center" vertical="center"/>
    </xf>
    <xf numFmtId="0" fontId="92" fillId="27" borderId="48" xfId="0" applyFont="1" applyFill="1" applyBorder="1" applyAlignment="1">
      <alignment horizontal="center" vertical="center"/>
    </xf>
    <xf numFmtId="0" fontId="92" fillId="30" borderId="48" xfId="0" applyFont="1" applyFill="1" applyBorder="1" applyAlignment="1">
      <alignment horizontal="center" vertical="center"/>
    </xf>
    <xf numFmtId="0" fontId="92" fillId="27" borderId="48" xfId="0" applyFont="1" applyFill="1" applyBorder="1" applyAlignment="1">
      <alignment vertical="center"/>
    </xf>
    <xf numFmtId="0" fontId="0" fillId="27" borderId="48" xfId="0" applyFill="1" applyBorder="1" applyAlignment="1">
      <alignment vertical="center"/>
    </xf>
    <xf numFmtId="0" fontId="89" fillId="28" borderId="48" xfId="0" applyFont="1" applyFill="1" applyBorder="1" applyAlignment="1">
      <alignment vertical="center"/>
    </xf>
    <xf numFmtId="0" fontId="99" fillId="31" borderId="48" xfId="0" applyFont="1" applyFill="1" applyBorder="1" applyAlignment="1">
      <alignment vertical="center"/>
    </xf>
    <xf numFmtId="0" fontId="101" fillId="31" borderId="48" xfId="0" applyFont="1" applyFill="1" applyBorder="1" applyAlignment="1">
      <alignment vertical="center"/>
    </xf>
    <xf numFmtId="0" fontId="100" fillId="31" borderId="48" xfId="0" applyFont="1" applyFill="1" applyBorder="1" applyAlignment="1">
      <alignment vertical="center"/>
    </xf>
    <xf numFmtId="0" fontId="93" fillId="31" borderId="48" xfId="0" applyFont="1" applyFill="1" applyBorder="1" applyAlignment="1">
      <alignment vertical="center"/>
    </xf>
    <xf numFmtId="0" fontId="94" fillId="31" borderId="48" xfId="0" applyFont="1" applyFill="1" applyBorder="1" applyAlignment="1">
      <alignment vertical="center"/>
    </xf>
    <xf numFmtId="0" fontId="105" fillId="31" borderId="48" xfId="0" applyFont="1" applyFill="1" applyBorder="1" applyAlignment="1">
      <alignment vertical="center"/>
    </xf>
    <xf numFmtId="0" fontId="106" fillId="31" borderId="48" xfId="0" applyFont="1" applyFill="1" applyBorder="1" applyAlignment="1">
      <alignment vertical="center"/>
    </xf>
    <xf numFmtId="0" fontId="109" fillId="31" borderId="48" xfId="0" applyFont="1" applyFill="1" applyBorder="1" applyAlignment="1">
      <alignment vertical="center"/>
    </xf>
    <xf numFmtId="0" fontId="110" fillId="31" borderId="48" xfId="0" applyFont="1" applyFill="1" applyBorder="1" applyAlignment="1">
      <alignment vertical="center"/>
    </xf>
    <xf numFmtId="0" fontId="89" fillId="0" borderId="48" xfId="0" applyFont="1" applyBorder="1" applyAlignment="1">
      <alignment vertical="center"/>
    </xf>
    <xf numFmtId="0" fontId="99" fillId="0" borderId="48" xfId="0" applyFont="1" applyBorder="1" applyAlignment="1">
      <alignment vertical="center"/>
    </xf>
    <xf numFmtId="0" fontId="101" fillId="0" borderId="48" xfId="0" applyFont="1" applyBorder="1" applyAlignment="1">
      <alignment vertical="center"/>
    </xf>
    <xf numFmtId="0" fontId="100" fillId="0" borderId="48" xfId="0" applyFont="1" applyBorder="1" applyAlignment="1">
      <alignment vertical="center"/>
    </xf>
    <xf numFmtId="0" fontId="93" fillId="0" borderId="48" xfId="0" applyFont="1" applyBorder="1" applyAlignment="1">
      <alignment vertical="center"/>
    </xf>
    <xf numFmtId="0" fontId="94" fillId="0" borderId="48" xfId="0" applyFont="1" applyBorder="1" applyAlignment="1">
      <alignment vertical="center"/>
    </xf>
    <xf numFmtId="0" fontId="105" fillId="0" borderId="48" xfId="0" applyFont="1" applyBorder="1" applyAlignment="1">
      <alignment vertical="center"/>
    </xf>
    <xf numFmtId="0" fontId="106" fillId="0" borderId="48" xfId="0" applyFont="1" applyBorder="1" applyAlignment="1">
      <alignment vertical="center"/>
    </xf>
    <xf numFmtId="0" fontId="96" fillId="0" borderId="48" xfId="0" applyFont="1" applyBorder="1" applyAlignment="1">
      <alignment vertical="center"/>
    </xf>
    <xf numFmtId="0" fontId="90" fillId="29" borderId="48" xfId="0" applyFont="1" applyFill="1" applyBorder="1" applyAlignment="1">
      <alignment vertical="center"/>
    </xf>
    <xf numFmtId="0" fontId="99" fillId="32" borderId="48" xfId="0" applyFont="1" applyFill="1" applyBorder="1" applyAlignment="1">
      <alignment vertical="center"/>
    </xf>
    <xf numFmtId="0" fontId="102" fillId="32" borderId="48" xfId="0" applyFont="1" applyFill="1" applyBorder="1" applyAlignment="1">
      <alignment vertical="center"/>
    </xf>
    <xf numFmtId="0" fontId="95" fillId="32" borderId="48" xfId="0" applyFont="1" applyFill="1" applyBorder="1" applyAlignment="1">
      <alignment vertical="center"/>
    </xf>
    <xf numFmtId="0" fontId="96" fillId="32" borderId="48" xfId="0" applyFont="1" applyFill="1" applyBorder="1" applyAlignment="1">
      <alignment vertical="center"/>
    </xf>
    <xf numFmtId="0" fontId="105" fillId="32" borderId="48" xfId="0" applyFont="1" applyFill="1" applyBorder="1" applyAlignment="1">
      <alignment vertical="center"/>
    </xf>
    <xf numFmtId="0" fontId="106" fillId="32" borderId="48" xfId="0" applyFont="1" applyFill="1" applyBorder="1" applyAlignment="1">
      <alignment vertical="center"/>
    </xf>
  </cellXfs>
  <cellStyles count="2180">
    <cellStyle name="_04月份生產尾數追蹤表 04-18 (1)_04月份生產尾數追蹤表 04-20_05月份生產尾數追蹤表 05-03_05月份生產尾數追蹤表 05-16_05月份生產尾數追蹤表 05-17_06月份生產尾數追蹤表 06-02_06月份生產尾數追蹤表 06-05_06月份生產尾數追蹤表 06-06_08月份生產尾數追蹤表 08-27_08月份生產尾數追蹤表 08-27_06月份生產尾數追蹤表 06.07_06月份生產尾數追蹤表 06.09" xfId="21"/>
    <cellStyle name="_04月份生產尾數追蹤表 04-18 (1)_04月份生產尾數追蹤表 04-20_05月份生產尾數追蹤表 05-03_05月份生產尾數追蹤表 05-16_05月份生產尾數追蹤表 05-17_06月份生產尾數追蹤表 06-02_06月份生產尾數追蹤表 06-05_06月份生產尾數追蹤表 06-06_08月份生產尾數追蹤表 08-27_08月份生產尾數追蹤表 08-27_06月份生產尾數追蹤表 06.07_06月份生產尾數追蹤表 06.09_06月份生產尾數追蹤表 06.14" xfId="22"/>
    <cellStyle name="_09-9綜合報表" xfId="23"/>
    <cellStyle name="_12月份生產尾數追蹤表_11月份生產尾數追蹤表 11-28_05月份生產尾數追蹤表 05.21_05月份生產尾數追蹤表 05.21_05月份生產尾數追蹤表 05.27_05月份生產尾數追蹤表 05.28 (1)_06月份生產尾數追蹤表 06.07_06月份生產尾數追蹤表 06.09" xfId="24"/>
    <cellStyle name="_12月份生產尾數追蹤表_11月份生產尾數追蹤表 11-28_05月份生產尾數追蹤表 05.21_05月份生產尾數追蹤表 05.21_05月份生產尾數追蹤表 05.27_05月份生產尾數追蹤表 05.28 (1)_06月份生產尾數追蹤表 06.07_06月份生產尾數追蹤表 06.09_06月份生產尾數追蹤表 06.14" xfId="25"/>
    <cellStyle name="_2009-05月20資料洭總" xfId="26"/>
    <cellStyle name="_2009-05月20資料洭總_2009-10-13" xfId="27"/>
    <cellStyle name="_2009-05月20資料洭總_2009-10-17" xfId="28"/>
    <cellStyle name="_2009-05月20資料洭總_2009-10-8" xfId="29"/>
    <cellStyle name="_2009-05月20資料洭總_2009-10-8_2009-10-12綜合報表" xfId="30"/>
    <cellStyle name="_2009-05月20資料洭總_2009-10-8_T Lan" xfId="31"/>
    <cellStyle name="_2009-05月20資料洭總_2009-10-8_T Lan (1)" xfId="32"/>
    <cellStyle name="_2009-05月20資料洭總_2009-10-8_thanh lan (2)" xfId="33"/>
    <cellStyle name="_2009-05月20資料洭總_2009-10均時產" xfId="34"/>
    <cellStyle name="_2009-05月20資料洭總_2009-10均時產_2009-10-12綜合報表" xfId="35"/>
    <cellStyle name="_2009-05月20資料洭總_2009-10均時產_9876543 (ExcelFIX)" xfId="36"/>
    <cellStyle name="_2009-05月20資料洭總_2009-10均時產_9876543 (ExcelFIX)_2009-10-12綜合報表" xfId="37"/>
    <cellStyle name="_2009-05月20資料洭總_2009-10均時產_9876543 (ExcelFIX)_T Lan" xfId="38"/>
    <cellStyle name="_2009-05月20資料洭總_2009-10均時產_9876543 (ExcelFIX)_T Lan (1)" xfId="39"/>
    <cellStyle name="_2009-05月20資料洭總_2009-10均時產_9876543 (ExcelFIX)_thanh lan (2)" xfId="40"/>
    <cellStyle name="_2009-05月20資料洭總_2009-10均時產_T Lan" xfId="41"/>
    <cellStyle name="_2009-05月20資料洭總_2009-10均時產_T Lan (1)" xfId="42"/>
    <cellStyle name="_2009-05月20資料洭總_2009-10均時產_thanh lan (2)" xfId="43"/>
    <cellStyle name="_2009-05月20資料洭總_2009-12-8" xfId="44"/>
    <cellStyle name="_2009-05月20資料洭總_2010-1-23" xfId="45"/>
    <cellStyle name="_2009-05月20資料洭總_6-1.月份KPI評比" xfId="46"/>
    <cellStyle name="_2009-05月20資料洭總_成品倉2009-10-13-ktp" xfId="47"/>
    <cellStyle name="_2009-05月20資料洭總_成品倉2009-10-13-ktp_1" xfId="48"/>
    <cellStyle name="_2009-05月20資料洭總_成品倉2009-10-17ktp" xfId="49"/>
    <cellStyle name="_2009-05月20資料洭總_成品倉2009-120tp" xfId="50"/>
    <cellStyle name="_2009-05月20資料洭總_綜合報表2009-08-01" xfId="51"/>
    <cellStyle name="_2009-05月20資料洭總_複製 -09- 綜合報表" xfId="52"/>
    <cellStyle name="_2009-05月20資料洭總_複製 -11月份各廠KPI評比狀況" xfId="53"/>
    <cellStyle name="_2009-10-13" xfId="54"/>
    <cellStyle name="_2009-10-13_2009-10-16綜合報表" xfId="55"/>
    <cellStyle name="_2009-10-13_2009-11-04綜合報表" xfId="56"/>
    <cellStyle name="_2009-10-13_2009-11-30綜合報表" xfId="57"/>
    <cellStyle name="_2009-10-13_2009-11-7(1)" xfId="58"/>
    <cellStyle name="_2009-10-13_2009-20-11(1)" xfId="59"/>
    <cellStyle name="_2009-10-13_企劃生管-阿綠的報表10-22" xfId="60"/>
    <cellStyle name="_2009-10-13_企劃生管-阿綠的報表11-04 (2)" xfId="61"/>
    <cellStyle name="_2009-10-13_企劃生管-阿綠的報表11-05" xfId="62"/>
    <cellStyle name="_2009-10-13_企劃生管-阿綠的報表11-06" xfId="63"/>
    <cellStyle name="_2009-10-13_企劃生管-阿綠的報表11-09" xfId="64"/>
    <cellStyle name="_2009-10-13_企劃生管-阿綠的報表11-10" xfId="65"/>
    <cellStyle name="_2009-10-13_企劃生管-阿綠的報表11-11" xfId="66"/>
    <cellStyle name="_2009-10-13_企劃生管-阿綠的報表11-14" xfId="67"/>
    <cellStyle name="_2009-10-13_企劃生管-阿綠的報表12-01" xfId="68"/>
    <cellStyle name="_2009-10-13_複製 -2009-11-10綜合報表" xfId="69"/>
    <cellStyle name="_2009-10-17" xfId="70"/>
    <cellStyle name="_2009-10-8" xfId="71"/>
    <cellStyle name="_2009-10-8_2009-10-12綜合報表" xfId="72"/>
    <cellStyle name="_2009-10-8_2009-10-16綜合報表" xfId="73"/>
    <cellStyle name="_2009-10-8_2009-11-04綜合報表" xfId="74"/>
    <cellStyle name="_2009-10-8_2009-11-30綜合報表" xfId="75"/>
    <cellStyle name="_2009-10-8_2009-11-7(1)" xfId="76"/>
    <cellStyle name="_2009-10-8_2009-20-11(1)" xfId="77"/>
    <cellStyle name="_2009-10-8_T Lan" xfId="78"/>
    <cellStyle name="_2009-10-8_T Lan (1)" xfId="79"/>
    <cellStyle name="_2009-10-8_thanh lan (2)" xfId="80"/>
    <cellStyle name="_2009-10-8_企劃生管-阿綠的報表10-22" xfId="81"/>
    <cellStyle name="_2009-10-8_企劃生管-阿綠的報表11-04 (2)" xfId="82"/>
    <cellStyle name="_2009-10-8_企劃生管-阿綠的報表11-05" xfId="83"/>
    <cellStyle name="_2009-10-8_企劃生管-阿綠的報表11-06" xfId="84"/>
    <cellStyle name="_2009-10-8_企劃生管-阿綠的報表11-09" xfId="85"/>
    <cellStyle name="_2009-10-8_企劃生管-阿綠的報表11-10" xfId="86"/>
    <cellStyle name="_2009-10-8_企劃生管-阿綠的報表11-11" xfId="87"/>
    <cellStyle name="_2009-10-8_企劃生管-阿綠的報表11-14" xfId="88"/>
    <cellStyle name="_2009-10-8_企劃生管-阿綠的報表12-01" xfId="89"/>
    <cellStyle name="_2009-10-8_複製 -2009-11-10綜合報表" xfId="90"/>
    <cellStyle name="_2009-10均時產" xfId="91"/>
    <cellStyle name="_2009-10均時產_2009-10-12綜合報表" xfId="92"/>
    <cellStyle name="_2009-10均時產_2009-10-16綜合報表" xfId="93"/>
    <cellStyle name="_2009-10均時產_2009-11-04綜合報表" xfId="94"/>
    <cellStyle name="_2009-10均時產_2009-11-30綜合報表" xfId="95"/>
    <cellStyle name="_2009-10均時產_2009-11-7(1)" xfId="96"/>
    <cellStyle name="_2009-10均時產_2009-20-11(1)" xfId="97"/>
    <cellStyle name="_2009-10均時產_9876543 (ExcelFIX)" xfId="98"/>
    <cellStyle name="_2009-10均時產_T Lan" xfId="99"/>
    <cellStyle name="_2009-10均時產_T Lan (1)" xfId="100"/>
    <cellStyle name="_2009-10均時產_thanh lan (2)" xfId="101"/>
    <cellStyle name="_2009-10均時產_企劃生管-阿綠的報表10-22" xfId="102"/>
    <cellStyle name="_2009-10均時產_企劃生管-阿綠的報表11-04 (2)" xfId="103"/>
    <cellStyle name="_2009-10均時產_企劃生管-阿綠的報表11-05" xfId="104"/>
    <cellStyle name="_2009-10均時產_企劃生管-阿綠的報表11-06" xfId="105"/>
    <cellStyle name="_2009-10均時產_企劃生管-阿綠的報表11-09" xfId="106"/>
    <cellStyle name="_2009-10均時產_企劃生管-阿綠的報表11-10" xfId="107"/>
    <cellStyle name="_2009-10均時產_企劃生管-阿綠的報表11-11" xfId="108"/>
    <cellStyle name="_2009-10均時產_企劃生管-阿綠的報表11-14" xfId="109"/>
    <cellStyle name="_2009-10均時產_企劃生管-阿綠的報表12-01" xfId="110"/>
    <cellStyle name="_2009-10均時產_複製 -2009-11-10綜合報表" xfId="111"/>
    <cellStyle name="_2009-12-8" xfId="112"/>
    <cellStyle name="_2009-2-12成品倉B品報表" xfId="113"/>
    <cellStyle name="_2009-2-12成品倉B品報表_2009-10-13" xfId="114"/>
    <cellStyle name="_2009-2-12成品倉B品報表_2009-10-13_2009-10-16綜合報表" xfId="115"/>
    <cellStyle name="_2009-2-12成品倉B品報表_2009-10-13_2009-11-04綜合報表" xfId="116"/>
    <cellStyle name="_2009-2-12成品倉B品報表_2009-10-13_2009-11-30綜合報表" xfId="117"/>
    <cellStyle name="_2009-2-12成品倉B品報表_2009-10-13_2009-11-7(1)" xfId="118"/>
    <cellStyle name="_2009-2-12成品倉B品報表_2009-10-13_2009-20-11(1)" xfId="119"/>
    <cellStyle name="_2009-2-12成品倉B品報表_2009-10-13_企劃生管-阿綠的報表10-22" xfId="120"/>
    <cellStyle name="_2009-2-12成品倉B品報表_2009-10-13_企劃生管-阿綠的報表11-04 (2)" xfId="121"/>
    <cellStyle name="_2009-2-12成品倉B品報表_2009-10-13_企劃生管-阿綠的報表11-05" xfId="122"/>
    <cellStyle name="_2009-2-12成品倉B品報表_2009-10-13_企劃生管-阿綠的報表11-06" xfId="123"/>
    <cellStyle name="_2009-2-12成品倉B品報表_2009-10-13_企劃生管-阿綠的報表11-09" xfId="124"/>
    <cellStyle name="_2009-2-12成品倉B品報表_2009-10-13_企劃生管-阿綠的報表11-10" xfId="125"/>
    <cellStyle name="_2009-2-12成品倉B品報表_2009-10-13_企劃生管-阿綠的報表11-11" xfId="126"/>
    <cellStyle name="_2009-2-12成品倉B品報表_2009-10-13_企劃生管-阿綠的報表11-14" xfId="127"/>
    <cellStyle name="_2009-2-12成品倉B品報表_2009-10-13_企劃生管-阿綠的報表12-01" xfId="128"/>
    <cellStyle name="_2009-2-12成品倉B品報表_2009-10-13_複製 -2009-11-10綜合報表" xfId="129"/>
    <cellStyle name="_2009-2-12成品倉B品報表_2009-10-17" xfId="130"/>
    <cellStyle name="_2009-2-12成品倉B品報表_2009-10-8" xfId="131"/>
    <cellStyle name="_2009-2-12成品倉B品報表_2009-10-8_2009-10-12綜合報表" xfId="132"/>
    <cellStyle name="_2009-2-12成品倉B品報表_2009-10-8_2009-10-16綜合報表" xfId="133"/>
    <cellStyle name="_2009-2-12成品倉B品報表_2009-10-8_2009-11-04綜合報表" xfId="134"/>
    <cellStyle name="_2009-2-12成品倉B品報表_2009-10-8_2009-11-30綜合報表" xfId="135"/>
    <cellStyle name="_2009-2-12成品倉B品報表_2009-10-8_2009-11-7(1)" xfId="136"/>
    <cellStyle name="_2009-2-12成品倉B品報表_2009-10-8_2009-20-11(1)" xfId="137"/>
    <cellStyle name="_2009-2-12成品倉B品報表_2009-10-8_T Lan" xfId="138"/>
    <cellStyle name="_2009-2-12成品倉B品報表_2009-10-8_T Lan (1)" xfId="139"/>
    <cellStyle name="_2009-2-12成品倉B品報表_2009-10-8_thanh lan (2)" xfId="140"/>
    <cellStyle name="_2009-2-12成品倉B品報表_2009-10-8_企劃生管-阿綠的報表10-22" xfId="141"/>
    <cellStyle name="_2009-2-12成品倉B品報表_2009-10-8_企劃生管-阿綠的報表11-04 (2)" xfId="142"/>
    <cellStyle name="_2009-2-12成品倉B品報表_2009-10-8_企劃生管-阿綠的報表11-05" xfId="143"/>
    <cellStyle name="_2009-2-12成品倉B品報表_2009-10-8_企劃生管-阿綠的報表11-06" xfId="144"/>
    <cellStyle name="_2009-2-12成品倉B品報表_2009-10-8_企劃生管-阿綠的報表11-09" xfId="145"/>
    <cellStyle name="_2009-2-12成品倉B品報表_2009-10-8_企劃生管-阿綠的報表11-10" xfId="146"/>
    <cellStyle name="_2009-2-12成品倉B品報表_2009-10-8_企劃生管-阿綠的報表11-11" xfId="147"/>
    <cellStyle name="_2009-2-12成品倉B品報表_2009-10-8_企劃生管-阿綠的報表11-14" xfId="148"/>
    <cellStyle name="_2009-2-12成品倉B品報表_2009-10-8_企劃生管-阿綠的報表12-01" xfId="149"/>
    <cellStyle name="_2009-2-12成品倉B品報表_2009-10-8_複製 -2009-11-10綜合報表" xfId="150"/>
    <cellStyle name="_2009-2-12成品倉B品報表_2009-10均時產" xfId="151"/>
    <cellStyle name="_2009-2-12成品倉B品報表_2009-10均時產_2009-10-12綜合報表" xfId="152"/>
    <cellStyle name="_2009-2-12成品倉B品報表_2009-10均時產_2009-10-16綜合報表" xfId="153"/>
    <cellStyle name="_2009-2-12成品倉B品報表_2009-10均時產_2009-11-04綜合報表" xfId="154"/>
    <cellStyle name="_2009-2-12成品倉B品報表_2009-10均時產_2009-11-30綜合報表" xfId="155"/>
    <cellStyle name="_2009-2-12成品倉B品報表_2009-10均時產_2009-11-7(1)" xfId="156"/>
    <cellStyle name="_2009-2-12成品倉B品報表_2009-10均時產_2009-20-11(1)" xfId="157"/>
    <cellStyle name="_2009-2-12成品倉B品報表_2009-10均時產_9876543 (ExcelFIX)" xfId="158"/>
    <cellStyle name="_2009-2-12成品倉B品報表_2009-10均時產_T Lan" xfId="159"/>
    <cellStyle name="_2009-2-12成品倉B品報表_2009-10均時產_T Lan (1)" xfId="160"/>
    <cellStyle name="_2009-2-12成品倉B品報表_2009-10均時產_thanh lan (2)" xfId="161"/>
    <cellStyle name="_2009-2-12成品倉B品報表_2009-10均時產_企劃生管-阿綠的報表10-22" xfId="162"/>
    <cellStyle name="_2009-2-12成品倉B品報表_2009-10均時產_企劃生管-阿綠的報表11-04 (2)" xfId="163"/>
    <cellStyle name="_2009-2-12成品倉B品報表_2009-10均時產_企劃生管-阿綠的報表11-05" xfId="164"/>
    <cellStyle name="_2009-2-12成品倉B品報表_2009-10均時產_企劃生管-阿綠的報表11-06" xfId="165"/>
    <cellStyle name="_2009-2-12成品倉B品報表_2009-10均時產_企劃生管-阿綠的報表11-09" xfId="166"/>
    <cellStyle name="_2009-2-12成品倉B品報表_2009-10均時產_企劃生管-阿綠的報表11-10" xfId="167"/>
    <cellStyle name="_2009-2-12成品倉B品報表_2009-10均時產_企劃生管-阿綠的報表11-11" xfId="168"/>
    <cellStyle name="_2009-2-12成品倉B品報表_2009-10均時產_企劃生管-阿綠的報表11-14" xfId="169"/>
    <cellStyle name="_2009-2-12成品倉B品報表_2009-10均時產_企劃生管-阿綠的報表12-01" xfId="170"/>
    <cellStyle name="_2009-2-12成品倉B品報表_2009-10均時產_複製 -2009-11-10綜合報表" xfId="171"/>
    <cellStyle name="_2009-2-12成品倉B品報表_2009-12-8" xfId="172"/>
    <cellStyle name="_2009-2-12成品倉B品報表_2010-1-23" xfId="173"/>
    <cellStyle name="_2009-2-12成品倉B品報表_成品倉2009-10-13-ktp" xfId="174"/>
    <cellStyle name="_2009-2-12成品倉B品報表_成品倉2009-10-13-ktp_1" xfId="175"/>
    <cellStyle name="_2009-2-12成品倉B品報表_成品倉2009-10-13-ktp_2009-10-16綜合報表" xfId="176"/>
    <cellStyle name="_2009-2-12成品倉B品報表_成品倉2009-10-13-ktp_2009-11-04綜合報表" xfId="177"/>
    <cellStyle name="_2009-2-12成品倉B品報表_成品倉2009-10-13-ktp_2009-11-30綜合報表" xfId="178"/>
    <cellStyle name="_2009-2-12成品倉B品報表_成品倉2009-10-13-ktp_2009-11-7(1)" xfId="179"/>
    <cellStyle name="_2009-2-12成品倉B品報表_成品倉2009-10-13-ktp_2009-20-11(1)" xfId="180"/>
    <cellStyle name="_2009-2-12成品倉B品報表_成品倉2009-10-13-ktp_企劃生管-阿綠的報表10-22" xfId="181"/>
    <cellStyle name="_2009-2-12成品倉B品報表_成品倉2009-10-13-ktp_企劃生管-阿綠的報表11-04 (2)" xfId="182"/>
    <cellStyle name="_2009-2-12成品倉B品報表_成品倉2009-10-13-ktp_企劃生管-阿綠的報表11-05" xfId="183"/>
    <cellStyle name="_2009-2-12成品倉B品報表_成品倉2009-10-13-ktp_企劃生管-阿綠的報表11-06" xfId="184"/>
    <cellStyle name="_2009-2-12成品倉B品報表_成品倉2009-10-13-ktp_企劃生管-阿綠的報表11-09" xfId="185"/>
    <cellStyle name="_2009-2-12成品倉B品報表_成品倉2009-10-13-ktp_企劃生管-阿綠的報表11-10" xfId="186"/>
    <cellStyle name="_2009-2-12成品倉B品報表_成品倉2009-10-13-ktp_企劃生管-阿綠的報表11-11" xfId="187"/>
    <cellStyle name="_2009-2-12成品倉B品報表_成品倉2009-10-13-ktp_企劃生管-阿綠的報表11-14" xfId="188"/>
    <cellStyle name="_2009-2-12成品倉B品報表_成品倉2009-10-13-ktp_企劃生管-阿綠的報表12-01" xfId="189"/>
    <cellStyle name="_2009-2-12成品倉B品報表_成品倉2009-10-13-ktp_複製 -2009-11-10綜合報表" xfId="190"/>
    <cellStyle name="_2009-2-12成品倉B品報表_成品倉2009-10-17ktp" xfId="191"/>
    <cellStyle name="_2009-2-12成品倉B品報表_成品倉2009-120tp" xfId="192"/>
    <cellStyle name="_2009-2-12成品倉B品報表_綜合報表2009-08-01" xfId="193"/>
    <cellStyle name="_2009-2-12成品倉B品報表_複製 -09- 綜合報表" xfId="194"/>
    <cellStyle name="_2009-2-12成品倉B品報表_複製 -09- 綜合報表_2009-10-06綜合報表" xfId="195"/>
    <cellStyle name="_2009-5-20" xfId="196"/>
    <cellStyle name="_2009-5-20_2009-10-13" xfId="197"/>
    <cellStyle name="_2009-5-20_2009-10-13_2009-10-16綜合報表" xfId="198"/>
    <cellStyle name="_2009-5-20_2009-10-13_2009-11-04綜合報表" xfId="199"/>
    <cellStyle name="_2009-5-20_2009-10-13_2009-11-30綜合報表" xfId="200"/>
    <cellStyle name="_2009-5-20_2009-10-13_2009-11-7(1)" xfId="201"/>
    <cellStyle name="_2009-5-20_2009-10-13_2009-20-11(1)" xfId="202"/>
    <cellStyle name="_2009-5-20_2009-10-13_企劃生管-阿綠的報表10-22" xfId="203"/>
    <cellStyle name="_2009-5-20_2009-10-13_企劃生管-阿綠的報表11-04 (2)" xfId="204"/>
    <cellStyle name="_2009-5-20_2009-10-13_企劃生管-阿綠的報表11-05" xfId="205"/>
    <cellStyle name="_2009-5-20_2009-10-13_企劃生管-阿綠的報表11-06" xfId="206"/>
    <cellStyle name="_2009-5-20_2009-10-13_企劃生管-阿綠的報表11-09" xfId="207"/>
    <cellStyle name="_2009-5-20_2009-10-13_企劃生管-阿綠的報表11-10" xfId="208"/>
    <cellStyle name="_2009-5-20_2009-10-13_企劃生管-阿綠的報表11-11" xfId="209"/>
    <cellStyle name="_2009-5-20_2009-10-13_企劃生管-阿綠的報表11-14" xfId="210"/>
    <cellStyle name="_2009-5-20_2009-10-13_企劃生管-阿綠的報表12-01" xfId="211"/>
    <cellStyle name="_2009-5-20_2009-10-13_複製 -2009-11-10綜合報表" xfId="212"/>
    <cellStyle name="_2009-5-20_2009-10-17" xfId="213"/>
    <cellStyle name="_2009-5-20_2009-10-8" xfId="214"/>
    <cellStyle name="_2009-5-20_2009-10-8_2009-10-12綜合報表" xfId="215"/>
    <cellStyle name="_2009-5-20_2009-10-8_2009-10-16綜合報表" xfId="216"/>
    <cellStyle name="_2009-5-20_2009-10-8_2009-11-04綜合報表" xfId="217"/>
    <cellStyle name="_2009-5-20_2009-10-8_2009-11-30綜合報表" xfId="218"/>
    <cellStyle name="_2009-5-20_2009-10-8_2009-11-7(1)" xfId="219"/>
    <cellStyle name="_2009-5-20_2009-10-8_2009-20-11(1)" xfId="220"/>
    <cellStyle name="_2009-5-20_2009-10-8_T Lan" xfId="221"/>
    <cellStyle name="_2009-5-20_2009-10-8_T Lan (1)" xfId="222"/>
    <cellStyle name="_2009-5-20_2009-10-8_thanh lan (2)" xfId="223"/>
    <cellStyle name="_2009-5-20_2009-10-8_企劃生管-阿綠的報表10-22" xfId="224"/>
    <cellStyle name="_2009-5-20_2009-10-8_企劃生管-阿綠的報表11-04 (2)" xfId="225"/>
    <cellStyle name="_2009-5-20_2009-10-8_企劃生管-阿綠的報表11-05" xfId="226"/>
    <cellStyle name="_2009-5-20_2009-10-8_企劃生管-阿綠的報表11-06" xfId="227"/>
    <cellStyle name="_2009-5-20_2009-10-8_企劃生管-阿綠的報表11-09" xfId="228"/>
    <cellStyle name="_2009-5-20_2009-10-8_企劃生管-阿綠的報表11-10" xfId="229"/>
    <cellStyle name="_2009-5-20_2009-10-8_企劃生管-阿綠的報表11-11" xfId="230"/>
    <cellStyle name="_2009-5-20_2009-10-8_企劃生管-阿綠的報表11-14" xfId="231"/>
    <cellStyle name="_2009-5-20_2009-10-8_企劃生管-阿綠的報表12-01" xfId="232"/>
    <cellStyle name="_2009-5-20_2009-10-8_複製 -2009-11-10綜合報表" xfId="233"/>
    <cellStyle name="_2009-5-20_2009-10均時產" xfId="234"/>
    <cellStyle name="_2009-5-20_2009-10均時產_2009-10-12綜合報表" xfId="235"/>
    <cellStyle name="_2009-5-20_2009-10均時產_2009-10-16綜合報表" xfId="236"/>
    <cellStyle name="_2009-5-20_2009-10均時產_2009-11-04綜合報表" xfId="237"/>
    <cellStyle name="_2009-5-20_2009-10均時產_2009-11-30綜合報表" xfId="238"/>
    <cellStyle name="_2009-5-20_2009-10均時產_2009-11-7(1)" xfId="239"/>
    <cellStyle name="_2009-5-20_2009-10均時產_2009-20-11(1)" xfId="240"/>
    <cellStyle name="_2009-5-20_2009-10均時產_9876543 (ExcelFIX)" xfId="241"/>
    <cellStyle name="_2009-5-20_2009-10均時產_T Lan" xfId="242"/>
    <cellStyle name="_2009-5-20_2009-10均時產_T Lan (1)" xfId="243"/>
    <cellStyle name="_2009-5-20_2009-10均時產_thanh lan (2)" xfId="244"/>
    <cellStyle name="_2009-5-20_2009-10均時產_企劃生管-阿綠的報表10-22" xfId="245"/>
    <cellStyle name="_2009-5-20_2009-10均時產_企劃生管-阿綠的報表11-04 (2)" xfId="246"/>
    <cellStyle name="_2009-5-20_2009-10均時產_企劃生管-阿綠的報表11-05" xfId="247"/>
    <cellStyle name="_2009-5-20_2009-10均時產_企劃生管-阿綠的報表11-06" xfId="248"/>
    <cellStyle name="_2009-5-20_2009-10均時產_企劃生管-阿綠的報表11-09" xfId="249"/>
    <cellStyle name="_2009-5-20_2009-10均時產_企劃生管-阿綠的報表11-10" xfId="250"/>
    <cellStyle name="_2009-5-20_2009-10均時產_企劃生管-阿綠的報表11-11" xfId="251"/>
    <cellStyle name="_2009-5-20_2009-10均時產_企劃生管-阿綠的報表11-14" xfId="252"/>
    <cellStyle name="_2009-5-20_2009-10均時產_企劃生管-阿綠的報表12-01" xfId="253"/>
    <cellStyle name="_2009-5-20_2009-10均時產_複製 -2009-11-10綜合報表" xfId="254"/>
    <cellStyle name="_2009-5-20_2009-12-8" xfId="255"/>
    <cellStyle name="_2009-5-20_2010-1-23" xfId="256"/>
    <cellStyle name="_2009-5-20_成品倉2009-10-13-ktp" xfId="257"/>
    <cellStyle name="_2009-5-20_成品倉2009-10-13-ktp_1" xfId="258"/>
    <cellStyle name="_2009-5-20_成品倉2009-10-13-ktp_2009-10-16綜合報表" xfId="259"/>
    <cellStyle name="_2009-5-20_成品倉2009-10-13-ktp_2009-11-04綜合報表" xfId="260"/>
    <cellStyle name="_2009-5-20_成品倉2009-10-13-ktp_2009-11-30綜合報表" xfId="261"/>
    <cellStyle name="_2009-5-20_成品倉2009-10-13-ktp_2009-11-7(1)" xfId="262"/>
    <cellStyle name="_2009-5-20_成品倉2009-10-13-ktp_2009-20-11(1)" xfId="263"/>
    <cellStyle name="_2009-5-20_成品倉2009-10-13-ktp_企劃生管-阿綠的報表10-22" xfId="264"/>
    <cellStyle name="_2009-5-20_成品倉2009-10-13-ktp_企劃生管-阿綠的報表11-04 (2)" xfId="265"/>
    <cellStyle name="_2009-5-20_成品倉2009-10-13-ktp_企劃生管-阿綠的報表11-05" xfId="266"/>
    <cellStyle name="_2009-5-20_成品倉2009-10-13-ktp_企劃生管-阿綠的報表11-06" xfId="267"/>
    <cellStyle name="_2009-5-20_成品倉2009-10-13-ktp_企劃生管-阿綠的報表11-09" xfId="268"/>
    <cellStyle name="_2009-5-20_成品倉2009-10-13-ktp_企劃生管-阿綠的報表11-10" xfId="269"/>
    <cellStyle name="_2009-5-20_成品倉2009-10-13-ktp_企劃生管-阿綠的報表11-11" xfId="270"/>
    <cellStyle name="_2009-5-20_成品倉2009-10-13-ktp_企劃生管-阿綠的報表11-14" xfId="271"/>
    <cellStyle name="_2009-5-20_成品倉2009-10-13-ktp_企劃生管-阿綠的報表12-01" xfId="272"/>
    <cellStyle name="_2009-5-20_成品倉2009-10-13-ktp_複製 -2009-11-10綜合報表" xfId="273"/>
    <cellStyle name="_2009-5-20_成品倉2009-10-17ktp" xfId="274"/>
    <cellStyle name="_2009-5-20_成品倉2009-120tp" xfId="275"/>
    <cellStyle name="_2009-5-20_綜合報表2009-08-01" xfId="276"/>
    <cellStyle name="_2009-5-20_複製 -09- 綜合報表" xfId="277"/>
    <cellStyle name="_2009-5-20_複製 -09- 綜合報表_2009-10-06綜合報表" xfId="278"/>
    <cellStyle name="_2010-1-23" xfId="279"/>
    <cellStyle name="_45656" xfId="280"/>
    <cellStyle name="_6-1.月份KPI評比" xfId="281"/>
    <cellStyle name="_8-17" xfId="282"/>
    <cellStyle name="_8-17_2009-10-16綜合報表" xfId="283"/>
    <cellStyle name="_8-17_2009-11-04綜合報表" xfId="284"/>
    <cellStyle name="_8-17_2009-11-30綜合報表" xfId="285"/>
    <cellStyle name="_8-17_2009-11-7(1)" xfId="286"/>
    <cellStyle name="_8-17_2009-20-11(1)" xfId="287"/>
    <cellStyle name="_8-17_9.老化料" xfId="288"/>
    <cellStyle name="_8-17_企劃生管-阿綠的報表10-22" xfId="289"/>
    <cellStyle name="_8-17_企劃生管-阿綠的報表11-04 (2)" xfId="290"/>
    <cellStyle name="_8-17_企劃生管-阿綠的報表11-05" xfId="291"/>
    <cellStyle name="_8-17_企劃生管-阿綠的報表11-06" xfId="292"/>
    <cellStyle name="_8-17_企劃生管-阿綠的報表11-09" xfId="293"/>
    <cellStyle name="_8-17_企劃生管-阿綠的報表11-10" xfId="294"/>
    <cellStyle name="_8-17_企劃生管-阿綠的報表11-11" xfId="295"/>
    <cellStyle name="_8-17_企劃生管-阿綠的報表11-14" xfId="296"/>
    <cellStyle name="_8-17_企劃生管-阿綠的報表12-01" xfId="297"/>
    <cellStyle name="_8-17_複本08-12-2009老化料補料金額" xfId="298"/>
    <cellStyle name="_8-17_複本16-10-2009老化料補料金額" xfId="299"/>
    <cellStyle name="_8-17_複製 -2009-11-10綜合報表" xfId="300"/>
    <cellStyle name="_9.老化料" xfId="301"/>
    <cellStyle name="_9.老化料_人均時產2010年 ok" xfId="302"/>
    <cellStyle name="_A1 BCNS 3-4.01 (ExcelFIX) 2" xfId="303"/>
    <cellStyle name="_A1 BCNS 3-4.01 (ExcelFIX) 2 2" xfId="304"/>
    <cellStyle name="_A1 BCNS 3-4.01 (ExcelFIX)_BCNS  A1L1 14-09-2015" xfId="305"/>
    <cellStyle name="_A1 BCNS 3-4.01 (ExcelFIX)_BCNS T3 MOI" xfId="306"/>
    <cellStyle name="_A1 BCNS 3-4.01 (ExcelFIX)_BCNS T3 MOI_4.05" xfId="307"/>
    <cellStyle name="_A201 21 28" xfId="1"/>
    <cellStyle name="_BAO BIEU A3 T1-2011" xfId="308"/>
    <cellStyle name="_BCNS A1L2" xfId="309"/>
    <cellStyle name="_BCNS A1L2_BCNS  A1L1 14-09-2015" xfId="310"/>
    <cellStyle name="_BCNSt.,,11_1_1.4 NGAY_BCNS T3.2015 (ExcelFIX)000000" xfId="311"/>
    <cellStyle name="_BCNSt.,,11_1_BCNS 01..2014 (ExcelFIX) (ExcelFIX)_1.4 NGAY_BCNS T3.2015 (ExcelFIX)000000" xfId="312"/>
    <cellStyle name="_BCNSt.,,11_1_BCNS 01.2014 (ExcelFIX)_BCNS T03.(ExcelFIX) (ExcelFIX)_BCNS T3.2015 (ExcelFIX)000000" xfId="313"/>
    <cellStyle name="_BCNSt.,,11_1_BCNS T03.(ExcelFIX)_BCNS T3.2015 (ExcelFIX)000000" xfId="314"/>
    <cellStyle name="_BCNSt.,,11_1_BCNS T3.2015 (ExcelFIX)000000" xfId="315"/>
    <cellStyle name="_Book1 (3)" xfId="316"/>
    <cellStyle name="_Book1 (3)_2009-10-12綜合報表" xfId="317"/>
    <cellStyle name="_Book1 (3)_2009-10-16綜合報表" xfId="318"/>
    <cellStyle name="_Book1 (3)_2009-11-04綜合報表" xfId="319"/>
    <cellStyle name="_Book1 (3)_2009-11-30綜合報表" xfId="320"/>
    <cellStyle name="_Book1 (3)_2009-11-7(1)" xfId="321"/>
    <cellStyle name="_Book1 (3)_2009-20-11(1)" xfId="322"/>
    <cellStyle name="_Book1 (3)_T Lan" xfId="323"/>
    <cellStyle name="_Book1 (3)_T Lan (1)" xfId="324"/>
    <cellStyle name="_Book1 (3)_thanh lan (2)" xfId="325"/>
    <cellStyle name="_Book1 (3)_企劃生管-阿綠的報表10-22" xfId="326"/>
    <cellStyle name="_Book1 (3)_企劃生管-阿綠的報表11-04 (2)" xfId="327"/>
    <cellStyle name="_Book1 (3)_企劃生管-阿綠的報表11-05" xfId="328"/>
    <cellStyle name="_Book1 (3)_企劃生管-阿綠的報表11-06" xfId="329"/>
    <cellStyle name="_Book1 (3)_企劃生管-阿綠的報表11-09" xfId="330"/>
    <cellStyle name="_Book1 (3)_企劃生管-阿綠的報表11-10" xfId="331"/>
    <cellStyle name="_Book1 (3)_企劃生管-阿綠的報表11-11" xfId="332"/>
    <cellStyle name="_Book1 (3)_企劃生管-阿綠的報表11-14" xfId="333"/>
    <cellStyle name="_Book1 (3)_企劃生管-阿綠的報表12-01" xfId="334"/>
    <cellStyle name="_Book1 (3)_複製 -2009-11-10綜合報表" xfId="335"/>
    <cellStyle name="_Book1 (4)" xfId="336"/>
    <cellStyle name="_Book1 (4)_2009-10-12綜合報表" xfId="337"/>
    <cellStyle name="_Book1 (4)_2009-10-16綜合報表" xfId="338"/>
    <cellStyle name="_Book1 (4)_2009-11-04綜合報表" xfId="339"/>
    <cellStyle name="_Book1 (4)_2009-11-30綜合報表" xfId="340"/>
    <cellStyle name="_Book1 (4)_2009-11-7(1)" xfId="341"/>
    <cellStyle name="_Book1 (4)_2009-20-11(1)" xfId="342"/>
    <cellStyle name="_Book1 (4)_T Lan" xfId="343"/>
    <cellStyle name="_Book1 (4)_T Lan (1)" xfId="344"/>
    <cellStyle name="_Book1 (4)_thanh lan (2)" xfId="345"/>
    <cellStyle name="_Book1 (4)_企劃生管-阿綠的報表10-22" xfId="346"/>
    <cellStyle name="_Book1 (4)_企劃生管-阿綠的報表11-04 (2)" xfId="347"/>
    <cellStyle name="_Book1 (4)_企劃生管-阿綠的報表11-05" xfId="348"/>
    <cellStyle name="_Book1 (4)_企劃生管-阿綠的報表11-06" xfId="349"/>
    <cellStyle name="_Book1 (4)_企劃生管-阿綠的報表11-09" xfId="350"/>
    <cellStyle name="_Book1 (4)_企劃生管-阿綠的報表11-10" xfId="351"/>
    <cellStyle name="_Book1 (4)_企劃生管-阿綠的報表11-11" xfId="352"/>
    <cellStyle name="_Book1 (4)_企劃生管-阿綠的報表11-14" xfId="353"/>
    <cellStyle name="_Book1 (4)_企劃生管-阿綠的報表12-01" xfId="354"/>
    <cellStyle name="_Book1 (4)_複製 -2009-11-10綜合報表" xfId="355"/>
    <cellStyle name="_Book1 (6)" xfId="356"/>
    <cellStyle name="_Book1 (6)_1" xfId="357"/>
    <cellStyle name="_Book1 (6)_2009-10-16綜合報表" xfId="358"/>
    <cellStyle name="_Book1 (6)_2009-11-04綜合報表" xfId="359"/>
    <cellStyle name="_Book1 (6)_2009-11-30綜合報表" xfId="360"/>
    <cellStyle name="_Book1 (6)_2009-11-7(1)" xfId="361"/>
    <cellStyle name="_Book1 (6)_2009-20-11(1)" xfId="362"/>
    <cellStyle name="_Book1 (6)_企劃生管-阿綠的報表10-22" xfId="363"/>
    <cellStyle name="_Book1 (6)_企劃生管-阿綠的報表11-04 (2)" xfId="364"/>
    <cellStyle name="_Book1 (6)_企劃生管-阿綠的報表11-05" xfId="365"/>
    <cellStyle name="_Book1 (6)_企劃生管-阿綠的報表11-06" xfId="366"/>
    <cellStyle name="_Book1 (6)_企劃生管-阿綠的報表11-09" xfId="367"/>
    <cellStyle name="_Book1 (6)_企劃生管-阿綠的報表11-10" xfId="368"/>
    <cellStyle name="_Book1 (6)_企劃生管-阿綠的報表11-11" xfId="369"/>
    <cellStyle name="_Book1 (6)_企劃生管-阿綠的報表11-14" xfId="370"/>
    <cellStyle name="_Book1 (6)_企劃生管-阿綠的報表12-01" xfId="371"/>
    <cellStyle name="_Book1 (6)_複製 -2009-11-10綜合報表" xfId="372"/>
    <cellStyle name="_danh tai" xfId="373"/>
    <cellStyle name="_Thanh Lan (3)" xfId="374"/>
    <cellStyle name="_Thanh Lan (3)_2009-10-12綜合報表" xfId="375"/>
    <cellStyle name="_Thanh Lan (3)_2009-10-16綜合報表" xfId="376"/>
    <cellStyle name="_Thanh Lan (3)_2009-11-04綜合報表" xfId="377"/>
    <cellStyle name="_Thanh Lan (3)_2009-11-30綜合報表" xfId="378"/>
    <cellStyle name="_Thanh Lan (3)_2009-11-7(1)" xfId="379"/>
    <cellStyle name="_Thanh Lan (3)_2009-20-11(1)" xfId="380"/>
    <cellStyle name="_Thanh Lan (3)_T Lan" xfId="381"/>
    <cellStyle name="_Thanh Lan (3)_T Lan (1)" xfId="382"/>
    <cellStyle name="_Thanh Lan (3)_thanh lan (2)" xfId="383"/>
    <cellStyle name="_Thanh Lan (3)_企劃生管-阿綠的報表10-22" xfId="384"/>
    <cellStyle name="_Thanh Lan (3)_企劃生管-阿綠的報表11-04 (2)" xfId="385"/>
    <cellStyle name="_Thanh Lan (3)_企劃生管-阿綠的報表11-05" xfId="386"/>
    <cellStyle name="_Thanh Lan (3)_企劃生管-阿綠的報表11-06" xfId="387"/>
    <cellStyle name="_Thanh Lan (3)_企劃生管-阿綠的報表11-09" xfId="388"/>
    <cellStyle name="_Thanh Lan (3)_企劃生管-阿綠的報表11-10" xfId="389"/>
    <cellStyle name="_Thanh Lan (3)_企劃生管-阿綠的報表11-11" xfId="390"/>
    <cellStyle name="_Thanh Lan (3)_企劃生管-阿綠的報表11-14" xfId="391"/>
    <cellStyle name="_Thanh Lan (3)_企劃生管-阿綠的報表12-01" xfId="392"/>
    <cellStyle name="_Thanh Lan (3)_複製 -2009-11-10綜合報表" xfId="393"/>
    <cellStyle name="_成品倉2009-10-13-ktp" xfId="394"/>
    <cellStyle name="_成品倉2009-10-13-ktp_1" xfId="395"/>
    <cellStyle name="_成品倉2009-10-13-ktp_2009-10-16綜合報表" xfId="396"/>
    <cellStyle name="_成品倉2009-10-13-ktp_2009-11-04綜合報表" xfId="397"/>
    <cellStyle name="_成品倉2009-10-13-ktp_2009-11-30綜合報表" xfId="398"/>
    <cellStyle name="_成品倉2009-10-13-ktp_2009-11-7(1)" xfId="399"/>
    <cellStyle name="_成品倉2009-10-13-ktp_2009-20-11(1)" xfId="400"/>
    <cellStyle name="_成品倉2009-10-13-ktp_企劃生管-阿綠的報表10-22" xfId="401"/>
    <cellStyle name="_成品倉2009-10-13-ktp_企劃生管-阿綠的報表11-04 (2)" xfId="402"/>
    <cellStyle name="_成品倉2009-10-13-ktp_企劃生管-阿綠的報表11-05" xfId="403"/>
    <cellStyle name="_成品倉2009-10-13-ktp_企劃生管-阿綠的報表11-06" xfId="404"/>
    <cellStyle name="_成品倉2009-10-13-ktp_企劃生管-阿綠的報表11-09" xfId="405"/>
    <cellStyle name="_成品倉2009-10-13-ktp_企劃生管-阿綠的報表11-10" xfId="406"/>
    <cellStyle name="_成品倉2009-10-13-ktp_企劃生管-阿綠的報表11-11" xfId="407"/>
    <cellStyle name="_成品倉2009-10-13-ktp_企劃生管-阿綠的報表11-14" xfId="408"/>
    <cellStyle name="_成品倉2009-10-13-ktp_企劃生管-阿綠的報表12-01" xfId="409"/>
    <cellStyle name="_成品倉2009-10-13-ktp_複製 -2009-11-10綜合報表" xfId="410"/>
    <cellStyle name="_成品倉2009-10-17ktp" xfId="411"/>
    <cellStyle name="_成品倉2009-120tp" xfId="412"/>
    <cellStyle name="_綜合報表2009-08-01" xfId="413"/>
    <cellStyle name="_億春2009年度接單計劃總表 5-16" xfId="414"/>
    <cellStyle name="_億春2009年度接單計劃總表 5-16_2009-10-06綜合報表" xfId="415"/>
    <cellStyle name="_億春2009年度接單計劃總表 5-16_2009-10-13" xfId="416"/>
    <cellStyle name="_億春2009年度接單計劃總表 5-16_2009-10-13_2009-10-16綜合報表" xfId="417"/>
    <cellStyle name="_億春2009年度接單計劃總表 5-16_2009-10-13_2009-11-04綜合報表" xfId="418"/>
    <cellStyle name="_億春2009年度接單計劃總表 5-16_2009-10-13_2009-11-30綜合報表" xfId="419"/>
    <cellStyle name="_億春2009年度接單計劃總表 5-16_2009-10-13_2009-11-7(1)" xfId="420"/>
    <cellStyle name="_億春2009年度接單計劃總表 5-16_2009-10-13_2009-20-11(1)" xfId="421"/>
    <cellStyle name="_億春2009年度接單計劃總表 5-16_2009-10-13_企劃生管-阿綠的報表10-22" xfId="422"/>
    <cellStyle name="_億春2009年度接單計劃總表 5-16_2009-10-13_企劃生管-阿綠的報表11-04 (2)" xfId="423"/>
    <cellStyle name="_億春2009年度接單計劃總表 5-16_2009-10-13_企劃生管-阿綠的報表11-05" xfId="424"/>
    <cellStyle name="_億春2009年度接單計劃總表 5-16_2009-10-13_企劃生管-阿綠的報表11-06" xfId="425"/>
    <cellStyle name="_億春2009年度接單計劃總表 5-16_2009-10-13_企劃生管-阿綠的報表11-09" xfId="426"/>
    <cellStyle name="_億春2009年度接單計劃總表 5-16_2009-10-13_企劃生管-阿綠的報表11-10" xfId="427"/>
    <cellStyle name="_億春2009年度接單計劃總表 5-16_2009-10-13_企劃生管-阿綠的報表11-11" xfId="428"/>
    <cellStyle name="_億春2009年度接單計劃總表 5-16_2009-10-13_企劃生管-阿綠的報表11-14" xfId="429"/>
    <cellStyle name="_億春2009年度接單計劃總表 5-16_2009-10-13_企劃生管-阿綠的報表12-01" xfId="430"/>
    <cellStyle name="_億春2009年度接單計劃總表 5-16_2009-10-13_複製 -2009-11-10綜合報表" xfId="431"/>
    <cellStyle name="_億春2009年度接單計劃總表 5-16_2009-10-17" xfId="432"/>
    <cellStyle name="_億春2009年度接單計劃總表 5-16_2009-10-8" xfId="433"/>
    <cellStyle name="_億春2009年度接單計劃總表 5-16_2009-10-8_2009-10-12綜合報表" xfId="434"/>
    <cellStyle name="_億春2009年度接單計劃總表 5-16_2009-10-8_2009-10-16綜合報表" xfId="435"/>
    <cellStyle name="_億春2009年度接單計劃總表 5-16_2009-10-8_2009-11-04綜合報表" xfId="436"/>
    <cellStyle name="_億春2009年度接單計劃總表 5-16_2009-10-8_2009-11-30綜合報表" xfId="437"/>
    <cellStyle name="_億春2009年度接單計劃總表 5-16_2009-10-8_2009-11-7(1)" xfId="438"/>
    <cellStyle name="_億春2009年度接單計劃總表 5-16_2009-10-8_2009-20-11(1)" xfId="439"/>
    <cellStyle name="_億春2009年度接單計劃總表 5-16_2009-10-8_T Lan" xfId="440"/>
    <cellStyle name="_億春2009年度接單計劃總表 5-16_2009-10-8_T Lan (1)" xfId="441"/>
    <cellStyle name="_億春2009年度接單計劃總表 5-16_2009-10-8_thanh lan (2)" xfId="442"/>
    <cellStyle name="_億春2009年度接單計劃總表 5-16_2009-10-8_企劃生管-阿綠的報表10-22" xfId="443"/>
    <cellStyle name="_億春2009年度接單計劃總表 5-16_2009-10-8_企劃生管-阿綠的報表11-04 (2)" xfId="444"/>
    <cellStyle name="_億春2009年度接單計劃總表 5-16_2009-10-8_企劃生管-阿綠的報表11-05" xfId="445"/>
    <cellStyle name="_億春2009年度接單計劃總表 5-16_2009-10-8_企劃生管-阿綠的報表11-06" xfId="446"/>
    <cellStyle name="_億春2009年度接單計劃總表 5-16_2009-10-8_企劃生管-阿綠的報表11-09" xfId="447"/>
    <cellStyle name="_億春2009年度接單計劃總表 5-16_2009-10-8_企劃生管-阿綠的報表11-10" xfId="448"/>
    <cellStyle name="_億春2009年度接單計劃總表 5-16_2009-10-8_企劃生管-阿綠的報表11-11" xfId="449"/>
    <cellStyle name="_億春2009年度接單計劃總表 5-16_2009-10-8_企劃生管-阿綠的報表11-14" xfId="450"/>
    <cellStyle name="_億春2009年度接單計劃總表 5-16_2009-10-8_企劃生管-阿綠的報表12-01" xfId="451"/>
    <cellStyle name="_億春2009年度接單計劃總表 5-16_2009-10-8_複製 -2009-11-10綜合報表" xfId="452"/>
    <cellStyle name="_億春2009年度接單計劃總表 5-16_2009-10均時產" xfId="453"/>
    <cellStyle name="_億春2009年度接單計劃總表 5-16_2009-10均時產_2009-10-12綜合報表" xfId="454"/>
    <cellStyle name="_億春2009年度接單計劃總表 5-16_2009-10均時產_2009-10-16綜合報表" xfId="455"/>
    <cellStyle name="_億春2009年度接單計劃總表 5-16_2009-10均時產_2009-11-04綜合報表" xfId="456"/>
    <cellStyle name="_億春2009年度接單計劃總表 5-16_2009-10均時產_2009-11-30綜合報表" xfId="457"/>
    <cellStyle name="_億春2009年度接單計劃總表 5-16_2009-10均時產_2009-11-7(1)" xfId="458"/>
    <cellStyle name="_億春2009年度接單計劃總表 5-16_2009-10均時產_2009-20-11(1)" xfId="459"/>
    <cellStyle name="_億春2009年度接單計劃總表 5-16_2009-10均時產_9876543 (ExcelFIX)" xfId="460"/>
    <cellStyle name="_億春2009年度接單計劃總表 5-16_2009-10均時產_T Lan" xfId="461"/>
    <cellStyle name="_億春2009年度接單計劃總表 5-16_2009-10均時產_T Lan (1)" xfId="462"/>
    <cellStyle name="_億春2009年度接單計劃總表 5-16_2009-10均時產_thanh lan (2)" xfId="463"/>
    <cellStyle name="_億春2009年度接單計劃總表 5-16_2009-10均時產_企劃生管-阿綠的報表10-22" xfId="464"/>
    <cellStyle name="_億春2009年度接單計劃總表 5-16_2009-10均時產_企劃生管-阿綠的報表11-04 (2)" xfId="465"/>
    <cellStyle name="_億春2009年度接單計劃總表 5-16_2009-10均時產_企劃生管-阿綠的報表11-05" xfId="466"/>
    <cellStyle name="_億春2009年度接單計劃總表 5-16_2009-10均時產_企劃生管-阿綠的報表11-06" xfId="467"/>
    <cellStyle name="_億春2009年度接單計劃總表 5-16_2009-10均時產_企劃生管-阿綠的報表11-09" xfId="468"/>
    <cellStyle name="_億春2009年度接單計劃總表 5-16_2009-10均時產_企劃生管-阿綠的報表11-10" xfId="469"/>
    <cellStyle name="_億春2009年度接單計劃總表 5-16_2009-10均時產_企劃生管-阿綠的報表11-11" xfId="470"/>
    <cellStyle name="_億春2009年度接單計劃總表 5-16_2009-10均時產_企劃生管-阿綠的報表11-14" xfId="471"/>
    <cellStyle name="_億春2009年度接單計劃總表 5-16_2009-10均時產_企劃生管-阿綠的報表12-01" xfId="472"/>
    <cellStyle name="_億春2009年度接單計劃總表 5-16_2009-10均時產_複製 -2009-11-10綜合報表" xfId="473"/>
    <cellStyle name="_億春2009年度接單計劃總表 5-16_2009-12-8" xfId="474"/>
    <cellStyle name="_億春2009年度接單計劃總表 5-16_2010-1-23" xfId="475"/>
    <cellStyle name="_億春2009年度接單計劃總表 5-16_成品倉2009-10-13-ktp" xfId="476"/>
    <cellStyle name="_億春2009年度接單計劃總表 5-16_成品倉2009-10-13-ktp_1" xfId="477"/>
    <cellStyle name="_億春2009年度接單計劃總表 5-16_成品倉2009-10-13-ktp_2009-10-16綜合報表" xfId="478"/>
    <cellStyle name="_億春2009年度接單計劃總表 5-16_成品倉2009-10-13-ktp_2009-11-04綜合報表" xfId="479"/>
    <cellStyle name="_億春2009年度接單計劃總表 5-16_成品倉2009-10-13-ktp_2009-11-30綜合報表" xfId="480"/>
    <cellStyle name="_億春2009年度接單計劃總表 5-16_成品倉2009-10-13-ktp_2009-11-7(1)" xfId="481"/>
    <cellStyle name="_億春2009年度接單計劃總表 5-16_成品倉2009-10-13-ktp_2009-20-11(1)" xfId="482"/>
    <cellStyle name="_億春2009年度接單計劃總表 5-16_成品倉2009-10-13-ktp_企劃生管-阿綠的報表10-22" xfId="483"/>
    <cellStyle name="_億春2009年度接單計劃總表 5-16_成品倉2009-10-13-ktp_企劃生管-阿綠的報表11-04 (2)" xfId="484"/>
    <cellStyle name="_億春2009年度接單計劃總表 5-16_成品倉2009-10-13-ktp_企劃生管-阿綠的報表11-05" xfId="485"/>
    <cellStyle name="_億春2009年度接單計劃總表 5-16_成品倉2009-10-13-ktp_企劃生管-阿綠的報表11-06" xfId="486"/>
    <cellStyle name="_億春2009年度接單計劃總表 5-16_成品倉2009-10-13-ktp_企劃生管-阿綠的報表11-09" xfId="487"/>
    <cellStyle name="_億春2009年度接單計劃總表 5-16_成品倉2009-10-13-ktp_企劃生管-阿綠的報表11-10" xfId="488"/>
    <cellStyle name="_億春2009年度接單計劃總表 5-16_成品倉2009-10-13-ktp_企劃生管-阿綠的報表11-11" xfId="489"/>
    <cellStyle name="_億春2009年度接單計劃總表 5-16_成品倉2009-10-13-ktp_企劃生管-阿綠的報表11-14" xfId="490"/>
    <cellStyle name="_億春2009年度接單計劃總表 5-16_成品倉2009-10-13-ktp_企劃生管-阿綠的報表12-01" xfId="491"/>
    <cellStyle name="_億春2009年度接單計劃總表 5-16_成品倉2009-10-13-ktp_複製 -2009-11-10綜合報表" xfId="492"/>
    <cellStyle name="_億春2009年度接單計劃總表 5-16_成品倉2009-10-17ktp" xfId="493"/>
    <cellStyle name="_億春2009年度接單計劃總表 5-16_成品倉2009-120tp" xfId="494"/>
    <cellStyle name="_億春2009年度接單計劃總表 5-16_綜合報表2009-08-01" xfId="495"/>
    <cellStyle name="_億春2009年度接單計劃總表 5-16_綜合報表2009-08-01_2009-10-06綜合報表" xfId="496"/>
    <cellStyle name="_億春2009年度接單計劃總表 5-16_複製 -09- 綜合報表" xfId="497"/>
    <cellStyle name="_億春2009年度接單計劃總表 5-16_複製 -09- 綜合報表_2009-10-06綜合報表" xfId="498"/>
    <cellStyle name="_億春2009年度接單計劃總表 6-10" xfId="499"/>
    <cellStyle name="_億春2009年度接單計劃總表 6-10_2009-10-06綜合報表" xfId="500"/>
    <cellStyle name="_億春2009年度接單計劃總表 6-10_2009-10-13" xfId="501"/>
    <cellStyle name="_億春2009年度接單計劃總表 6-10_2009-10-13_2009-10-16綜合報表" xfId="502"/>
    <cellStyle name="_億春2009年度接單計劃總表 6-10_2009-10-13_2009-11-04綜合報表" xfId="503"/>
    <cellStyle name="_億春2009年度接單計劃總表 6-10_2009-10-13_2009-11-30綜合報表" xfId="504"/>
    <cellStyle name="_億春2009年度接單計劃總表 6-10_2009-10-13_2009-11-7(1)" xfId="505"/>
    <cellStyle name="_億春2009年度接單計劃總表 6-10_2009-10-13_2009-20-11(1)" xfId="506"/>
    <cellStyle name="_億春2009年度接單計劃總表 6-10_2009-10-13_企劃生管-阿綠的報表10-22" xfId="507"/>
    <cellStyle name="_億春2009年度接單計劃總表 6-10_2009-10-13_企劃生管-阿綠的報表11-04 (2)" xfId="508"/>
    <cellStyle name="_億春2009年度接單計劃總表 6-10_2009-10-13_企劃生管-阿綠的報表11-05" xfId="509"/>
    <cellStyle name="_億春2009年度接單計劃總表 6-10_2009-10-13_企劃生管-阿綠的報表11-06" xfId="510"/>
    <cellStyle name="_億春2009年度接單計劃總表 6-10_2009-10-13_企劃生管-阿綠的報表11-09" xfId="511"/>
    <cellStyle name="_億春2009年度接單計劃總表 6-10_2009-10-13_企劃生管-阿綠的報表11-10" xfId="512"/>
    <cellStyle name="_億春2009年度接單計劃總表 6-10_2009-10-13_企劃生管-阿綠的報表11-11" xfId="513"/>
    <cellStyle name="_億春2009年度接單計劃總表 6-10_2009-10-13_企劃生管-阿綠的報表11-14" xfId="514"/>
    <cellStyle name="_億春2009年度接單計劃總表 6-10_2009-10-13_企劃生管-阿綠的報表12-01" xfId="515"/>
    <cellStyle name="_億春2009年度接單計劃總表 6-10_2009-10-13_複製 -2009-11-10綜合報表" xfId="516"/>
    <cellStyle name="_億春2009年度接單計劃總表 6-10_2009-10-17" xfId="517"/>
    <cellStyle name="_億春2009年度接單計劃總表 6-10_2009-10-8" xfId="518"/>
    <cellStyle name="_億春2009年度接單計劃總表 6-10_2009-10-8_2009-10-12綜合報表" xfId="519"/>
    <cellStyle name="_億春2009年度接單計劃總表 6-10_2009-10-8_2009-10-16綜合報表" xfId="520"/>
    <cellStyle name="_億春2009年度接單計劃總表 6-10_2009-10-8_2009-11-04綜合報表" xfId="521"/>
    <cellStyle name="_億春2009年度接單計劃總表 6-10_2009-10-8_2009-11-30綜合報表" xfId="522"/>
    <cellStyle name="_億春2009年度接單計劃總表 6-10_2009-10-8_2009-11-7(1)" xfId="523"/>
    <cellStyle name="_億春2009年度接單計劃總表 6-10_2009-10-8_2009-20-11(1)" xfId="524"/>
    <cellStyle name="_億春2009年度接單計劃總表 6-10_2009-10-8_T Lan" xfId="525"/>
    <cellStyle name="_億春2009年度接單計劃總表 6-10_2009-10-8_T Lan (1)" xfId="526"/>
    <cellStyle name="_億春2009年度接單計劃總表 6-10_2009-10-8_thanh lan (2)" xfId="527"/>
    <cellStyle name="_億春2009年度接單計劃總表 6-10_2009-10-8_企劃生管-阿綠的報表10-22" xfId="528"/>
    <cellStyle name="_億春2009年度接單計劃總表 6-10_2009-10-8_企劃生管-阿綠的報表11-04 (2)" xfId="529"/>
    <cellStyle name="_億春2009年度接單計劃總表 6-10_2009-10-8_企劃生管-阿綠的報表11-05" xfId="530"/>
    <cellStyle name="_億春2009年度接單計劃總表 6-10_2009-10-8_企劃生管-阿綠的報表11-06" xfId="531"/>
    <cellStyle name="_億春2009年度接單計劃總表 6-10_2009-10-8_企劃生管-阿綠的報表11-09" xfId="532"/>
    <cellStyle name="_億春2009年度接單計劃總表 6-10_2009-10-8_企劃生管-阿綠的報表11-10" xfId="533"/>
    <cellStyle name="_億春2009年度接單計劃總表 6-10_2009-10-8_企劃生管-阿綠的報表11-11" xfId="534"/>
    <cellStyle name="_億春2009年度接單計劃總表 6-10_2009-10-8_企劃生管-阿綠的報表11-14" xfId="535"/>
    <cellStyle name="_億春2009年度接單計劃總表 6-10_2009-10-8_企劃生管-阿綠的報表12-01" xfId="536"/>
    <cellStyle name="_億春2009年度接單計劃總表 6-10_2009-10-8_複製 -2009-11-10綜合報表" xfId="537"/>
    <cellStyle name="_億春2009年度接單計劃總表 6-10_2009-12-8" xfId="538"/>
    <cellStyle name="_億春2009年度接單計劃總表 6-10_2010-1-23" xfId="539"/>
    <cellStyle name="_億春2009年度接單計劃總表 6-10_成品倉2009-10-13-ktp" xfId="540"/>
    <cellStyle name="_億春2009年度接單計劃總表 6-10_成品倉2009-10-13-ktp_1" xfId="541"/>
    <cellStyle name="_億春2009年度接單計劃總表 6-10_成品倉2009-10-13-ktp_2009-10-16綜合報表" xfId="542"/>
    <cellStyle name="_億春2009年度接單計劃總表 6-10_成品倉2009-10-13-ktp_2009-11-04綜合報表" xfId="543"/>
    <cellStyle name="_億春2009年度接單計劃總表 6-10_成品倉2009-10-13-ktp_2009-11-30綜合報表" xfId="544"/>
    <cellStyle name="_億春2009年度接單計劃總表 6-10_成品倉2009-10-13-ktp_2009-11-7(1)" xfId="545"/>
    <cellStyle name="_億春2009年度接單計劃總表 6-10_成品倉2009-10-13-ktp_2009-20-11(1)" xfId="546"/>
    <cellStyle name="_億春2009年度接單計劃總表 6-10_成品倉2009-10-13-ktp_企劃生管-阿綠的報表10-22" xfId="547"/>
    <cellStyle name="_億春2009年度接單計劃總表 6-10_成品倉2009-10-13-ktp_企劃生管-阿綠的報表11-04 (2)" xfId="548"/>
    <cellStyle name="_億春2009年度接單計劃總表 6-10_成品倉2009-10-13-ktp_企劃生管-阿綠的報表11-05" xfId="549"/>
    <cellStyle name="_億春2009年度接單計劃總表 6-10_成品倉2009-10-13-ktp_企劃生管-阿綠的報表11-06" xfId="550"/>
    <cellStyle name="_億春2009年度接單計劃總表 6-10_成品倉2009-10-13-ktp_企劃生管-阿綠的報表11-09" xfId="551"/>
    <cellStyle name="_億春2009年度接單計劃總表 6-10_成品倉2009-10-13-ktp_企劃生管-阿綠的報表11-10" xfId="552"/>
    <cellStyle name="_億春2009年度接單計劃總表 6-10_成品倉2009-10-13-ktp_企劃生管-阿綠的報表11-11" xfId="553"/>
    <cellStyle name="_億春2009年度接單計劃總表 6-10_成品倉2009-10-13-ktp_企劃生管-阿綠的報表11-14" xfId="554"/>
    <cellStyle name="_億春2009年度接單計劃總表 6-10_成品倉2009-10-13-ktp_企劃生管-阿綠的報表12-01" xfId="555"/>
    <cellStyle name="_億春2009年度接單計劃總表 6-10_成品倉2009-10-13-ktp_複製 -2009-11-10綜合報表" xfId="556"/>
    <cellStyle name="_億春2009年度接單計劃總表 6-10_成品倉2009-10-17ktp" xfId="557"/>
    <cellStyle name="_億春2009年度接單計劃總表 6-10_成品倉2009-120tp" xfId="558"/>
    <cellStyle name="_億春2009年度接單計劃總表 6-10_綜合報表2009-08-01" xfId="559"/>
    <cellStyle name="_億春2009年度接單計劃總表 6-10_綜合報表2009-08-01_2009-10-06綜合報表" xfId="560"/>
    <cellStyle name="_億春2009年度接單計劃總表 6-10_複製 -09- 綜合報表" xfId="561"/>
    <cellStyle name="_億春2009年度接單計劃總表 6-10_複製 -09- 綜合報表_2009-10-06綜合報表" xfId="562"/>
    <cellStyle name="_億春2009年度接單計劃總表 6-15" xfId="563"/>
    <cellStyle name="_億春2009年度接單計劃總表 6-15_2009-10-06綜合報表" xfId="564"/>
    <cellStyle name="_億春2009年度接單計劃總表 6-15_2009-10-13" xfId="565"/>
    <cellStyle name="_億春2009年度接單計劃總表 6-15_2009-10-13_2009-10-16綜合報表" xfId="566"/>
    <cellStyle name="_億春2009年度接單計劃總表 6-15_2009-10-13_2009-11-04綜合報表" xfId="567"/>
    <cellStyle name="_億春2009年度接單計劃總表 6-15_2009-10-13_2009-11-30綜合報表" xfId="568"/>
    <cellStyle name="_億春2009年度接單計劃總表 6-15_2009-10-13_2009-11-7(1)" xfId="569"/>
    <cellStyle name="_億春2009年度接單計劃總表 6-15_2009-10-13_2009-20-11(1)" xfId="570"/>
    <cellStyle name="_億春2009年度接單計劃總表 6-15_2009-10-13_企劃生管-阿綠的報表10-22" xfId="571"/>
    <cellStyle name="_億春2009年度接單計劃總表 6-15_2009-10-13_企劃生管-阿綠的報表11-04 (2)" xfId="572"/>
    <cellStyle name="_億春2009年度接單計劃總表 6-15_2009-10-13_企劃生管-阿綠的報表11-05" xfId="573"/>
    <cellStyle name="_億春2009年度接單計劃總表 6-15_2009-10-13_企劃生管-阿綠的報表11-06" xfId="574"/>
    <cellStyle name="_億春2009年度接單計劃總表 6-15_2009-10-13_企劃生管-阿綠的報表11-09" xfId="575"/>
    <cellStyle name="_億春2009年度接單計劃總表 6-15_2009-10-13_企劃生管-阿綠的報表11-10" xfId="576"/>
    <cellStyle name="_億春2009年度接單計劃總表 6-15_2009-10-13_企劃生管-阿綠的報表11-11" xfId="577"/>
    <cellStyle name="_億春2009年度接單計劃總表 6-15_2009-10-13_企劃生管-阿綠的報表11-14" xfId="578"/>
    <cellStyle name="_億春2009年度接單計劃總表 6-15_2009-10-13_企劃生管-阿綠的報表12-01" xfId="579"/>
    <cellStyle name="_億春2009年度接單計劃總表 6-15_2009-10-13_複製 -2009-11-10綜合報表" xfId="580"/>
    <cellStyle name="_億春2009年度接單計劃總表 6-15_2009-10-17" xfId="581"/>
    <cellStyle name="_億春2009年度接單計劃總表 6-15_2009-10-8" xfId="582"/>
    <cellStyle name="_億春2009年度接單計劃總表 6-15_2009-10-8_2009-10-12綜合報表" xfId="583"/>
    <cellStyle name="_億春2009年度接單計劃總表 6-15_2009-10-8_2009-10-16綜合報表" xfId="584"/>
    <cellStyle name="_億春2009年度接單計劃總表 6-15_2009-10-8_2009-11-04綜合報表" xfId="585"/>
    <cellStyle name="_億春2009年度接單計劃總表 6-15_2009-10-8_2009-11-30綜合報表" xfId="586"/>
    <cellStyle name="_億春2009年度接單計劃總表 6-15_2009-10-8_2009-11-7(1)" xfId="587"/>
    <cellStyle name="_億春2009年度接單計劃總表 6-15_2009-10-8_2009-20-11(1)" xfId="588"/>
    <cellStyle name="_億春2009年度接單計劃總表 6-15_2009-10-8_T Lan" xfId="589"/>
    <cellStyle name="_億春2009年度接單計劃總表 6-15_2009-10-8_T Lan (1)" xfId="590"/>
    <cellStyle name="_億春2009年度接單計劃總表 6-15_2009-10-8_thanh lan (2)" xfId="591"/>
    <cellStyle name="_億春2009年度接單計劃總表 6-15_2009-10-8_企劃生管-阿綠的報表10-22" xfId="592"/>
    <cellStyle name="_億春2009年度接單計劃總表 6-15_2009-10-8_企劃生管-阿綠的報表11-04 (2)" xfId="593"/>
    <cellStyle name="_億春2009年度接單計劃總表 6-15_2009-10-8_企劃生管-阿綠的報表11-05" xfId="594"/>
    <cellStyle name="_億春2009年度接單計劃總表 6-15_2009-10-8_企劃生管-阿綠的報表11-06" xfId="595"/>
    <cellStyle name="_億春2009年度接單計劃總表 6-15_2009-10-8_企劃生管-阿綠的報表11-09" xfId="596"/>
    <cellStyle name="_億春2009年度接單計劃總表 6-15_2009-10-8_企劃生管-阿綠的報表11-10" xfId="597"/>
    <cellStyle name="_億春2009年度接單計劃總表 6-15_2009-10-8_企劃生管-阿綠的報表11-11" xfId="598"/>
    <cellStyle name="_億春2009年度接單計劃總表 6-15_2009-10-8_企劃生管-阿綠的報表11-14" xfId="599"/>
    <cellStyle name="_億春2009年度接單計劃總表 6-15_2009-10-8_企劃生管-阿綠的報表12-01" xfId="600"/>
    <cellStyle name="_億春2009年度接單計劃總表 6-15_2009-10-8_複製 -2009-11-10綜合報表" xfId="601"/>
    <cellStyle name="_億春2009年度接單計劃總表 6-15_2009-12-8" xfId="602"/>
    <cellStyle name="_億春2009年度接單計劃總表 6-15_2010-1-23" xfId="603"/>
    <cellStyle name="_億春2009年度接單計劃總表 6-15_成品倉2009-10-13-ktp" xfId="604"/>
    <cellStyle name="_億春2009年度接單計劃總表 6-15_成品倉2009-10-13-ktp_1" xfId="605"/>
    <cellStyle name="_億春2009年度接單計劃總表 6-15_成品倉2009-10-13-ktp_2009-10-16綜合報表" xfId="606"/>
    <cellStyle name="_億春2009年度接單計劃總表 6-15_成品倉2009-10-13-ktp_2009-11-04綜合報表" xfId="607"/>
    <cellStyle name="_億春2009年度接單計劃總表 6-15_成品倉2009-10-13-ktp_2009-11-30綜合報表" xfId="608"/>
    <cellStyle name="_億春2009年度接單計劃總表 6-15_成品倉2009-10-13-ktp_2009-11-7(1)" xfId="609"/>
    <cellStyle name="_億春2009年度接單計劃總表 6-15_成品倉2009-10-13-ktp_2009-20-11(1)" xfId="610"/>
    <cellStyle name="_億春2009年度接單計劃總表 6-15_成品倉2009-10-13-ktp_企劃生管-阿綠的報表10-22" xfId="611"/>
    <cellStyle name="_億春2009年度接單計劃總表 6-15_成品倉2009-10-13-ktp_企劃生管-阿綠的報表11-04 (2)" xfId="612"/>
    <cellStyle name="_億春2009年度接單計劃總表 6-15_成品倉2009-10-13-ktp_企劃生管-阿綠的報表11-05" xfId="613"/>
    <cellStyle name="_億春2009年度接單計劃總表 6-15_成品倉2009-10-13-ktp_企劃生管-阿綠的報表11-06" xfId="614"/>
    <cellStyle name="_億春2009年度接單計劃總表 6-15_成品倉2009-10-13-ktp_企劃生管-阿綠的報表11-09" xfId="615"/>
    <cellStyle name="_億春2009年度接單計劃總表 6-15_成品倉2009-10-13-ktp_企劃生管-阿綠的報表11-10" xfId="616"/>
    <cellStyle name="_億春2009年度接單計劃總表 6-15_成品倉2009-10-13-ktp_企劃生管-阿綠的報表11-11" xfId="617"/>
    <cellStyle name="_億春2009年度接單計劃總表 6-15_成品倉2009-10-13-ktp_企劃生管-阿綠的報表11-14" xfId="618"/>
    <cellStyle name="_億春2009年度接單計劃總表 6-15_成品倉2009-10-13-ktp_企劃生管-阿綠的報表12-01" xfId="619"/>
    <cellStyle name="_億春2009年度接單計劃總表 6-15_成品倉2009-10-13-ktp_複製 -2009-11-10綜合報表" xfId="620"/>
    <cellStyle name="_億春2009年度接單計劃總表 6-15_成品倉2009-10-17ktp" xfId="621"/>
    <cellStyle name="_億春2009年度接單計劃總表 6-15_成品倉2009-120tp" xfId="622"/>
    <cellStyle name="_億春2009年度接單計劃總表 6-15_綜合報表2009-08-01" xfId="623"/>
    <cellStyle name="_億春2009年度接單計劃總表 6-15_綜合報表2009-08-01_2009-10-06綜合報表" xfId="624"/>
    <cellStyle name="_億春2009年度接單計劃總表 6-15_複製 -09- 綜合報表" xfId="625"/>
    <cellStyle name="_億春2009年度接單計劃總表 6-15_複製 -09- 綜合報表_2009-10-06綜合報表" xfId="626"/>
    <cellStyle name="_億春2009年度接單計劃總表 6-16" xfId="627"/>
    <cellStyle name="_億春2009年度接單計劃總表 6-16_2009-10-06綜合報表" xfId="628"/>
    <cellStyle name="_億春2009年度接單計劃總表 6-16_2009-10-13" xfId="629"/>
    <cellStyle name="_億春2009年度接單計劃總表 6-16_2009-10-13_2009-10-16綜合報表" xfId="630"/>
    <cellStyle name="_億春2009年度接單計劃總表 6-16_2009-10-13_2009-11-04綜合報表" xfId="631"/>
    <cellStyle name="_億春2009年度接單計劃總表 6-16_2009-10-13_2009-11-30綜合報表" xfId="632"/>
    <cellStyle name="_億春2009年度接單計劃總表 6-16_2009-10-13_2009-11-7(1)" xfId="633"/>
    <cellStyle name="_億春2009年度接單計劃總表 6-16_2009-10-13_2009-20-11(1)" xfId="634"/>
    <cellStyle name="_億春2009年度接單計劃總表 6-16_2009-10-13_企劃生管-阿綠的報表10-22" xfId="635"/>
    <cellStyle name="_億春2009年度接單計劃總表 6-16_2009-10-13_企劃生管-阿綠的報表11-04 (2)" xfId="636"/>
    <cellStyle name="_億春2009年度接單計劃總表 6-16_2009-10-13_企劃生管-阿綠的報表11-05" xfId="637"/>
    <cellStyle name="_億春2009年度接單計劃總表 6-16_2009-10-13_企劃生管-阿綠的報表11-06" xfId="638"/>
    <cellStyle name="_億春2009年度接單計劃總表 6-16_2009-10-13_企劃生管-阿綠的報表11-09" xfId="639"/>
    <cellStyle name="_億春2009年度接單計劃總表 6-16_2009-10-13_企劃生管-阿綠的報表11-10" xfId="640"/>
    <cellStyle name="_億春2009年度接單計劃總表 6-16_2009-10-13_企劃生管-阿綠的報表11-11" xfId="641"/>
    <cellStyle name="_億春2009年度接單計劃總表 6-16_2009-10-13_企劃生管-阿綠的報表11-14" xfId="642"/>
    <cellStyle name="_億春2009年度接單計劃總表 6-16_2009-10-13_企劃生管-阿綠的報表12-01" xfId="643"/>
    <cellStyle name="_億春2009年度接單計劃總表 6-16_2009-10-13_複製 -2009-11-10綜合報表" xfId="644"/>
    <cellStyle name="_億春2009年度接單計劃總表 6-16_2009-10-17" xfId="645"/>
    <cellStyle name="_億春2009年度接單計劃總表 6-16_2009-10-8" xfId="646"/>
    <cellStyle name="_億春2009年度接單計劃總表 6-16_2009-10-8_2009-10-12綜合報表" xfId="647"/>
    <cellStyle name="_億春2009年度接單計劃總表 6-16_2009-10-8_2009-10-16綜合報表" xfId="648"/>
    <cellStyle name="_億春2009年度接單計劃總表 6-16_2009-10-8_2009-11-04綜合報表" xfId="649"/>
    <cellStyle name="_億春2009年度接單計劃總表 6-16_2009-10-8_2009-11-30綜合報表" xfId="650"/>
    <cellStyle name="_億春2009年度接單計劃總表 6-16_2009-10-8_2009-11-7(1)" xfId="651"/>
    <cellStyle name="_億春2009年度接單計劃總表 6-16_2009-10-8_2009-20-11(1)" xfId="652"/>
    <cellStyle name="_億春2009年度接單計劃總表 6-16_2009-10-8_T Lan" xfId="653"/>
    <cellStyle name="_億春2009年度接單計劃總表 6-16_2009-10-8_T Lan (1)" xfId="654"/>
    <cellStyle name="_億春2009年度接單計劃總表 6-16_2009-10-8_thanh lan (2)" xfId="655"/>
    <cellStyle name="_億春2009年度接單計劃總表 6-16_2009-10-8_企劃生管-阿綠的報表10-22" xfId="656"/>
    <cellStyle name="_億春2009年度接單計劃總表 6-16_2009-10-8_企劃生管-阿綠的報表11-04 (2)" xfId="657"/>
    <cellStyle name="_億春2009年度接單計劃總表 6-16_2009-10-8_企劃生管-阿綠的報表11-05" xfId="658"/>
    <cellStyle name="_億春2009年度接單計劃總表 6-16_2009-10-8_企劃生管-阿綠的報表11-06" xfId="659"/>
    <cellStyle name="_億春2009年度接單計劃總表 6-16_2009-10-8_企劃生管-阿綠的報表11-09" xfId="660"/>
    <cellStyle name="_億春2009年度接單計劃總表 6-16_2009-10-8_企劃生管-阿綠的報表11-10" xfId="661"/>
    <cellStyle name="_億春2009年度接單計劃總表 6-16_2009-10-8_企劃生管-阿綠的報表11-11" xfId="662"/>
    <cellStyle name="_億春2009年度接單計劃總表 6-16_2009-10-8_企劃生管-阿綠的報表11-14" xfId="663"/>
    <cellStyle name="_億春2009年度接單計劃總表 6-16_2009-10-8_企劃生管-阿綠的報表12-01" xfId="664"/>
    <cellStyle name="_億春2009年度接單計劃總表 6-16_2009-10-8_複製 -2009-11-10綜合報表" xfId="665"/>
    <cellStyle name="_億春2009年度接單計劃總表 6-16_2009-12-8" xfId="666"/>
    <cellStyle name="_億春2009年度接單計劃總表 6-16_2010-1-23" xfId="667"/>
    <cellStyle name="_億春2009年度接單計劃總表 6-16_成品倉2009-10-13-ktp" xfId="668"/>
    <cellStyle name="_億春2009年度接單計劃總表 6-16_成品倉2009-10-13-ktp_1" xfId="669"/>
    <cellStyle name="_億春2009年度接單計劃總表 6-16_成品倉2009-10-13-ktp_2009-10-16綜合報表" xfId="670"/>
    <cellStyle name="_億春2009年度接單計劃總表 6-16_成品倉2009-10-13-ktp_2009-11-04綜合報表" xfId="671"/>
    <cellStyle name="_億春2009年度接單計劃總表 6-16_成品倉2009-10-13-ktp_2009-11-30綜合報表" xfId="672"/>
    <cellStyle name="_億春2009年度接單計劃總表 6-16_成品倉2009-10-13-ktp_2009-11-7(1)" xfId="673"/>
    <cellStyle name="_億春2009年度接單計劃總表 6-16_成品倉2009-10-13-ktp_2009-20-11(1)" xfId="674"/>
    <cellStyle name="_億春2009年度接單計劃總表 6-16_成品倉2009-10-13-ktp_企劃生管-阿綠的報表10-22" xfId="675"/>
    <cellStyle name="_億春2009年度接單計劃總表 6-16_成品倉2009-10-13-ktp_企劃生管-阿綠的報表11-04 (2)" xfId="676"/>
    <cellStyle name="_億春2009年度接單計劃總表 6-16_成品倉2009-10-13-ktp_企劃生管-阿綠的報表11-05" xfId="677"/>
    <cellStyle name="_億春2009年度接單計劃總表 6-16_成品倉2009-10-13-ktp_企劃生管-阿綠的報表11-06" xfId="678"/>
    <cellStyle name="_億春2009年度接單計劃總表 6-16_成品倉2009-10-13-ktp_企劃生管-阿綠的報表11-09" xfId="679"/>
    <cellStyle name="_億春2009年度接單計劃總表 6-16_成品倉2009-10-13-ktp_企劃生管-阿綠的報表11-10" xfId="680"/>
    <cellStyle name="_億春2009年度接單計劃總表 6-16_成品倉2009-10-13-ktp_企劃生管-阿綠的報表11-11" xfId="681"/>
    <cellStyle name="_億春2009年度接單計劃總表 6-16_成品倉2009-10-13-ktp_企劃生管-阿綠的報表11-14" xfId="682"/>
    <cellStyle name="_億春2009年度接單計劃總表 6-16_成品倉2009-10-13-ktp_企劃生管-阿綠的報表12-01" xfId="683"/>
    <cellStyle name="_億春2009年度接單計劃總表 6-16_成品倉2009-10-13-ktp_複製 -2009-11-10綜合報表" xfId="684"/>
    <cellStyle name="_億春2009年度接單計劃總表 6-16_成品倉2009-10-17ktp" xfId="685"/>
    <cellStyle name="_億春2009年度接單計劃總表 6-16_成品倉2009-120tp" xfId="686"/>
    <cellStyle name="_億春2009年度接單計劃總表 6-16_綜合報表2009-08-01" xfId="687"/>
    <cellStyle name="_億春2009年度接單計劃總表 6-16_綜合報表2009-08-01_2009-10-06綜合報表" xfId="688"/>
    <cellStyle name="_億春2009年度接單計劃總表 6-16_複製 -09- 綜合報表" xfId="689"/>
    <cellStyle name="_億春2009年度接單計劃總表 6-16_複製 -09- 綜合報表_2009-10-06綜合報表" xfId="690"/>
    <cellStyle name="_億春2009年度接單計劃總表 6-2" xfId="691"/>
    <cellStyle name="_億春2009年度接單計劃總表 6-2_2009-10-06綜合報表" xfId="692"/>
    <cellStyle name="_億春2009年度接單計劃總表 6-2_2009-10-13" xfId="693"/>
    <cellStyle name="_億春2009年度接單計劃總表 6-2_2009-10-13_2009-10-16綜合報表" xfId="694"/>
    <cellStyle name="_億春2009年度接單計劃總表 6-2_2009-10-13_2009-11-04綜合報表" xfId="695"/>
    <cellStyle name="_億春2009年度接單計劃總表 6-2_2009-10-13_2009-11-30綜合報表" xfId="696"/>
    <cellStyle name="_億春2009年度接單計劃總表 6-2_2009-10-13_2009-11-7(1)" xfId="697"/>
    <cellStyle name="_億春2009年度接單計劃總表 6-2_2009-10-13_2009-20-11(1)" xfId="698"/>
    <cellStyle name="_億春2009年度接單計劃總表 6-2_2009-10-13_企劃生管-阿綠的報表10-22" xfId="699"/>
    <cellStyle name="_億春2009年度接單計劃總表 6-2_2009-10-13_企劃生管-阿綠的報表11-04 (2)" xfId="700"/>
    <cellStyle name="_億春2009年度接單計劃總表 6-2_2009-10-13_企劃生管-阿綠的報表11-05" xfId="701"/>
    <cellStyle name="_億春2009年度接單計劃總表 6-2_2009-10-13_企劃生管-阿綠的報表11-06" xfId="702"/>
    <cellStyle name="_億春2009年度接單計劃總表 6-2_2009-10-13_企劃生管-阿綠的報表11-09" xfId="703"/>
    <cellStyle name="_億春2009年度接單計劃總表 6-2_2009-10-13_企劃生管-阿綠的報表11-10" xfId="704"/>
    <cellStyle name="_億春2009年度接單計劃總表 6-2_2009-10-13_企劃生管-阿綠的報表11-11" xfId="705"/>
    <cellStyle name="_億春2009年度接單計劃總表 6-2_2009-10-13_企劃生管-阿綠的報表11-14" xfId="706"/>
    <cellStyle name="_億春2009年度接單計劃總表 6-2_2009-10-13_企劃生管-阿綠的報表12-01" xfId="707"/>
    <cellStyle name="_億春2009年度接單計劃總表 6-2_2009-10-13_複製 -2009-11-10綜合報表" xfId="708"/>
    <cellStyle name="_億春2009年度接單計劃總表 6-2_2009-10-17" xfId="709"/>
    <cellStyle name="_億春2009年度接單計劃總表 6-2_2009-10-8" xfId="710"/>
    <cellStyle name="_億春2009年度接單計劃總表 6-2_2009-10-8_2009-10-12綜合報表" xfId="711"/>
    <cellStyle name="_億春2009年度接單計劃總表 6-2_2009-10-8_2009-10-16綜合報表" xfId="712"/>
    <cellStyle name="_億春2009年度接單計劃總表 6-2_2009-10-8_2009-11-04綜合報表" xfId="713"/>
    <cellStyle name="_億春2009年度接單計劃總表 6-2_2009-10-8_2009-11-30綜合報表" xfId="714"/>
    <cellStyle name="_億春2009年度接單計劃總表 6-2_2009-10-8_2009-11-7(1)" xfId="715"/>
    <cellStyle name="_億春2009年度接單計劃總表 6-2_2009-10-8_2009-20-11(1)" xfId="716"/>
    <cellStyle name="_億春2009年度接單計劃總表 6-2_2009-10-8_T Lan" xfId="717"/>
    <cellStyle name="_億春2009年度接單計劃總表 6-2_2009-10-8_T Lan (1)" xfId="718"/>
    <cellStyle name="_億春2009年度接單計劃總表 6-2_2009-10-8_thanh lan (2)" xfId="719"/>
    <cellStyle name="_億春2009年度接單計劃總表 6-2_2009-10-8_企劃生管-阿綠的報表10-22" xfId="720"/>
    <cellStyle name="_億春2009年度接單計劃總表 6-2_2009-10-8_企劃生管-阿綠的報表11-04 (2)" xfId="721"/>
    <cellStyle name="_億春2009年度接單計劃總表 6-2_2009-10-8_企劃生管-阿綠的報表11-05" xfId="722"/>
    <cellStyle name="_億春2009年度接單計劃總表 6-2_2009-10-8_企劃生管-阿綠的報表11-06" xfId="723"/>
    <cellStyle name="_億春2009年度接單計劃總表 6-2_2009-10-8_企劃生管-阿綠的報表11-09" xfId="724"/>
    <cellStyle name="_億春2009年度接單計劃總表 6-2_2009-10-8_企劃生管-阿綠的報表11-10" xfId="725"/>
    <cellStyle name="_億春2009年度接單計劃總表 6-2_2009-10-8_企劃生管-阿綠的報表11-11" xfId="726"/>
    <cellStyle name="_億春2009年度接單計劃總表 6-2_2009-10-8_企劃生管-阿綠的報表11-14" xfId="727"/>
    <cellStyle name="_億春2009年度接單計劃總表 6-2_2009-10-8_企劃生管-阿綠的報表12-01" xfId="728"/>
    <cellStyle name="_億春2009年度接單計劃總表 6-2_2009-10-8_複製 -2009-11-10綜合報表" xfId="729"/>
    <cellStyle name="_億春2009年度接單計劃總表 6-2_2009-10均時產" xfId="730"/>
    <cellStyle name="_億春2009年度接單計劃總表 6-2_2009-10均時產_2009-10-12綜合報表" xfId="731"/>
    <cellStyle name="_億春2009年度接單計劃總表 6-2_2009-10均時產_2009-10-16綜合報表" xfId="732"/>
    <cellStyle name="_億春2009年度接單計劃總表 6-2_2009-10均時產_2009-11-04綜合報表" xfId="733"/>
    <cellStyle name="_億春2009年度接單計劃總表 6-2_2009-10均時產_2009-11-30綜合報表" xfId="734"/>
    <cellStyle name="_億春2009年度接單計劃總表 6-2_2009-10均時產_2009-11-7(1)" xfId="735"/>
    <cellStyle name="_億春2009年度接單計劃總表 6-2_2009-10均時產_2009-20-11(1)" xfId="736"/>
    <cellStyle name="_億春2009年度接單計劃總表 6-2_2009-10均時產_9876543 (ExcelFIX)" xfId="737"/>
    <cellStyle name="_億春2009年度接單計劃總表 6-2_2009-10均時產_T Lan" xfId="738"/>
    <cellStyle name="_億春2009年度接單計劃總表 6-2_2009-10均時產_T Lan (1)" xfId="739"/>
    <cellStyle name="_億春2009年度接單計劃總表 6-2_2009-10均時產_thanh lan (2)" xfId="740"/>
    <cellStyle name="_億春2009年度接單計劃總表 6-2_2009-10均時產_企劃生管-阿綠的報表10-22" xfId="741"/>
    <cellStyle name="_億春2009年度接單計劃總表 6-2_2009-10均時產_企劃生管-阿綠的報表11-04 (2)" xfId="742"/>
    <cellStyle name="_億春2009年度接單計劃總表 6-2_2009-10均時產_企劃生管-阿綠的報表11-05" xfId="743"/>
    <cellStyle name="_億春2009年度接單計劃總表 6-2_2009-10均時產_企劃生管-阿綠的報表11-06" xfId="744"/>
    <cellStyle name="_億春2009年度接單計劃總表 6-2_2009-10均時產_企劃生管-阿綠的報表11-09" xfId="745"/>
    <cellStyle name="_億春2009年度接單計劃總表 6-2_2009-10均時產_企劃生管-阿綠的報表11-10" xfId="746"/>
    <cellStyle name="_億春2009年度接單計劃總表 6-2_2009-10均時產_企劃生管-阿綠的報表11-11" xfId="747"/>
    <cellStyle name="_億春2009年度接單計劃總表 6-2_2009-10均時產_企劃生管-阿綠的報表11-14" xfId="748"/>
    <cellStyle name="_億春2009年度接單計劃總表 6-2_2009-10均時產_企劃生管-阿綠的報表12-01" xfId="749"/>
    <cellStyle name="_億春2009年度接單計劃總表 6-2_2009-10均時產_複製 -2009-11-10綜合報表" xfId="750"/>
    <cellStyle name="_億春2009年度接單計劃總表 6-2_2009-12-8" xfId="751"/>
    <cellStyle name="_億春2009年度接單計劃總表 6-2_2010-1-23" xfId="752"/>
    <cellStyle name="_億春2009年度接單計劃總表 6-2_成品倉2009-10-13-ktp" xfId="753"/>
    <cellStyle name="_億春2009年度接單計劃總表 6-2_成品倉2009-10-13-ktp_1" xfId="754"/>
    <cellStyle name="_億春2009年度接單計劃總表 6-2_成品倉2009-10-13-ktp_2009-10-16綜合報表" xfId="755"/>
    <cellStyle name="_億春2009年度接單計劃總表 6-2_成品倉2009-10-13-ktp_2009-11-04綜合報表" xfId="756"/>
    <cellStyle name="_億春2009年度接單計劃總表 6-2_成品倉2009-10-13-ktp_2009-11-30綜合報表" xfId="757"/>
    <cellStyle name="_億春2009年度接單計劃總表 6-2_成品倉2009-10-13-ktp_2009-11-7(1)" xfId="758"/>
    <cellStyle name="_億春2009年度接單計劃總表 6-2_成品倉2009-10-13-ktp_2009-20-11(1)" xfId="759"/>
    <cellStyle name="_億春2009年度接單計劃總表 6-2_成品倉2009-10-13-ktp_企劃生管-阿綠的報表10-22" xfId="760"/>
    <cellStyle name="_億春2009年度接單計劃總表 6-2_成品倉2009-10-13-ktp_企劃生管-阿綠的報表11-04 (2)" xfId="761"/>
    <cellStyle name="_億春2009年度接單計劃總表 6-2_成品倉2009-10-13-ktp_企劃生管-阿綠的報表11-05" xfId="762"/>
    <cellStyle name="_億春2009年度接單計劃總表 6-2_成品倉2009-10-13-ktp_企劃生管-阿綠的報表11-06" xfId="763"/>
    <cellStyle name="_億春2009年度接單計劃總表 6-2_成品倉2009-10-13-ktp_企劃生管-阿綠的報表11-09" xfId="764"/>
    <cellStyle name="_億春2009年度接單計劃總表 6-2_成品倉2009-10-13-ktp_企劃生管-阿綠的報表11-10" xfId="765"/>
    <cellStyle name="_億春2009年度接單計劃總表 6-2_成品倉2009-10-13-ktp_企劃生管-阿綠的報表11-11" xfId="766"/>
    <cellStyle name="_億春2009年度接單計劃總表 6-2_成品倉2009-10-13-ktp_企劃生管-阿綠的報表11-14" xfId="767"/>
    <cellStyle name="_億春2009年度接單計劃總表 6-2_成品倉2009-10-13-ktp_企劃生管-阿綠的報表12-01" xfId="768"/>
    <cellStyle name="_億春2009年度接單計劃總表 6-2_成品倉2009-10-13-ktp_複製 -2009-11-10綜合報表" xfId="769"/>
    <cellStyle name="_億春2009年度接單計劃總表 6-2_成品倉2009-10-17ktp" xfId="770"/>
    <cellStyle name="_億春2009年度接單計劃總表 6-2_成品倉2009-120tp" xfId="771"/>
    <cellStyle name="_億春2009年度接單計劃總表 6-2_綜合報表2009-08-01" xfId="772"/>
    <cellStyle name="_億春2009年度接單計劃總表 6-2_綜合報表2009-08-01_2009-10-06綜合報表" xfId="773"/>
    <cellStyle name="_億春2009年度接單計劃總表 6-2_複製 -09- 綜合報表" xfId="774"/>
    <cellStyle name="_億春2009年度接單計劃總表 6-2_複製 -09- 綜合報表_2009-10-06綜合報表" xfId="775"/>
    <cellStyle name="_億春2009年度接單計劃總表 6-3" xfId="776"/>
    <cellStyle name="_億春2009年度接單計劃總表 6-3_2009-10-06綜合報表" xfId="777"/>
    <cellStyle name="_億春2009年度接單計劃總表 6-3_2009-10-13" xfId="778"/>
    <cellStyle name="_億春2009年度接單計劃總表 6-3_2009-10-13_2009-10-16綜合報表" xfId="779"/>
    <cellStyle name="_億春2009年度接單計劃總表 6-3_2009-10-13_2009-11-04綜合報表" xfId="780"/>
    <cellStyle name="_億春2009年度接單計劃總表 6-3_2009-10-13_2009-11-30綜合報表" xfId="781"/>
    <cellStyle name="_億春2009年度接單計劃總表 6-3_2009-10-13_2009-11-7(1)" xfId="782"/>
    <cellStyle name="_億春2009年度接單計劃總表 6-3_2009-10-13_2009-20-11(1)" xfId="783"/>
    <cellStyle name="_億春2009年度接單計劃總表 6-3_2009-10-13_企劃生管-阿綠的報表10-22" xfId="784"/>
    <cellStyle name="_億春2009年度接單計劃總表 6-3_2009-10-13_企劃生管-阿綠的報表11-04 (2)" xfId="785"/>
    <cellStyle name="_億春2009年度接單計劃總表 6-3_2009-10-13_企劃生管-阿綠的報表11-05" xfId="786"/>
    <cellStyle name="_億春2009年度接單計劃總表 6-3_2009-10-13_企劃生管-阿綠的報表11-06" xfId="787"/>
    <cellStyle name="_億春2009年度接單計劃總表 6-3_2009-10-13_企劃生管-阿綠的報表11-09" xfId="788"/>
    <cellStyle name="_億春2009年度接單計劃總表 6-3_2009-10-13_企劃生管-阿綠的報表11-10" xfId="789"/>
    <cellStyle name="_億春2009年度接單計劃總表 6-3_2009-10-13_企劃生管-阿綠的報表11-11" xfId="790"/>
    <cellStyle name="_億春2009年度接單計劃總表 6-3_2009-10-13_企劃生管-阿綠的報表11-14" xfId="791"/>
    <cellStyle name="_億春2009年度接單計劃總表 6-3_2009-10-13_企劃生管-阿綠的報表12-01" xfId="792"/>
    <cellStyle name="_億春2009年度接單計劃總表 6-3_2009-10-13_複製 -2009-11-10綜合報表" xfId="793"/>
    <cellStyle name="_億春2009年度接單計劃總表 6-3_2009-10-17" xfId="794"/>
    <cellStyle name="_億春2009年度接單計劃總表 6-3_2009-10-8" xfId="795"/>
    <cellStyle name="_億春2009年度接單計劃總表 6-3_2009-10-8_2009-10-12綜合報表" xfId="796"/>
    <cellStyle name="_億春2009年度接單計劃總表 6-3_2009-10-8_2009-10-16綜合報表" xfId="797"/>
    <cellStyle name="_億春2009年度接單計劃總表 6-3_2009-10-8_2009-11-04綜合報表" xfId="798"/>
    <cellStyle name="_億春2009年度接單計劃總表 6-3_2009-10-8_2009-11-30綜合報表" xfId="799"/>
    <cellStyle name="_億春2009年度接單計劃總表 6-3_2009-10-8_2009-11-7(1)" xfId="800"/>
    <cellStyle name="_億春2009年度接單計劃總表 6-3_2009-10-8_2009-20-11(1)" xfId="801"/>
    <cellStyle name="_億春2009年度接單計劃總表 6-3_2009-10-8_T Lan" xfId="802"/>
    <cellStyle name="_億春2009年度接單計劃總表 6-3_2009-10-8_T Lan (1)" xfId="803"/>
    <cellStyle name="_億春2009年度接單計劃總表 6-3_2009-10-8_thanh lan (2)" xfId="804"/>
    <cellStyle name="_億春2009年度接單計劃總表 6-3_2009-10-8_企劃生管-阿綠的報表10-22" xfId="805"/>
    <cellStyle name="_億春2009年度接單計劃總表 6-3_2009-10-8_企劃生管-阿綠的報表11-04 (2)" xfId="806"/>
    <cellStyle name="_億春2009年度接單計劃總表 6-3_2009-10-8_企劃生管-阿綠的報表11-05" xfId="807"/>
    <cellStyle name="_億春2009年度接單計劃總表 6-3_2009-10-8_企劃生管-阿綠的報表11-06" xfId="808"/>
    <cellStyle name="_億春2009年度接單計劃總表 6-3_2009-10-8_企劃生管-阿綠的報表11-09" xfId="809"/>
    <cellStyle name="_億春2009年度接單計劃總表 6-3_2009-10-8_企劃生管-阿綠的報表11-10" xfId="810"/>
    <cellStyle name="_億春2009年度接單計劃總表 6-3_2009-10-8_企劃生管-阿綠的報表11-11" xfId="811"/>
    <cellStyle name="_億春2009年度接單計劃總表 6-3_2009-10-8_企劃生管-阿綠的報表11-14" xfId="812"/>
    <cellStyle name="_億春2009年度接單計劃總表 6-3_2009-10-8_企劃生管-阿綠的報表12-01" xfId="813"/>
    <cellStyle name="_億春2009年度接單計劃總表 6-3_2009-10-8_複製 -2009-11-10綜合報表" xfId="814"/>
    <cellStyle name="_億春2009年度接單計劃總表 6-3_2009-10均時產" xfId="815"/>
    <cellStyle name="_億春2009年度接單計劃總表 6-3_2009-10均時產_2009-10-12綜合報表" xfId="816"/>
    <cellStyle name="_億春2009年度接單計劃總表 6-3_2009-10均時產_2009-10-16綜合報表" xfId="817"/>
    <cellStyle name="_億春2009年度接單計劃總表 6-3_2009-10均時產_2009-11-04綜合報表" xfId="818"/>
    <cellStyle name="_億春2009年度接單計劃總表 6-3_2009-10均時產_2009-11-30綜合報表" xfId="819"/>
    <cellStyle name="_億春2009年度接單計劃總表 6-3_2009-10均時產_2009-11-7(1)" xfId="820"/>
    <cellStyle name="_億春2009年度接單計劃總表 6-3_2009-10均時產_2009-20-11(1)" xfId="821"/>
    <cellStyle name="_億春2009年度接單計劃總表 6-3_2009-10均時產_9876543 (ExcelFIX)" xfId="822"/>
    <cellStyle name="_億春2009年度接單計劃總表 6-3_2009-10均時產_T Lan" xfId="823"/>
    <cellStyle name="_億春2009年度接單計劃總表 6-3_2009-10均時產_T Lan (1)" xfId="824"/>
    <cellStyle name="_億春2009年度接單計劃總表 6-3_2009-10均時產_thanh lan (2)" xfId="825"/>
    <cellStyle name="_億春2009年度接單計劃總表 6-3_2009-10均時產_企劃生管-阿綠的報表10-22" xfId="826"/>
    <cellStyle name="_億春2009年度接單計劃總表 6-3_2009-10均時產_企劃生管-阿綠的報表11-04 (2)" xfId="827"/>
    <cellStyle name="_億春2009年度接單計劃總表 6-3_2009-10均時產_企劃生管-阿綠的報表11-05" xfId="828"/>
    <cellStyle name="_億春2009年度接單計劃總表 6-3_2009-10均時產_企劃生管-阿綠的報表11-06" xfId="829"/>
    <cellStyle name="_億春2009年度接單計劃總表 6-3_2009-10均時產_企劃生管-阿綠的報表11-09" xfId="830"/>
    <cellStyle name="_億春2009年度接單計劃總表 6-3_2009-10均時產_企劃生管-阿綠的報表11-10" xfId="831"/>
    <cellStyle name="_億春2009年度接單計劃總表 6-3_2009-10均時產_企劃生管-阿綠的報表11-11" xfId="832"/>
    <cellStyle name="_億春2009年度接單計劃總表 6-3_2009-10均時產_企劃生管-阿綠的報表11-14" xfId="833"/>
    <cellStyle name="_億春2009年度接單計劃總表 6-3_2009-10均時產_企劃生管-阿綠的報表12-01" xfId="834"/>
    <cellStyle name="_億春2009年度接單計劃總表 6-3_2009-10均時產_複製 -2009-11-10綜合報表" xfId="835"/>
    <cellStyle name="_億春2009年度接單計劃總表 6-3_2009-12-8" xfId="836"/>
    <cellStyle name="_億春2009年度接單計劃總表 6-3_2010-1-23" xfId="837"/>
    <cellStyle name="_億春2009年度接單計劃總表 6-3_成品倉2009-10-13-ktp" xfId="838"/>
    <cellStyle name="_億春2009年度接單計劃總表 6-3_成品倉2009-10-13-ktp_1" xfId="839"/>
    <cellStyle name="_億春2009年度接單計劃總表 6-3_成品倉2009-10-13-ktp_2009-10-16綜合報表" xfId="840"/>
    <cellStyle name="_億春2009年度接單計劃總表 6-3_成品倉2009-10-13-ktp_2009-11-04綜合報表" xfId="841"/>
    <cellStyle name="_億春2009年度接單計劃總表 6-3_成品倉2009-10-13-ktp_2009-11-30綜合報表" xfId="842"/>
    <cellStyle name="_億春2009年度接單計劃總表 6-3_成品倉2009-10-13-ktp_2009-11-7(1)" xfId="843"/>
    <cellStyle name="_億春2009年度接單計劃總表 6-3_成品倉2009-10-13-ktp_2009-20-11(1)" xfId="844"/>
    <cellStyle name="_億春2009年度接單計劃總表 6-3_成品倉2009-10-13-ktp_企劃生管-阿綠的報表10-22" xfId="845"/>
    <cellStyle name="_億春2009年度接單計劃總表 6-3_成品倉2009-10-13-ktp_企劃生管-阿綠的報表11-04 (2)" xfId="846"/>
    <cellStyle name="_億春2009年度接單計劃總表 6-3_成品倉2009-10-13-ktp_企劃生管-阿綠的報表11-05" xfId="847"/>
    <cellStyle name="_億春2009年度接單計劃總表 6-3_成品倉2009-10-13-ktp_企劃生管-阿綠的報表11-06" xfId="848"/>
    <cellStyle name="_億春2009年度接單計劃總表 6-3_成品倉2009-10-13-ktp_企劃生管-阿綠的報表11-09" xfId="849"/>
    <cellStyle name="_億春2009年度接單計劃總表 6-3_成品倉2009-10-13-ktp_企劃生管-阿綠的報表11-10" xfId="850"/>
    <cellStyle name="_億春2009年度接單計劃總表 6-3_成品倉2009-10-13-ktp_企劃生管-阿綠的報表11-11" xfId="851"/>
    <cellStyle name="_億春2009年度接單計劃總表 6-3_成品倉2009-10-13-ktp_企劃生管-阿綠的報表11-14" xfId="852"/>
    <cellStyle name="_億春2009年度接單計劃總表 6-3_成品倉2009-10-13-ktp_企劃生管-阿綠的報表12-01" xfId="853"/>
    <cellStyle name="_億春2009年度接單計劃總表 6-3_成品倉2009-10-13-ktp_複製 -2009-11-10綜合報表" xfId="854"/>
    <cellStyle name="_億春2009年度接單計劃總表 6-3_成品倉2009-10-17ktp" xfId="855"/>
    <cellStyle name="_億春2009年度接單計劃總表 6-3_成品倉2009-120tp" xfId="856"/>
    <cellStyle name="_億春2009年度接單計劃總表 6-3_綜合報表2009-08-01" xfId="857"/>
    <cellStyle name="_億春2009年度接單計劃總表 6-3_綜合報表2009-08-01_2009-10-06綜合報表" xfId="858"/>
    <cellStyle name="_億春2009年度接單計劃總表 6-3_複製 -09- 綜合報表" xfId="859"/>
    <cellStyle name="_億春2009年度接單計劃總表 6-3_複製 -09- 綜合報表_2009-10-06綜合報表" xfId="860"/>
    <cellStyle name="_億春公司各品牌業務接單及生產分析表5-16" xfId="861"/>
    <cellStyle name="_億春公司各品牌業務接單及生產分析表5-16_2009-10-06綜合報表" xfId="862"/>
    <cellStyle name="_億春公司各品牌業務接單及生產分析表5-16_2009-10-13" xfId="863"/>
    <cellStyle name="_億春公司各品牌業務接單及生產分析表5-16_2009-10-17" xfId="864"/>
    <cellStyle name="_億春公司各品牌業務接單及生產分析表5-16_2009-10-17_anh loc" xfId="865"/>
    <cellStyle name="_億春公司各品牌業務接單及生產分析表5-16_2009-10-17_anh loc_綜合報表一2014-11-1" xfId="866"/>
    <cellStyle name="_億春公司各品牌業務接單及生產分析表5-16_2009-10-17_Thanh Lan 1 OK" xfId="867"/>
    <cellStyle name="_億春公司各品牌業務接單及生產分析表5-16_2009-10-17_Thanh Lan 1 OK_anh loc" xfId="868"/>
    <cellStyle name="_億春公司各品牌業務接單及生產分析表5-16_2009-10-17_Thanh Lan 1 OK_anh loc_綜合報表一2014-11-1" xfId="869"/>
    <cellStyle name="_億春公司各品牌業務接單及生產分析表5-16_2009-10-17_加工厂報表" xfId="870"/>
    <cellStyle name="_億春公司各品牌業務接單及生產分析表5-16_2009-10-17_加工厂報表_anh loc" xfId="871"/>
    <cellStyle name="_億春公司各品牌業務接單及生產分析表5-16_2009-10-17_加工厂報表_anh loc_綜合報表一2014-11-1" xfId="872"/>
    <cellStyle name="_億春公司各品牌業務接單及生產分析表5-16_2009-10-8" xfId="873"/>
    <cellStyle name="_億春公司各品牌業務接單及生產分析表5-16_2009-10-8_2009-10-12綜合報表" xfId="874"/>
    <cellStyle name="_億春公司各品牌業務接單及生產分析表5-16_2009-10-8_2009-10-12綜合報表_anh loc" xfId="875"/>
    <cellStyle name="_億春公司各品牌業務接單及生產分析表5-16_2009-10-8_2009-10-12綜合報表_anh loc_綜合報表一2014-11-1" xfId="876"/>
    <cellStyle name="_億春公司各品牌業務接單及生產分析表5-16_2009-10-8_2009-10-12綜合報表_Thanh Lan 1 OK" xfId="877"/>
    <cellStyle name="_億春公司各品牌業務接單及生產分析表5-16_2009-10-8_2009-10-12綜合報表_Thanh Lan 1 OK_anh loc" xfId="878"/>
    <cellStyle name="_億春公司各品牌業務接單及生產分析表5-16_2009-10-8_2009-10-12綜合報表_Thanh Lan 1 OK_anh loc_綜合報表一2014-11-1" xfId="879"/>
    <cellStyle name="_億春公司各品牌業務接單及生產分析表5-16_2009-10-8_2009-10-12綜合報表_加工厂報表" xfId="880"/>
    <cellStyle name="_億春公司各品牌業務接單及生產分析表5-16_2009-10-8_2009-10-12綜合報表_加工厂報表_anh loc" xfId="881"/>
    <cellStyle name="_億春公司各品牌業務接單及生產分析表5-16_2009-10-8_2009-10-12綜合報表_加工厂報表_anh loc_綜合報表一2014-11-1" xfId="882"/>
    <cellStyle name="_億春公司各品牌業務接單及生產分析表5-16_2009-10-8_T Lan" xfId="883"/>
    <cellStyle name="_億春公司各品牌業務接單及生產分析表5-16_2009-10-8_T Lan (1)" xfId="884"/>
    <cellStyle name="_億春公司各品牌業務接單及生產分析表5-16_2009-10-8_T Lan (1)_anh loc" xfId="885"/>
    <cellStyle name="_億春公司各品牌業務接單及生產分析表5-16_2009-10-8_T Lan (1)_anh loc_綜合報表一2014-11-1" xfId="886"/>
    <cellStyle name="_億春公司各品牌業務接單及生產分析表5-16_2009-10-8_T Lan (1)_Thanh Lan 1 OK" xfId="887"/>
    <cellStyle name="_億春公司各品牌業務接單及生產分析表5-16_2009-10-8_T Lan (1)_Thanh Lan 1 OK_anh loc" xfId="888"/>
    <cellStyle name="_億春公司各品牌業務接單及生產分析表5-16_2009-10-8_T Lan (1)_Thanh Lan 1 OK_anh loc_綜合報表一2014-11-1" xfId="889"/>
    <cellStyle name="_億春公司各品牌業務接單及生產分析表5-16_2009-10-8_T Lan (1)_加工厂報表" xfId="890"/>
    <cellStyle name="_億春公司各品牌業務接單及生產分析表5-16_2009-10-8_T Lan (1)_加工厂報表_anh loc" xfId="891"/>
    <cellStyle name="_億春公司各品牌業務接單及生產分析表5-16_2009-10-8_T Lan (1)_加工厂報表_anh loc_綜合報表一2014-11-1" xfId="892"/>
    <cellStyle name="_億春公司各品牌業務接單及生產分析表5-16_2009-10-8_T Lan_anh loc" xfId="893"/>
    <cellStyle name="_億春公司各品牌業務接單及生產分析表5-16_2009-10-8_T Lan_anh loc_綜合報表一2014-11-1" xfId="894"/>
    <cellStyle name="_億春公司各品牌業務接單及生產分析表5-16_2009-10-8_T Lan_Thanh Lan 1 OK" xfId="895"/>
    <cellStyle name="_億春公司各品牌業務接單及生產分析表5-16_2009-10-8_T Lan_Thanh Lan 1 OK_anh loc" xfId="896"/>
    <cellStyle name="_億春公司各品牌業務接單及生產分析表5-16_2009-10-8_T Lan_Thanh Lan 1 OK_anh loc_綜合報表一2014-11-1" xfId="897"/>
    <cellStyle name="_億春公司各品牌業務接單及生產分析表5-16_2009-10-8_T Lan_加工厂報表" xfId="898"/>
    <cellStyle name="_億春公司各品牌業務接單及生產分析表5-16_2009-10-8_T Lan_加工厂報表_anh loc" xfId="899"/>
    <cellStyle name="_億春公司各品牌業務接單及生產分析表5-16_2009-10-8_T Lan_加工厂報表_anh loc_綜合報表一2014-11-1" xfId="900"/>
    <cellStyle name="_億春公司各品牌業務接單及生產分析表5-16_2009-10-8_thanh lan (2)" xfId="901"/>
    <cellStyle name="_億春公司各品牌業務接單及生產分析表5-16_2009-10-8_thanh lan (2)_anh loc" xfId="902"/>
    <cellStyle name="_億春公司各品牌業務接單及生產分析表5-16_2009-10-8_thanh lan (2)_anh loc_綜合報表一2014-11-1" xfId="903"/>
    <cellStyle name="_億春公司各品牌業務接單及生產分析表5-16_2009-10-8_thanh lan (2)_Thanh Lan 1 OK" xfId="904"/>
    <cellStyle name="_億春公司各品牌業務接單及生產分析表5-16_2009-10-8_thanh lan (2)_Thanh Lan 1 OK_anh loc" xfId="905"/>
    <cellStyle name="_億春公司各品牌業務接單及生產分析表5-16_2009-10-8_thanh lan (2)_Thanh Lan 1 OK_anh loc_綜合報表一2014-11-1" xfId="906"/>
    <cellStyle name="_億春公司各品牌業務接單及生產分析表5-16_2009-10-8_thanh lan (2)_加工厂報表" xfId="907"/>
    <cellStyle name="_億春公司各品牌業務接單及生產分析表5-16_2009-10-8_thanh lan (2)_加工厂報表_anh loc" xfId="908"/>
    <cellStyle name="_億春公司各品牌業務接單及生產分析表5-16_2009-10-8_thanh lan (2)_加工厂報表_anh loc_綜合報表一2014-11-1" xfId="909"/>
    <cellStyle name="_億春公司各品牌業務接單及生產分析表5-16_2009-10均時產" xfId="910"/>
    <cellStyle name="_億春公司各品牌業務接單及生產分析表5-16_2009-10均時產_2009-10-12綜合報表" xfId="911"/>
    <cellStyle name="_億春公司各品牌業務接單及生產分析表5-16_2009-10均時產_2009-10-12綜合報表_anh loc" xfId="912"/>
    <cellStyle name="_億春公司各品牌業務接單及生產分析表5-16_2009-10均時產_2009-10-12綜合報表_anh loc_綜合報表一2014-11-1" xfId="913"/>
    <cellStyle name="_億春公司各品牌業務接單及生產分析表5-16_2009-10均時產_2009-10-12綜合報表_Thanh Lan 1 OK" xfId="914"/>
    <cellStyle name="_億春公司各品牌業務接單及生產分析表5-16_2009-10均時產_2009-10-12綜合報表_Thanh Lan 1 OK_anh loc" xfId="915"/>
    <cellStyle name="_億春公司各品牌業務接單及生產分析表5-16_2009-10均時產_2009-10-12綜合報表_Thanh Lan 1 OK_anh loc_綜合報表一2014-11-1" xfId="916"/>
    <cellStyle name="_億春公司各品牌業務接單及生產分析表5-16_2009-10均時產_2009-10-12綜合報表_加工厂報表" xfId="917"/>
    <cellStyle name="_億春公司各品牌業務接單及生產分析表5-16_2009-10均時產_2009-10-12綜合報表_加工厂報表_anh loc" xfId="918"/>
    <cellStyle name="_億春公司各品牌業務接單及生產分析表5-16_2009-10均時產_2009-10-12綜合報表_加工厂報表_anh loc_綜合報表一2014-11-1" xfId="919"/>
    <cellStyle name="_億春公司各品牌業務接單及生產分析表5-16_2009-10均時產_9876543 (ExcelFIX)" xfId="920"/>
    <cellStyle name="_億春公司各品牌業務接單及生產分析表5-16_2009-10均時產_9876543 (ExcelFIX)_2009-10-12綜合報表" xfId="921"/>
    <cellStyle name="_億春公司各品牌業務接單及生產分析表5-16_2009-10均時產_9876543 (ExcelFIX)_T Lan" xfId="922"/>
    <cellStyle name="_億春公司各品牌業務接單及生產分析表5-16_2009-10均時產_9876543 (ExcelFIX)_T Lan (1)" xfId="923"/>
    <cellStyle name="_億春公司各品牌業務接單及生產分析表5-16_2009-10均時產_9876543 (ExcelFIX)_thanh lan (2)" xfId="924"/>
    <cellStyle name="_億春公司各品牌業務接單及生產分析表5-16_2009-10均時產_T Lan" xfId="925"/>
    <cellStyle name="_億春公司各品牌業務接單及生產分析表5-16_2009-10均時產_T Lan (1)" xfId="926"/>
    <cellStyle name="_億春公司各品牌業務接單及生產分析表5-16_2009-10均時產_T Lan (1)_anh loc" xfId="927"/>
    <cellStyle name="_億春公司各品牌業務接單及生產分析表5-16_2009-10均時產_T Lan (1)_anh loc_綜合報表一2014-11-1" xfId="928"/>
    <cellStyle name="_億春公司各品牌業務接單及生產分析表5-16_2009-10均時產_T Lan (1)_Thanh Lan 1 OK" xfId="929"/>
    <cellStyle name="_億春公司各品牌業務接單及生產分析表5-16_2009-10均時產_T Lan (1)_Thanh Lan 1 OK_anh loc" xfId="930"/>
    <cellStyle name="_億春公司各品牌業務接單及生產分析表5-16_2009-10均時產_T Lan (1)_Thanh Lan 1 OK_anh loc_綜合報表一2014-11-1" xfId="931"/>
    <cellStyle name="_億春公司各品牌業務接單及生產分析表5-16_2009-10均時產_T Lan (1)_加工厂報表" xfId="932"/>
    <cellStyle name="_億春公司各品牌業務接單及生產分析表5-16_2009-10均時產_T Lan (1)_加工厂報表_anh loc" xfId="933"/>
    <cellStyle name="_億春公司各品牌業務接單及生產分析表5-16_2009-10均時產_T Lan (1)_加工厂報表_anh loc_綜合報表一2014-11-1" xfId="934"/>
    <cellStyle name="_億春公司各品牌業務接單及生產分析表5-16_2009-10均時產_T Lan_anh loc" xfId="935"/>
    <cellStyle name="_億春公司各品牌業務接單及生產分析表5-16_2009-10均時產_T Lan_anh loc_綜合報表一2014-11-1" xfId="936"/>
    <cellStyle name="_億春公司各品牌業務接單及生產分析表5-16_2009-10均時產_T Lan_Thanh Lan 1 OK" xfId="937"/>
    <cellStyle name="_億春公司各品牌業務接單及生產分析表5-16_2009-10均時產_T Lan_Thanh Lan 1 OK_anh loc" xfId="938"/>
    <cellStyle name="_億春公司各品牌業務接單及生產分析表5-16_2009-10均時產_T Lan_Thanh Lan 1 OK_anh loc_綜合報表一2014-11-1" xfId="939"/>
    <cellStyle name="_億春公司各品牌業務接單及生產分析表5-16_2009-10均時產_T Lan_加工厂報表" xfId="940"/>
    <cellStyle name="_億春公司各品牌業務接單及生產分析表5-16_2009-10均時產_T Lan_加工厂報表_anh loc" xfId="941"/>
    <cellStyle name="_億春公司各品牌業務接單及生產分析表5-16_2009-10均時產_T Lan_加工厂報表_anh loc_綜合報表一2014-11-1" xfId="942"/>
    <cellStyle name="_億春公司各品牌業務接單及生產分析表5-16_2009-10均時產_thanh lan (2)" xfId="943"/>
    <cellStyle name="_億春公司各品牌業務接單及生產分析表5-16_2009-10均時產_thanh lan (2)_anh loc" xfId="944"/>
    <cellStyle name="_億春公司各品牌業務接單及生產分析表5-16_2009-10均時產_thanh lan (2)_anh loc_綜合報表一2014-11-1" xfId="945"/>
    <cellStyle name="_億春公司各品牌業務接單及生產分析表5-16_2009-10均時產_thanh lan (2)_Thanh Lan 1 OK" xfId="946"/>
    <cellStyle name="_億春公司各品牌業務接單及生產分析表5-16_2009-10均時產_thanh lan (2)_Thanh Lan 1 OK_anh loc" xfId="947"/>
    <cellStyle name="_億春公司各品牌業務接單及生產分析表5-16_2009-10均時產_thanh lan (2)_Thanh Lan 1 OK_anh loc_綜合報表一2014-11-1" xfId="948"/>
    <cellStyle name="_億春公司各品牌業務接單及生產分析表5-16_2009-10均時產_thanh lan (2)_加工厂報表" xfId="949"/>
    <cellStyle name="_億春公司各品牌業務接單及生產分析表5-16_2009-10均時產_thanh lan (2)_加工厂報表_anh loc" xfId="950"/>
    <cellStyle name="_億春公司各品牌業務接單及生產分析表5-16_2009-10均時產_thanh lan (2)_加工厂報表_anh loc_綜合報表一2014-11-1" xfId="951"/>
    <cellStyle name="_億春公司各品牌業務接單及生產分析表5-16_2009-12-8" xfId="952"/>
    <cellStyle name="_億春公司各品牌業務接單及生產分析表5-16_2009-12-8_anh loc" xfId="953"/>
    <cellStyle name="_億春公司各品牌業務接單及生產分析表5-16_2009-12-8_anh loc_綜合報表一2014-11-1" xfId="954"/>
    <cellStyle name="_億春公司各品牌業務接單及生產分析表5-16_2009-12-8_Thanh Lan 1 OK" xfId="955"/>
    <cellStyle name="_億春公司各品牌業務接單及生產分析表5-16_2009-12-8_Thanh Lan 1 OK_anh loc" xfId="956"/>
    <cellStyle name="_億春公司各品牌業務接單及生產分析表5-16_2009-12-8_Thanh Lan 1 OK_anh loc_綜合報表一2014-11-1" xfId="957"/>
    <cellStyle name="_億春公司各品牌業務接單及生產分析表5-16_2009-12-8_加工厂報表" xfId="958"/>
    <cellStyle name="_億春公司各品牌業務接單及生產分析表5-16_2009-12-8_加工厂報表_anh loc" xfId="959"/>
    <cellStyle name="_億春公司各品牌業務接單及生產分析表5-16_2009-12-8_加工厂報表_anh loc_綜合報表一2014-11-1" xfId="960"/>
    <cellStyle name="_億春公司各品牌業務接單及生產分析表5-16_2010-1-23" xfId="961"/>
    <cellStyle name="_億春公司各品牌業務接單及生產分析表5-16_2010-1-23_anh loc" xfId="962"/>
    <cellStyle name="_億春公司各品牌業務接單及生產分析表5-16_2010-1-23_anh loc_綜合報表一2014-11-1" xfId="963"/>
    <cellStyle name="_億春公司各品牌業務接單及生產分析表5-16_6-1.月份KPI評比" xfId="964"/>
    <cellStyle name="_億春公司各品牌業務接單及生產分析表5-16_成品倉2009-10-13-ktp" xfId="965"/>
    <cellStyle name="_億春公司各品牌業務接單及生產分析表5-16_成品倉2009-10-13-ktp_1" xfId="966"/>
    <cellStyle name="_億春公司各品牌業務接單及生產分析表5-16_成品倉2009-10-13-ktp_1_anh loc" xfId="967"/>
    <cellStyle name="_億春公司各品牌業務接單及生產分析表5-16_成品倉2009-10-13-ktp_1_anh loc_綜合報表一2014-11-1" xfId="968"/>
    <cellStyle name="_億春公司各品牌業務接單及生產分析表5-16_成品倉2009-10-13-ktp_1_Thanh Lan 1 OK" xfId="969"/>
    <cellStyle name="_億春公司各品牌業務接單及生產分析表5-16_成品倉2009-10-13-ktp_1_Thanh Lan 1 OK_anh loc" xfId="970"/>
    <cellStyle name="_億春公司各品牌業務接單及生產分析表5-16_成品倉2009-10-13-ktp_1_Thanh Lan 1 OK_anh loc_綜合報表一2014-11-1" xfId="971"/>
    <cellStyle name="_億春公司各品牌業務接單及生產分析表5-16_成品倉2009-10-13-ktp_1_加工厂報表" xfId="972"/>
    <cellStyle name="_億春公司各品牌業務接單及生產分析表5-16_成品倉2009-10-13-ktp_1_加工厂報表_anh loc" xfId="973"/>
    <cellStyle name="_億春公司各品牌業務接單及生產分析表5-16_成品倉2009-10-13-ktp_1_加工厂報表_anh loc_綜合報表一2014-11-1" xfId="974"/>
    <cellStyle name="_億春公司各品牌業務接單及生產分析表5-16_成品倉2009-10-17ktp" xfId="975"/>
    <cellStyle name="_億春公司各品牌業務接單及生產分析表5-16_成品倉2009-10-17ktp_anh loc" xfId="976"/>
    <cellStyle name="_億春公司各品牌業務接單及生產分析表5-16_成品倉2009-10-17ktp_anh loc_綜合報表一2014-11-1" xfId="977"/>
    <cellStyle name="_億春公司各品牌業務接單及生產分析表5-16_成品倉2009-10-17ktp_Thanh Lan 1 OK" xfId="978"/>
    <cellStyle name="_億春公司各品牌業務接單及生產分析表5-16_成品倉2009-10-17ktp_Thanh Lan 1 OK_anh loc" xfId="979"/>
    <cellStyle name="_億春公司各品牌業務接單及生產分析表5-16_成品倉2009-10-17ktp_Thanh Lan 1 OK_anh loc_綜合報表一2014-11-1" xfId="980"/>
    <cellStyle name="_億春公司各品牌業務接單及生產分析表5-16_成品倉2009-10-17ktp_加工厂報表" xfId="981"/>
    <cellStyle name="_億春公司各品牌業務接單及生產分析表5-16_成品倉2009-10-17ktp_加工厂報表_anh loc" xfId="982"/>
    <cellStyle name="_億春公司各品牌業務接單及生產分析表5-16_成品倉2009-10-17ktp_加工厂報表_anh loc_綜合報表一2014-11-1" xfId="983"/>
    <cellStyle name="_億春公司各品牌業務接單及生產分析表5-16_成品倉2009-120tp" xfId="984"/>
    <cellStyle name="_億春公司各品牌業務接單及生產分析表5-16_成品倉2009-120tp_anh loc" xfId="985"/>
    <cellStyle name="_億春公司各品牌業務接單及生產分析表5-16_成品倉2009-120tp_anh loc_綜合報表一2014-11-1" xfId="986"/>
    <cellStyle name="_億春公司各品牌業務接單及生產分析表5-16_成品倉2009-120tp_Thanh Lan 1 OK" xfId="987"/>
    <cellStyle name="_億春公司各品牌業務接單及生產分析表5-16_成品倉2009-120tp_Thanh Lan 1 OK_anh loc" xfId="988"/>
    <cellStyle name="_億春公司各品牌業務接單及生產分析表5-16_成品倉2009-120tp_Thanh Lan 1 OK_anh loc_綜合報表一2014-11-1" xfId="989"/>
    <cellStyle name="_億春公司各品牌業務接單及生產分析表5-16_綜合報表2009-08-01" xfId="990"/>
    <cellStyle name="_億春公司各品牌業務接單及生產分析表5-16_綜合報表2009-08-01_2009-10-06綜合報表" xfId="991"/>
    <cellStyle name="_億春公司各品牌業務接單及生產分析表5-16_複製 -09- 綜合報表" xfId="992"/>
    <cellStyle name="_億春公司各品牌業務接單及生產分析表5-16_複製 -11月份各廠KPI評比狀況" xfId="993"/>
    <cellStyle name="_億春公司各品牌業務接單及生產分析表6-10 (2)" xfId="994"/>
    <cellStyle name="_億春公司各品牌業務接單及生產分析表6-10 (2)_2009-10-06綜合報表" xfId="995"/>
    <cellStyle name="_億春公司各品牌業務接單及生產分析表6-10 (2)_2009-10-13" xfId="996"/>
    <cellStyle name="_億春公司各品牌業務接單及生產分析表6-10 (2)_2009-10-17" xfId="997"/>
    <cellStyle name="_億春公司各品牌業務接單及生產分析表6-10 (2)_2009-10-17_anh loc" xfId="998"/>
    <cellStyle name="_億春公司各品牌業務接單及生產分析表6-10 (2)_2009-10-17_anh loc_綜合報表一2014-11-1" xfId="999"/>
    <cellStyle name="_億春公司各品牌業務接單及生產分析表6-10 (2)_2009-10-17_Thanh Lan 1 OK" xfId="1000"/>
    <cellStyle name="_億春公司各品牌業務接單及生產分析表6-10 (2)_2009-10-17_Thanh Lan 1 OK_anh loc" xfId="1001"/>
    <cellStyle name="_億春公司各品牌業務接單及生產分析表6-10 (2)_2009-10-17_Thanh Lan 1 OK_anh loc_綜合報表一2014-11-1" xfId="1002"/>
    <cellStyle name="_億春公司各品牌業務接單及生產分析表6-10 (2)_2009-10-17_加工厂報表" xfId="1003"/>
    <cellStyle name="_億春公司各品牌業務接單及生產分析表6-10 (2)_2009-10-17_加工厂報表_anh loc" xfId="1004"/>
    <cellStyle name="_億春公司各品牌業務接單及生產分析表6-10 (2)_2009-10-17_加工厂報表_anh loc_綜合報表一2014-11-1" xfId="1005"/>
    <cellStyle name="_億春公司各品牌業務接單及生產分析表6-10 (2)_2009-10-8" xfId="1006"/>
    <cellStyle name="_億春公司各品牌業務接單及生產分析表6-10 (2)_2009-10-8_2009-10-12綜合報表" xfId="1007"/>
    <cellStyle name="_億春公司各品牌業務接單及生產分析表6-10 (2)_2009-10-8_2009-10-12綜合報表_anh loc" xfId="1008"/>
    <cellStyle name="_億春公司各品牌業務接單及生產分析表6-10 (2)_2009-10-8_2009-10-12綜合報表_anh loc_綜合報表一2014-11-1" xfId="1009"/>
    <cellStyle name="_億春公司各品牌業務接單及生產分析表6-10 (2)_2009-10-8_2009-10-12綜合報表_Thanh Lan 1 OK" xfId="1010"/>
    <cellStyle name="_億春公司各品牌業務接單及生產分析表6-10 (2)_2009-10-8_2009-10-12綜合報表_Thanh Lan 1 OK_anh loc" xfId="1011"/>
    <cellStyle name="_億春公司各品牌業務接單及生產分析表6-10 (2)_2009-10-8_2009-10-12綜合報表_Thanh Lan 1 OK_anh loc_綜合報表一2014-11-1" xfId="1012"/>
    <cellStyle name="_億春公司各品牌業務接單及生產分析表6-10 (2)_2009-10-8_2009-10-12綜合報表_加工厂報表" xfId="1013"/>
    <cellStyle name="_億春公司各品牌業務接單及生產分析表6-10 (2)_2009-10-8_2009-10-12綜合報表_加工厂報表_anh loc" xfId="1014"/>
    <cellStyle name="_億春公司各品牌業務接單及生產分析表6-10 (2)_2009-10-8_2009-10-12綜合報表_加工厂報表_anh loc_綜合報表一2014-11-1" xfId="1015"/>
    <cellStyle name="_億春公司各品牌業務接單及生產分析表6-10 (2)_2009-10-8_T Lan" xfId="1016"/>
    <cellStyle name="_億春公司各品牌業務接單及生產分析表6-10 (2)_2009-10-8_T Lan (1)" xfId="1017"/>
    <cellStyle name="_億春公司各品牌業務接單及生產分析表6-10 (2)_2009-10-8_T Lan (1)_anh loc" xfId="1018"/>
    <cellStyle name="_億春公司各品牌業務接單及生產分析表6-10 (2)_2009-10-8_T Lan (1)_anh loc_綜合報表一2014-11-1" xfId="1019"/>
    <cellStyle name="_億春公司各品牌業務接單及生產分析表6-10 (2)_2009-10-8_T Lan (1)_Thanh Lan 1 OK" xfId="1020"/>
    <cellStyle name="_億春公司各品牌業務接單及生產分析表6-10 (2)_2009-10-8_T Lan (1)_Thanh Lan 1 OK_anh loc" xfId="1021"/>
    <cellStyle name="_億春公司各品牌業務接單及生產分析表6-10 (2)_2009-10-8_T Lan (1)_Thanh Lan 1 OK_anh loc_綜合報表一2014-11-1" xfId="1022"/>
    <cellStyle name="_億春公司各品牌業務接單及生產分析表6-10 (2)_2009-10-8_T Lan (1)_加工厂報表" xfId="1023"/>
    <cellStyle name="_億春公司各品牌業務接單及生產分析表6-10 (2)_2009-10-8_T Lan (1)_加工厂報表_anh loc" xfId="1024"/>
    <cellStyle name="_億春公司各品牌業務接單及生產分析表6-10 (2)_2009-10-8_T Lan (1)_加工厂報表_anh loc_綜合報表一2014-11-1" xfId="1025"/>
    <cellStyle name="_億春公司各品牌業務接單及生產分析表6-10 (2)_2009-10-8_T Lan_anh loc" xfId="1026"/>
    <cellStyle name="_億春公司各品牌業務接單及生產分析表6-10 (2)_2009-10-8_T Lan_anh loc_綜合報表一2014-11-1" xfId="1027"/>
    <cellStyle name="_億春公司各品牌業務接單及生產分析表6-10 (2)_2009-10-8_T Lan_Thanh Lan 1 OK" xfId="1028"/>
    <cellStyle name="_億春公司各品牌業務接單及生產分析表6-10 (2)_2009-10-8_T Lan_Thanh Lan 1 OK_anh loc" xfId="1029"/>
    <cellStyle name="_億春公司各品牌業務接單及生產分析表6-10 (2)_2009-10-8_T Lan_Thanh Lan 1 OK_anh loc_綜合報表一2014-11-1" xfId="1030"/>
    <cellStyle name="_億春公司各品牌業務接單及生產分析表6-10 (2)_2009-10-8_T Lan_加工厂報表" xfId="1031"/>
    <cellStyle name="_億春公司各品牌業務接單及生產分析表6-10 (2)_2009-10-8_T Lan_加工厂報表_anh loc" xfId="1032"/>
    <cellStyle name="_億春公司各品牌業務接單及生產分析表6-10 (2)_2009-10-8_T Lan_加工厂報表_anh loc_綜合報表一2014-11-1" xfId="1033"/>
    <cellStyle name="_億春公司各品牌業務接單及生產分析表6-10 (2)_2009-10-8_thanh lan (2)" xfId="1034"/>
    <cellStyle name="_億春公司各品牌業務接單及生產分析表6-10 (2)_2009-10-8_thanh lan (2)_anh loc" xfId="1035"/>
    <cellStyle name="_億春公司各品牌業務接單及生產分析表6-10 (2)_2009-10-8_thanh lan (2)_anh loc_綜合報表一2014-11-1" xfId="1036"/>
    <cellStyle name="_億春公司各品牌業務接單及生產分析表6-10 (2)_2009-10-8_thanh lan (2)_Thanh Lan 1 OK" xfId="1037"/>
    <cellStyle name="_億春公司各品牌業務接單及生產分析表6-10 (2)_2009-10-8_thanh lan (2)_Thanh Lan 1 OK_anh loc" xfId="1038"/>
    <cellStyle name="_億春公司各品牌業務接單及生產分析表6-10 (2)_2009-10-8_thanh lan (2)_Thanh Lan 1 OK_anh loc_綜合報表一2014-11-1" xfId="1039"/>
    <cellStyle name="_億春公司各品牌業務接單及生產分析表6-10 (2)_2009-10-8_thanh lan (2)_加工厂報表" xfId="1040"/>
    <cellStyle name="_億春公司各品牌業務接單及生產分析表6-10 (2)_2009-10-8_thanh lan (2)_加工厂報表_anh loc" xfId="1041"/>
    <cellStyle name="_億春公司各品牌業務接單及生產分析表6-10 (2)_2009-10-8_thanh lan (2)_加工厂報表_anh loc_綜合報表一2014-11-1" xfId="1042"/>
    <cellStyle name="_億春公司各品牌業務接單及生產分析表6-10 (2)_2009-12-8" xfId="1043"/>
    <cellStyle name="_億春公司各品牌業務接單及生產分析表6-10 (2)_2009-12-8_anh loc" xfId="1044"/>
    <cellStyle name="_億春公司各品牌業務接單及生產分析表6-10 (2)_2009-12-8_anh loc_綜合報表一2014-11-1" xfId="1045"/>
    <cellStyle name="_億春公司各品牌業務接單及生產分析表6-10 (2)_2009-12-8_Thanh Lan 1 OK" xfId="1046"/>
    <cellStyle name="_億春公司各品牌業務接單及生產分析表6-10 (2)_2009-12-8_Thanh Lan 1 OK_anh loc" xfId="1047"/>
    <cellStyle name="_億春公司各品牌業務接單及生產分析表6-10 (2)_2009-12-8_Thanh Lan 1 OK_anh loc_綜合報表一2014-11-1" xfId="1048"/>
    <cellStyle name="_億春公司各品牌業務接單及生產分析表6-10 (2)_2009-12-8_加工厂報表" xfId="1049"/>
    <cellStyle name="_億春公司各品牌業務接單及生產分析表6-10 (2)_2009-12-8_加工厂報表_anh loc" xfId="1050"/>
    <cellStyle name="_億春公司各品牌業務接單及生產分析表6-10 (2)_2009-12-8_加工厂報表_anh loc_綜合報表一2014-11-1" xfId="1051"/>
    <cellStyle name="_億春公司各品牌業務接單及生產分析表6-10 (2)_2010-1-23" xfId="1052"/>
    <cellStyle name="_億春公司各品牌業務接單及生產分析表6-10 (2)_2010-1-23_anh loc" xfId="1053"/>
    <cellStyle name="_億春公司各品牌業務接單及生產分析表6-10 (2)_2010-1-23_anh loc_綜合報表一2014-11-1" xfId="1054"/>
    <cellStyle name="_億春公司各品牌業務接單及生產分析表6-10 (2)_6-1.月份KPI評比" xfId="1055"/>
    <cellStyle name="_億春公司各品牌業務接單及生產分析表6-10 (2)_成品倉2009-10-13-ktp" xfId="1056"/>
    <cellStyle name="_億春公司各品牌業務接單及生產分析表6-10 (2)_成品倉2009-10-13-ktp_1" xfId="1057"/>
    <cellStyle name="_億春公司各品牌業務接單及生產分析表6-10 (2)_成品倉2009-10-13-ktp_1_anh loc" xfId="1058"/>
    <cellStyle name="_億春公司各品牌業務接單及生產分析表6-10 (2)_成品倉2009-10-13-ktp_1_anh loc_綜合報表一2014-11-1" xfId="1059"/>
    <cellStyle name="_億春公司各品牌業務接單及生產分析表6-10 (2)_成品倉2009-10-13-ktp_1_Thanh Lan 1 OK" xfId="1060"/>
    <cellStyle name="_億春公司各品牌業務接單及生產分析表6-10 (2)_成品倉2009-10-13-ktp_1_Thanh Lan 1 OK_anh loc" xfId="1061"/>
    <cellStyle name="_億春公司各品牌業務接單及生產分析表6-10 (2)_成品倉2009-10-13-ktp_1_Thanh Lan 1 OK_anh loc_綜合報表一2014-11-1" xfId="1062"/>
    <cellStyle name="_億春公司各品牌業務接單及生產分析表6-10 (2)_成品倉2009-10-13-ktp_1_加工厂報表" xfId="1063"/>
    <cellStyle name="_億春公司各品牌業務接單及生產分析表6-10 (2)_成品倉2009-10-13-ktp_1_加工厂報表_anh loc" xfId="1064"/>
    <cellStyle name="_億春公司各品牌業務接單及生產分析表6-10 (2)_成品倉2009-10-13-ktp_1_加工厂報表_anh loc_綜合報表一2014-11-1" xfId="1065"/>
    <cellStyle name="_億春公司各品牌業務接單及生產分析表6-10 (2)_成品倉2009-10-17ktp" xfId="1066"/>
    <cellStyle name="_億春公司各品牌業務接單及生產分析表6-10 (2)_成品倉2009-10-17ktp_anh loc" xfId="1067"/>
    <cellStyle name="_億春公司各品牌業務接單及生產分析表6-10 (2)_成品倉2009-10-17ktp_anh loc_綜合報表一2014-11-1" xfId="1068"/>
    <cellStyle name="_億春公司各品牌業務接單及生產分析表6-10 (2)_成品倉2009-10-17ktp_Thanh Lan 1 OK" xfId="1069"/>
    <cellStyle name="_億春公司各品牌業務接單及生產分析表6-10 (2)_成品倉2009-10-17ktp_Thanh Lan 1 OK_anh loc" xfId="1070"/>
    <cellStyle name="_億春公司各品牌業務接單及生產分析表6-10 (2)_成品倉2009-10-17ktp_Thanh Lan 1 OK_anh loc_綜合報表一2014-11-1" xfId="1071"/>
    <cellStyle name="_億春公司各品牌業務接單及生產分析表6-10 (2)_成品倉2009-10-17ktp_加工厂報表" xfId="1072"/>
    <cellStyle name="_億春公司各品牌業務接單及生產分析表6-10 (2)_成品倉2009-10-17ktp_加工厂報表_anh loc" xfId="1073"/>
    <cellStyle name="_億春公司各品牌業務接單及生產分析表6-10 (2)_成品倉2009-10-17ktp_加工厂報表_anh loc_綜合報表一2014-11-1" xfId="1074"/>
    <cellStyle name="_億春公司各品牌業務接單及生產分析表6-10 (2)_成品倉2009-120tp" xfId="1075"/>
    <cellStyle name="_億春公司各品牌業務接單及生產分析表6-10 (2)_成品倉2009-120tp_anh loc" xfId="1076"/>
    <cellStyle name="_億春公司各品牌業務接單及生產分析表6-10 (2)_成品倉2009-120tp_anh loc_綜合報表一2014-11-1" xfId="1077"/>
    <cellStyle name="_億春公司各品牌業務接單及生產分析表6-10 (2)_成品倉2009-120tp_Thanh Lan 1 OK" xfId="1078"/>
    <cellStyle name="_億春公司各品牌業務接單及生產分析表6-10 (2)_成品倉2009-120tp_Thanh Lan 1 OK_anh loc" xfId="1079"/>
    <cellStyle name="_億春公司各品牌業務接單及生產分析表6-10 (2)_成品倉2009-120tp_Thanh Lan 1 OK_anh loc_綜合報表一2014-11-1" xfId="1080"/>
    <cellStyle name="_億春公司各品牌業務接單及生產分析表6-10 (2)_綜合報表2009-08-01" xfId="1081"/>
    <cellStyle name="_億春公司各品牌業務接單及生產分析表6-10 (2)_綜合報表2009-08-01_2009-10-06綜合報表" xfId="1082"/>
    <cellStyle name="_億春公司各品牌業務接單及生產分析表6-10 (2)_複製 -09- 綜合報表" xfId="1083"/>
    <cellStyle name="_億春公司各品牌業務接單及生產分析表6-10 (2)_複製 -11月份各廠KPI評比狀況" xfId="1084"/>
    <cellStyle name="_億春公司各品牌業務接單及生產分析表6-15" xfId="1085"/>
    <cellStyle name="_億春公司各品牌業務接單及生產分析表6-15_2009-10-06綜合報表" xfId="1086"/>
    <cellStyle name="_億春公司各品牌業務接單及生產分析表6-15_2009-10-13" xfId="1087"/>
    <cellStyle name="_億春公司各品牌業務接單及生產分析表6-15_2009-10-17" xfId="1088"/>
    <cellStyle name="_億春公司各品牌業務接單及生產分析表6-15_2009-10-17_anh loc" xfId="1089"/>
    <cellStyle name="_億春公司各品牌業務接單及生產分析表6-15_2009-10-17_anh loc_綜合報表一2014-11-1" xfId="1090"/>
    <cellStyle name="_億春公司各品牌業務接單及生產分析表6-15_2009-10-17_Thanh Lan 1 OK" xfId="1091"/>
    <cellStyle name="_億春公司各品牌業務接單及生產分析表6-15_2009-10-17_Thanh Lan 1 OK_anh loc" xfId="1092"/>
    <cellStyle name="_億春公司各品牌業務接單及生產分析表6-15_2009-10-17_Thanh Lan 1 OK_anh loc_綜合報表一2014-11-1" xfId="1093"/>
    <cellStyle name="_億春公司各品牌業務接單及生產分析表6-15_2009-10-17_加工厂報表" xfId="1094"/>
    <cellStyle name="_億春公司各品牌業務接單及生產分析表6-15_2009-10-17_加工厂報表_anh loc" xfId="1095"/>
    <cellStyle name="_億春公司各品牌業務接單及生產分析表6-15_2009-10-17_加工厂報表_anh loc_綜合報表一2014-11-1" xfId="1096"/>
    <cellStyle name="_億春公司各品牌業務接單及生產分析表6-15_2009-10-8" xfId="1097"/>
    <cellStyle name="_億春公司各品牌業務接單及生產分析表6-15_2009-10-8_2009-10-12綜合報表" xfId="1098"/>
    <cellStyle name="_億春公司各品牌業務接單及生產分析表6-15_2009-10-8_2009-10-12綜合報表_anh loc" xfId="1099"/>
    <cellStyle name="_億春公司各品牌業務接單及生產分析表6-15_2009-10-8_2009-10-12綜合報表_anh loc_綜合報表一2014-11-1" xfId="1100"/>
    <cellStyle name="_億春公司各品牌業務接單及生產分析表6-15_2009-10-8_2009-10-12綜合報表_Thanh Lan 1 OK" xfId="1101"/>
    <cellStyle name="_億春公司各品牌業務接單及生產分析表6-15_2009-10-8_2009-10-12綜合報表_Thanh Lan 1 OK_anh loc" xfId="1102"/>
    <cellStyle name="_億春公司各品牌業務接單及生產分析表6-15_2009-10-8_2009-10-12綜合報表_Thanh Lan 1 OK_anh loc_綜合報表一2014-11-1" xfId="1103"/>
    <cellStyle name="_億春公司各品牌業務接單及生產分析表6-15_2009-10-8_2009-10-12綜合報表_加工厂報表" xfId="1104"/>
    <cellStyle name="_億春公司各品牌業務接單及生產分析表6-15_2009-10-8_2009-10-12綜合報表_加工厂報表_anh loc" xfId="1105"/>
    <cellStyle name="_億春公司各品牌業務接單及生產分析表6-15_2009-10-8_2009-10-12綜合報表_加工厂報表_anh loc_綜合報表一2014-11-1" xfId="1106"/>
    <cellStyle name="_億春公司各品牌業務接單及生產分析表6-15_2009-10-8_T Lan" xfId="1107"/>
    <cellStyle name="_億春公司各品牌業務接單及生產分析表6-15_2009-10-8_T Lan (1)" xfId="1108"/>
    <cellStyle name="_億春公司各品牌業務接單及生產分析表6-15_2009-10-8_T Lan (1)_anh loc" xfId="1109"/>
    <cellStyle name="_億春公司各品牌業務接單及生產分析表6-15_2009-10-8_T Lan (1)_anh loc_綜合報表一2014-11-1" xfId="1110"/>
    <cellStyle name="_億春公司各品牌業務接單及生產分析表6-15_2009-10-8_T Lan (1)_Thanh Lan 1 OK" xfId="1111"/>
    <cellStyle name="_億春公司各品牌業務接單及生產分析表6-15_2009-10-8_T Lan (1)_Thanh Lan 1 OK_anh loc" xfId="1112"/>
    <cellStyle name="_億春公司各品牌業務接單及生產分析表6-15_2009-10-8_T Lan (1)_Thanh Lan 1 OK_anh loc_綜合報表一2014-11-1" xfId="1113"/>
    <cellStyle name="_億春公司各品牌業務接單及生產分析表6-15_2009-10-8_T Lan (1)_加工厂報表" xfId="1114"/>
    <cellStyle name="_億春公司各品牌業務接單及生產分析表6-15_2009-10-8_T Lan (1)_加工厂報表_anh loc" xfId="1115"/>
    <cellStyle name="_億春公司各品牌業務接單及生產分析表6-15_2009-10-8_T Lan (1)_加工厂報表_anh loc_綜合報表一2014-11-1" xfId="1116"/>
    <cellStyle name="_億春公司各品牌業務接單及生產分析表6-15_2009-10-8_T Lan_anh loc" xfId="1117"/>
    <cellStyle name="_億春公司各品牌業務接單及生產分析表6-15_2009-10-8_T Lan_anh loc_綜合報表一2014-11-1" xfId="1118"/>
    <cellStyle name="_億春公司各品牌業務接單及生產分析表6-15_2009-10-8_T Lan_Thanh Lan 1 OK" xfId="1119"/>
    <cellStyle name="_億春公司各品牌業務接單及生產分析表6-15_2009-10-8_T Lan_Thanh Lan 1 OK_anh loc" xfId="1120"/>
    <cellStyle name="_億春公司各品牌業務接單及生產分析表6-15_2009-10-8_T Lan_Thanh Lan 1 OK_anh loc_綜合報表一2014-11-1" xfId="1121"/>
    <cellStyle name="_億春公司各品牌業務接單及生產分析表6-15_2009-10-8_T Lan_加工厂報表" xfId="1122"/>
    <cellStyle name="_億春公司各品牌業務接單及生產分析表6-15_2009-10-8_T Lan_加工厂報表_anh loc" xfId="1123"/>
    <cellStyle name="_億春公司各品牌業務接單及生產分析表6-15_2009-10-8_T Lan_加工厂報表_anh loc_綜合報表一2014-11-1" xfId="1124"/>
    <cellStyle name="_億春公司各品牌業務接單及生產分析表6-15_2009-10-8_thanh lan (2)" xfId="1125"/>
    <cellStyle name="_億春公司各品牌業務接單及生產分析表6-15_2009-10-8_thanh lan (2)_anh loc" xfId="1126"/>
    <cellStyle name="_億春公司各品牌業務接單及生產分析表6-15_2009-10-8_thanh lan (2)_anh loc_綜合報表一2014-11-1" xfId="1127"/>
    <cellStyle name="_億春公司各品牌業務接單及生產分析表6-15_2009-10-8_thanh lan (2)_Thanh Lan 1 OK" xfId="1128"/>
    <cellStyle name="_億春公司各品牌業務接單及生產分析表6-15_2009-10-8_thanh lan (2)_Thanh Lan 1 OK_anh loc" xfId="1129"/>
    <cellStyle name="_億春公司各品牌業務接單及生產分析表6-15_2009-10-8_thanh lan (2)_Thanh Lan 1 OK_anh loc_綜合報表一2014-11-1" xfId="1130"/>
    <cellStyle name="_億春公司各品牌業務接單及生產分析表6-15_2009-10-8_thanh lan (2)_加工厂報表" xfId="1131"/>
    <cellStyle name="_億春公司各品牌業務接單及生產分析表6-15_2009-10-8_thanh lan (2)_加工厂報表_anh loc" xfId="1132"/>
    <cellStyle name="_億春公司各品牌業務接單及生產分析表6-15_2009-10-8_thanh lan (2)_加工厂報表_anh loc_綜合報表一2014-11-1" xfId="1133"/>
    <cellStyle name="_億春公司各品牌業務接單及生產分析表6-15_2009-12-8" xfId="1134"/>
    <cellStyle name="_億春公司各品牌業務接單及生產分析表6-15_2009-12-8_anh loc" xfId="1135"/>
    <cellStyle name="_億春公司各品牌業務接單及生產分析表6-15_2009-12-8_anh loc_綜合報表一2014-11-1" xfId="1136"/>
    <cellStyle name="_億春公司各品牌業務接單及生產分析表6-15_2009-12-8_Thanh Lan 1 OK" xfId="1137"/>
    <cellStyle name="_億春公司各品牌業務接單及生產分析表6-15_2009-12-8_Thanh Lan 1 OK_anh loc" xfId="1138"/>
    <cellStyle name="_億春公司各品牌業務接單及生產分析表6-15_2009-12-8_Thanh Lan 1 OK_anh loc_綜合報表一2014-11-1" xfId="1139"/>
    <cellStyle name="_億春公司各品牌業務接單及生產分析表6-15_2009-12-8_加工厂報表" xfId="1140"/>
    <cellStyle name="_億春公司各品牌業務接單及生產分析表6-15_2009-12-8_加工厂報表_anh loc" xfId="1141"/>
    <cellStyle name="_億春公司各品牌業務接單及生產分析表6-15_2009-12-8_加工厂報表_anh loc_綜合報表一2014-11-1" xfId="1142"/>
    <cellStyle name="_億春公司各品牌業務接單及生產分析表6-15_2010-1-23" xfId="1143"/>
    <cellStyle name="_億春公司各品牌業務接單及生產分析表6-15_2010-1-23_anh loc" xfId="1144"/>
    <cellStyle name="_億春公司各品牌業務接單及生產分析表6-15_2010-1-23_anh loc_綜合報表一2014-11-1" xfId="1145"/>
    <cellStyle name="_億春公司各品牌業務接單及生產分析表6-15_6-1.月份KPI評比" xfId="1146"/>
    <cellStyle name="_億春公司各品牌業務接單及生產分析表6-15_成品倉2009-10-13-ktp" xfId="1147"/>
    <cellStyle name="_億春公司各品牌業務接單及生產分析表6-15_成品倉2009-10-13-ktp_1" xfId="1148"/>
    <cellStyle name="_億春公司各品牌業務接單及生產分析表6-15_成品倉2009-10-13-ktp_1_anh loc" xfId="1149"/>
    <cellStyle name="_億春公司各品牌業務接單及生產分析表6-15_成品倉2009-10-13-ktp_1_anh loc_綜合報表一2014-11-1" xfId="1150"/>
    <cellStyle name="_億春公司各品牌業務接單及生產分析表6-15_成品倉2009-10-13-ktp_1_Thanh Lan 1 OK" xfId="1151"/>
    <cellStyle name="_億春公司各品牌業務接單及生產分析表6-15_成品倉2009-10-13-ktp_1_Thanh Lan 1 OK_anh loc" xfId="1152"/>
    <cellStyle name="_億春公司各品牌業務接單及生產分析表6-15_成品倉2009-10-13-ktp_1_Thanh Lan 1 OK_anh loc_綜合報表一2014-11-1" xfId="1153"/>
    <cellStyle name="_億春公司各品牌業務接單及生產分析表6-15_成品倉2009-10-13-ktp_1_加工厂報表" xfId="1154"/>
    <cellStyle name="_億春公司各品牌業務接單及生產分析表6-15_成品倉2009-10-13-ktp_1_加工厂報表_anh loc" xfId="1155"/>
    <cellStyle name="_億春公司各品牌業務接單及生產分析表6-15_成品倉2009-10-13-ktp_1_加工厂報表_anh loc_綜合報表一2014-11-1" xfId="1156"/>
    <cellStyle name="_億春公司各品牌業務接單及生產分析表6-15_成品倉2009-10-17ktp" xfId="1157"/>
    <cellStyle name="_億春公司各品牌業務接單及生產分析表6-15_成品倉2009-10-17ktp_anh loc" xfId="1158"/>
    <cellStyle name="_億春公司各品牌業務接單及生產分析表6-15_成品倉2009-10-17ktp_anh loc_綜合報表一2014-11-1" xfId="1159"/>
    <cellStyle name="_億春公司各品牌業務接單及生產分析表6-15_成品倉2009-10-17ktp_Thanh Lan 1 OK" xfId="1160"/>
    <cellStyle name="_億春公司各品牌業務接單及生產分析表6-15_成品倉2009-10-17ktp_Thanh Lan 1 OK_anh loc" xfId="1161"/>
    <cellStyle name="_億春公司各品牌業務接單及生產分析表6-15_成品倉2009-10-17ktp_Thanh Lan 1 OK_anh loc_綜合報表一2014-11-1" xfId="1162"/>
    <cellStyle name="_億春公司各品牌業務接單及生產分析表6-15_成品倉2009-10-17ktp_加工厂報表" xfId="1163"/>
    <cellStyle name="_億春公司各品牌業務接單及生產分析表6-15_成品倉2009-10-17ktp_加工厂報表_anh loc" xfId="1164"/>
    <cellStyle name="_億春公司各品牌業務接單及生產分析表6-15_成品倉2009-10-17ktp_加工厂報表_anh loc_綜合報表一2014-11-1" xfId="1165"/>
    <cellStyle name="_億春公司各品牌業務接單及生產分析表6-15_成品倉2009-120tp" xfId="1166"/>
    <cellStyle name="_億春公司各品牌業務接單及生產分析表6-15_成品倉2009-120tp_anh loc" xfId="1167"/>
    <cellStyle name="_億春公司各品牌業務接單及生產分析表6-15_成品倉2009-120tp_anh loc_綜合報表一2014-11-1" xfId="1168"/>
    <cellStyle name="_億春公司各品牌業務接單及生產分析表6-15_成品倉2009-120tp_Thanh Lan 1 OK" xfId="1169"/>
    <cellStyle name="_億春公司各品牌業務接單及生產分析表6-15_成品倉2009-120tp_Thanh Lan 1 OK_anh loc" xfId="1170"/>
    <cellStyle name="_億春公司各品牌業務接單及生產分析表6-15_成品倉2009-120tp_Thanh Lan 1 OK_anh loc_綜合報表一2014-11-1" xfId="1171"/>
    <cellStyle name="_億春公司各品牌業務接單及生產分析表6-15_綜合報表2009-08-01" xfId="1172"/>
    <cellStyle name="_億春公司各品牌業務接單及生產分析表6-15_綜合報表2009-08-01_2009-10-06綜合報表" xfId="1173"/>
    <cellStyle name="_億春公司各品牌業務接單及生產分析表6-15_複製 -09- 綜合報表" xfId="1174"/>
    <cellStyle name="_億春公司各品牌業務接單及生產分析表6-15_複製 -11月份各廠KPI評比狀況" xfId="1175"/>
    <cellStyle name="_億春公司各品牌業務接單及生產分析表6-16" xfId="1176"/>
    <cellStyle name="_億春公司各品牌業務接單及生產分析表6-16_2009-10-06綜合報表" xfId="1177"/>
    <cellStyle name="_億春公司各品牌業務接單及生產分析表6-16_2009-10-13" xfId="1178"/>
    <cellStyle name="_億春公司各品牌業務接單及生產分析表6-16_2009-10-17" xfId="1179"/>
    <cellStyle name="_億春公司各品牌業務接單及生產分析表6-16_2009-10-17_anh loc" xfId="1180"/>
    <cellStyle name="_億春公司各品牌業務接單及生產分析表6-16_2009-10-17_anh loc_綜合報表一2014-11-1" xfId="1181"/>
    <cellStyle name="_億春公司各品牌業務接單及生產分析表6-16_2009-10-17_Thanh Lan 1 OK" xfId="1182"/>
    <cellStyle name="_億春公司各品牌業務接單及生產分析表6-16_2009-10-17_Thanh Lan 1 OK_anh loc" xfId="1183"/>
    <cellStyle name="_億春公司各品牌業務接單及生產分析表6-16_2009-10-17_Thanh Lan 1 OK_anh loc_綜合報表一2014-11-1" xfId="1184"/>
    <cellStyle name="_億春公司各品牌業務接單及生產分析表6-16_2009-10-17_加工厂報表" xfId="1185"/>
    <cellStyle name="_億春公司各品牌業務接單及生產分析表6-16_2009-10-17_加工厂報表_anh loc" xfId="1186"/>
    <cellStyle name="_億春公司各品牌業務接單及生產分析表6-16_2009-10-17_加工厂報表_anh loc_綜合報表一2014-11-1" xfId="1187"/>
    <cellStyle name="_億春公司各品牌業務接單及生產分析表6-16_2009-10-8" xfId="1188"/>
    <cellStyle name="_億春公司各品牌業務接單及生產分析表6-16_2009-10-8_2009-10-12綜合報表" xfId="1189"/>
    <cellStyle name="_億春公司各品牌業務接單及生產分析表6-16_2009-10-8_2009-10-12綜合報表_anh loc" xfId="1190"/>
    <cellStyle name="_億春公司各品牌業務接單及生產分析表6-16_2009-10-8_2009-10-12綜合報表_anh loc_綜合報表一2014-11-1" xfId="1191"/>
    <cellStyle name="_億春公司各品牌業務接單及生產分析表6-16_2009-10-8_2009-10-12綜合報表_Thanh Lan 1 OK" xfId="1192"/>
    <cellStyle name="_億春公司各品牌業務接單及生產分析表6-16_2009-10-8_2009-10-12綜合報表_Thanh Lan 1 OK_anh loc" xfId="1193"/>
    <cellStyle name="_億春公司各品牌業務接單及生產分析表6-16_2009-10-8_2009-10-12綜合報表_Thanh Lan 1 OK_anh loc_綜合報表一2014-11-1" xfId="1194"/>
    <cellStyle name="_億春公司各品牌業務接單及生產分析表6-16_2009-10-8_2009-10-12綜合報表_加工厂報表" xfId="1195"/>
    <cellStyle name="_億春公司各品牌業務接單及生產分析表6-16_2009-10-8_2009-10-12綜合報表_加工厂報表_anh loc" xfId="1196"/>
    <cellStyle name="_億春公司各品牌業務接單及生產分析表6-16_2009-10-8_2009-10-12綜合報表_加工厂報表_anh loc_綜合報表一2014-11-1" xfId="1197"/>
    <cellStyle name="_億春公司各品牌業務接單及生產分析表6-16_2009-10-8_T Lan" xfId="1198"/>
    <cellStyle name="_億春公司各品牌業務接單及生產分析表6-16_2009-10-8_T Lan (1)" xfId="1199"/>
    <cellStyle name="_億春公司各品牌業務接單及生產分析表6-16_2009-10-8_T Lan (1)_anh loc" xfId="1200"/>
    <cellStyle name="_億春公司各品牌業務接單及生產分析表6-16_2009-10-8_T Lan (1)_anh loc_綜合報表一2014-11-1" xfId="1201"/>
    <cellStyle name="_億春公司各品牌業務接單及生產分析表6-16_2009-10-8_T Lan (1)_Thanh Lan 1 OK" xfId="1202"/>
    <cellStyle name="_億春公司各品牌業務接單及生產分析表6-16_2009-10-8_T Lan (1)_Thanh Lan 1 OK_anh loc" xfId="1203"/>
    <cellStyle name="_億春公司各品牌業務接單及生產分析表6-16_2009-10-8_T Lan (1)_Thanh Lan 1 OK_anh loc_綜合報表一2014-11-1" xfId="1204"/>
    <cellStyle name="_億春公司各品牌業務接單及生產分析表6-16_2009-10-8_T Lan (1)_加工厂報表" xfId="1205"/>
    <cellStyle name="_億春公司各品牌業務接單及生產分析表6-16_2009-10-8_T Lan (1)_加工厂報表_anh loc" xfId="1206"/>
    <cellStyle name="_億春公司各品牌業務接單及生產分析表6-16_2009-10-8_T Lan (1)_加工厂報表_anh loc_綜合報表一2014-11-1" xfId="1207"/>
    <cellStyle name="_億春公司各品牌業務接單及生產分析表6-16_2009-10-8_T Lan_anh loc" xfId="1208"/>
    <cellStyle name="_億春公司各品牌業務接單及生產分析表6-16_2009-10-8_T Lan_anh loc_綜合報表一2014-11-1" xfId="1209"/>
    <cellStyle name="_億春公司各品牌業務接單及生產分析表6-16_2009-10-8_T Lan_Thanh Lan 1 OK" xfId="1210"/>
    <cellStyle name="_億春公司各品牌業務接單及生產分析表6-16_2009-10-8_T Lan_Thanh Lan 1 OK_anh loc" xfId="1211"/>
    <cellStyle name="_億春公司各品牌業務接單及生產分析表6-16_2009-10-8_T Lan_Thanh Lan 1 OK_anh loc_綜合報表一2014-11-1" xfId="1212"/>
    <cellStyle name="_億春公司各品牌業務接單及生產分析表6-16_2009-10-8_T Lan_加工厂報表" xfId="1213"/>
    <cellStyle name="_億春公司各品牌業務接單及生產分析表6-16_2009-10-8_T Lan_加工厂報表_anh loc" xfId="1214"/>
    <cellStyle name="_億春公司各品牌業務接單及生產分析表6-16_2009-10-8_T Lan_加工厂報表_anh loc_綜合報表一2014-11-1" xfId="1215"/>
    <cellStyle name="_億春公司各品牌業務接單及生產分析表6-16_2009-10-8_thanh lan (2)" xfId="1216"/>
    <cellStyle name="_億春公司各品牌業務接單及生產分析表6-16_2009-10-8_thanh lan (2)_anh loc" xfId="1217"/>
    <cellStyle name="_億春公司各品牌業務接單及生產分析表6-16_2009-10-8_thanh lan (2)_anh loc_綜合報表一2014-11-1" xfId="1218"/>
    <cellStyle name="_億春公司各品牌業務接單及生產分析表6-16_2009-10-8_thanh lan (2)_Thanh Lan 1 OK" xfId="1219"/>
    <cellStyle name="_億春公司各品牌業務接單及生產分析表6-16_2009-10-8_thanh lan (2)_Thanh Lan 1 OK_anh loc" xfId="1220"/>
    <cellStyle name="_億春公司各品牌業務接單及生產分析表6-16_2009-10-8_thanh lan (2)_Thanh Lan 1 OK_anh loc_綜合報表一2014-11-1" xfId="1221"/>
    <cellStyle name="_億春公司各品牌業務接單及生產分析表6-16_2009-10-8_thanh lan (2)_加工厂報表" xfId="1222"/>
    <cellStyle name="_億春公司各品牌業務接單及生產分析表6-16_2009-10-8_thanh lan (2)_加工厂報表_anh loc" xfId="1223"/>
    <cellStyle name="_億春公司各品牌業務接單及生產分析表6-16_2009-10-8_thanh lan (2)_加工厂報表_anh loc_綜合報表一2014-11-1" xfId="1224"/>
    <cellStyle name="_億春公司各品牌業務接單及生產分析表6-16_2009-12-8" xfId="1225"/>
    <cellStyle name="_億春公司各品牌業務接單及生產分析表6-16_2009-12-8_anh loc" xfId="1226"/>
    <cellStyle name="_億春公司各品牌業務接單及生產分析表6-16_2009-12-8_anh loc_綜合報表一2014-11-1" xfId="1227"/>
    <cellStyle name="_億春公司各品牌業務接單及生產分析表6-16_2009-12-8_Thanh Lan 1 OK" xfId="1228"/>
    <cellStyle name="_億春公司各品牌業務接單及生產分析表6-16_2009-12-8_Thanh Lan 1 OK_anh loc" xfId="1229"/>
    <cellStyle name="_億春公司各品牌業務接單及生產分析表6-16_2009-12-8_Thanh Lan 1 OK_anh loc_綜合報表一2014-11-1" xfId="1230"/>
    <cellStyle name="_億春公司各品牌業務接單及生產分析表6-16_2009-12-8_加工厂報表" xfId="1231"/>
    <cellStyle name="_億春公司各品牌業務接單及生產分析表6-16_2009-12-8_加工厂報表_anh loc" xfId="1232"/>
    <cellStyle name="_億春公司各品牌業務接單及生產分析表6-16_2009-12-8_加工厂報表_anh loc_綜合報表一2014-11-1" xfId="1233"/>
    <cellStyle name="_億春公司各品牌業務接單及生產分析表6-16_2010-1-23" xfId="1234"/>
    <cellStyle name="_億春公司各品牌業務接單及生產分析表6-16_2010-1-23_anh loc" xfId="1235"/>
    <cellStyle name="_億春公司各品牌業務接單及生產分析表6-16_2010-1-23_anh loc_綜合報表一2014-11-1" xfId="1236"/>
    <cellStyle name="_億春公司各品牌業務接單及生產分析表6-16_6-1.月份KPI評比" xfId="1237"/>
    <cellStyle name="_億春公司各品牌業務接單及生產分析表6-16_成品倉2009-10-13-ktp" xfId="1238"/>
    <cellStyle name="_億春公司各品牌業務接單及生產分析表6-16_成品倉2009-10-13-ktp_1" xfId="1239"/>
    <cellStyle name="_億春公司各品牌業務接單及生產分析表6-16_成品倉2009-10-13-ktp_1_anh loc" xfId="1240"/>
    <cellStyle name="_億春公司各品牌業務接單及生產分析表6-16_成品倉2009-10-13-ktp_1_anh loc_綜合報表一2014-11-1" xfId="1241"/>
    <cellStyle name="_億春公司各品牌業務接單及生產分析表6-16_成品倉2009-10-13-ktp_1_Thanh Lan 1 OK" xfId="1242"/>
    <cellStyle name="_億春公司各品牌業務接單及生產分析表6-16_成品倉2009-10-13-ktp_1_Thanh Lan 1 OK_anh loc" xfId="1243"/>
    <cellStyle name="_億春公司各品牌業務接單及生產分析表6-16_成品倉2009-10-13-ktp_1_Thanh Lan 1 OK_anh loc_綜合報表一2014-11-1" xfId="1244"/>
    <cellStyle name="_億春公司各品牌業務接單及生產分析表6-16_成品倉2009-10-13-ktp_1_加工厂報表" xfId="1245"/>
    <cellStyle name="_億春公司各品牌業務接單及生產分析表6-16_成品倉2009-10-13-ktp_1_加工厂報表_anh loc" xfId="1246"/>
    <cellStyle name="_億春公司各品牌業務接單及生產分析表6-16_成品倉2009-10-13-ktp_1_加工厂報表_anh loc_綜合報表一2014-11-1" xfId="1247"/>
    <cellStyle name="_億春公司各品牌業務接單及生產分析表6-16_成品倉2009-10-17ktp" xfId="1248"/>
    <cellStyle name="_億春公司各品牌業務接單及生產分析表6-16_成品倉2009-10-17ktp_anh loc" xfId="1249"/>
    <cellStyle name="_億春公司各品牌業務接單及生產分析表6-16_成品倉2009-10-17ktp_anh loc_綜合報表一2014-11-1" xfId="1250"/>
    <cellStyle name="_億春公司各品牌業務接單及生產分析表6-16_成品倉2009-10-17ktp_Thanh Lan 1 OK" xfId="1251"/>
    <cellStyle name="_億春公司各品牌業務接單及生產分析表6-16_成品倉2009-10-17ktp_Thanh Lan 1 OK_anh loc" xfId="1252"/>
    <cellStyle name="_億春公司各品牌業務接單及生產分析表6-16_成品倉2009-10-17ktp_Thanh Lan 1 OK_anh loc_綜合報表一2014-11-1" xfId="1253"/>
    <cellStyle name="_億春公司各品牌業務接單及生產分析表6-16_成品倉2009-10-17ktp_加工厂報表" xfId="1254"/>
    <cellStyle name="_億春公司各品牌業務接單及生產分析表6-16_成品倉2009-10-17ktp_加工厂報表_anh loc" xfId="1255"/>
    <cellStyle name="_億春公司各品牌業務接單及生產分析表6-16_成品倉2009-10-17ktp_加工厂報表_anh loc_綜合報表一2014-11-1" xfId="1256"/>
    <cellStyle name="_億春公司各品牌業務接單及生產分析表6-16_成品倉2009-120tp" xfId="1257"/>
    <cellStyle name="_億春公司各品牌業務接單及生產分析表6-16_成品倉2009-120tp_anh loc" xfId="1258"/>
    <cellStyle name="_億春公司各品牌業務接單及生產分析表6-16_成品倉2009-120tp_anh loc_綜合報表一2014-11-1" xfId="1259"/>
    <cellStyle name="_億春公司各品牌業務接單及生產分析表6-16_成品倉2009-120tp_Thanh Lan 1 OK" xfId="1260"/>
    <cellStyle name="_億春公司各品牌業務接單及生產分析表6-16_成品倉2009-120tp_Thanh Lan 1 OK_anh loc" xfId="1261"/>
    <cellStyle name="_億春公司各品牌業務接單及生產分析表6-16_成品倉2009-120tp_Thanh Lan 1 OK_anh loc_綜合報表一2014-11-1" xfId="1262"/>
    <cellStyle name="_億春公司各品牌業務接單及生產分析表6-16_綜合報表2009-08-01" xfId="1263"/>
    <cellStyle name="_億春公司各品牌業務接單及生產分析表6-16_綜合報表2009-08-01_2009-10-06綜合報表" xfId="1264"/>
    <cellStyle name="_億春公司各品牌業務接單及生產分析表6-16_複製 -09- 綜合報表" xfId="1265"/>
    <cellStyle name="_億春公司各品牌業務接單及生產分析表6-16_複製 -11月份各廠KPI評比狀況" xfId="1266"/>
    <cellStyle name="_億春公司各品牌業務接單及生產分析表6-2" xfId="1267"/>
    <cellStyle name="_億春公司各品牌業務接單及生產分析表6-2_2009-10-06綜合報表" xfId="1268"/>
    <cellStyle name="_億春公司各品牌業務接單及生產分析表6-2_2009-10-13" xfId="1269"/>
    <cellStyle name="_億春公司各品牌業務接單及生產分析表6-2_2009-10-17" xfId="1270"/>
    <cellStyle name="_億春公司各品牌業務接單及生產分析表6-2_2009-10-17_anh loc" xfId="1271"/>
    <cellStyle name="_億春公司各品牌業務接單及生產分析表6-2_2009-10-17_anh loc_綜合報表一2014-11-1" xfId="1272"/>
    <cellStyle name="_億春公司各品牌業務接單及生產分析表6-2_2009-10-17_Thanh Lan 1 OK" xfId="1273"/>
    <cellStyle name="_億春公司各品牌業務接單及生產分析表6-2_2009-10-17_Thanh Lan 1 OK_anh loc" xfId="1274"/>
    <cellStyle name="_億春公司各品牌業務接單及生產分析表6-2_2009-10-17_Thanh Lan 1 OK_anh loc_綜合報表一2014-11-1" xfId="1275"/>
    <cellStyle name="_億春公司各品牌業務接單及生產分析表6-2_2009-10-17_加工厂報表" xfId="1276"/>
    <cellStyle name="_億春公司各品牌業務接單及生產分析表6-2_2009-10-17_加工厂報表_anh loc" xfId="1277"/>
    <cellStyle name="_億春公司各品牌業務接單及生產分析表6-2_2009-10-17_加工厂報表_anh loc_綜合報表一2014-11-1" xfId="1278"/>
    <cellStyle name="_億春公司各品牌業務接單及生產分析表6-2_2009-10-8" xfId="1279"/>
    <cellStyle name="_億春公司各品牌業務接單及生產分析表6-2_2009-10-8_2009-10-12綜合報表" xfId="1280"/>
    <cellStyle name="_億春公司各品牌業務接單及生產分析表6-2_2009-10-8_2009-10-12綜合報表_anh loc" xfId="1281"/>
    <cellStyle name="_億春公司各品牌業務接單及生產分析表6-2_2009-10-8_2009-10-12綜合報表_anh loc_綜合報表一2014-11-1" xfId="1282"/>
    <cellStyle name="_億春公司各品牌業務接單及生產分析表6-2_2009-10-8_2009-10-12綜合報表_Thanh Lan 1 OK" xfId="1283"/>
    <cellStyle name="_億春公司各品牌業務接單及生產分析表6-2_2009-10-8_2009-10-12綜合報表_Thanh Lan 1 OK_anh loc" xfId="1284"/>
    <cellStyle name="_億春公司各品牌業務接單及生產分析表6-2_2009-10-8_2009-10-12綜合報表_Thanh Lan 1 OK_anh loc_綜合報表一2014-11-1" xfId="1285"/>
    <cellStyle name="_億春公司各品牌業務接單及生產分析表6-2_2009-10-8_2009-10-12綜合報表_加工厂報表" xfId="1286"/>
    <cellStyle name="_億春公司各品牌業務接單及生產分析表6-2_2009-10-8_2009-10-12綜合報表_加工厂報表_anh loc" xfId="1287"/>
    <cellStyle name="_億春公司各品牌業務接單及生產分析表6-2_2009-10-8_2009-10-12綜合報表_加工厂報表_anh loc_綜合報表一2014-11-1" xfId="1288"/>
    <cellStyle name="_億春公司各品牌業務接單及生產分析表6-2_2009-10-8_T Lan" xfId="1289"/>
    <cellStyle name="_億春公司各品牌業務接單及生產分析表6-2_2009-10-8_T Lan (1)" xfId="1290"/>
    <cellStyle name="_億春公司各品牌業務接單及生產分析表6-2_2009-10-8_T Lan (1)_anh loc" xfId="1291"/>
    <cellStyle name="_億春公司各品牌業務接單及生產分析表6-2_2009-10-8_T Lan (1)_anh loc_綜合報表一2014-11-1" xfId="1292"/>
    <cellStyle name="_億春公司各品牌業務接單及生產分析表6-2_2009-10-8_T Lan (1)_Thanh Lan 1 OK" xfId="1293"/>
    <cellStyle name="_億春公司各品牌業務接單及生產分析表6-2_2009-10-8_T Lan (1)_Thanh Lan 1 OK_anh loc" xfId="1294"/>
    <cellStyle name="_億春公司各品牌業務接單及生產分析表6-2_2009-10-8_T Lan (1)_Thanh Lan 1 OK_anh loc_綜合報表一2014-11-1" xfId="1295"/>
    <cellStyle name="_億春公司各品牌業務接單及生產分析表6-2_2009-10-8_T Lan (1)_加工厂報表" xfId="1296"/>
    <cellStyle name="_億春公司各品牌業務接單及生產分析表6-2_2009-10-8_T Lan (1)_加工厂報表_anh loc" xfId="1297"/>
    <cellStyle name="_億春公司各品牌業務接單及生產分析表6-2_2009-10-8_T Lan (1)_加工厂報表_anh loc_綜合報表一2014-11-1" xfId="1298"/>
    <cellStyle name="_億春公司各品牌業務接單及生產分析表6-2_2009-10-8_T Lan_anh loc" xfId="1299"/>
    <cellStyle name="_億春公司各品牌業務接單及生產分析表6-2_2009-10-8_T Lan_anh loc_綜合報表一2014-11-1" xfId="1300"/>
    <cellStyle name="_億春公司各品牌業務接單及生產分析表6-2_2009-10-8_T Lan_Thanh Lan 1 OK" xfId="1301"/>
    <cellStyle name="_億春公司各品牌業務接單及生產分析表6-2_2009-10-8_T Lan_Thanh Lan 1 OK_anh loc" xfId="1302"/>
    <cellStyle name="_億春公司各品牌業務接單及生產分析表6-2_2009-10-8_T Lan_Thanh Lan 1 OK_anh loc_綜合報表一2014-11-1" xfId="1303"/>
    <cellStyle name="_億春公司各品牌業務接單及生產分析表6-2_2009-10-8_T Lan_加工厂報表" xfId="1304"/>
    <cellStyle name="_億春公司各品牌業務接單及生產分析表6-2_2009-10-8_T Lan_加工厂報表_anh loc" xfId="1305"/>
    <cellStyle name="_億春公司各品牌業務接單及生產分析表6-2_2009-10-8_T Lan_加工厂報表_anh loc_綜合報表一2014-11-1" xfId="1306"/>
    <cellStyle name="_億春公司各品牌業務接單及生產分析表6-2_2009-10-8_thanh lan (2)" xfId="1307"/>
    <cellStyle name="_億春公司各品牌業務接單及生產分析表6-2_2009-10-8_thanh lan (2)_anh loc" xfId="1308"/>
    <cellStyle name="_億春公司各品牌業務接單及生產分析表6-2_2009-10-8_thanh lan (2)_anh loc_綜合報表一2014-11-1" xfId="1309"/>
    <cellStyle name="_億春公司各品牌業務接單及生產分析表6-2_2009-10-8_thanh lan (2)_Thanh Lan 1 OK" xfId="1310"/>
    <cellStyle name="_億春公司各品牌業務接單及生產分析表6-2_2009-10-8_thanh lan (2)_Thanh Lan 1 OK_anh loc" xfId="1311"/>
    <cellStyle name="_億春公司各品牌業務接單及生產分析表6-2_2009-10-8_thanh lan (2)_Thanh Lan 1 OK_anh loc_綜合報表一2014-11-1" xfId="1312"/>
    <cellStyle name="_億春公司各品牌業務接單及生產分析表6-2_2009-10-8_thanh lan (2)_加工厂報表" xfId="1313"/>
    <cellStyle name="_億春公司各品牌業務接單及生產分析表6-2_2009-10-8_thanh lan (2)_加工厂報表_anh loc" xfId="1314"/>
    <cellStyle name="_億春公司各品牌業務接單及生產分析表6-2_2009-10-8_thanh lan (2)_加工厂報表_anh loc_綜合報表一2014-11-1" xfId="1315"/>
    <cellStyle name="_億春公司各品牌業務接單及生產分析表6-2_2009-10均時產" xfId="1316"/>
    <cellStyle name="_億春公司各品牌業務接單及生產分析表6-2_2009-10均時產_2009-10-12綜合報表" xfId="1317"/>
    <cellStyle name="_億春公司各品牌業務接單及生產分析表6-2_2009-10均時產_2009-10-12綜合報表_anh loc" xfId="1318"/>
    <cellStyle name="_億春公司各品牌業務接單及生產分析表6-2_2009-10均時產_2009-10-12綜合報表_anh loc_綜合報表一2014-11-1" xfId="1319"/>
    <cellStyle name="_億春公司各品牌業務接單及生產分析表6-2_2009-10均時產_2009-10-12綜合報表_Thanh Lan 1 OK" xfId="1320"/>
    <cellStyle name="_億春公司各品牌業務接單及生產分析表6-2_2009-10均時產_2009-10-12綜合報表_Thanh Lan 1 OK_anh loc" xfId="1321"/>
    <cellStyle name="_億春公司各品牌業務接單及生產分析表6-2_2009-10均時產_2009-10-12綜合報表_Thanh Lan 1 OK_anh loc_綜合報表一2014-11-1" xfId="1322"/>
    <cellStyle name="_億春公司各品牌業務接單及生產分析表6-2_2009-10均時產_2009-10-12綜合報表_加工厂報表" xfId="1323"/>
    <cellStyle name="_億春公司各品牌業務接單及生產分析表6-2_2009-10均時產_2009-10-12綜合報表_加工厂報表_anh loc" xfId="1324"/>
    <cellStyle name="_億春公司各品牌業務接單及生產分析表6-2_2009-10均時產_2009-10-12綜合報表_加工厂報表_anh loc_綜合報表一2014-11-1" xfId="1325"/>
    <cellStyle name="_億春公司各品牌業務接單及生產分析表6-2_2009-10均時產_9876543 (ExcelFIX)" xfId="1326"/>
    <cellStyle name="_億春公司各品牌業務接單及生產分析表6-2_2009-10均時產_9876543 (ExcelFIX)_2009-10-12綜合報表" xfId="1327"/>
    <cellStyle name="_億春公司各品牌業務接單及生產分析表6-2_2009-10均時產_9876543 (ExcelFIX)_T Lan" xfId="1328"/>
    <cellStyle name="_億春公司各品牌業務接單及生產分析表6-2_2009-10均時產_9876543 (ExcelFIX)_T Lan (1)" xfId="1329"/>
    <cellStyle name="_億春公司各品牌業務接單及生產分析表6-2_2009-10均時產_9876543 (ExcelFIX)_thanh lan (2)" xfId="1330"/>
    <cellStyle name="_億春公司各品牌業務接單及生產分析表6-2_2009-10均時產_T Lan" xfId="1331"/>
    <cellStyle name="_億春公司各品牌業務接單及生產分析表6-2_2009-10均時產_T Lan (1)" xfId="1332"/>
    <cellStyle name="_億春公司各品牌業務接單及生產分析表6-2_2009-10均時產_T Lan (1)_anh loc" xfId="1333"/>
    <cellStyle name="_億春公司各品牌業務接單及生產分析表6-2_2009-10均時產_T Lan (1)_anh loc_綜合報表一2014-11-1" xfId="1334"/>
    <cellStyle name="_億春公司各品牌業務接單及生產分析表6-2_2009-10均時產_T Lan (1)_Thanh Lan 1 OK" xfId="1335"/>
    <cellStyle name="_億春公司各品牌業務接單及生產分析表6-2_2009-10均時產_T Lan (1)_Thanh Lan 1 OK_anh loc" xfId="1336"/>
    <cellStyle name="_億春公司各品牌業務接單及生產分析表6-2_2009-10均時產_T Lan (1)_Thanh Lan 1 OK_anh loc_綜合報表一2014-11-1" xfId="1337"/>
    <cellStyle name="_億春公司各品牌業務接單及生產分析表6-2_2009-10均時產_T Lan (1)_加工厂報表" xfId="1338"/>
    <cellStyle name="_億春公司各品牌業務接單及生產分析表6-2_2009-10均時產_T Lan (1)_加工厂報表_anh loc" xfId="1339"/>
    <cellStyle name="_億春公司各品牌業務接單及生產分析表6-2_2009-10均時產_T Lan (1)_加工厂報表_anh loc_綜合報表一2014-11-1" xfId="1340"/>
    <cellStyle name="_億春公司各品牌業務接單及生產分析表6-2_2009-10均時產_T Lan_anh loc" xfId="1341"/>
    <cellStyle name="_億春公司各品牌業務接單及生產分析表6-2_2009-10均時產_T Lan_anh loc_綜合報表一2014-11-1" xfId="1342"/>
    <cellStyle name="_億春公司各品牌業務接單及生產分析表6-2_2009-10均時產_T Lan_Thanh Lan 1 OK" xfId="1343"/>
    <cellStyle name="_億春公司各品牌業務接單及生產分析表6-2_2009-10均時產_T Lan_Thanh Lan 1 OK_anh loc" xfId="1344"/>
    <cellStyle name="_億春公司各品牌業務接單及生產分析表6-2_2009-10均時產_T Lan_Thanh Lan 1 OK_anh loc_綜合報表一2014-11-1" xfId="1345"/>
    <cellStyle name="_億春公司各品牌業務接單及生產分析表6-2_2009-10均時產_T Lan_加工厂報表" xfId="1346"/>
    <cellStyle name="_億春公司各品牌業務接單及生產分析表6-2_2009-10均時產_T Lan_加工厂報表_anh loc" xfId="1347"/>
    <cellStyle name="_億春公司各品牌業務接單及生產分析表6-2_2009-10均時產_T Lan_加工厂報表_anh loc_綜合報表一2014-11-1" xfId="1348"/>
    <cellStyle name="_億春公司各品牌業務接單及生產分析表6-2_2009-10均時產_thanh lan (2)" xfId="1349"/>
    <cellStyle name="_億春公司各品牌業務接單及生產分析表6-2_2009-10均時產_thanh lan (2)_anh loc" xfId="1350"/>
    <cellStyle name="_億春公司各品牌業務接單及生產分析表6-2_2009-10均時產_thanh lan (2)_anh loc_綜合報表一2014-11-1" xfId="1351"/>
    <cellStyle name="_億春公司各品牌業務接單及生產分析表6-2_2009-10均時產_thanh lan (2)_Thanh Lan 1 OK" xfId="1352"/>
    <cellStyle name="_億春公司各品牌業務接單及生產分析表6-2_2009-10均時產_thanh lan (2)_Thanh Lan 1 OK_anh loc" xfId="1353"/>
    <cellStyle name="_億春公司各品牌業務接單及生產分析表6-2_2009-10均時產_thanh lan (2)_Thanh Lan 1 OK_anh loc_綜合報表一2014-11-1" xfId="1354"/>
    <cellStyle name="_億春公司各品牌業務接單及生產分析表6-2_2009-10均時產_thanh lan (2)_加工厂報表" xfId="1355"/>
    <cellStyle name="_億春公司各品牌業務接單及生產分析表6-2_2009-10均時產_thanh lan (2)_加工厂報表_anh loc" xfId="1356"/>
    <cellStyle name="_億春公司各品牌業務接單及生產分析表6-2_2009-10均時產_thanh lan (2)_加工厂報表_anh loc_綜合報表一2014-11-1" xfId="1357"/>
    <cellStyle name="_億春公司各品牌業務接單及生產分析表6-2_2009-12-8" xfId="1358"/>
    <cellStyle name="_億春公司各品牌業務接單及生產分析表6-2_2009-12-8_anh loc" xfId="1359"/>
    <cellStyle name="_億春公司各品牌業務接單及生產分析表6-2_2009-12-8_anh loc_綜合報表一2014-11-1" xfId="1360"/>
    <cellStyle name="_億春公司各品牌業務接單及生產分析表6-2_2009-12-8_Thanh Lan 1 OK" xfId="1361"/>
    <cellStyle name="_億春公司各品牌業務接單及生產分析表6-2_2009-12-8_Thanh Lan 1 OK_anh loc" xfId="1362"/>
    <cellStyle name="_億春公司各品牌業務接單及生產分析表6-2_2009-12-8_Thanh Lan 1 OK_anh loc_綜合報表一2014-11-1" xfId="1363"/>
    <cellStyle name="_億春公司各品牌業務接單及生產分析表6-2_2009-12-8_加工厂報表" xfId="1364"/>
    <cellStyle name="_億春公司各品牌業務接單及生產分析表6-2_2009-12-8_加工厂報表_anh loc" xfId="1365"/>
    <cellStyle name="_億春公司各品牌業務接單及生產分析表6-2_2009-12-8_加工厂報表_anh loc_綜合報表一2014-11-1" xfId="1366"/>
    <cellStyle name="_億春公司各品牌業務接單及生產分析表6-2_2010-1-23" xfId="1367"/>
    <cellStyle name="_億春公司各品牌業務接單及生產分析表6-2_2010-1-23_anh loc" xfId="1368"/>
    <cellStyle name="_億春公司各品牌業務接單及生產分析表6-2_2010-1-23_anh loc_綜合報表一2014-11-1" xfId="1369"/>
    <cellStyle name="_億春公司各品牌業務接單及生產分析表6-2_6-1.月份KPI評比" xfId="1370"/>
    <cellStyle name="_億春公司各品牌業務接單及生產分析表6-2_成品倉2009-10-13-ktp" xfId="1371"/>
    <cellStyle name="_億春公司各品牌業務接單及生產分析表6-2_成品倉2009-10-13-ktp_1" xfId="1372"/>
    <cellStyle name="_億春公司各品牌業務接單及生產分析表6-2_成品倉2009-10-13-ktp_1_anh loc" xfId="1373"/>
    <cellStyle name="_億春公司各品牌業務接單及生產分析表6-2_成品倉2009-10-13-ktp_1_anh loc_綜合報表一2014-11-1" xfId="1374"/>
    <cellStyle name="_億春公司各品牌業務接單及生產分析表6-2_成品倉2009-10-13-ktp_1_Thanh Lan 1 OK" xfId="1375"/>
    <cellStyle name="_億春公司各品牌業務接單及生產分析表6-2_成品倉2009-10-13-ktp_1_Thanh Lan 1 OK_anh loc" xfId="1376"/>
    <cellStyle name="_億春公司各品牌業務接單及生產分析表6-2_成品倉2009-10-13-ktp_1_Thanh Lan 1 OK_anh loc_綜合報表一2014-11-1" xfId="1377"/>
    <cellStyle name="_億春公司各品牌業務接單及生產分析表6-2_成品倉2009-10-13-ktp_1_加工厂報表" xfId="1378"/>
    <cellStyle name="_億春公司各品牌業務接單及生產分析表6-2_成品倉2009-10-13-ktp_1_加工厂報表_anh loc" xfId="1379"/>
    <cellStyle name="_億春公司各品牌業務接單及生產分析表6-2_成品倉2009-10-13-ktp_1_加工厂報表_anh loc_綜合報表一2014-11-1" xfId="1380"/>
    <cellStyle name="_億春公司各品牌業務接單及生產分析表6-2_成品倉2009-10-17ktp" xfId="1381"/>
    <cellStyle name="_億春公司各品牌業務接單及生產分析表6-2_成品倉2009-10-17ktp_anh loc" xfId="1382"/>
    <cellStyle name="_億春公司各品牌業務接單及生產分析表6-2_成品倉2009-10-17ktp_anh loc_綜合報表一2014-11-1" xfId="1383"/>
    <cellStyle name="_億春公司各品牌業務接單及生產分析表6-2_成品倉2009-10-17ktp_Thanh Lan 1 OK" xfId="1384"/>
    <cellStyle name="_億春公司各品牌業務接單及生產分析表6-2_成品倉2009-10-17ktp_Thanh Lan 1 OK_anh loc" xfId="1385"/>
    <cellStyle name="_億春公司各品牌業務接單及生產分析表6-2_成品倉2009-10-17ktp_Thanh Lan 1 OK_anh loc_綜合報表一2014-11-1" xfId="1386"/>
    <cellStyle name="_億春公司各品牌業務接單及生產分析表6-2_成品倉2009-10-17ktp_加工厂報表" xfId="1387"/>
    <cellStyle name="_億春公司各品牌業務接單及生產分析表6-2_成品倉2009-10-17ktp_加工厂報表_anh loc" xfId="1388"/>
    <cellStyle name="_億春公司各品牌業務接單及生產分析表6-2_成品倉2009-10-17ktp_加工厂報表_anh loc_綜合報表一2014-11-1" xfId="1389"/>
    <cellStyle name="_億春公司各品牌業務接單及生產分析表6-2_成品倉2009-120tp" xfId="1390"/>
    <cellStyle name="_億春公司各品牌業務接單及生產分析表6-2_成品倉2009-120tp_anh loc" xfId="1391"/>
    <cellStyle name="_億春公司各品牌業務接單及生產分析表6-2_成品倉2009-120tp_anh loc_綜合報表一2014-11-1" xfId="1392"/>
    <cellStyle name="_億春公司各品牌業務接單及生產分析表6-2_成品倉2009-120tp_Thanh Lan 1 OK" xfId="1393"/>
    <cellStyle name="_億春公司各品牌業務接單及生產分析表6-2_成品倉2009-120tp_Thanh Lan 1 OK_anh loc" xfId="1394"/>
    <cellStyle name="_億春公司各品牌業務接單及生產分析表6-2_成品倉2009-120tp_Thanh Lan 1 OK_anh loc_綜合報表一2014-11-1" xfId="1395"/>
    <cellStyle name="_億春公司各品牌業務接單及生產分析表6-2_綜合報表2009-08-01" xfId="1396"/>
    <cellStyle name="_億春公司各品牌業務接單及生產分析表6-2_綜合報表2009-08-01_2009-10-06綜合報表" xfId="1397"/>
    <cellStyle name="_億春公司各品牌業務接單及生產分析表6-2_複製 -09- 綜合報表" xfId="1398"/>
    <cellStyle name="_億春公司各品牌業務接單及生產分析表6-2_複製 -11月份各廠KPI評比狀況" xfId="1399"/>
    <cellStyle name="_億春公司各品牌業務接單及生產分析表6-3" xfId="1400"/>
    <cellStyle name="_億春公司各品牌業務接單及生產分析表6-3_2009-10-06綜合報表" xfId="1401"/>
    <cellStyle name="_億春公司各品牌業務接單及生產分析表6-3_2009-10-13" xfId="1402"/>
    <cellStyle name="_億春公司各品牌業務接單及生產分析表6-3_2009-10-17" xfId="1403"/>
    <cellStyle name="_億春公司各品牌業務接單及生產分析表6-3_2009-10-17_anh loc" xfId="1404"/>
    <cellStyle name="_億春公司各品牌業務接單及生產分析表6-3_2009-10-17_anh loc_綜合報表一2014-11-1" xfId="1405"/>
    <cellStyle name="_億春公司各品牌業務接單及生產分析表6-3_2009-10-17_Thanh Lan 1 OK" xfId="1406"/>
    <cellStyle name="_億春公司各品牌業務接單及生產分析表6-3_2009-10-17_Thanh Lan 1 OK_anh loc" xfId="1407"/>
    <cellStyle name="_億春公司各品牌業務接單及生產分析表6-3_2009-10-17_Thanh Lan 1 OK_anh loc_綜合報表一2014-11-1" xfId="1408"/>
    <cellStyle name="_億春公司各品牌業務接單及生產分析表6-3_2009-10-17_加工厂報表" xfId="1409"/>
    <cellStyle name="_億春公司各品牌業務接單及生產分析表6-3_2009-10-17_加工厂報表_anh loc" xfId="1410"/>
    <cellStyle name="_億春公司各品牌業務接單及生產分析表6-3_2009-10-17_加工厂報表_anh loc_綜合報表一2014-11-1" xfId="1411"/>
    <cellStyle name="_億春公司各品牌業務接單及生產分析表6-3_2009-10-8" xfId="1412"/>
    <cellStyle name="_億春公司各品牌業務接單及生產分析表6-3_2009-10-8_2009-10-12綜合報表" xfId="1413"/>
    <cellStyle name="_億春公司各品牌業務接單及生產分析表6-3_2009-10-8_2009-10-12綜合報表_anh loc" xfId="1414"/>
    <cellStyle name="_億春公司各品牌業務接單及生產分析表6-3_2009-10-8_2009-10-12綜合報表_anh loc_綜合報表一2014-11-1" xfId="1415"/>
    <cellStyle name="_億春公司各品牌業務接單及生產分析表6-3_2009-10-8_2009-10-12綜合報表_Thanh Lan 1 OK" xfId="1416"/>
    <cellStyle name="_億春公司各品牌業務接單及生產分析表6-3_2009-10-8_2009-10-12綜合報表_Thanh Lan 1 OK_anh loc" xfId="1417"/>
    <cellStyle name="_億春公司各品牌業務接單及生產分析表6-3_2009-10-8_2009-10-12綜合報表_Thanh Lan 1 OK_anh loc_綜合報表一2014-11-1" xfId="1418"/>
    <cellStyle name="_億春公司各品牌業務接單及生產分析表6-3_2009-10-8_2009-10-12綜合報表_加工厂報表" xfId="1419"/>
    <cellStyle name="_億春公司各品牌業務接單及生產分析表6-3_2009-10-8_2009-10-12綜合報表_加工厂報表_anh loc" xfId="1420"/>
    <cellStyle name="_億春公司各品牌業務接單及生產分析表6-3_2009-10-8_2009-10-12綜合報表_加工厂報表_anh loc_綜合報表一2014-11-1" xfId="1421"/>
    <cellStyle name="_億春公司各品牌業務接單及生產分析表6-3_2009-10-8_T Lan" xfId="1422"/>
    <cellStyle name="_億春公司各品牌業務接單及生產分析表6-3_2009-10-8_T Lan (1)" xfId="1423"/>
    <cellStyle name="_億春公司各品牌業務接單及生產分析表6-3_2009-10-8_T Lan (1)_anh loc" xfId="1424"/>
    <cellStyle name="_億春公司各品牌業務接單及生產分析表6-3_2009-10-8_T Lan (1)_anh loc_綜合報表一2014-11-1" xfId="1425"/>
    <cellStyle name="_億春公司各品牌業務接單及生產分析表6-3_2009-10-8_T Lan (1)_Thanh Lan 1 OK" xfId="1426"/>
    <cellStyle name="_億春公司各品牌業務接單及生產分析表6-3_2009-10-8_T Lan (1)_Thanh Lan 1 OK_anh loc" xfId="1427"/>
    <cellStyle name="_億春公司各品牌業務接單及生產分析表6-3_2009-10-8_T Lan (1)_Thanh Lan 1 OK_anh loc_綜合報表一2014-11-1" xfId="1428"/>
    <cellStyle name="_億春公司各品牌業務接單及生產分析表6-3_2009-10-8_T Lan (1)_加工厂報表" xfId="1429"/>
    <cellStyle name="_億春公司各品牌業務接單及生產分析表6-3_2009-10-8_T Lan (1)_加工厂報表_anh loc" xfId="1430"/>
    <cellStyle name="_億春公司各品牌業務接單及生產分析表6-3_2009-10-8_T Lan (1)_加工厂報表_anh loc_綜合報表一2014-11-1" xfId="1431"/>
    <cellStyle name="_億春公司各品牌業務接單及生產分析表6-3_2009-10-8_T Lan_anh loc" xfId="1432"/>
    <cellStyle name="_億春公司各品牌業務接單及生產分析表6-3_2009-10-8_T Lan_anh loc_綜合報表一2014-11-1" xfId="1433"/>
    <cellStyle name="_億春公司各品牌業務接單及生產分析表6-3_2009-10-8_T Lan_Thanh Lan 1 OK" xfId="1434"/>
    <cellStyle name="_億春公司各品牌業務接單及生產分析表6-3_2009-10-8_T Lan_Thanh Lan 1 OK_anh loc" xfId="1435"/>
    <cellStyle name="_億春公司各品牌業務接單及生產分析表6-3_2009-10-8_T Lan_Thanh Lan 1 OK_anh loc_綜合報表一2014-11-1" xfId="1436"/>
    <cellStyle name="_億春公司各品牌業務接單及生產分析表6-3_2009-10-8_T Lan_加工厂報表" xfId="1437"/>
    <cellStyle name="_億春公司各品牌業務接單及生產分析表6-3_2009-10-8_T Lan_加工厂報表_anh loc" xfId="1438"/>
    <cellStyle name="_億春公司各品牌業務接單及生產分析表6-3_2009-10-8_T Lan_加工厂報表_anh loc_綜合報表一2014-11-1" xfId="1439"/>
    <cellStyle name="_億春公司各品牌業務接單及生產分析表6-3_2009-10-8_thanh lan (2)" xfId="1440"/>
    <cellStyle name="_億春公司各品牌業務接單及生產分析表6-3_2009-10-8_thanh lan (2)_anh loc" xfId="1441"/>
    <cellStyle name="_億春公司各品牌業務接單及生產分析表6-3_2009-10-8_thanh lan (2)_anh loc_綜合報表一2014-11-1" xfId="1442"/>
    <cellStyle name="_億春公司各品牌業務接單及生產分析表6-3_2009-10-8_thanh lan (2)_Thanh Lan 1 OK" xfId="1443"/>
    <cellStyle name="_億春公司各品牌業務接單及生產分析表6-3_2009-10-8_thanh lan (2)_Thanh Lan 1 OK_anh loc" xfId="1444"/>
    <cellStyle name="_億春公司各品牌業務接單及生產分析表6-3_2009-10-8_thanh lan (2)_Thanh Lan 1 OK_anh loc_綜合報表一2014-11-1" xfId="1445"/>
    <cellStyle name="_億春公司各品牌業務接單及生產分析表6-3_2009-10-8_thanh lan (2)_加工厂報表" xfId="1446"/>
    <cellStyle name="_億春公司各品牌業務接單及生產分析表6-3_2009-10-8_thanh lan (2)_加工厂報表_anh loc" xfId="1447"/>
    <cellStyle name="_億春公司各品牌業務接單及生產分析表6-3_2009-10-8_thanh lan (2)_加工厂報表_anh loc_綜合報表一2014-11-1" xfId="1448"/>
    <cellStyle name="_億春公司各品牌業務接單及生產分析表6-3_2009-10均時產" xfId="1449"/>
    <cellStyle name="_億春公司各品牌業務接單及生產分析表6-3_2009-10均時產_2009-10-12綜合報表" xfId="1450"/>
    <cellStyle name="_億春公司各品牌業務接單及生產分析表6-3_2009-10均時產_2009-10-12綜合報表_anh loc" xfId="1451"/>
    <cellStyle name="_億春公司各品牌業務接單及生產分析表6-3_2009-10均時產_2009-10-12綜合報表_anh loc_綜合報表一2014-11-1" xfId="1452"/>
    <cellStyle name="_億春公司各品牌業務接單及生產分析表6-3_2009-10均時產_2009-10-12綜合報表_Thanh Lan 1 OK" xfId="1453"/>
    <cellStyle name="_億春公司各品牌業務接單及生產分析表6-3_2009-10均時產_2009-10-12綜合報表_Thanh Lan 1 OK_anh loc" xfId="1454"/>
    <cellStyle name="_億春公司各品牌業務接單及生產分析表6-3_2009-10均時產_2009-10-12綜合報表_Thanh Lan 1 OK_anh loc_綜合報表一2014-11-1" xfId="1455"/>
    <cellStyle name="_億春公司各品牌業務接單及生產分析表6-3_2009-10均時產_2009-10-12綜合報表_加工厂報表" xfId="1456"/>
    <cellStyle name="_億春公司各品牌業務接單及生產分析表6-3_2009-10均時產_2009-10-12綜合報表_加工厂報表_anh loc" xfId="1457"/>
    <cellStyle name="_億春公司各品牌業務接單及生產分析表6-3_2009-10均時產_2009-10-12綜合報表_加工厂報表_anh loc_綜合報表一2014-11-1" xfId="1458"/>
    <cellStyle name="_億春公司各品牌業務接單及生產分析表6-3_2009-10均時產_9876543 (ExcelFIX)" xfId="1459"/>
    <cellStyle name="_億春公司各品牌業務接單及生產分析表6-3_2009-10均時產_9876543 (ExcelFIX)_2009-10-12綜合報表" xfId="1460"/>
    <cellStyle name="_億春公司各品牌業務接單及生產分析表6-3_2009-10均時產_9876543 (ExcelFIX)_T Lan" xfId="1461"/>
    <cellStyle name="_億春公司各品牌業務接單及生產分析表6-3_2009-10均時產_9876543 (ExcelFIX)_T Lan (1)" xfId="1462"/>
    <cellStyle name="_億春公司各品牌業務接單及生產分析表6-3_2009-10均時產_9876543 (ExcelFIX)_thanh lan (2)" xfId="1463"/>
    <cellStyle name="_億春公司各品牌業務接單及生產分析表6-3_2009-10均時產_T Lan" xfId="1464"/>
    <cellStyle name="_億春公司各品牌業務接單及生產分析表6-3_2009-10均時產_T Lan (1)" xfId="1465"/>
    <cellStyle name="_億春公司各品牌業務接單及生產分析表6-3_2009-10均時產_T Lan (1)_anh loc" xfId="1466"/>
    <cellStyle name="_億春公司各品牌業務接單及生產分析表6-3_2009-10均時產_T Lan (1)_anh loc_綜合報表一2014-11-1" xfId="1467"/>
    <cellStyle name="_億春公司各品牌業務接單及生產分析表6-3_2009-10均時產_T Lan (1)_Thanh Lan 1 OK" xfId="1468"/>
    <cellStyle name="_億春公司各品牌業務接單及生產分析表6-3_2009-10均時產_T Lan (1)_Thanh Lan 1 OK_anh loc" xfId="1469"/>
    <cellStyle name="_億春公司各品牌業務接單及生產分析表6-3_2009-10均時產_T Lan (1)_Thanh Lan 1 OK_anh loc_綜合報表一2014-11-1" xfId="1470"/>
    <cellStyle name="_億春公司各品牌業務接單及生產分析表6-3_2009-10均時產_T Lan (1)_加工厂報表" xfId="1471"/>
    <cellStyle name="_億春公司各品牌業務接單及生產分析表6-3_2009-10均時產_T Lan (1)_加工厂報表_anh loc" xfId="1472"/>
    <cellStyle name="_億春公司各品牌業務接單及生產分析表6-3_2009-10均時產_T Lan (1)_加工厂報表_anh loc_綜合報表一2014-11-1" xfId="1473"/>
    <cellStyle name="_億春公司各品牌業務接單及生產分析表6-3_2009-10均時產_T Lan_anh loc" xfId="1474"/>
    <cellStyle name="_億春公司各品牌業務接單及生產分析表6-3_2009-10均時產_T Lan_anh loc_綜合報表一2014-11-1" xfId="1475"/>
    <cellStyle name="_億春公司各品牌業務接單及生產分析表6-3_2009-10均時產_T Lan_Thanh Lan 1 OK" xfId="1476"/>
    <cellStyle name="_億春公司各品牌業務接單及生產分析表6-3_2009-10均時產_T Lan_Thanh Lan 1 OK_anh loc" xfId="1477"/>
    <cellStyle name="_億春公司各品牌業務接單及生產分析表6-3_2009-10均時產_T Lan_Thanh Lan 1 OK_anh loc_綜合報表一2014-11-1" xfId="1478"/>
    <cellStyle name="_億春公司各品牌業務接單及生產分析表6-3_2009-10均時產_T Lan_加工厂報表" xfId="1479"/>
    <cellStyle name="_億春公司各品牌業務接單及生產分析表6-3_2009-10均時產_T Lan_加工厂報表_anh loc" xfId="1480"/>
    <cellStyle name="_億春公司各品牌業務接單及生產分析表6-3_2009-10均時產_T Lan_加工厂報表_anh loc_綜合報表一2014-11-1" xfId="1481"/>
    <cellStyle name="_億春公司各品牌業務接單及生產分析表6-3_2009-10均時產_thanh lan (2)" xfId="1482"/>
    <cellStyle name="_億春公司各品牌業務接單及生產分析表6-3_2009-10均時產_thanh lan (2)_anh loc" xfId="1483"/>
    <cellStyle name="_億春公司各品牌業務接單及生產分析表6-3_2009-10均時產_thanh lan (2)_anh loc_綜合報表一2014-11-1" xfId="1484"/>
    <cellStyle name="_億春公司各品牌業務接單及生產分析表6-3_2009-10均時產_thanh lan (2)_Thanh Lan 1 OK" xfId="1485"/>
    <cellStyle name="_億春公司各品牌業務接單及生產分析表6-3_2009-10均時產_thanh lan (2)_Thanh Lan 1 OK_anh loc" xfId="1486"/>
    <cellStyle name="_億春公司各品牌業務接單及生產分析表6-3_2009-10均時產_thanh lan (2)_Thanh Lan 1 OK_anh loc_綜合報表一2014-11-1" xfId="1487"/>
    <cellStyle name="_億春公司各品牌業務接單及生產分析表6-3_2009-10均時產_thanh lan (2)_加工厂報表" xfId="1488"/>
    <cellStyle name="_億春公司各品牌業務接單及生產分析表6-3_2009-10均時產_thanh lan (2)_加工厂報表_anh loc" xfId="1489"/>
    <cellStyle name="_億春公司各品牌業務接單及生產分析表6-3_2009-10均時產_thanh lan (2)_加工厂報表_anh loc_綜合報表一2014-11-1" xfId="1490"/>
    <cellStyle name="_億春公司各品牌業務接單及生產分析表6-3_2009-12-8" xfId="1491"/>
    <cellStyle name="_億春公司各品牌業務接單及生產分析表6-3_2009-12-8_anh loc" xfId="1492"/>
    <cellStyle name="_億春公司各品牌業務接單及生產分析表6-3_2009-12-8_anh loc_綜合報表一2014-11-1" xfId="1493"/>
    <cellStyle name="_億春公司各品牌業務接單及生產分析表6-3_2009-12-8_Thanh Lan 1 OK" xfId="1494"/>
    <cellStyle name="_億春公司各品牌業務接單及生產分析表6-3_2009-12-8_Thanh Lan 1 OK_anh loc" xfId="1495"/>
    <cellStyle name="_億春公司各品牌業務接單及生產分析表6-3_2009-12-8_Thanh Lan 1 OK_anh loc_綜合報表一2014-11-1" xfId="1496"/>
    <cellStyle name="_億春公司各品牌業務接單及生產分析表6-3_2009-12-8_加工厂報表" xfId="1497"/>
    <cellStyle name="_億春公司各品牌業務接單及生產分析表6-3_2009-12-8_加工厂報表_anh loc" xfId="1498"/>
    <cellStyle name="_億春公司各品牌業務接單及生產分析表6-3_2009-12-8_加工厂報表_anh loc_綜合報表一2014-11-1" xfId="1499"/>
    <cellStyle name="_億春公司各品牌業務接單及生產分析表6-3_2010-1-23" xfId="1500"/>
    <cellStyle name="_億春公司各品牌業務接單及生產分析表6-3_2010-1-23_anh loc" xfId="1501"/>
    <cellStyle name="_億春公司各品牌業務接單及生產分析表6-3_2010-1-23_anh loc_綜合報表一2014-11-1" xfId="1502"/>
    <cellStyle name="_億春公司各品牌業務接單及生產分析表6-3_6-1.月份KPI評比" xfId="1503"/>
    <cellStyle name="_億春公司各品牌業務接單及生產分析表6-3_成品倉2009-10-13-ktp" xfId="1504"/>
    <cellStyle name="_億春公司各品牌業務接單及生產分析表6-3_成品倉2009-10-13-ktp_1" xfId="1505"/>
    <cellStyle name="_億春公司各品牌業務接單及生產分析表6-3_成品倉2009-10-13-ktp_1_anh loc" xfId="1506"/>
    <cellStyle name="_億春公司各品牌業務接單及生產分析表6-3_成品倉2009-10-13-ktp_1_anh loc_綜合報表一2014-11-1" xfId="1507"/>
    <cellStyle name="_億春公司各品牌業務接單及生產分析表6-3_成品倉2009-10-13-ktp_1_Thanh Lan 1 OK" xfId="1508"/>
    <cellStyle name="_億春公司各品牌業務接單及生產分析表6-3_成品倉2009-10-13-ktp_1_Thanh Lan 1 OK_anh loc" xfId="1509"/>
    <cellStyle name="_億春公司各品牌業務接單及生產分析表6-3_成品倉2009-10-13-ktp_1_Thanh Lan 1 OK_anh loc_綜合報表一2014-11-1" xfId="1510"/>
    <cellStyle name="_億春公司各品牌業務接單及生產分析表6-3_成品倉2009-10-13-ktp_1_加工厂報表" xfId="1511"/>
    <cellStyle name="_億春公司各品牌業務接單及生產分析表6-3_成品倉2009-10-13-ktp_1_加工厂報表_anh loc" xfId="1512"/>
    <cellStyle name="_億春公司各品牌業務接單及生產分析表6-3_成品倉2009-10-13-ktp_1_加工厂報表_anh loc_綜合報表一2014-11-1" xfId="1513"/>
    <cellStyle name="_億春公司各品牌業務接單及生產分析表6-3_成品倉2009-10-17ktp" xfId="1514"/>
    <cellStyle name="_億春公司各品牌業務接單及生產分析表6-3_成品倉2009-10-17ktp_anh loc" xfId="1515"/>
    <cellStyle name="_億春公司各品牌業務接單及生產分析表6-3_成品倉2009-10-17ktp_anh loc_綜合報表一2014-11-1" xfId="1516"/>
    <cellStyle name="_億春公司各品牌業務接單及生產分析表6-3_成品倉2009-10-17ktp_Thanh Lan 1 OK" xfId="1517"/>
    <cellStyle name="_億春公司各品牌業務接單及生產分析表6-3_成品倉2009-10-17ktp_Thanh Lan 1 OK_anh loc" xfId="1518"/>
    <cellStyle name="_億春公司各品牌業務接單及生產分析表6-3_成品倉2009-10-17ktp_Thanh Lan 1 OK_anh loc_綜合報表一2014-11-1" xfId="1519"/>
    <cellStyle name="_億春公司各品牌業務接單及生產分析表6-3_成品倉2009-10-17ktp_加工厂報表" xfId="1520"/>
    <cellStyle name="_億春公司各品牌業務接單及生產分析表6-3_成品倉2009-10-17ktp_加工厂報表_anh loc" xfId="1521"/>
    <cellStyle name="_億春公司各品牌業務接單及生產分析表6-3_成品倉2009-10-17ktp_加工厂報表_anh loc_綜合報表一2014-11-1" xfId="1522"/>
    <cellStyle name="_億春公司各品牌業務接單及生產分析表6-3_成品倉2009-120tp" xfId="1523"/>
    <cellStyle name="_億春公司各品牌業務接單及生產分析表6-3_成品倉2009-120tp_anh loc" xfId="1524"/>
    <cellStyle name="_億春公司各品牌業務接單及生產分析表6-3_成品倉2009-120tp_anh loc_綜合報表一2014-11-1" xfId="1525"/>
    <cellStyle name="_億春公司各品牌業務接單及生產分析表6-3_成品倉2009-120tp_Thanh Lan 1 OK" xfId="1526"/>
    <cellStyle name="_億春公司各品牌業務接單及生產分析表6-3_成品倉2009-120tp_Thanh Lan 1 OK_anh loc" xfId="1527"/>
    <cellStyle name="_億春公司各品牌業務接單及生產分析表6-3_成品倉2009-120tp_Thanh Lan 1 OK_anh loc_綜合報表一2014-11-1" xfId="1528"/>
    <cellStyle name="_億春公司各品牌業務接單及生產分析表6-3_綜合報表2009-08-01" xfId="1529"/>
    <cellStyle name="_億春公司各品牌業務接單及生產分析表6-3_綜合報表2009-08-01_2009-10-06綜合報表" xfId="1530"/>
    <cellStyle name="_億春公司各品牌業務接單及生產分析表6-3_複製 -09- 綜合報表" xfId="1531"/>
    <cellStyle name="_億春公司各品牌業務接單及生產分析表6-3_複製 -11月份各廠KPI評比狀況" xfId="1532"/>
    <cellStyle name="_億春公司各品牌業務接單及生產分析表6-6" xfId="1533"/>
    <cellStyle name="_億春公司各品牌業務接單及生產分析表6-6_2009-10-06綜合報表" xfId="1534"/>
    <cellStyle name="_億春公司各品牌業務接單及生產分析表6-6_2009-10-13" xfId="1535"/>
    <cellStyle name="_億春公司各品牌業務接單及生產分析表6-6_2009-10-17" xfId="1536"/>
    <cellStyle name="_億春公司各品牌業務接單及生產分析表6-6_2009-10-17_anh loc" xfId="1537"/>
    <cellStyle name="_億春公司各品牌業務接單及生產分析表6-6_2009-10-17_anh loc_綜合報表一2014-11-1" xfId="1538"/>
    <cellStyle name="_億春公司各品牌業務接單及生產分析表6-6_2009-10-17_Thanh Lan 1 OK" xfId="1539"/>
    <cellStyle name="_億春公司各品牌業務接單及生產分析表6-6_2009-10-17_Thanh Lan 1 OK_anh loc" xfId="1540"/>
    <cellStyle name="_億春公司各品牌業務接單及生產分析表6-6_2009-10-17_Thanh Lan 1 OK_anh loc_綜合報表一2014-11-1" xfId="1541"/>
    <cellStyle name="_億春公司各品牌業務接單及生產分析表6-6_2009-10-17_加工厂報表" xfId="1542"/>
    <cellStyle name="_億春公司各品牌業務接單及生產分析表6-6_2009-10-17_加工厂報表_anh loc" xfId="1543"/>
    <cellStyle name="_億春公司各品牌業務接單及生產分析表6-6_2009-10-17_加工厂報表_anh loc_綜合報表一2014-11-1" xfId="1544"/>
    <cellStyle name="_億春公司各品牌業務接單及生產分析表6-6_2009-10-8" xfId="1545"/>
    <cellStyle name="_億春公司各品牌業務接單及生產分析表6-6_2009-10-8_2009-10-12綜合報表" xfId="1546"/>
    <cellStyle name="_億春公司各品牌業務接單及生產分析表6-6_2009-10-8_2009-10-12綜合報表_anh loc" xfId="1547"/>
    <cellStyle name="_億春公司各品牌業務接單及生產分析表6-6_2009-10-8_2009-10-12綜合報表_anh loc_綜合報表一2014-11-1" xfId="1548"/>
    <cellStyle name="_億春公司各品牌業務接單及生產分析表6-6_2009-10-8_2009-10-12綜合報表_Thanh Lan 1 OK" xfId="1549"/>
    <cellStyle name="_億春公司各品牌業務接單及生產分析表6-6_2009-10-8_2009-10-12綜合報表_Thanh Lan 1 OK_anh loc" xfId="1550"/>
    <cellStyle name="_億春公司各品牌業務接單及生產分析表6-6_2009-10-8_2009-10-12綜合報表_Thanh Lan 1 OK_anh loc_綜合報表一2014-11-1" xfId="1551"/>
    <cellStyle name="_億春公司各品牌業務接單及生產分析表6-6_2009-10-8_2009-10-12綜合報表_加工厂報表" xfId="1552"/>
    <cellStyle name="_億春公司各品牌業務接單及生產分析表6-6_2009-10-8_2009-10-12綜合報表_加工厂報表_anh loc" xfId="1553"/>
    <cellStyle name="_億春公司各品牌業務接單及生產分析表6-6_2009-10-8_2009-10-12綜合報表_加工厂報表_anh loc_綜合報表一2014-11-1" xfId="1554"/>
    <cellStyle name="_億春公司各品牌業務接單及生產分析表6-6_2009-10-8_T Lan" xfId="1555"/>
    <cellStyle name="_億春公司各品牌業務接單及生產分析表6-6_2009-10-8_T Lan (1)" xfId="1556"/>
    <cellStyle name="_億春公司各品牌業務接單及生產分析表6-6_2009-10-8_T Lan (1)_anh loc" xfId="1557"/>
    <cellStyle name="_億春公司各品牌業務接單及生產分析表6-6_2009-10-8_T Lan (1)_anh loc_綜合報表一2014-11-1" xfId="1558"/>
    <cellStyle name="_億春公司各品牌業務接單及生產分析表6-6_2009-10-8_T Lan (1)_Thanh Lan 1 OK" xfId="1559"/>
    <cellStyle name="_億春公司各品牌業務接單及生產分析表6-6_2009-10-8_T Lan (1)_Thanh Lan 1 OK_anh loc" xfId="1560"/>
    <cellStyle name="_億春公司各品牌業務接單及生產分析表6-6_2009-10-8_T Lan (1)_Thanh Lan 1 OK_anh loc_綜合報表一2014-11-1" xfId="1561"/>
    <cellStyle name="_億春公司各品牌業務接單及生產分析表6-6_2009-10-8_T Lan (1)_加工厂報表" xfId="1562"/>
    <cellStyle name="_億春公司各品牌業務接單及生產分析表6-6_2009-10-8_T Lan (1)_加工厂報表_anh loc" xfId="1563"/>
    <cellStyle name="_億春公司各品牌業務接單及生產分析表6-6_2009-10-8_T Lan (1)_加工厂報表_anh loc_綜合報表一2014-11-1" xfId="1564"/>
    <cellStyle name="_億春公司各品牌業務接單及生產分析表6-6_2009-10-8_T Lan_anh loc" xfId="1565"/>
    <cellStyle name="_億春公司各品牌業務接單及生產分析表6-6_2009-10-8_T Lan_anh loc_綜合報表一2014-11-1" xfId="1566"/>
    <cellStyle name="_億春公司各品牌業務接單及生產分析表6-6_2009-10-8_T Lan_Thanh Lan 1 OK" xfId="1567"/>
    <cellStyle name="_億春公司各品牌業務接單及生產分析表6-6_2009-10-8_T Lan_Thanh Lan 1 OK_anh loc" xfId="1568"/>
    <cellStyle name="_億春公司各品牌業務接單及生產分析表6-6_2009-10-8_T Lan_Thanh Lan 1 OK_anh loc_綜合報表一2014-11-1" xfId="1569"/>
    <cellStyle name="_億春公司各品牌業務接單及生產分析表6-6_2009-10-8_T Lan_加工厂報表" xfId="1570"/>
    <cellStyle name="_億春公司各品牌業務接單及生產分析表6-6_2009-10-8_T Lan_加工厂報表_anh loc" xfId="1571"/>
    <cellStyle name="_億春公司各品牌業務接單及生產分析表6-6_2009-10-8_T Lan_加工厂報表_anh loc_綜合報表一2014-11-1" xfId="1572"/>
    <cellStyle name="_億春公司各品牌業務接單及生產分析表6-6_2009-10-8_thanh lan (2)" xfId="1573"/>
    <cellStyle name="_億春公司各品牌業務接單及生產分析表6-6_2009-10-8_thanh lan (2)_anh loc" xfId="1574"/>
    <cellStyle name="_億春公司各品牌業務接單及生產分析表6-6_2009-10-8_thanh lan (2)_anh loc_綜合報表一2014-11-1" xfId="1575"/>
    <cellStyle name="_億春公司各品牌業務接單及生產分析表6-6_2009-10-8_thanh lan (2)_Thanh Lan 1 OK" xfId="1576"/>
    <cellStyle name="_億春公司各品牌業務接單及生產分析表6-6_2009-10-8_thanh lan (2)_Thanh Lan 1 OK_anh loc" xfId="1577"/>
    <cellStyle name="_億春公司各品牌業務接單及生產分析表6-6_2009-10-8_thanh lan (2)_Thanh Lan 1 OK_anh loc_綜合報表一2014-11-1" xfId="1578"/>
    <cellStyle name="_億春公司各品牌業務接單及生產分析表6-6_2009-10-8_thanh lan (2)_加工厂報表" xfId="1579"/>
    <cellStyle name="_億春公司各品牌業務接單及生產分析表6-6_2009-10-8_thanh lan (2)_加工厂報表_anh loc" xfId="1580"/>
    <cellStyle name="_億春公司各品牌業務接單及生產分析表6-6_2009-10-8_thanh lan (2)_加工厂報表_anh loc_綜合報表一2014-11-1" xfId="1581"/>
    <cellStyle name="_億春公司各品牌業務接單及生產分析表6-6_2009-12-8" xfId="1582"/>
    <cellStyle name="_億春公司各品牌業務接單及生產分析表6-6_2009-12-8_anh loc" xfId="1583"/>
    <cellStyle name="_億春公司各品牌業務接單及生產分析表6-6_2009-12-8_anh loc_綜合報表一2014-11-1" xfId="1584"/>
    <cellStyle name="_億春公司各品牌業務接單及生產分析表6-6_2009-12-8_Thanh Lan 1 OK" xfId="1585"/>
    <cellStyle name="_億春公司各品牌業務接單及生產分析表6-6_2009-12-8_Thanh Lan 1 OK_anh loc" xfId="1586"/>
    <cellStyle name="_億春公司各品牌業務接單及生產分析表6-6_2009-12-8_Thanh Lan 1 OK_anh loc_綜合報表一2014-11-1" xfId="1587"/>
    <cellStyle name="_億春公司各品牌業務接單及生產分析表6-6_2009-12-8_加工厂報表" xfId="1588"/>
    <cellStyle name="_億春公司各品牌業務接單及生產分析表6-6_2009-12-8_加工厂報表_anh loc" xfId="1589"/>
    <cellStyle name="_億春公司各品牌業務接單及生產分析表6-6_2009-12-8_加工厂報表_anh loc_綜合報表一2014-11-1" xfId="1590"/>
    <cellStyle name="_億春公司各品牌業務接單及生產分析表6-6_2010-1-23" xfId="1591"/>
    <cellStyle name="_億春公司各品牌業務接單及生產分析表6-6_2010-1-23_anh loc" xfId="1592"/>
    <cellStyle name="_億春公司各品牌業務接單及生產分析表6-6_2010-1-23_anh loc_綜合報表一2014-11-1" xfId="1593"/>
    <cellStyle name="_億春公司各品牌業務接單及生產分析表6-6_6-1.月份KPI評比" xfId="1594"/>
    <cellStyle name="_億春公司各品牌業務接單及生產分析表6-6_成品倉2009-10-13-ktp" xfId="1595"/>
    <cellStyle name="_億春公司各品牌業務接單及生產分析表6-6_成品倉2009-10-13-ktp_1" xfId="1596"/>
    <cellStyle name="_億春公司各品牌業務接單及生產分析表6-6_成品倉2009-10-13-ktp_1_anh loc" xfId="1597"/>
    <cellStyle name="_億春公司各品牌業務接單及生產分析表6-6_成品倉2009-10-13-ktp_1_anh loc_綜合報表一2014-11-1" xfId="1598"/>
    <cellStyle name="_億春公司各品牌業務接單及生產分析表6-6_成品倉2009-10-13-ktp_1_Thanh Lan 1 OK" xfId="1599"/>
    <cellStyle name="_億春公司各品牌業務接單及生產分析表6-6_成品倉2009-10-13-ktp_1_Thanh Lan 1 OK_anh loc" xfId="1600"/>
    <cellStyle name="_億春公司各品牌業務接單及生產分析表6-6_成品倉2009-10-13-ktp_1_Thanh Lan 1 OK_anh loc_綜合報表一2014-11-1" xfId="1601"/>
    <cellStyle name="_億春公司各品牌業務接單及生產分析表6-6_成品倉2009-10-13-ktp_1_加工厂報表" xfId="1602"/>
    <cellStyle name="_億春公司各品牌業務接單及生產分析表6-6_成品倉2009-10-13-ktp_1_加工厂報表_anh loc" xfId="1603"/>
    <cellStyle name="_億春公司各品牌業務接單及生產分析表6-6_成品倉2009-10-13-ktp_1_加工厂報表_anh loc_綜合報表一2014-11-1" xfId="1604"/>
    <cellStyle name="_億春公司各品牌業務接單及生產分析表6-6_成品倉2009-10-17ktp" xfId="1605"/>
    <cellStyle name="_億春公司各品牌業務接單及生產分析表6-6_成品倉2009-10-17ktp_anh loc" xfId="1606"/>
    <cellStyle name="_億春公司各品牌業務接單及生產分析表6-6_成品倉2009-10-17ktp_anh loc_綜合報表一2014-11-1" xfId="1607"/>
    <cellStyle name="_億春公司各品牌業務接單及生產分析表6-6_成品倉2009-10-17ktp_Thanh Lan 1 OK" xfId="1608"/>
    <cellStyle name="_億春公司各品牌業務接單及生產分析表6-6_成品倉2009-10-17ktp_Thanh Lan 1 OK_anh loc" xfId="1609"/>
    <cellStyle name="_億春公司各品牌業務接單及生產分析表6-6_成品倉2009-10-17ktp_Thanh Lan 1 OK_anh loc_綜合報表一2014-11-1" xfId="1610"/>
    <cellStyle name="_億春公司各品牌業務接單及生產分析表6-6_成品倉2009-10-17ktp_加工厂報表" xfId="1611"/>
    <cellStyle name="_億春公司各品牌業務接單及生產分析表6-6_成品倉2009-10-17ktp_加工厂報表_anh loc" xfId="1612"/>
    <cellStyle name="_億春公司各品牌業務接單及生產分析表6-6_成品倉2009-10-17ktp_加工厂報表_anh loc_綜合報表一2014-11-1" xfId="1613"/>
    <cellStyle name="_億春公司各品牌業務接單及生產分析表6-6_成品倉2009-120tp" xfId="1614"/>
    <cellStyle name="_億春公司各品牌業務接單及生產分析表6-6_成品倉2009-120tp_anh loc" xfId="1615"/>
    <cellStyle name="_億春公司各品牌業務接單及生產分析表6-6_成品倉2009-120tp_anh loc_綜合報表一2014-11-1" xfId="1616"/>
    <cellStyle name="_億春公司各品牌業務接單及生產分析表6-6_成品倉2009-120tp_Thanh Lan 1 OK" xfId="1617"/>
    <cellStyle name="_億春公司各品牌業務接單及生產分析表6-6_成品倉2009-120tp_Thanh Lan 1 OK_anh loc" xfId="1618"/>
    <cellStyle name="_億春公司各品牌業務接單及生產分析表6-6_成品倉2009-120tp_Thanh Lan 1 OK_anh loc_綜合報表一2014-11-1" xfId="1619"/>
    <cellStyle name="_億春公司各品牌業務接單及生產分析表6-6_綜合報表2009-08-01" xfId="1620"/>
    <cellStyle name="_億春公司各品牌業務接單及生產分析表6-6_綜合報表2009-08-01_2009-10-06綜合報表" xfId="1621"/>
    <cellStyle name="_億春公司各品牌業務接單及生產分析表6-6_複製 -09- 綜合報表" xfId="1622"/>
    <cellStyle name="_億春公司各品牌業務接單及生產分析表6-6_複製 -11月份各廠KPI評比狀況" xfId="1623"/>
    <cellStyle name="_億春公司各品牌業務接單及生產分析表9-19" xfId="1624"/>
    <cellStyle name="_億春公司各品牌業務接單及生產分析表9-19_2009-10-06綜合報表" xfId="1625"/>
    <cellStyle name="_億春公司各品牌業務接單及生產分析表9-23 (2)" xfId="1626"/>
    <cellStyle name="_億春公司各品牌業務接單及生產分析表9-23 (2)_2009-10-06綜合報表" xfId="1627"/>
    <cellStyle name="_億春公司各品牌業務接單及生產分析表9-23 (2)_2009-10-06綜合報表_2009-10-12綜合報表" xfId="1628"/>
    <cellStyle name="_億春公司各品牌業務接單及生產分析表9-23 (2)_2009-10-06綜合報表_2009-10-16綜合報表" xfId="1629"/>
    <cellStyle name="_億春公司各品牌業務接單及生產分析表9-23 (2)_2009-10-06綜合報表_2009-11-04綜合報表" xfId="1630"/>
    <cellStyle name="_億春公司各品牌業務接單及生產分析表9-23 (2)_2009-10-06綜合報表_2009-11-30綜合報表" xfId="1631"/>
    <cellStyle name="_億春公司各品牌業務接單及生產分析表9-23 (2)_2009-10-06綜合報表_2009-11-7(1)" xfId="1632"/>
    <cellStyle name="_億春公司各品牌業務接單及生產分析表9-23 (2)_2009-10-06綜合報表_2009-20-11(1)" xfId="1633"/>
    <cellStyle name="_億春公司各品牌業務接單及生產分析表9-23 (2)_2009-10-06綜合報表_9876543 (ExcelFIX)" xfId="1634"/>
    <cellStyle name="_億春公司各品牌業務接單及生產分析表9-23 (2)_2009-10-06綜合報表_T Lan" xfId="1635"/>
    <cellStyle name="_億春公司各品牌業務接單及生產分析表9-23 (2)_2009-10-06綜合報表_T Lan (1)" xfId="1636"/>
    <cellStyle name="_億春公司各品牌業務接單及生產分析表9-23 (2)_2009-10-06綜合報表_thanh lan (2)" xfId="1637"/>
    <cellStyle name="_億春公司各品牌業務接單及生產分析表9-23 (2)_2009-10-06綜合報表_企劃生管-阿綠的報表10-22" xfId="1638"/>
    <cellStyle name="_億春公司各品牌業務接單及生產分析表9-23 (2)_2009-10-06綜合報表_企劃生管-阿綠的報表11-04 (2)" xfId="1639"/>
    <cellStyle name="_億春公司各品牌業務接單及生產分析表9-23 (2)_2009-10-06綜合報表_企劃生管-阿綠的報表11-05" xfId="1640"/>
    <cellStyle name="_億春公司各品牌業務接單及生產分析表9-23 (2)_2009-10-06綜合報表_企劃生管-阿綠的報表11-06" xfId="1641"/>
    <cellStyle name="_億春公司各品牌業務接單及生產分析表9-23 (2)_2009-10-06綜合報表_企劃生管-阿綠的報表11-09" xfId="1642"/>
    <cellStyle name="_億春公司各品牌業務接單及生產分析表9-23 (2)_2009-10-06綜合報表_企劃生管-阿綠的報表11-10" xfId="1643"/>
    <cellStyle name="_億春公司各品牌業務接單及生產分析表9-23 (2)_2009-10-06綜合報表_企劃生管-阿綠的報表11-11" xfId="1644"/>
    <cellStyle name="_億春公司各品牌業務接單及生產分析表9-23 (2)_2009-10-06綜合報表_企劃生管-阿綠的報表11-14" xfId="1645"/>
    <cellStyle name="_億春公司各品牌業務接單及生產分析表9-23 (2)_2009-10-06綜合報表_企劃生管-阿綠的報表12-01" xfId="1646"/>
    <cellStyle name="_億春公司各品牌業務接單及生產分析表9-23 (2)_2009-10-06綜合報表_複製 -2009-11-10綜合報表" xfId="1647"/>
    <cellStyle name="_億春公司各品牌業務接單及生產分析表9-23 (2)_2009-10-12綜合報表" xfId="1648"/>
    <cellStyle name="_億春公司各品牌業務接單及生產分析表9-23 (2)_2009-10-16綜合報表" xfId="1649"/>
    <cellStyle name="_億春公司各品牌業務接單及生產分析表9-23 (2)_2009-11-04綜合報表" xfId="1650"/>
    <cellStyle name="_億春公司各品牌業務接單及生產分析表9-23 (2)_2009-11-30綜合報表" xfId="1651"/>
    <cellStyle name="_億春公司各品牌業務接單及生產分析表9-23 (2)_2009-11-7(1)" xfId="1652"/>
    <cellStyle name="_億春公司各品牌業務接單及生產分析表9-23 (2)_2009-20-11(1)" xfId="1653"/>
    <cellStyle name="_億春公司各品牌業務接單及生產分析表9-23 (2)_9876543 (ExcelFIX)" xfId="1654"/>
    <cellStyle name="_億春公司各品牌業務接單及生產分析表9-23 (2)_T Lan" xfId="1655"/>
    <cellStyle name="_億春公司各品牌業務接單及生產分析表9-23 (2)_T Lan (1)" xfId="1656"/>
    <cellStyle name="_億春公司各品牌業務接單及生產分析表9-23 (2)_thanh lan (2)" xfId="1657"/>
    <cellStyle name="_億春公司各品牌業務接單及生產分析表9-23 (2)_企劃生管-阿綠的報表10-22" xfId="1658"/>
    <cellStyle name="_億春公司各品牌業務接單及生產分析表9-23 (2)_企劃生管-阿綠的報表11-04 (2)" xfId="1659"/>
    <cellStyle name="_億春公司各品牌業務接單及生產分析表9-23 (2)_企劃生管-阿綠的報表11-05" xfId="1660"/>
    <cellStyle name="_億春公司各品牌業務接單及生產分析表9-23 (2)_企劃生管-阿綠的報表11-06" xfId="1661"/>
    <cellStyle name="_億春公司各品牌業務接單及生產分析表9-23 (2)_企劃生管-阿綠的報表11-09" xfId="1662"/>
    <cellStyle name="_億春公司各品牌業務接單及生產分析表9-23 (2)_企劃生管-阿綠的報表11-10" xfId="1663"/>
    <cellStyle name="_億春公司各品牌業務接單及生產分析表9-23 (2)_企劃生管-阿綠的報表11-11" xfId="1664"/>
    <cellStyle name="_億春公司各品牌業務接單及生產分析表9-23 (2)_企劃生管-阿綠的報表11-14" xfId="1665"/>
    <cellStyle name="_億春公司各品牌業務接單及生產分析表9-23 (2)_企劃生管-阿綠的報表12-01" xfId="1666"/>
    <cellStyle name="_億春公司各品牌業務接單及生產分析表9-23 (2)_複製 -2009-11-10綜合報表" xfId="1667"/>
    <cellStyle name="_複本 2009-05月資料洭總 BBTUAN" xfId="1668"/>
    <cellStyle name="_複本 2009-05月資料洭總 BBTUAN_2009-10-13" xfId="1669"/>
    <cellStyle name="_複本 2009-05月資料洭總 BBTUAN_2009-10-17" xfId="1670"/>
    <cellStyle name="_複本 2009-05月資料洭總 BBTUAN_2009-10-8" xfId="1671"/>
    <cellStyle name="_複本 2009-05月資料洭總 BBTUAN_2009-10-8_2009-10-12綜合報表" xfId="1672"/>
    <cellStyle name="_複本 2009-05月資料洭總 BBTUAN_2009-10-8_T Lan" xfId="1673"/>
    <cellStyle name="_複本 2009-05月資料洭總 BBTUAN_2009-10-8_T Lan (1)" xfId="1674"/>
    <cellStyle name="_複本 2009-05月資料洭總 BBTUAN_2009-10-8_thanh lan (2)" xfId="1675"/>
    <cellStyle name="_複本 2009-05月資料洭總 BBTUAN_2009-10均時產" xfId="1676"/>
    <cellStyle name="_複本 2009-05月資料洭總 BBTUAN_2009-10均時產_2009-10-12綜合報表" xfId="1677"/>
    <cellStyle name="_複本 2009-05月資料洭總 BBTUAN_2009-10均時產_9876543 (ExcelFIX)" xfId="1678"/>
    <cellStyle name="_複本 2009-05月資料洭總 BBTUAN_2009-10均時產_9876543 (ExcelFIX)_2009-10-12綜合報表" xfId="1679"/>
    <cellStyle name="_複本 2009-05月資料洭總 BBTUAN_2009-10均時產_9876543 (ExcelFIX)_T Lan" xfId="1680"/>
    <cellStyle name="_複本 2009-05月資料洭總 BBTUAN_2009-10均時產_9876543 (ExcelFIX)_T Lan (1)" xfId="1681"/>
    <cellStyle name="_複本 2009-05月資料洭總 BBTUAN_2009-10均時產_9876543 (ExcelFIX)_thanh lan (2)" xfId="1682"/>
    <cellStyle name="_複本 2009-05月資料洭總 BBTUAN_2009-10均時產_T Lan" xfId="1683"/>
    <cellStyle name="_複本 2009-05月資料洭總 BBTUAN_2009-10均時產_T Lan (1)" xfId="1684"/>
    <cellStyle name="_複本 2009-05月資料洭總 BBTUAN_2009-10均時產_thanh lan (2)" xfId="1685"/>
    <cellStyle name="_複本 2009-05月資料洭總 BBTUAN_2009-12-8" xfId="1686"/>
    <cellStyle name="_複本 2009-05月資料洭總 BBTUAN_2010-1-23" xfId="1687"/>
    <cellStyle name="_複本 2009-05月資料洭總 BBTUAN_6-1.月份KPI評比" xfId="1688"/>
    <cellStyle name="_複本 2009-05月資料洭總 BBTUAN_成品倉2009-10-13-ktp" xfId="1689"/>
    <cellStyle name="_複本 2009-05月資料洭總 BBTUAN_成品倉2009-10-13-ktp_1" xfId="1690"/>
    <cellStyle name="_複本 2009-05月資料洭總 BBTUAN_成品倉2009-10-17ktp" xfId="1691"/>
    <cellStyle name="_複本 2009-05月資料洭總 BBTUAN_成品倉2009-120tp" xfId="1692"/>
    <cellStyle name="_複本 2009-05月資料洭總 BBTUAN_綜合報表2009-08-01" xfId="1693"/>
    <cellStyle name="_複本 2009-05月資料洭總 BBTUAN_複製 -09- 綜合報表" xfId="1694"/>
    <cellStyle name="_複本 2009-05月資料洭總 BBTUAN_複製 -11月份各廠KPI評比狀況" xfId="1695"/>
    <cellStyle name="_複本 億春年度接單計劃總表10-8" xfId="1696"/>
    <cellStyle name="_複本 億春年度接單計劃總表10-8_2009-10-12綜合報表" xfId="1697"/>
    <cellStyle name="_複本 億春年度接單計劃總表10-8_2009-10-16綜合報表" xfId="1698"/>
    <cellStyle name="_複本 億春年度接單計劃總表10-8_2009-11-04綜合報表" xfId="1699"/>
    <cellStyle name="_複本 億春年度接單計劃總表10-8_2009-11-30綜合報表" xfId="1700"/>
    <cellStyle name="_複本 億春年度接單計劃總表10-8_2009-11-7(1)" xfId="1701"/>
    <cellStyle name="_複本 億春年度接單計劃總表10-8_2009-20-11(1)" xfId="1702"/>
    <cellStyle name="_複本 億春年度接單計劃總表10-8_T Lan" xfId="1703"/>
    <cellStyle name="_複本 億春年度接單計劃總表10-8_T Lan (1)" xfId="1704"/>
    <cellStyle name="_複本 億春年度接單計劃總表10-8_thanh lan (2)" xfId="1705"/>
    <cellStyle name="_複本 億春年度接單計劃總表10-8_企劃生管-阿綠的報表10-22" xfId="1706"/>
    <cellStyle name="_複本 億春年度接單計劃總表10-8_企劃生管-阿綠的報表11-04 (2)" xfId="1707"/>
    <cellStyle name="_複本 億春年度接單計劃總表10-8_企劃生管-阿綠的報表11-05" xfId="1708"/>
    <cellStyle name="_複本 億春年度接單計劃總表10-8_企劃生管-阿綠的報表11-06" xfId="1709"/>
    <cellStyle name="_複本 億春年度接單計劃總表10-8_企劃生管-阿綠的報表11-09" xfId="1710"/>
    <cellStyle name="_複本 億春年度接單計劃總表10-8_企劃生管-阿綠的報表11-10" xfId="1711"/>
    <cellStyle name="_複本 億春年度接單計劃總表10-8_企劃生管-阿綠的報表11-11" xfId="1712"/>
    <cellStyle name="_複本 億春年度接單計劃總表10-8_企劃生管-阿綠的報表11-14" xfId="1713"/>
    <cellStyle name="_複本 億春年度接單計劃總表10-8_企劃生管-阿綠的報表12-01" xfId="1714"/>
    <cellStyle name="_複本 億春年度接單計劃總表10-8_複製 -2009-11-10綜合報表" xfId="1715"/>
    <cellStyle name="_複本08-12-2009老化料補料金額" xfId="1716"/>
    <cellStyle name="_複本08-12-2009老化料補料金額_人均時產2010年 ok" xfId="1717"/>
    <cellStyle name="_複本16-10-2009老化料補料金額" xfId="1718"/>
    <cellStyle name="_複本16-10-2009老化料補料金額_人均時產2010年 ok" xfId="1719"/>
    <cellStyle name="_複製 -09- 綜合報表" xfId="1720"/>
    <cellStyle name="_複製 -09- 綜合報表_2009-10-06綜合報表" xfId="1721"/>
    <cellStyle name="_複製 -11月份各廠KPI評比狀況" xfId="1722"/>
    <cellStyle name="20% - 强调文字颜色 1" xfId="1723"/>
    <cellStyle name="20% - 强调文字颜色 2" xfId="1724"/>
    <cellStyle name="20% - 强调文字颜色 3" xfId="1725"/>
    <cellStyle name="20% - 强调文字颜色 4" xfId="1726"/>
    <cellStyle name="20% - 强调文字颜色 5" xfId="1727"/>
    <cellStyle name="20% - 强调文字颜色 6" xfId="1728"/>
    <cellStyle name="40% - 强调文字颜色 1" xfId="1729"/>
    <cellStyle name="40% - 强调文字颜色 2" xfId="1730"/>
    <cellStyle name="40% - 强调文字颜色 3" xfId="1731"/>
    <cellStyle name="40% - 强调文字颜色 4" xfId="1732"/>
    <cellStyle name="40% - 强调文字颜色 5" xfId="1733"/>
    <cellStyle name="40% - 强调文字颜色 6" xfId="1734"/>
    <cellStyle name="60% - 强调文字颜色 1" xfId="1735"/>
    <cellStyle name="60% - 强调文字颜色 2" xfId="1736"/>
    <cellStyle name="60% - 强调文字颜色 3" xfId="1737"/>
    <cellStyle name="60% - 强调文字颜色 4" xfId="1738"/>
    <cellStyle name="60% - 强调文字颜色 5" xfId="1739"/>
    <cellStyle name="60% - 强调文字颜色 6" xfId="1740"/>
    <cellStyle name="Comma 2" xfId="2"/>
    <cellStyle name="Comma 3" xfId="3"/>
    <cellStyle name="Comma_綜合報表一25-thang9" xfId="2175"/>
    <cellStyle name="Excel.Chart" xfId="4"/>
    <cellStyle name="N__05月份生產尾_05月份生產尾數追蹤表 05.21_05月份生產尾數追蹤表 05.27_05月份生產尾數追蹤表 05.28 (1)_06月份生產尾數追蹤表 06.07_06月份生產尾數追蹤表 06.09_06月份生產尾數追蹤表 06.14" xfId="1741"/>
    <cellStyle name="Normal 10" xfId="2170"/>
    <cellStyle name="Normal 129" xfId="2122"/>
    <cellStyle name="Normal 13" xfId="1742"/>
    <cellStyle name="Normal 13 2" xfId="2123"/>
    <cellStyle name="Normal 14" xfId="1743"/>
    <cellStyle name="Normal 14 2" xfId="2124"/>
    <cellStyle name="Normal 15" xfId="1744"/>
    <cellStyle name="Normal 15 2" xfId="2125"/>
    <cellStyle name="Normal 16" xfId="1745"/>
    <cellStyle name="Normal 16 2" xfId="2126"/>
    <cellStyle name="Normal 163" xfId="2127"/>
    <cellStyle name="Normal 17" xfId="1746"/>
    <cellStyle name="Normal 17 2" xfId="2128"/>
    <cellStyle name="Normal 18" xfId="1747"/>
    <cellStyle name="Normal 18 2" xfId="2129"/>
    <cellStyle name="Normal 19" xfId="1748"/>
    <cellStyle name="Normal 19 2" xfId="2130"/>
    <cellStyle name="Normal 192" xfId="2131"/>
    <cellStyle name="Normal 197" xfId="2132"/>
    <cellStyle name="Normal 2" xfId="2121"/>
    <cellStyle name="Normal 2 10" xfId="2166"/>
    <cellStyle name="Normal 2 11" xfId="2168"/>
    <cellStyle name="Normal 2 12" xfId="2171"/>
    <cellStyle name="Normal 2 13" xfId="2173"/>
    <cellStyle name="Normal 2 2" xfId="5"/>
    <cellStyle name="Normal 2 3" xfId="6"/>
    <cellStyle name="Normal 2 4" xfId="7"/>
    <cellStyle name="Normal 2 5" xfId="2151"/>
    <cellStyle name="Normal 2 6" xfId="2155"/>
    <cellStyle name="Normal 2 7" xfId="2157"/>
    <cellStyle name="Normal 2 8" xfId="2160"/>
    <cellStyle name="Normal 2 9" xfId="2162"/>
    <cellStyle name="Normal 20" xfId="1749"/>
    <cellStyle name="Normal 20 2" xfId="2133"/>
    <cellStyle name="Normal 202" xfId="2134"/>
    <cellStyle name="Normal 21" xfId="1750"/>
    <cellStyle name="Normal 21 2" xfId="2135"/>
    <cellStyle name="Normal 211" xfId="2136"/>
    <cellStyle name="Normal 213" xfId="2137"/>
    <cellStyle name="Normal 214" xfId="2138"/>
    <cellStyle name="Normal 215" xfId="2139"/>
    <cellStyle name="Normal 216" xfId="2140"/>
    <cellStyle name="Normal 217" xfId="2141"/>
    <cellStyle name="Normal 218" xfId="2142"/>
    <cellStyle name="Normal 219" xfId="2143"/>
    <cellStyle name="Normal 22" xfId="1751"/>
    <cellStyle name="Normal 22 2" xfId="2144"/>
    <cellStyle name="Normal 220" xfId="2145"/>
    <cellStyle name="Normal 23" xfId="1752"/>
    <cellStyle name="Normal 23 2" xfId="2146"/>
    <cellStyle name="Normal 24" xfId="1753"/>
    <cellStyle name="Normal 24 2" xfId="2147"/>
    <cellStyle name="Normal 3" xfId="8"/>
    <cellStyle name="Normal 4" xfId="2150"/>
    <cellStyle name="Normal 4 10" xfId="2174"/>
    <cellStyle name="Normal 4 2" xfId="2152"/>
    <cellStyle name="Normal 4 3" xfId="2156"/>
    <cellStyle name="Normal 4 4" xfId="2158"/>
    <cellStyle name="Normal 4 5" xfId="2161"/>
    <cellStyle name="Normal 4 6" xfId="2163"/>
    <cellStyle name="Normal 4 7" xfId="2167"/>
    <cellStyle name="Normal 4 8" xfId="2169"/>
    <cellStyle name="Normal 4 9" xfId="2172"/>
    <cellStyle name="Normal 5" xfId="2164"/>
    <cellStyle name="Normal 6" xfId="2153"/>
    <cellStyle name="Normal 68" xfId="1754"/>
    <cellStyle name="Normal 7" xfId="2154"/>
    <cellStyle name="Normal 71" xfId="1755"/>
    <cellStyle name="Normal 8" xfId="2159"/>
    <cellStyle name="Normal 9" xfId="2165"/>
    <cellStyle name="Normal 91" xfId="2099"/>
    <cellStyle name="Normal 92" xfId="2100"/>
    <cellStyle name="Normal 93" xfId="2101"/>
    <cellStyle name="Normal 94" xfId="2102"/>
    <cellStyle name="Normal_2A78D000" xfId="9"/>
    <cellStyle name="Normal_4~6月份預計出貨出數量4-10 xuat hang" xfId="10"/>
    <cellStyle name="Normal_Sheet1" xfId="2176"/>
    <cellStyle name="oft Excel]_x000d_&#10;Comment=The open=/f lines load custom functions into the Paste Function list._x000d_&#10;Maximized=3_x000d_&#10;AutoFormat=" xfId="11"/>
    <cellStyle name="Percent 2" xfId="12"/>
    <cellStyle name="Percent 3" xfId="13"/>
    <cellStyle name="Style 1" xfId="14"/>
    <cellStyle name="Style 1 10" xfId="2108"/>
    <cellStyle name="Style 1 11" xfId="2115"/>
    <cellStyle name="Style 1 12" xfId="2117"/>
    <cellStyle name="Style 1 13" xfId="2119"/>
    <cellStyle name="Style 1 2" xfId="1756"/>
    <cellStyle name="Style 1 2 10" xfId="2118"/>
    <cellStyle name="Style 1 2 11" xfId="2120"/>
    <cellStyle name="Style 1 2 2" xfId="1757"/>
    <cellStyle name="Style 1 2 3" xfId="2114"/>
    <cellStyle name="Style 1 2 4" xfId="2103"/>
    <cellStyle name="Style 1 2 5" xfId="2112"/>
    <cellStyle name="Style 1 2 6" xfId="2105"/>
    <cellStyle name="Style 1 2 7" xfId="2110"/>
    <cellStyle name="Style 1 2 8" xfId="2107"/>
    <cellStyle name="Style 1 2 9" xfId="2116"/>
    <cellStyle name="Style 1 3" xfId="1758"/>
    <cellStyle name="Style 1 4" xfId="15"/>
    <cellStyle name="Style 1 4 2" xfId="2148"/>
    <cellStyle name="Style 1 5" xfId="2113"/>
    <cellStyle name="Style 1 6" xfId="2104"/>
    <cellStyle name="Style 1 7" xfId="2111"/>
    <cellStyle name="Style 1 8" xfId="2106"/>
    <cellStyle name="Style 1 9" xfId="2109"/>
    <cellStyle name="一般" xfId="0" builtinId="0"/>
    <cellStyle name="一般_2009-12-16綜合報表" xfId="16"/>
    <cellStyle name="一般_2009-4-25各廠人員分攤" xfId="17"/>
    <cellStyle name="一般_2010-01-01綜合報表" xfId="2178"/>
    <cellStyle name="一般_複製 -2009年06月-01億春產能狀況表" xfId="2179"/>
    <cellStyle name="千分位" xfId="2177" builtinId="3"/>
    <cellStyle name="好_2009-10-13" xfId="1759"/>
    <cellStyle name="好_2009-10-17" xfId="1760"/>
    <cellStyle name="好_2009-10-17_anh loc" xfId="1761"/>
    <cellStyle name="好_2009-10-17_綜合報表一2013-08-12" xfId="1762"/>
    <cellStyle name="好_2009-10-17_綜合報表一2013-08-12_anh loc" xfId="1763"/>
    <cellStyle name="好_2009-10-17_綜合報表一2013-08-12_anh loc_1" xfId="1764"/>
    <cellStyle name="好_2009-10-17_綜合報表一2013-08-12_綜合報表一2014-11-1" xfId="1765"/>
    <cellStyle name="好_2009-10-17_綜合報表一2013-08-13" xfId="1766"/>
    <cellStyle name="好_2009-10-8" xfId="1767"/>
    <cellStyle name="好_2009-10-8_2009-10-12綜合報表" xfId="1768"/>
    <cellStyle name="好_2009-10-8_2009-10-12綜合報表_anh loc" xfId="1769"/>
    <cellStyle name="好_2009-10-8_2009-10-12綜合報表_綜合報表一2013-08-12" xfId="1770"/>
    <cellStyle name="好_2009-10-8_2009-10-12綜合報表_綜合報表一2013-08-12_anh loc" xfId="1771"/>
    <cellStyle name="好_2009-10-8_2009-10-12綜合報表_綜合報表一2013-08-12_anh loc_1" xfId="1772"/>
    <cellStyle name="好_2009-10-8_2009-10-12綜合報表_綜合報表一2013-08-12_綜合報表一2014-11-1" xfId="1773"/>
    <cellStyle name="好_2009-10-8_2009-10-12綜合報表_綜合報表一2013-08-13" xfId="1774"/>
    <cellStyle name="好_2009-10-8_T Lan" xfId="1775"/>
    <cellStyle name="好_2009-10-8_T Lan (1)" xfId="1776"/>
    <cellStyle name="好_2009-10-8_T Lan (1)_anh loc" xfId="1777"/>
    <cellStyle name="好_2009-10-8_T Lan (1)_綜合報表一2013-08-12" xfId="1778"/>
    <cellStyle name="好_2009-10-8_T Lan (1)_綜合報表一2013-08-12_anh loc" xfId="1779"/>
    <cellStyle name="好_2009-10-8_T Lan (1)_綜合報表一2013-08-12_anh loc_1" xfId="1780"/>
    <cellStyle name="好_2009-10-8_T Lan (1)_綜合報表一2013-08-12_綜合報表一2014-11-1" xfId="1781"/>
    <cellStyle name="好_2009-10-8_T Lan (1)_綜合報表一2013-08-13" xfId="1782"/>
    <cellStyle name="好_2009-10-8_T Lan_anh loc" xfId="1783"/>
    <cellStyle name="好_2009-10-8_T Lan_綜合報表一2013-08-12" xfId="1784"/>
    <cellStyle name="好_2009-10-8_T Lan_綜合報表一2013-08-12_anh loc" xfId="1785"/>
    <cellStyle name="好_2009-10-8_T Lan_綜合報表一2013-08-12_anh loc_1" xfId="1786"/>
    <cellStyle name="好_2009-10-8_T Lan_綜合報表一2013-08-12_綜合報表一2014-11-1" xfId="1787"/>
    <cellStyle name="好_2009-10-8_T Lan_綜合報表一2013-08-13" xfId="1788"/>
    <cellStyle name="好_2009-10-8_thanh lan (2)" xfId="1789"/>
    <cellStyle name="好_2009-10-8_thanh lan (2)_anh loc" xfId="1790"/>
    <cellStyle name="好_2009-10-8_thanh lan (2)_綜合報表一2013-08-12" xfId="1791"/>
    <cellStyle name="好_2009-10-8_thanh lan (2)_綜合報表一2013-08-12_anh loc" xfId="1792"/>
    <cellStyle name="好_2009-10-8_thanh lan (2)_綜合報表一2013-08-12_anh loc_1" xfId="1793"/>
    <cellStyle name="好_2009-10-8_thanh lan (2)_綜合報表一2013-08-12_綜合報表一2014-11-1" xfId="1794"/>
    <cellStyle name="好_2009-10-8_thanh lan (2)_綜合報表一2013-08-13" xfId="1795"/>
    <cellStyle name="好_2009-10均時產" xfId="1796"/>
    <cellStyle name="好_2009-10均時產_2009-10-12綜合報表" xfId="1797"/>
    <cellStyle name="好_2009-10均時產_2009-10-12綜合報表_anh loc" xfId="1798"/>
    <cellStyle name="好_2009-10均時產_2009-10-12綜合報表_綜合報表一2013-08-12" xfId="1799"/>
    <cellStyle name="好_2009-10均時產_2009-10-12綜合報表_綜合報表一2013-08-12_anh loc" xfId="1800"/>
    <cellStyle name="好_2009-10均時產_2009-10-12綜合報表_綜合報表一2013-08-12_anh loc_1" xfId="1801"/>
    <cellStyle name="好_2009-10均時產_2009-10-12綜合報表_綜合報表一2013-08-12_綜合報表一2014-11-1" xfId="1802"/>
    <cellStyle name="好_2009-10均時產_2009-10-12綜合報表_綜合報表一2013-08-13" xfId="1803"/>
    <cellStyle name="好_2009-10均時產_9876543 (ExcelFIX)" xfId="1804"/>
    <cellStyle name="好_2009-10均時產_9876543 (ExcelFIX)_2009-10-12綜合報表" xfId="1805"/>
    <cellStyle name="好_2009-10均時產_9876543 (ExcelFIX)_T Lan" xfId="1806"/>
    <cellStyle name="好_2009-10均時產_9876543 (ExcelFIX)_T Lan (1)" xfId="1807"/>
    <cellStyle name="好_2009-10均時產_9876543 (ExcelFIX)_thanh lan (2)" xfId="1808"/>
    <cellStyle name="好_2009-10均時產_T Lan" xfId="1809"/>
    <cellStyle name="好_2009-10均時產_T Lan (1)" xfId="1810"/>
    <cellStyle name="好_2009-10均時產_T Lan (1)_anh loc" xfId="1811"/>
    <cellStyle name="好_2009-10均時產_T Lan (1)_綜合報表一2013-08-12" xfId="1812"/>
    <cellStyle name="好_2009-10均時產_T Lan (1)_綜合報表一2013-08-12_anh loc" xfId="1813"/>
    <cellStyle name="好_2009-10均時產_T Lan (1)_綜合報表一2013-08-12_anh loc_1" xfId="1814"/>
    <cellStyle name="好_2009-10均時產_T Lan (1)_綜合報表一2013-08-12_綜合報表一2014-11-1" xfId="1815"/>
    <cellStyle name="好_2009-10均時產_T Lan (1)_綜合報表一2013-08-13" xfId="1816"/>
    <cellStyle name="好_2009-10均時產_T Lan_anh loc" xfId="1817"/>
    <cellStyle name="好_2009-10均時產_T Lan_綜合報表一2013-08-12" xfId="1818"/>
    <cellStyle name="好_2009-10均時產_T Lan_綜合報表一2013-08-12_anh loc" xfId="1819"/>
    <cellStyle name="好_2009-10均時產_T Lan_綜合報表一2013-08-12_anh loc_1" xfId="1820"/>
    <cellStyle name="好_2009-10均時產_T Lan_綜合報表一2013-08-12_綜合報表一2014-11-1" xfId="1821"/>
    <cellStyle name="好_2009-10均時產_T Lan_綜合報表一2013-08-13" xfId="1822"/>
    <cellStyle name="好_2009-10均時產_thanh lan (2)" xfId="1823"/>
    <cellStyle name="好_2009-10均時產_thanh lan (2)_anh loc" xfId="1824"/>
    <cellStyle name="好_2009-10均時產_thanh lan (2)_綜合報表一2013-08-12" xfId="1825"/>
    <cellStyle name="好_2009-10均時產_thanh lan (2)_綜合報表一2013-08-12_anh loc" xfId="1826"/>
    <cellStyle name="好_2009-10均時產_thanh lan (2)_綜合報表一2013-08-12_anh loc_1" xfId="1827"/>
    <cellStyle name="好_2009-10均時產_thanh lan (2)_綜合報表一2013-08-12_綜合報表一2014-11-1" xfId="1828"/>
    <cellStyle name="好_2009-10均時產_thanh lan (2)_綜合報表一2013-08-13" xfId="1829"/>
    <cellStyle name="好_2009-12-8" xfId="1830"/>
    <cellStyle name="好_2009-12-8_anh loc" xfId="1831"/>
    <cellStyle name="好_2009-12-8_綜合報表一2013-08-12" xfId="1832"/>
    <cellStyle name="好_2009-12-8_綜合報表一2013-08-12_anh loc" xfId="1833"/>
    <cellStyle name="好_2009-12-8_綜合報表一2013-08-12_anh loc_1" xfId="1834"/>
    <cellStyle name="好_2009-12-8_綜合報表一2013-08-12_綜合報表一2014-11-1" xfId="1835"/>
    <cellStyle name="好_2009-12-8_綜合報表一2013-08-13" xfId="1836"/>
    <cellStyle name="好_2010-1-23" xfId="1837"/>
    <cellStyle name="好_2010-1-23_anh loc" xfId="1838"/>
    <cellStyle name="好_2010-1-23_綜合報表一2013-08-12" xfId="1839"/>
    <cellStyle name="好_2010-1-23_綜合報表一2013-08-12_anh loc" xfId="1840"/>
    <cellStyle name="好_2010-1-23_綜合報表一2013-08-12_anh loc_1" xfId="1841"/>
    <cellStyle name="好_2010-1-23_綜合報表一2013-08-12_綜合報表一2014-11-1" xfId="1842"/>
    <cellStyle name="好_2010-1-23_綜合報表一2013-08-13" xfId="1843"/>
    <cellStyle name="好_6-1.月份KPI評比" xfId="1844"/>
    <cellStyle name="好_成品倉2009-10-13-ktp" xfId="1845"/>
    <cellStyle name="好_成品倉2009-10-13-ktp_1" xfId="1846"/>
    <cellStyle name="好_成品倉2009-10-13-ktp_1_anh loc" xfId="1847"/>
    <cellStyle name="好_成品倉2009-10-13-ktp_1_綜合報表一2013-08-12" xfId="1848"/>
    <cellStyle name="好_成品倉2009-10-13-ktp_1_綜合報表一2013-08-12_anh loc" xfId="1849"/>
    <cellStyle name="好_成品倉2009-10-13-ktp_1_綜合報表一2013-08-12_anh loc_1" xfId="1850"/>
    <cellStyle name="好_成品倉2009-10-13-ktp_1_綜合報表一2013-08-12_綜合報表一2014-11-1" xfId="1851"/>
    <cellStyle name="好_成品倉2009-10-13-ktp_1_綜合報表一2013-08-13" xfId="1852"/>
    <cellStyle name="好_成品倉2009-10-17ktp" xfId="1853"/>
    <cellStyle name="好_成品倉2009-10-17ktp_anh loc" xfId="1854"/>
    <cellStyle name="好_成品倉2009-10-17ktp_綜合報表一2013-08-12" xfId="1855"/>
    <cellStyle name="好_成品倉2009-10-17ktp_綜合報表一2013-08-12_anh loc" xfId="1856"/>
    <cellStyle name="好_成品倉2009-10-17ktp_綜合報表一2013-08-12_anh loc_1" xfId="1857"/>
    <cellStyle name="好_成品倉2009-10-17ktp_綜合報表一2013-08-12_綜合報表一2014-11-1" xfId="1858"/>
    <cellStyle name="好_成品倉2009-10-17ktp_綜合報表一2013-08-13" xfId="1859"/>
    <cellStyle name="好_成品倉2009-120tp" xfId="1860"/>
    <cellStyle name="好_成品倉2009-120tp_anh loc" xfId="1861"/>
    <cellStyle name="好_成品倉2009-120tp_綜合報表一2013-08-12" xfId="1862"/>
    <cellStyle name="好_成品倉2009-120tp_綜合報表一2013-08-12_anh loc" xfId="1863"/>
    <cellStyle name="好_成品倉2009-120tp_綜合報表一2013-08-12_anh loc_1" xfId="1864"/>
    <cellStyle name="好_成品倉2009-120tp_綜合報表一2013-08-12_綜合報表一2014-11-1" xfId="1865"/>
    <cellStyle name="好_成品倉2009-120tp_綜合報表一2013-08-13" xfId="1866"/>
    <cellStyle name="好_綜合報表2009-08-01" xfId="1867"/>
    <cellStyle name="好_億春公司各品牌業務接單及生產分析表9-19" xfId="1868"/>
    <cellStyle name="好_億春公司各品牌業務接單及生產分析表9-19_2009-10-12綜合報表" xfId="1869"/>
    <cellStyle name="好_億春公司各品牌業務接單及生產分析表9-19_2009-10-16綜合報表" xfId="1870"/>
    <cellStyle name="好_億春公司各品牌業務接單及生產分析表9-19_2009-11-04綜合報表" xfId="1871"/>
    <cellStyle name="好_億春公司各品牌業務接單及生產分析表9-19_2009-11-30綜合報表" xfId="1872"/>
    <cellStyle name="好_億春公司各品牌業務接單及生產分析表9-19_2009-11-7(1)" xfId="1873"/>
    <cellStyle name="好_億春公司各品牌業務接單及生產分析表9-19_2009-20-11(1)" xfId="1874"/>
    <cellStyle name="好_億春公司各品牌業務接單及生產分析表9-19_9876543 (ExcelFIX)" xfId="1875"/>
    <cellStyle name="好_億春公司各品牌業務接單及生產分析表9-19_T Lan" xfId="1876"/>
    <cellStyle name="好_億春公司各品牌業務接單及生產分析表9-19_T Lan (1)" xfId="1877"/>
    <cellStyle name="好_億春公司各品牌業務接單及生產分析表9-19_thanh lan (2)" xfId="1878"/>
    <cellStyle name="好_億春公司各品牌業務接單及生產分析表9-19_企劃生管-阿綠的報表10-22" xfId="1879"/>
    <cellStyle name="好_億春公司各品牌業務接單及生產分析表9-19_企劃生管-阿綠的報表11-04 (2)" xfId="1880"/>
    <cellStyle name="好_億春公司各品牌業務接單及生產分析表9-19_企劃生管-阿綠的報表11-05" xfId="1881"/>
    <cellStyle name="好_億春公司各品牌業務接單及生產分析表9-19_企劃生管-阿綠的報表11-06" xfId="1882"/>
    <cellStyle name="好_億春公司各品牌業務接單及生產分析表9-19_企劃生管-阿綠的報表11-09" xfId="1883"/>
    <cellStyle name="好_億春公司各品牌業務接單及生產分析表9-19_企劃生管-阿綠的報表11-10" xfId="1884"/>
    <cellStyle name="好_億春公司各品牌業務接單及生產分析表9-19_企劃生管-阿綠的報表11-11" xfId="1885"/>
    <cellStyle name="好_億春公司各品牌業務接單及生產分析表9-19_企劃生管-阿綠的報表11-14" xfId="1886"/>
    <cellStyle name="好_億春公司各品牌業務接單及生產分析表9-19_企劃生管-阿綠的報表12-01" xfId="1887"/>
    <cellStyle name="好_億春公司各品牌業務接單及生產分析表9-19_複製 -2009-11-10綜合報表" xfId="1888"/>
    <cellStyle name="好_億春公司各品牌業務接單及生產分析表9-23 (2)" xfId="1889"/>
    <cellStyle name="好_億春公司各品牌業務接單及生產分析表9-23 (2)_2009-10-12綜合報表" xfId="1890"/>
    <cellStyle name="好_億春公司各品牌業務接單及生產分析表9-23 (2)_9876543 (ExcelFIX)" xfId="1891"/>
    <cellStyle name="好_億春公司各品牌業務接單及生產分析表9-23 (2)_9876543 (ExcelFIX)_2009-10-12綜合報表" xfId="1892"/>
    <cellStyle name="好_億春公司各品牌業務接單及生產分析表9-23 (2)_9876543 (ExcelFIX)_2009-10-16綜合報表" xfId="1893"/>
    <cellStyle name="好_億春公司各品牌業務接單及生產分析表9-23 (2)_9876543 (ExcelFIX)_2009-11-04綜合報表" xfId="1894"/>
    <cellStyle name="好_億春公司各品牌業務接單及生產分析表9-23 (2)_9876543 (ExcelFIX)_2009-11-30綜合報表" xfId="1895"/>
    <cellStyle name="好_億春公司各品牌業務接單及生產分析表9-23 (2)_9876543 (ExcelFIX)_2009-11-7(1)" xfId="1896"/>
    <cellStyle name="好_億春公司各品牌業務接單及生產分析表9-23 (2)_9876543 (ExcelFIX)_2009-20-11(1)" xfId="1897"/>
    <cellStyle name="好_億春公司各品牌業務接單及生產分析表9-23 (2)_9876543 (ExcelFIX)_T Lan" xfId="1898"/>
    <cellStyle name="好_億春公司各品牌業務接單及生產分析表9-23 (2)_9876543 (ExcelFIX)_T Lan (1)" xfId="1899"/>
    <cellStyle name="好_億春公司各品牌業務接單及生產分析表9-23 (2)_9876543 (ExcelFIX)_thanh lan (2)" xfId="1900"/>
    <cellStyle name="好_億春公司各品牌業務接單及生產分析表9-23 (2)_9876543 (ExcelFIX)_企劃生管-阿綠的報表10-22" xfId="1901"/>
    <cellStyle name="好_億春公司各品牌業務接單及生產分析表9-23 (2)_9876543 (ExcelFIX)_企劃生管-阿綠的報表11-04 (2)" xfId="1902"/>
    <cellStyle name="好_億春公司各品牌業務接單及生產分析表9-23 (2)_9876543 (ExcelFIX)_企劃生管-阿綠的報表11-05" xfId="1903"/>
    <cellStyle name="好_億春公司各品牌業務接單及生產分析表9-23 (2)_9876543 (ExcelFIX)_企劃生管-阿綠的報表11-06" xfId="1904"/>
    <cellStyle name="好_億春公司各品牌業務接單及生產分析表9-23 (2)_9876543 (ExcelFIX)_企劃生管-阿綠的報表11-09" xfId="1905"/>
    <cellStyle name="好_億春公司各品牌業務接單及生產分析表9-23 (2)_9876543 (ExcelFIX)_企劃生管-阿綠的報表11-10" xfId="1906"/>
    <cellStyle name="好_億春公司各品牌業務接單及生產分析表9-23 (2)_9876543 (ExcelFIX)_企劃生管-阿綠的報表11-11" xfId="1907"/>
    <cellStyle name="好_億春公司各品牌業務接單及生產分析表9-23 (2)_9876543 (ExcelFIX)_企劃生管-阿綠的報表11-14" xfId="1908"/>
    <cellStyle name="好_億春公司各品牌業務接單及生產分析表9-23 (2)_9876543 (ExcelFIX)_企劃生管-阿綠的報表12-01" xfId="1909"/>
    <cellStyle name="好_億春公司各品牌業務接單及生產分析表9-23 (2)_9876543 (ExcelFIX)_複製 -2009-11-10綜合報表" xfId="1910"/>
    <cellStyle name="好_億春公司各品牌業務接單及生產分析表9-23 (2)_T Lan" xfId="1911"/>
    <cellStyle name="好_億春公司各品牌業務接單及生產分析表9-23 (2)_T Lan (1)" xfId="1912"/>
    <cellStyle name="好_億春公司各品牌業務接單及生產分析表9-23 (2)_thanh lan (2)" xfId="1913"/>
    <cellStyle name="好_複製 -09- 綜合報表" xfId="1914"/>
    <cellStyle name="好_複製 -11月份各廠KPI評比狀況" xfId="1915"/>
    <cellStyle name="注释" xfId="1916"/>
    <cellStyle name="差" xfId="1917"/>
    <cellStyle name="差_2009-10-13" xfId="1918"/>
    <cellStyle name="差_2009-10-17" xfId="1919"/>
    <cellStyle name="差_2009-10-17_anh loc" xfId="1920"/>
    <cellStyle name="差_2009-10-17_綜合報表一2013-08-12" xfId="1921"/>
    <cellStyle name="差_2009-10-17_綜合報表一2013-08-12_anh loc" xfId="1922"/>
    <cellStyle name="差_2009-10-17_綜合報表一2013-08-12_anh loc_1" xfId="1923"/>
    <cellStyle name="差_2009-10-17_綜合報表一2013-08-12_綜合報表一2014-11-1" xfId="1924"/>
    <cellStyle name="差_2009-10-17_綜合報表一2013-08-13" xfId="1925"/>
    <cellStyle name="差_2009-10-8" xfId="1926"/>
    <cellStyle name="差_2009-10-8_2009-10-12綜合報表" xfId="1927"/>
    <cellStyle name="差_2009-10-8_2009-10-12綜合報表_anh loc" xfId="1928"/>
    <cellStyle name="差_2009-10-8_2009-10-12綜合報表_綜合報表一2013-08-12" xfId="1929"/>
    <cellStyle name="差_2009-10-8_2009-10-12綜合報表_綜合報表一2013-08-12_anh loc" xfId="1930"/>
    <cellStyle name="差_2009-10-8_2009-10-12綜合報表_綜合報表一2013-08-12_anh loc_1" xfId="1931"/>
    <cellStyle name="差_2009-10-8_2009-10-12綜合報表_綜合報表一2013-08-12_綜合報表一2014-11-1" xfId="1932"/>
    <cellStyle name="差_2009-10-8_2009-10-12綜合報表_綜合報表一2013-08-13" xfId="1933"/>
    <cellStyle name="差_2009-10-8_T Lan" xfId="1934"/>
    <cellStyle name="差_2009-10-8_T Lan (1)" xfId="1935"/>
    <cellStyle name="差_2009-10-8_T Lan (1)_anh loc" xfId="1936"/>
    <cellStyle name="差_2009-10-8_T Lan (1)_綜合報表一2013-08-12" xfId="1937"/>
    <cellStyle name="差_2009-10-8_T Lan (1)_綜合報表一2013-08-12_anh loc" xfId="1938"/>
    <cellStyle name="差_2009-10-8_T Lan (1)_綜合報表一2013-08-12_anh loc_1" xfId="1939"/>
    <cellStyle name="差_2009-10-8_T Lan (1)_綜合報表一2013-08-12_綜合報表一2014-11-1" xfId="1940"/>
    <cellStyle name="差_2009-10-8_T Lan (1)_綜合報表一2013-08-13" xfId="1941"/>
    <cellStyle name="差_2009-10-8_T Lan_anh loc" xfId="1942"/>
    <cellStyle name="差_2009-10-8_T Lan_綜合報表一2013-08-12" xfId="1943"/>
    <cellStyle name="差_2009-10-8_T Lan_綜合報表一2013-08-12_anh loc" xfId="1944"/>
    <cellStyle name="差_2009-10-8_T Lan_綜合報表一2013-08-12_anh loc_1" xfId="1945"/>
    <cellStyle name="差_2009-10-8_T Lan_綜合報表一2013-08-12_綜合報表一2014-11-1" xfId="1946"/>
    <cellStyle name="差_2009-10-8_T Lan_綜合報表一2013-08-13" xfId="1947"/>
    <cellStyle name="差_2009-10-8_thanh lan (2)" xfId="1948"/>
    <cellStyle name="差_2009-10-8_thanh lan (2)_anh loc" xfId="1949"/>
    <cellStyle name="差_2009-10-8_thanh lan (2)_綜合報表一2013-08-12" xfId="1950"/>
    <cellStyle name="差_2009-10-8_thanh lan (2)_綜合報表一2013-08-12_anh loc" xfId="1951"/>
    <cellStyle name="差_2009-10-8_thanh lan (2)_綜合報表一2013-08-12_anh loc_1" xfId="1952"/>
    <cellStyle name="差_2009-10-8_thanh lan (2)_綜合報表一2013-08-12_綜合報表一2014-11-1" xfId="1953"/>
    <cellStyle name="差_2009-10-8_thanh lan (2)_綜合報表一2013-08-13" xfId="1954"/>
    <cellStyle name="差_2009-10均時產" xfId="1955"/>
    <cellStyle name="差_2009-10均時產_2009-10-12綜合報表" xfId="1956"/>
    <cellStyle name="差_2009-10均時產_2009-10-12綜合報表_anh loc" xfId="1957"/>
    <cellStyle name="差_2009-10均時產_2009-10-12綜合報表_綜合報表一2013-08-12" xfId="1958"/>
    <cellStyle name="差_2009-10均時產_2009-10-12綜合報表_綜合報表一2013-08-12_anh loc" xfId="1959"/>
    <cellStyle name="差_2009-10均時產_2009-10-12綜合報表_綜合報表一2013-08-12_anh loc_1" xfId="1960"/>
    <cellStyle name="差_2009-10均時產_2009-10-12綜合報表_綜合報表一2013-08-12_綜合報表一2014-11-1" xfId="1961"/>
    <cellStyle name="差_2009-10均時產_2009-10-12綜合報表_綜合報表一2013-08-13" xfId="1962"/>
    <cellStyle name="差_2009-10均時產_9876543 (ExcelFIX)" xfId="1963"/>
    <cellStyle name="差_2009-10均時產_9876543 (ExcelFIX)_2009-10-12綜合報表" xfId="1964"/>
    <cellStyle name="差_2009-10均時產_9876543 (ExcelFIX)_T Lan" xfId="1965"/>
    <cellStyle name="差_2009-10均時產_9876543 (ExcelFIX)_T Lan (1)" xfId="1966"/>
    <cellStyle name="差_2009-10均時產_9876543 (ExcelFIX)_thanh lan (2)" xfId="1967"/>
    <cellStyle name="差_2009-10均時產_T Lan" xfId="1968"/>
    <cellStyle name="差_2009-10均時產_T Lan (1)" xfId="1969"/>
    <cellStyle name="差_2009-10均時產_T Lan (1)_anh loc" xfId="1970"/>
    <cellStyle name="差_2009-10均時產_T Lan (1)_綜合報表一2013-08-12" xfId="1971"/>
    <cellStyle name="差_2009-10均時產_T Lan (1)_綜合報表一2013-08-12_anh loc" xfId="1972"/>
    <cellStyle name="差_2009-10均時產_T Lan (1)_綜合報表一2013-08-12_anh loc_1" xfId="1973"/>
    <cellStyle name="差_2009-10均時產_T Lan (1)_綜合報表一2013-08-12_綜合報表一2014-11-1" xfId="1974"/>
    <cellStyle name="差_2009-10均時產_T Lan (1)_綜合報表一2013-08-13" xfId="1975"/>
    <cellStyle name="差_2009-10均時產_T Lan_anh loc" xfId="1976"/>
    <cellStyle name="差_2009-10均時產_T Lan_綜合報表一2013-08-12" xfId="1977"/>
    <cellStyle name="差_2009-10均時產_T Lan_綜合報表一2013-08-12_anh loc" xfId="1978"/>
    <cellStyle name="差_2009-10均時產_T Lan_綜合報表一2013-08-12_anh loc_1" xfId="1979"/>
    <cellStyle name="差_2009-10均時產_T Lan_綜合報表一2013-08-12_綜合報表一2014-11-1" xfId="1980"/>
    <cellStyle name="差_2009-10均時產_T Lan_綜合報表一2013-08-13" xfId="1981"/>
    <cellStyle name="差_2009-10均時產_thanh lan (2)" xfId="1982"/>
    <cellStyle name="差_2009-10均時產_thanh lan (2)_anh loc" xfId="1983"/>
    <cellStyle name="差_2009-10均時產_thanh lan (2)_綜合報表一2013-08-12" xfId="1984"/>
    <cellStyle name="差_2009-10均時產_thanh lan (2)_綜合報表一2013-08-12_anh loc" xfId="1985"/>
    <cellStyle name="差_2009-10均時產_thanh lan (2)_綜合報表一2013-08-12_anh loc_1" xfId="1986"/>
    <cellStyle name="差_2009-10均時產_thanh lan (2)_綜合報表一2013-08-12_綜合報表一2014-11-1" xfId="1987"/>
    <cellStyle name="差_2009-10均時產_thanh lan (2)_綜合報表一2013-08-13" xfId="1988"/>
    <cellStyle name="差_2009-12-8" xfId="1989"/>
    <cellStyle name="差_2009-12-8_anh loc" xfId="1990"/>
    <cellStyle name="差_2009-12-8_綜合報表一2013-08-12" xfId="1991"/>
    <cellStyle name="差_2009-12-8_綜合報表一2013-08-12_anh loc" xfId="1992"/>
    <cellStyle name="差_2009-12-8_綜合報表一2013-08-12_anh loc_1" xfId="1993"/>
    <cellStyle name="差_2009-12-8_綜合報表一2013-08-12_綜合報表一2014-11-1" xfId="1994"/>
    <cellStyle name="差_2009-12-8_綜合報表一2013-08-13" xfId="1995"/>
    <cellStyle name="差_2010-1-23" xfId="1996"/>
    <cellStyle name="差_2010-1-23_anh loc" xfId="1997"/>
    <cellStyle name="差_2010-1-23_綜合報表一2013-08-12" xfId="1998"/>
    <cellStyle name="差_2010-1-23_綜合報表一2013-08-12_anh loc" xfId="1999"/>
    <cellStyle name="差_2010-1-23_綜合報表一2013-08-12_anh loc_1" xfId="2000"/>
    <cellStyle name="差_2010-1-23_綜合報表一2013-08-12_綜合報表一2014-11-1" xfId="2001"/>
    <cellStyle name="差_2010-1-23_綜合報表一2013-08-13" xfId="2002"/>
    <cellStyle name="差_6-1.月份KPI評比" xfId="2003"/>
    <cellStyle name="差_成品倉2009-10-13-ktp" xfId="2004"/>
    <cellStyle name="差_成品倉2009-10-13-ktp_1" xfId="2005"/>
    <cellStyle name="差_成品倉2009-10-13-ktp_1_anh loc" xfId="2006"/>
    <cellStyle name="差_成品倉2009-10-13-ktp_1_綜合報表一2013-08-12" xfId="2007"/>
    <cellStyle name="差_成品倉2009-10-13-ktp_1_綜合報表一2013-08-12_anh loc" xfId="2008"/>
    <cellStyle name="差_成品倉2009-10-13-ktp_1_綜合報表一2013-08-12_anh loc_1" xfId="2009"/>
    <cellStyle name="差_成品倉2009-10-13-ktp_1_綜合報表一2013-08-12_綜合報表一2014-11-1" xfId="2010"/>
    <cellStyle name="差_成品倉2009-10-13-ktp_1_綜合報表一2013-08-13" xfId="2011"/>
    <cellStyle name="差_成品倉2009-10-17ktp" xfId="2012"/>
    <cellStyle name="差_成品倉2009-10-17ktp_anh loc" xfId="2013"/>
    <cellStyle name="差_成品倉2009-10-17ktp_綜合報表一2013-08-12" xfId="2014"/>
    <cellStyle name="差_成品倉2009-10-17ktp_綜合報表一2013-08-12_anh loc" xfId="2015"/>
    <cellStyle name="差_成品倉2009-10-17ktp_綜合報表一2013-08-12_anh loc_1" xfId="2016"/>
    <cellStyle name="差_成品倉2009-10-17ktp_綜合報表一2013-08-12_綜合報表一2014-11-1" xfId="2017"/>
    <cellStyle name="差_成品倉2009-10-17ktp_綜合報表一2013-08-13" xfId="2018"/>
    <cellStyle name="差_成品倉2009-120tp" xfId="2019"/>
    <cellStyle name="差_成品倉2009-120tp_anh loc" xfId="2020"/>
    <cellStyle name="差_成品倉2009-120tp_綜合報表一2013-08-12" xfId="2021"/>
    <cellStyle name="差_成品倉2009-120tp_綜合報表一2013-08-12_anh loc" xfId="2022"/>
    <cellStyle name="差_成品倉2009-120tp_綜合報表一2013-08-12_anh loc_1" xfId="2023"/>
    <cellStyle name="差_成品倉2009-120tp_綜合報表一2013-08-12_綜合報表一2014-11-1" xfId="2024"/>
    <cellStyle name="差_成品倉2009-120tp_綜合報表一2013-08-13" xfId="2025"/>
    <cellStyle name="差_綜合報表2009-08-01" xfId="2026"/>
    <cellStyle name="差_億春公司各品牌業務接單及生產分析表9-19" xfId="2027"/>
    <cellStyle name="差_億春公司各品牌業務接單及生產分析表9-19_2009-10-12綜合報表" xfId="2028"/>
    <cellStyle name="差_億春公司各品牌業務接單及生產分析表9-19_2009-10-16綜合報表" xfId="2029"/>
    <cellStyle name="差_億春公司各品牌業務接單及生產分析表9-19_2009-11-04綜合報表" xfId="2030"/>
    <cellStyle name="差_億春公司各品牌業務接單及生產分析表9-19_2009-11-30綜合報表" xfId="2031"/>
    <cellStyle name="差_億春公司各品牌業務接單及生產分析表9-19_2009-11-7(1)" xfId="2032"/>
    <cellStyle name="差_億春公司各品牌業務接單及生產分析表9-19_2009-20-11(1)" xfId="2033"/>
    <cellStyle name="差_億春公司各品牌業務接單及生產分析表9-19_9876543 (ExcelFIX)" xfId="2034"/>
    <cellStyle name="差_億春公司各品牌業務接單及生產分析表9-19_T Lan" xfId="2035"/>
    <cellStyle name="差_億春公司各品牌業務接單及生產分析表9-19_T Lan (1)" xfId="2036"/>
    <cellStyle name="差_億春公司各品牌業務接單及生產分析表9-19_thanh lan (2)" xfId="2037"/>
    <cellStyle name="差_億春公司各品牌業務接單及生產分析表9-19_企劃生管-阿綠的報表10-22" xfId="2038"/>
    <cellStyle name="差_億春公司各品牌業務接單及生產分析表9-19_企劃生管-阿綠的報表11-04 (2)" xfId="2039"/>
    <cellStyle name="差_億春公司各品牌業務接單及生產分析表9-19_企劃生管-阿綠的報表11-05" xfId="2040"/>
    <cellStyle name="差_億春公司各品牌業務接單及生產分析表9-19_企劃生管-阿綠的報表11-06" xfId="2041"/>
    <cellStyle name="差_億春公司各品牌業務接單及生產分析表9-19_企劃生管-阿綠的報表11-09" xfId="2042"/>
    <cellStyle name="差_億春公司各品牌業務接單及生產分析表9-19_企劃生管-阿綠的報表11-10" xfId="2043"/>
    <cellStyle name="差_億春公司各品牌業務接單及生產分析表9-19_企劃生管-阿綠的報表11-11" xfId="2044"/>
    <cellStyle name="差_億春公司各品牌業務接單及生產分析表9-19_企劃生管-阿綠的報表11-14" xfId="2045"/>
    <cellStyle name="差_億春公司各品牌業務接單及生產分析表9-19_企劃生管-阿綠的報表12-01" xfId="2046"/>
    <cellStyle name="差_億春公司各品牌業務接單及生產分析表9-19_複製 -2009-11-10綜合報表" xfId="2047"/>
    <cellStyle name="差_億春公司各品牌業務接單及生產分析表9-23 (2)" xfId="2048"/>
    <cellStyle name="差_億春公司各品牌業務接單及生產分析表9-23 (2)_2009-10-12綜合報表" xfId="2049"/>
    <cellStyle name="差_億春公司各品牌業務接單及生產分析表9-23 (2)_9876543 (ExcelFIX)" xfId="2050"/>
    <cellStyle name="差_億春公司各品牌業務接單及生產分析表9-23 (2)_9876543 (ExcelFIX)_2009-10-12綜合報表" xfId="2051"/>
    <cellStyle name="差_億春公司各品牌業務接單及生產分析表9-23 (2)_9876543 (ExcelFIX)_2009-10-16綜合報表" xfId="2052"/>
    <cellStyle name="差_億春公司各品牌業務接單及生產分析表9-23 (2)_9876543 (ExcelFIX)_2009-11-04綜合報表" xfId="2053"/>
    <cellStyle name="差_億春公司各品牌業務接單及生產分析表9-23 (2)_9876543 (ExcelFIX)_2009-11-30綜合報表" xfId="2054"/>
    <cellStyle name="差_億春公司各品牌業務接單及生產分析表9-23 (2)_9876543 (ExcelFIX)_2009-11-7(1)" xfId="2055"/>
    <cellStyle name="差_億春公司各品牌業務接單及生產分析表9-23 (2)_9876543 (ExcelFIX)_2009-20-11(1)" xfId="2056"/>
    <cellStyle name="差_億春公司各品牌業務接單及生產分析表9-23 (2)_9876543 (ExcelFIX)_T Lan" xfId="2057"/>
    <cellStyle name="差_億春公司各品牌業務接單及生產分析表9-23 (2)_9876543 (ExcelFIX)_T Lan (1)" xfId="2058"/>
    <cellStyle name="差_億春公司各品牌業務接單及生產分析表9-23 (2)_9876543 (ExcelFIX)_thanh lan (2)" xfId="2059"/>
    <cellStyle name="差_億春公司各品牌業務接單及生產分析表9-23 (2)_9876543 (ExcelFIX)_企劃生管-阿綠的報表10-22" xfId="2060"/>
    <cellStyle name="差_億春公司各品牌業務接單及生產分析表9-23 (2)_9876543 (ExcelFIX)_企劃生管-阿綠的報表11-04 (2)" xfId="2061"/>
    <cellStyle name="差_億春公司各品牌業務接單及生產分析表9-23 (2)_9876543 (ExcelFIX)_企劃生管-阿綠的報表11-05" xfId="2062"/>
    <cellStyle name="差_億春公司各品牌業務接單及生產分析表9-23 (2)_9876543 (ExcelFIX)_企劃生管-阿綠的報表11-06" xfId="2063"/>
    <cellStyle name="差_億春公司各品牌業務接單及生產分析表9-23 (2)_9876543 (ExcelFIX)_企劃生管-阿綠的報表11-09" xfId="2064"/>
    <cellStyle name="差_億春公司各品牌業務接單及生產分析表9-23 (2)_9876543 (ExcelFIX)_企劃生管-阿綠的報表11-10" xfId="2065"/>
    <cellStyle name="差_億春公司各品牌業務接單及生產分析表9-23 (2)_9876543 (ExcelFIX)_企劃生管-阿綠的報表11-11" xfId="2066"/>
    <cellStyle name="差_億春公司各品牌業務接單及生產分析表9-23 (2)_9876543 (ExcelFIX)_企劃生管-阿綠的報表11-14" xfId="2067"/>
    <cellStyle name="差_億春公司各品牌業務接單及生產分析表9-23 (2)_9876543 (ExcelFIX)_企劃生管-阿綠的報表12-01" xfId="2068"/>
    <cellStyle name="差_億春公司各品牌業務接單及生產分析表9-23 (2)_9876543 (ExcelFIX)_複製 -2009-11-10綜合報表" xfId="2069"/>
    <cellStyle name="差_億春公司各品牌業務接單及生產分析表9-23 (2)_T Lan" xfId="2070"/>
    <cellStyle name="差_億春公司各品牌業務接單及生產分析表9-23 (2)_T Lan (1)" xfId="2071"/>
    <cellStyle name="差_億春公司各品牌業務接單及生產分析表9-23 (2)_thanh lan (2)" xfId="2072"/>
    <cellStyle name="差_複製 -09- 綜合報表" xfId="2073"/>
    <cellStyle name="差_複製 -11月份各廠KPI評比狀況" xfId="2074"/>
    <cellStyle name="适中" xfId="2075"/>
    <cellStyle name="强调文字颜色 1" xfId="2081"/>
    <cellStyle name="强调文字颜色 2" xfId="2082"/>
    <cellStyle name="强调文字颜色 3" xfId="2083"/>
    <cellStyle name="强调文字颜色 4" xfId="2084"/>
    <cellStyle name="强调文字颜色 5" xfId="2085"/>
    <cellStyle name="强调文字颜色 6" xfId="2086"/>
    <cellStyle name="超連結" xfId="18" builtinId="8"/>
    <cellStyle name="超連結_2009-12-16綜合報表" xfId="19"/>
    <cellStyle name="解释性文本" xfId="2076"/>
    <cellStyle name="输入" xfId="2096"/>
    <cellStyle name="输出" xfId="2097"/>
    <cellStyle name="樣式 1" xfId="20"/>
    <cellStyle name="樣式 1 2" xfId="2077"/>
    <cellStyle name="樣式 1 3" xfId="2078"/>
    <cellStyle name="樣式 1 4" xfId="2149"/>
    <cellStyle name="樣式 1_BCNS T3 MOI" xfId="2079"/>
    <cellStyle name="警告文本" xfId="2080"/>
    <cellStyle name="标题" xfId="2087"/>
    <cellStyle name="标题 1" xfId="2088"/>
    <cellStyle name="标题 2" xfId="2089"/>
    <cellStyle name="标题 3" xfId="2090"/>
    <cellStyle name="标题 4" xfId="2091"/>
    <cellStyle name="标题_2009-10-13" xfId="2092"/>
    <cellStyle name="检查单元格" xfId="2093"/>
    <cellStyle name="汇总" xfId="2094"/>
    <cellStyle name="计算" xfId="2095"/>
    <cellStyle name="链接单元格" xfId="2098"/>
  </cellStyles>
  <dxfs count="0"/>
  <tableStyles count="0" defaultTableStyle="TableStyleMedium9" defaultPivotStyle="PivotStyleLight16"/>
  <colors>
    <mruColors>
      <color rgb="FF0000CC"/>
      <color rgb="FFFF00FF"/>
      <color rgb="FFFF66FF"/>
      <color rgb="FFFF99FF"/>
      <color rgb="FFFFFF99"/>
      <color rgb="FFFFFFCC"/>
      <color rgb="FFCCFF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plotArea>
      <c:layout/>
      <c:lineChart>
        <c:grouping val="standard"/>
        <c:ser>
          <c:idx val="0"/>
          <c:order val="0"/>
          <c:tx>
            <c:strRef>
              <c:f>'C:\Documents and Settings\21048\Local Settings\Temporary Internet Files\Content.IE5\01WN8V4T\BB t3\[綜合報表一03-15...xls]5-7線均產量 '!$A$5:$C$5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1"/>
          <c:tx>
            <c:strRef>
              <c:f>'C:\Documents and Settings\21048\Local Settings\Temporary Internet Files\Content.IE5\01WN8V4T\BB t3\[綜合報表一03-15...xls]5-7線均產量 '!$A$8:$C$8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6"/>
          <c:order val="2"/>
          <c:tx>
            <c:strRef>
              <c:f>'C:\Documents and Settings\21048\Local Settings\Temporary Internet Files\Content.IE5\01WN8V4T\BB t3\[綜合報表一03-15...xls]5-7線均產量 '!$A$14:$C$14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0"/>
          <c:order val="3"/>
          <c:tx>
            <c:strRef>
              <c:f>'C:\Documents and Settings\21048\Local Settings\Temporary Internet Files\Content.IE5\01WN8V4T\BB t3\[綜合報表一03-15...xls]5-7線均產量 '!$A$17:$C$17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4"/>
          <c:tx>
            <c:strRef>
              <c:f>'C:\Documents and Settings\21048\Local Settings\Temporary Internet Files\Content.IE5\01WN8V4T\BB t3\[綜合報表一03-15...xls]5-7線均產量 '!$A$11:$C$11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5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8"/>
          <c:order val="6"/>
          <c:spPr>
            <a:ln w="12700">
              <a:solidFill>
                <a:srgbClr val="FF00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7"/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marker val="1"/>
        <c:axId val="86512768"/>
        <c:axId val="86514688"/>
      </c:lineChart>
      <c:catAx>
        <c:axId val="86512768"/>
        <c:scaling>
          <c:orientation val="minMax"/>
        </c:scaling>
        <c:delete val="1"/>
        <c:axPos val="t"/>
        <c:numFmt formatCode="General" sourceLinked="1"/>
        <c:tickLblPos val="none"/>
        <c:crossAx val="86514688"/>
        <c:crosses val="max"/>
        <c:auto val="1"/>
        <c:lblAlgn val="ctr"/>
        <c:lblOffset val="100"/>
      </c:catAx>
      <c:valAx>
        <c:axId val="86514688"/>
        <c:scaling>
          <c:orientation val="minMax"/>
          <c:max val="1900"/>
          <c:min val="3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TW" sz="200" b="0" i="0" u="none" strike="noStrike" baseline="0">
                <a:solidFill>
                  <a:srgbClr val="000000"/>
                </a:solidFill>
                <a:latin typeface="!Ps2OcuAe"/>
                <a:ea typeface="!Ps2OcuAe"/>
                <a:cs typeface="!Ps2OcuAe"/>
              </a:defRPr>
            </a:pPr>
            <a:endParaRPr lang="zh-TW"/>
          </a:p>
        </c:txPr>
        <c:crossAx val="86512768"/>
        <c:crosses val="autoZero"/>
        <c:crossBetween val="between"/>
        <c:majorUnit val="100"/>
      </c:valAx>
      <c:spPr>
        <a:solidFill>
          <a:srgbClr val="C0C0C0"/>
        </a:solidFill>
        <a:ln w="25400">
          <a:solidFill>
            <a:srgbClr val="FF00FF"/>
          </a:solidFill>
          <a:prstDash val="solid"/>
        </a:ln>
      </c:spPr>
    </c:plotArea>
    <c:legend>
      <c:legendPos val="r"/>
      <c:legendEntry>
        <c:idx val="5"/>
        <c:delete val="1"/>
      </c:legendEntry>
      <c:legendEntry>
        <c:idx val="7"/>
        <c:delete val="1"/>
      </c:legendEntry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zh-TW" sz="110" b="0" i="0" u="none" strike="noStrike" baseline="0">
              <a:solidFill>
                <a:srgbClr val="000000"/>
              </a:solidFill>
              <a:latin typeface="!Ps2OcuAe"/>
              <a:ea typeface="!Ps2OcuAe"/>
              <a:cs typeface="!Ps2OcuAe"/>
            </a:defRPr>
          </a:pPr>
          <a:endParaRPr lang="zh-TW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!Ps2OcuAe"/>
          <a:ea typeface="!Ps2OcuAe"/>
          <a:cs typeface="!Ps2OcuAe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35</xdr:col>
      <xdr:colOff>0</xdr:colOff>
      <xdr:row>35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156;&#21512;&#22577;&#34920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21048/Local%20Settings/Temporary%20Internet%20Files/Content.IE5/01WN8V4T/BB%20t3/&#32156;&#21512;&#22577;&#34920;&#19968;03-15.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   錄"/>
      <sheetName val="1.月份產能總表"/>
      <sheetName val="2-1年度品牌報表 2016 "/>
      <sheetName val="2-2年度品牌報表 2017"/>
      <sheetName val="2-3月份預計出貨數量"/>
      <sheetName val="3-1.人員分攤"/>
      <sheetName val="3-2.A1廠人均時產 "/>
      <sheetName val="3-3.A2廠人均時產  "/>
      <sheetName val="3-4.B1廠人均時產"/>
      <sheetName val="3-5.B7廠人均時產"/>
      <sheetName val="3-6.總計產能  "/>
      <sheetName val="3-7線均產量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AI323">
            <v>0.41638229435391699</v>
          </cell>
        </row>
      </sheetData>
      <sheetData sheetId="9">
        <row r="334">
          <cell r="AI334">
            <v>1.1685485768054575</v>
          </cell>
        </row>
      </sheetData>
      <sheetData sheetId="10">
        <row r="74">
          <cell r="AI74">
            <v>0.46327545191067326</v>
          </cell>
        </row>
        <row r="77">
          <cell r="AI77">
            <v>0.5866614180263775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-7線均產量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C1091"/>
  <sheetViews>
    <sheetView workbookViewId="0">
      <selection activeCell="B13" sqref="B13"/>
    </sheetView>
  </sheetViews>
  <sheetFormatPr defaultColWidth="9.140625" defaultRowHeight="14.25"/>
  <cols>
    <col min="1" max="1" width="5.5703125" style="14" bestFit="1" customWidth="1"/>
    <col min="2" max="2" width="31" style="18" customWidth="1"/>
    <col min="3" max="3" width="11.42578125" style="16" customWidth="1"/>
    <col min="4" max="11" width="7.5703125" style="16" customWidth="1"/>
    <col min="12" max="12" width="8.85546875" style="16" bestFit="1" customWidth="1"/>
    <col min="13" max="13" width="8.140625" style="16" bestFit="1" customWidth="1"/>
    <col min="14" max="16384" width="9.140625" style="16"/>
  </cols>
  <sheetData>
    <row r="1" spans="1:3" s="15" customFormat="1" ht="25.5">
      <c r="A1" s="340" t="s">
        <v>23</v>
      </c>
      <c r="B1" s="340"/>
      <c r="C1" s="340"/>
    </row>
    <row r="2" spans="1:3" ht="21" customHeight="1">
      <c r="A2" s="13" t="s">
        <v>0</v>
      </c>
      <c r="B2" s="27" t="s">
        <v>2</v>
      </c>
      <c r="C2" s="1" t="s">
        <v>1</v>
      </c>
    </row>
    <row r="3" spans="1:3" ht="22.5" customHeight="1">
      <c r="A3" s="20">
        <v>1</v>
      </c>
      <c r="B3" s="11" t="s">
        <v>18</v>
      </c>
      <c r="C3" s="19"/>
    </row>
    <row r="4" spans="1:3" ht="22.5" customHeight="1">
      <c r="A4" s="341">
        <v>2</v>
      </c>
      <c r="B4" s="11" t="s">
        <v>42</v>
      </c>
      <c r="C4" s="19"/>
    </row>
    <row r="5" spans="1:3" ht="22.5" customHeight="1">
      <c r="A5" s="341"/>
      <c r="B5" s="22" t="s">
        <v>41</v>
      </c>
      <c r="C5" s="19"/>
    </row>
    <row r="6" spans="1:3" ht="22.5" customHeight="1">
      <c r="A6" s="341">
        <v>3</v>
      </c>
      <c r="B6" s="11" t="s">
        <v>98</v>
      </c>
      <c r="C6" s="19"/>
    </row>
    <row r="7" spans="1:3" ht="22.5" customHeight="1">
      <c r="A7" s="342"/>
      <c r="B7" s="11" t="s">
        <v>132</v>
      </c>
      <c r="C7" s="19"/>
    </row>
    <row r="8" spans="1:3" ht="22.5" customHeight="1">
      <c r="A8" s="341"/>
      <c r="B8" s="11" t="s">
        <v>133</v>
      </c>
      <c r="C8" s="19"/>
    </row>
    <row r="9" spans="1:3" ht="22.5" customHeight="1">
      <c r="A9" s="342"/>
      <c r="B9" s="11" t="s">
        <v>134</v>
      </c>
      <c r="C9" s="19"/>
    </row>
    <row r="10" spans="1:3" ht="22.5" customHeight="1">
      <c r="A10" s="341"/>
      <c r="B10" s="11" t="s">
        <v>135</v>
      </c>
      <c r="C10" s="19"/>
    </row>
    <row r="11" spans="1:3" ht="22.5" customHeight="1">
      <c r="A11" s="342"/>
      <c r="B11" s="11" t="s">
        <v>136</v>
      </c>
      <c r="C11" s="19"/>
    </row>
    <row r="12" spans="1:3" ht="22.5" customHeight="1">
      <c r="A12" s="341"/>
      <c r="B12" s="11" t="s">
        <v>137</v>
      </c>
      <c r="C12" s="19"/>
    </row>
    <row r="13" spans="1:3" ht="16.5">
      <c r="A13" s="107">
        <v>5</v>
      </c>
      <c r="B13" s="11" t="s">
        <v>93</v>
      </c>
      <c r="C13" s="133"/>
    </row>
    <row r="1091" ht="15.75" customHeight="1"/>
  </sheetData>
  <mergeCells count="3">
    <mergeCell ref="A1:C1"/>
    <mergeCell ref="A4:A5"/>
    <mergeCell ref="A6:A12"/>
  </mergeCells>
  <phoneticPr fontId="31" type="noConversion"/>
  <hyperlinks>
    <hyperlink ref="B3" location="'1.月份產能總表'!A1" display="1.月份產能總表"/>
    <hyperlink ref="B4" location="'2.1年度品牌報表'!A1" display="2.1年度品牌報表"/>
    <hyperlink ref="B6" location="'3-1.人員刷卡出勤'!A1" display="3-1.人員刷卡出勤"/>
    <hyperlink ref="B8" location="'3.3.A2廠人均時產能-針車'!A1" display="3.3.A2廠人均時產能-針車"/>
    <hyperlink ref="B10" location="'3.5.A2廠人均時產能-成型'!A1" display="3.5.A2廠人均時產能-成型"/>
    <hyperlink ref="B12" location="'3.7.A廠人員分攤POH產能'!A1" display="3.7.A廠人員分攤POH產能"/>
    <hyperlink ref="B5" location="'2.2月份預計出貨數量'!A1" display="2.2月份預計出貨數量"/>
    <hyperlink ref="B13" location="'5.1 全廠線均產能'!A1" display="5.1.全廠線均產能"/>
    <hyperlink ref="B9" location="'3.4 A1廠人均時產能-成型'!A1" display="3.4.A1廠人均時產能-成型"/>
    <hyperlink ref="B7" location="'3.2.A1廠人均時產能-針車'!A1" display="3.2.A1廠人均時產能-針車"/>
    <hyperlink ref="B11" location="'3.6.A廠總計產能'!A1" display="3.6.A廠總計產能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00FF"/>
  </sheetPr>
  <dimension ref="A1:AI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/>
  <cols>
    <col min="1" max="1" width="9.140625" style="6"/>
    <col min="2" max="2" width="16" style="6" bestFit="1" customWidth="1"/>
    <col min="3" max="4" width="7.7109375" style="6" customWidth="1"/>
    <col min="5" max="35" width="5.7109375" style="6" customWidth="1"/>
    <col min="36" max="36" width="7.7109375" style="6" bestFit="1" customWidth="1"/>
    <col min="37" max="16384" width="9.140625" style="6"/>
  </cols>
  <sheetData>
    <row r="1" spans="1:35" ht="27.75">
      <c r="A1" s="344" t="s">
        <v>4</v>
      </c>
      <c r="B1" s="345"/>
    </row>
    <row r="2" spans="1:35" s="7" customFormat="1" ht="29.25" customHeight="1">
      <c r="A2" s="29" t="s">
        <v>55</v>
      </c>
    </row>
    <row r="3" spans="1:35" s="12" customFormat="1" ht="18" customHeight="1">
      <c r="A3" s="346" t="s">
        <v>24</v>
      </c>
      <c r="B3" s="346"/>
      <c r="C3" s="77" t="s">
        <v>56</v>
      </c>
      <c r="D3" s="77" t="s">
        <v>57</v>
      </c>
      <c r="E3" s="77">
        <v>1</v>
      </c>
      <c r="F3" s="77">
        <v>2</v>
      </c>
      <c r="G3" s="77">
        <v>3</v>
      </c>
      <c r="H3" s="77">
        <v>4</v>
      </c>
      <c r="I3" s="77">
        <v>5</v>
      </c>
      <c r="J3" s="77">
        <v>6</v>
      </c>
      <c r="K3" s="77">
        <v>7</v>
      </c>
      <c r="L3" s="77">
        <v>8</v>
      </c>
      <c r="M3" s="77">
        <v>9</v>
      </c>
      <c r="N3" s="77">
        <v>10</v>
      </c>
      <c r="O3" s="77">
        <v>11</v>
      </c>
      <c r="P3" s="77">
        <v>12</v>
      </c>
      <c r="Q3" s="77">
        <v>13</v>
      </c>
      <c r="R3" s="77">
        <v>14</v>
      </c>
      <c r="S3" s="77">
        <v>15</v>
      </c>
      <c r="T3" s="77">
        <v>16</v>
      </c>
      <c r="U3" s="77">
        <v>17</v>
      </c>
      <c r="V3" s="77">
        <v>18</v>
      </c>
      <c r="W3" s="77">
        <v>19</v>
      </c>
      <c r="X3" s="77">
        <v>20</v>
      </c>
      <c r="Y3" s="77">
        <v>21</v>
      </c>
      <c r="Z3" s="77">
        <v>22</v>
      </c>
      <c r="AA3" s="77">
        <v>23</v>
      </c>
      <c r="AB3" s="77">
        <v>24</v>
      </c>
      <c r="AC3" s="77">
        <v>25</v>
      </c>
      <c r="AD3" s="77">
        <v>26</v>
      </c>
      <c r="AE3" s="78">
        <v>27</v>
      </c>
      <c r="AF3" s="78">
        <v>28</v>
      </c>
      <c r="AG3" s="78">
        <v>29</v>
      </c>
      <c r="AH3" s="78">
        <v>30</v>
      </c>
      <c r="AI3" s="78">
        <v>31</v>
      </c>
    </row>
    <row r="4" spans="1:35" s="30" customFormat="1" ht="20.100000000000001" customHeight="1">
      <c r="A4" s="347" t="s">
        <v>59</v>
      </c>
      <c r="B4" s="79" t="s">
        <v>58</v>
      </c>
      <c r="C4" s="80">
        <v>654880</v>
      </c>
      <c r="D4" s="80">
        <v>36382.199999999997</v>
      </c>
      <c r="E4" s="80">
        <v>37232</v>
      </c>
      <c r="F4" s="80">
        <v>37024</v>
      </c>
      <c r="G4" s="80">
        <v>37520</v>
      </c>
      <c r="H4" s="80">
        <v>37216</v>
      </c>
      <c r="I4" s="80"/>
      <c r="J4" s="80">
        <v>36968</v>
      </c>
      <c r="K4" s="80">
        <v>36856</v>
      </c>
      <c r="L4" s="80">
        <v>37312</v>
      </c>
      <c r="M4" s="80">
        <v>36976</v>
      </c>
      <c r="N4" s="80">
        <v>37048</v>
      </c>
      <c r="O4" s="80">
        <v>37040</v>
      </c>
      <c r="P4" s="80"/>
      <c r="Q4" s="80">
        <v>36880</v>
      </c>
      <c r="R4" s="80">
        <v>37128</v>
      </c>
      <c r="S4" s="80">
        <v>36536</v>
      </c>
      <c r="T4" s="80">
        <v>35920</v>
      </c>
      <c r="U4" s="80">
        <v>35256</v>
      </c>
      <c r="V4" s="80">
        <v>34600</v>
      </c>
      <c r="W4" s="80"/>
      <c r="X4" s="80">
        <v>34024</v>
      </c>
      <c r="Y4" s="80">
        <v>33344</v>
      </c>
      <c r="Z4" s="80"/>
      <c r="AA4" s="80"/>
      <c r="AB4" s="80"/>
      <c r="AC4" s="80"/>
      <c r="AD4" s="80"/>
      <c r="AE4" s="81"/>
      <c r="AF4" s="81"/>
      <c r="AG4" s="82"/>
      <c r="AH4" s="83"/>
      <c r="AI4" s="83"/>
    </row>
    <row r="5" spans="1:35" s="30" customFormat="1" ht="20.100000000000001" customHeight="1">
      <c r="A5" s="347"/>
      <c r="B5" s="84" t="s">
        <v>62</v>
      </c>
      <c r="C5" s="85">
        <v>592900</v>
      </c>
      <c r="D5" s="85">
        <v>32938.9</v>
      </c>
      <c r="E5" s="85">
        <v>33220</v>
      </c>
      <c r="F5" s="85">
        <v>34720</v>
      </c>
      <c r="G5" s="85">
        <v>35240</v>
      </c>
      <c r="H5" s="85">
        <v>35240</v>
      </c>
      <c r="I5" s="85"/>
      <c r="J5" s="85">
        <v>34900</v>
      </c>
      <c r="K5" s="85">
        <v>34900</v>
      </c>
      <c r="L5" s="85">
        <v>35200</v>
      </c>
      <c r="M5" s="85">
        <v>35020</v>
      </c>
      <c r="N5" s="85">
        <v>35020</v>
      </c>
      <c r="O5" s="85">
        <v>34160</v>
      </c>
      <c r="P5" s="85"/>
      <c r="Q5" s="85">
        <v>34480</v>
      </c>
      <c r="R5" s="85">
        <v>33600</v>
      </c>
      <c r="S5" s="85">
        <v>33440</v>
      </c>
      <c r="T5" s="85">
        <v>30700</v>
      </c>
      <c r="U5" s="85">
        <v>30260</v>
      </c>
      <c r="V5" s="85">
        <v>29720</v>
      </c>
      <c r="W5" s="85"/>
      <c r="X5" s="85">
        <v>26460</v>
      </c>
      <c r="Y5" s="85">
        <v>26620</v>
      </c>
      <c r="Z5" s="85">
        <v>26840</v>
      </c>
      <c r="AA5" s="85">
        <v>27840</v>
      </c>
      <c r="AB5" s="85">
        <v>28180</v>
      </c>
      <c r="AC5" s="85">
        <v>27820</v>
      </c>
      <c r="AD5" s="85"/>
      <c r="AE5" s="85">
        <v>26964</v>
      </c>
      <c r="AF5" s="85">
        <v>27624</v>
      </c>
      <c r="AG5" s="86">
        <v>28272</v>
      </c>
      <c r="AH5" s="87">
        <v>28272</v>
      </c>
      <c r="AI5" s="88">
        <v>28272</v>
      </c>
    </row>
    <row r="6" spans="1:35" s="30" customFormat="1" ht="20.100000000000001" customHeight="1">
      <c r="A6" s="347"/>
      <c r="B6" s="89" t="s">
        <v>33</v>
      </c>
      <c r="C6" s="90">
        <v>582898</v>
      </c>
      <c r="D6" s="90">
        <v>32383.200000000001</v>
      </c>
      <c r="E6" s="90">
        <v>32950</v>
      </c>
      <c r="F6" s="90">
        <v>35030</v>
      </c>
      <c r="G6" s="90">
        <v>35346</v>
      </c>
      <c r="H6" s="90">
        <v>35509</v>
      </c>
      <c r="I6" s="90"/>
      <c r="J6" s="90">
        <v>36824</v>
      </c>
      <c r="K6" s="90">
        <v>35486</v>
      </c>
      <c r="L6" s="90">
        <v>34787</v>
      </c>
      <c r="M6" s="90">
        <v>33670</v>
      </c>
      <c r="N6" s="90">
        <v>34263</v>
      </c>
      <c r="O6" s="90">
        <v>33989</v>
      </c>
      <c r="P6" s="90"/>
      <c r="Q6" s="90">
        <v>34078</v>
      </c>
      <c r="R6" s="90">
        <v>30035</v>
      </c>
      <c r="S6" s="90">
        <v>31537</v>
      </c>
      <c r="T6" s="90">
        <v>30298</v>
      </c>
      <c r="U6" s="90">
        <v>30450</v>
      </c>
      <c r="V6" s="90">
        <v>29240</v>
      </c>
      <c r="W6" s="90"/>
      <c r="X6" s="90">
        <v>24522</v>
      </c>
      <c r="Y6" s="90">
        <v>24884</v>
      </c>
      <c r="Z6" s="90"/>
      <c r="AA6" s="90"/>
      <c r="AB6" s="90"/>
      <c r="AC6" s="90"/>
      <c r="AD6" s="90"/>
      <c r="AE6" s="91"/>
      <c r="AF6" s="92"/>
      <c r="AG6" s="92"/>
      <c r="AH6" s="93"/>
      <c r="AI6" s="93"/>
    </row>
    <row r="7" spans="1:35" s="30" customFormat="1" ht="20.100000000000001" customHeight="1">
      <c r="A7" s="347"/>
      <c r="B7" s="94" t="s">
        <v>34</v>
      </c>
      <c r="C7" s="95">
        <v>-10002</v>
      </c>
      <c r="D7" s="95">
        <v>-555.70000000000005</v>
      </c>
      <c r="E7" s="95">
        <v>-270</v>
      </c>
      <c r="F7" s="95">
        <v>310</v>
      </c>
      <c r="G7" s="95">
        <v>106</v>
      </c>
      <c r="H7" s="95">
        <v>269</v>
      </c>
      <c r="I7" s="95"/>
      <c r="J7" s="95">
        <v>1924</v>
      </c>
      <c r="K7" s="95">
        <v>586</v>
      </c>
      <c r="L7" s="95">
        <v>-413</v>
      </c>
      <c r="M7" s="95">
        <v>-1350</v>
      </c>
      <c r="N7" s="95">
        <v>-757</v>
      </c>
      <c r="O7" s="95">
        <v>-171</v>
      </c>
      <c r="P7" s="95"/>
      <c r="Q7" s="95">
        <v>-402</v>
      </c>
      <c r="R7" s="95">
        <v>-3565</v>
      </c>
      <c r="S7" s="95">
        <v>-1903</v>
      </c>
      <c r="T7" s="95">
        <v>-402</v>
      </c>
      <c r="U7" s="95">
        <v>190</v>
      </c>
      <c r="V7" s="95">
        <v>-480</v>
      </c>
      <c r="W7" s="95"/>
      <c r="X7" s="95">
        <v>-1938</v>
      </c>
      <c r="Y7" s="95">
        <v>-1736</v>
      </c>
      <c r="Z7" s="95"/>
      <c r="AA7" s="95"/>
      <c r="AB7" s="95"/>
      <c r="AC7" s="95"/>
      <c r="AD7" s="95"/>
      <c r="AE7" s="96"/>
      <c r="AF7" s="96"/>
      <c r="AG7" s="96"/>
      <c r="AH7" s="93"/>
      <c r="AI7" s="93"/>
    </row>
    <row r="8" spans="1:35" s="30" customFormat="1" ht="20.100000000000001" customHeight="1">
      <c r="A8" s="347"/>
      <c r="B8" s="94" t="s">
        <v>35</v>
      </c>
      <c r="C8" s="95">
        <v>-71982</v>
      </c>
      <c r="D8" s="95">
        <v>-3999</v>
      </c>
      <c r="E8" s="95">
        <v>-4282</v>
      </c>
      <c r="F8" s="95">
        <v>-1994</v>
      </c>
      <c r="G8" s="95">
        <v>-2174</v>
      </c>
      <c r="H8" s="95">
        <v>-1707</v>
      </c>
      <c r="I8" s="95"/>
      <c r="J8" s="95">
        <v>-144</v>
      </c>
      <c r="K8" s="95">
        <v>-1370</v>
      </c>
      <c r="L8" s="95">
        <v>-2525</v>
      </c>
      <c r="M8" s="95">
        <v>-3306</v>
      </c>
      <c r="N8" s="95">
        <v>-2785</v>
      </c>
      <c r="O8" s="95">
        <v>-3051</v>
      </c>
      <c r="P8" s="95"/>
      <c r="Q8" s="95">
        <v>-2802</v>
      </c>
      <c r="R8" s="95">
        <v>-7093</v>
      </c>
      <c r="S8" s="95">
        <v>-4999</v>
      </c>
      <c r="T8" s="95">
        <v>-5622</v>
      </c>
      <c r="U8" s="95">
        <v>-4806</v>
      </c>
      <c r="V8" s="95">
        <v>-5360</v>
      </c>
      <c r="W8" s="95"/>
      <c r="X8" s="95">
        <v>-9502</v>
      </c>
      <c r="Y8" s="95">
        <v>-8460</v>
      </c>
      <c r="Z8" s="95"/>
      <c r="AA8" s="95"/>
      <c r="AB8" s="95"/>
      <c r="AC8" s="95"/>
      <c r="AD8" s="95"/>
      <c r="AE8" s="96"/>
      <c r="AF8" s="96"/>
      <c r="AG8" s="96"/>
      <c r="AH8" s="93"/>
      <c r="AI8" s="93"/>
    </row>
    <row r="9" spans="1:35" s="30" customFormat="1" ht="20.100000000000001" customHeight="1">
      <c r="A9" s="347"/>
      <c r="B9" s="89" t="s">
        <v>36</v>
      </c>
      <c r="C9" s="97">
        <v>98</v>
      </c>
      <c r="D9" s="97">
        <v>98</v>
      </c>
      <c r="E9" s="97">
        <v>99</v>
      </c>
      <c r="F9" s="97">
        <v>100</v>
      </c>
      <c r="G9" s="97">
        <v>100</v>
      </c>
      <c r="H9" s="97">
        <v>100</v>
      </c>
      <c r="I9" s="97"/>
      <c r="J9" s="97">
        <v>105</v>
      </c>
      <c r="K9" s="97">
        <v>101</v>
      </c>
      <c r="L9" s="97">
        <v>98</v>
      </c>
      <c r="M9" s="97">
        <v>96</v>
      </c>
      <c r="N9" s="97">
        <v>97</v>
      </c>
      <c r="O9" s="97">
        <v>99</v>
      </c>
      <c r="P9" s="97"/>
      <c r="Q9" s="97">
        <v>98</v>
      </c>
      <c r="R9" s="97">
        <v>89</v>
      </c>
      <c r="S9" s="97">
        <v>94</v>
      </c>
      <c r="T9" s="97">
        <v>98</v>
      </c>
      <c r="U9" s="97">
        <v>100</v>
      </c>
      <c r="V9" s="97">
        <v>98</v>
      </c>
      <c r="W9" s="97"/>
      <c r="X9" s="97">
        <v>92</v>
      </c>
      <c r="Y9" s="97">
        <v>93</v>
      </c>
      <c r="Z9" s="97">
        <v>0</v>
      </c>
      <c r="AA9" s="97">
        <v>0</v>
      </c>
      <c r="AB9" s="97">
        <v>0</v>
      </c>
      <c r="AC9" s="97">
        <v>0</v>
      </c>
      <c r="AD9" s="97"/>
      <c r="AE9" s="97">
        <v>0</v>
      </c>
      <c r="AF9" s="98">
        <v>0</v>
      </c>
      <c r="AG9" s="98">
        <v>0</v>
      </c>
      <c r="AH9" s="99">
        <v>0</v>
      </c>
      <c r="AI9" s="99">
        <v>0</v>
      </c>
    </row>
    <row r="10" spans="1:35" s="30" customFormat="1" ht="20.100000000000001" customHeight="1">
      <c r="A10" s="347"/>
      <c r="B10" s="89" t="s">
        <v>64</v>
      </c>
      <c r="C10" s="97">
        <v>89</v>
      </c>
      <c r="D10" s="97">
        <v>89</v>
      </c>
      <c r="E10" s="97">
        <v>88</v>
      </c>
      <c r="F10" s="97">
        <v>94</v>
      </c>
      <c r="G10" s="97">
        <v>94</v>
      </c>
      <c r="H10" s="97">
        <v>95</v>
      </c>
      <c r="I10" s="97"/>
      <c r="J10" s="97">
        <v>99</v>
      </c>
      <c r="K10" s="97">
        <v>96</v>
      </c>
      <c r="L10" s="97">
        <v>93</v>
      </c>
      <c r="M10" s="97">
        <v>91</v>
      </c>
      <c r="N10" s="97">
        <v>92</v>
      </c>
      <c r="O10" s="97">
        <v>91</v>
      </c>
      <c r="P10" s="97"/>
      <c r="Q10" s="97">
        <v>92</v>
      </c>
      <c r="R10" s="97">
        <v>80</v>
      </c>
      <c r="S10" s="97">
        <v>86</v>
      </c>
      <c r="T10" s="97">
        <v>84</v>
      </c>
      <c r="U10" s="97">
        <v>86</v>
      </c>
      <c r="V10" s="97">
        <v>84</v>
      </c>
      <c r="W10" s="97"/>
      <c r="X10" s="97">
        <v>72</v>
      </c>
      <c r="Y10" s="97">
        <v>74</v>
      </c>
      <c r="Z10" s="97"/>
      <c r="AA10" s="97"/>
      <c r="AB10" s="97"/>
      <c r="AC10" s="97"/>
      <c r="AD10" s="97"/>
      <c r="AE10" s="97"/>
      <c r="AF10" s="98"/>
      <c r="AG10" s="98"/>
      <c r="AH10" s="99"/>
      <c r="AI10" s="99"/>
    </row>
    <row r="11" spans="1:35" s="30" customFormat="1" ht="20.100000000000001" customHeight="1">
      <c r="A11" s="347" t="s">
        <v>63</v>
      </c>
      <c r="B11" s="79" t="s">
        <v>58</v>
      </c>
      <c r="C11" s="80">
        <v>528440</v>
      </c>
      <c r="D11" s="80">
        <v>29357.8</v>
      </c>
      <c r="E11" s="80">
        <v>29712</v>
      </c>
      <c r="F11" s="80">
        <v>29984</v>
      </c>
      <c r="G11" s="80">
        <v>29896</v>
      </c>
      <c r="H11" s="80">
        <v>29776</v>
      </c>
      <c r="I11" s="80"/>
      <c r="J11" s="80">
        <v>30040</v>
      </c>
      <c r="K11" s="80">
        <v>30200</v>
      </c>
      <c r="L11" s="80">
        <v>30000</v>
      </c>
      <c r="M11" s="80">
        <v>29960</v>
      </c>
      <c r="N11" s="80">
        <v>29920</v>
      </c>
      <c r="O11" s="80">
        <v>29920</v>
      </c>
      <c r="P11" s="80"/>
      <c r="Q11" s="80">
        <v>29576</v>
      </c>
      <c r="R11" s="80">
        <v>29128</v>
      </c>
      <c r="S11" s="80">
        <v>29016</v>
      </c>
      <c r="T11" s="80">
        <v>28536</v>
      </c>
      <c r="U11" s="80">
        <v>28512</v>
      </c>
      <c r="V11" s="80">
        <v>28320</v>
      </c>
      <c r="W11" s="80"/>
      <c r="X11" s="80">
        <v>28120</v>
      </c>
      <c r="Y11" s="80">
        <v>27824</v>
      </c>
      <c r="Z11" s="80"/>
      <c r="AA11" s="80"/>
      <c r="AB11" s="80"/>
      <c r="AC11" s="80"/>
      <c r="AD11" s="80"/>
      <c r="AE11" s="81"/>
      <c r="AF11" s="81"/>
      <c r="AG11" s="82"/>
      <c r="AH11" s="83"/>
      <c r="AI11" s="83"/>
    </row>
    <row r="12" spans="1:35" s="30" customFormat="1" ht="20.100000000000001" customHeight="1">
      <c r="A12" s="347"/>
      <c r="B12" s="84" t="s">
        <v>65</v>
      </c>
      <c r="C12" s="85">
        <v>485660</v>
      </c>
      <c r="D12" s="85">
        <v>26981.1</v>
      </c>
      <c r="E12" s="85">
        <v>27860</v>
      </c>
      <c r="F12" s="85">
        <v>26750</v>
      </c>
      <c r="G12" s="85">
        <v>27790</v>
      </c>
      <c r="H12" s="85">
        <v>28520</v>
      </c>
      <c r="I12" s="85"/>
      <c r="J12" s="85">
        <v>28520</v>
      </c>
      <c r="K12" s="85">
        <v>28520</v>
      </c>
      <c r="L12" s="85">
        <v>28520</v>
      </c>
      <c r="M12" s="85">
        <v>28000</v>
      </c>
      <c r="N12" s="85">
        <v>28440</v>
      </c>
      <c r="O12" s="85">
        <v>27200</v>
      </c>
      <c r="P12" s="85"/>
      <c r="Q12" s="85">
        <v>26300</v>
      </c>
      <c r="R12" s="85">
        <v>27000</v>
      </c>
      <c r="S12" s="85">
        <v>24620</v>
      </c>
      <c r="T12" s="85">
        <v>25380</v>
      </c>
      <c r="U12" s="85">
        <v>26520</v>
      </c>
      <c r="V12" s="85">
        <v>26020</v>
      </c>
      <c r="W12" s="85"/>
      <c r="X12" s="85">
        <v>25360</v>
      </c>
      <c r="Y12" s="85">
        <v>24340</v>
      </c>
      <c r="Z12" s="85">
        <v>24870</v>
      </c>
      <c r="AA12" s="85">
        <v>25210</v>
      </c>
      <c r="AB12" s="85">
        <v>26000</v>
      </c>
      <c r="AC12" s="85">
        <v>25440</v>
      </c>
      <c r="AD12" s="85"/>
      <c r="AE12" s="85">
        <v>25840</v>
      </c>
      <c r="AF12" s="85">
        <v>24990</v>
      </c>
      <c r="AG12" s="86">
        <v>24470</v>
      </c>
      <c r="AH12" s="88">
        <v>24480</v>
      </c>
      <c r="AI12" s="88">
        <v>24640</v>
      </c>
    </row>
    <row r="13" spans="1:35" s="30" customFormat="1" ht="20.100000000000001" customHeight="1">
      <c r="A13" s="347"/>
      <c r="B13" s="89" t="s">
        <v>66</v>
      </c>
      <c r="C13" s="90">
        <v>483687</v>
      </c>
      <c r="D13" s="90">
        <v>26871.5</v>
      </c>
      <c r="E13" s="90">
        <v>27860</v>
      </c>
      <c r="F13" s="90">
        <v>26864</v>
      </c>
      <c r="G13" s="90">
        <v>27570</v>
      </c>
      <c r="H13" s="90">
        <v>28474</v>
      </c>
      <c r="I13" s="90"/>
      <c r="J13" s="90">
        <v>28520</v>
      </c>
      <c r="K13" s="90">
        <v>28520</v>
      </c>
      <c r="L13" s="90">
        <v>28522</v>
      </c>
      <c r="M13" s="90">
        <v>26520</v>
      </c>
      <c r="N13" s="90">
        <v>28104</v>
      </c>
      <c r="O13" s="90">
        <v>27031</v>
      </c>
      <c r="P13" s="90"/>
      <c r="Q13" s="90">
        <v>26680</v>
      </c>
      <c r="R13" s="90">
        <v>26960</v>
      </c>
      <c r="S13" s="90">
        <v>24388</v>
      </c>
      <c r="T13" s="90">
        <v>25136</v>
      </c>
      <c r="U13" s="90">
        <v>26510</v>
      </c>
      <c r="V13" s="90">
        <v>26079</v>
      </c>
      <c r="W13" s="90"/>
      <c r="X13" s="90">
        <v>25430</v>
      </c>
      <c r="Y13" s="90">
        <v>24519</v>
      </c>
      <c r="Z13" s="90"/>
      <c r="AA13" s="90"/>
      <c r="AB13" s="90"/>
      <c r="AC13" s="90"/>
      <c r="AD13" s="90"/>
      <c r="AE13" s="91"/>
      <c r="AF13" s="92"/>
      <c r="AG13" s="92"/>
      <c r="AH13" s="93"/>
      <c r="AI13" s="93"/>
    </row>
    <row r="14" spans="1:35" s="30" customFormat="1" ht="20.100000000000001" customHeight="1">
      <c r="A14" s="347"/>
      <c r="B14" s="94" t="s">
        <v>34</v>
      </c>
      <c r="C14" s="95">
        <v>-1973</v>
      </c>
      <c r="D14" s="95">
        <v>-109.6</v>
      </c>
      <c r="E14" s="95">
        <v>0</v>
      </c>
      <c r="F14" s="95">
        <v>114</v>
      </c>
      <c r="G14" s="95">
        <v>-220</v>
      </c>
      <c r="H14" s="95">
        <v>-46</v>
      </c>
      <c r="I14" s="95"/>
      <c r="J14" s="95">
        <v>0</v>
      </c>
      <c r="K14" s="95">
        <v>0</v>
      </c>
      <c r="L14" s="95">
        <v>2</v>
      </c>
      <c r="M14" s="95">
        <v>-1480</v>
      </c>
      <c r="N14" s="95">
        <v>-336</v>
      </c>
      <c r="O14" s="95">
        <v>-169</v>
      </c>
      <c r="P14" s="95"/>
      <c r="Q14" s="95">
        <v>380</v>
      </c>
      <c r="R14" s="95">
        <v>-40</v>
      </c>
      <c r="S14" s="95">
        <v>-232</v>
      </c>
      <c r="T14" s="95">
        <v>-244</v>
      </c>
      <c r="U14" s="95">
        <v>-10</v>
      </c>
      <c r="V14" s="95">
        <v>59</v>
      </c>
      <c r="W14" s="95"/>
      <c r="X14" s="95">
        <v>70</v>
      </c>
      <c r="Y14" s="95">
        <v>179</v>
      </c>
      <c r="Z14" s="95"/>
      <c r="AA14" s="95"/>
      <c r="AB14" s="95"/>
      <c r="AC14" s="95"/>
      <c r="AD14" s="95"/>
      <c r="AE14" s="96"/>
      <c r="AF14" s="96"/>
      <c r="AG14" s="92"/>
      <c r="AH14" s="78"/>
      <c r="AI14" s="93"/>
    </row>
    <row r="15" spans="1:35" s="30" customFormat="1" ht="20.100000000000001" customHeight="1">
      <c r="A15" s="347"/>
      <c r="B15" s="94" t="s">
        <v>35</v>
      </c>
      <c r="C15" s="95">
        <v>-44753</v>
      </c>
      <c r="D15" s="95">
        <v>-2486.3000000000002</v>
      </c>
      <c r="E15" s="95">
        <v>-1852</v>
      </c>
      <c r="F15" s="95">
        <v>-3120</v>
      </c>
      <c r="G15" s="95">
        <v>-2326</v>
      </c>
      <c r="H15" s="95">
        <v>-1302</v>
      </c>
      <c r="I15" s="95"/>
      <c r="J15" s="95">
        <v>-1520</v>
      </c>
      <c r="K15" s="95">
        <v>-1680</v>
      </c>
      <c r="L15" s="95">
        <v>-1478</v>
      </c>
      <c r="M15" s="95">
        <v>-3440</v>
      </c>
      <c r="N15" s="95">
        <v>-1816</v>
      </c>
      <c r="O15" s="95">
        <v>-2889</v>
      </c>
      <c r="P15" s="95"/>
      <c r="Q15" s="95">
        <v>-2896</v>
      </c>
      <c r="R15" s="95">
        <v>-2168</v>
      </c>
      <c r="S15" s="95">
        <v>-4628</v>
      </c>
      <c r="T15" s="95">
        <v>-3400</v>
      </c>
      <c r="U15" s="95">
        <v>-2002</v>
      </c>
      <c r="V15" s="95">
        <v>-2241</v>
      </c>
      <c r="W15" s="95"/>
      <c r="X15" s="95">
        <v>-2690</v>
      </c>
      <c r="Y15" s="95">
        <v>-3305</v>
      </c>
      <c r="Z15" s="95"/>
      <c r="AA15" s="95"/>
      <c r="AB15" s="95"/>
      <c r="AC15" s="95"/>
      <c r="AD15" s="95"/>
      <c r="AE15" s="96"/>
      <c r="AF15" s="96"/>
      <c r="AG15" s="96"/>
      <c r="AH15" s="78"/>
      <c r="AI15" s="93"/>
    </row>
    <row r="16" spans="1:35" s="30" customFormat="1" ht="20.100000000000001" customHeight="1">
      <c r="A16" s="347"/>
      <c r="B16" s="89" t="s">
        <v>36</v>
      </c>
      <c r="C16" s="97">
        <v>99</v>
      </c>
      <c r="D16" s="97">
        <v>99</v>
      </c>
      <c r="E16" s="97">
        <v>100</v>
      </c>
      <c r="F16" s="97">
        <v>100</v>
      </c>
      <c r="G16" s="97">
        <v>99</v>
      </c>
      <c r="H16" s="97">
        <v>99</v>
      </c>
      <c r="I16" s="97"/>
      <c r="J16" s="97">
        <v>100</v>
      </c>
      <c r="K16" s="97">
        <v>100</v>
      </c>
      <c r="L16" s="97">
        <v>100</v>
      </c>
      <c r="M16" s="97">
        <v>94</v>
      </c>
      <c r="N16" s="97">
        <v>98</v>
      </c>
      <c r="O16" s="97">
        <v>99</v>
      </c>
      <c r="P16" s="97"/>
      <c r="Q16" s="97">
        <v>101</v>
      </c>
      <c r="R16" s="97">
        <v>99</v>
      </c>
      <c r="S16" s="97">
        <v>99</v>
      </c>
      <c r="T16" s="97">
        <v>99</v>
      </c>
      <c r="U16" s="97">
        <v>99</v>
      </c>
      <c r="V16" s="97">
        <v>100</v>
      </c>
      <c r="W16" s="97"/>
      <c r="X16" s="97">
        <v>100</v>
      </c>
      <c r="Y16" s="97">
        <v>100</v>
      </c>
      <c r="Z16" s="97">
        <v>0</v>
      </c>
      <c r="AA16" s="97">
        <v>0</v>
      </c>
      <c r="AB16" s="97">
        <v>0</v>
      </c>
      <c r="AC16" s="97">
        <v>0</v>
      </c>
      <c r="AD16" s="97"/>
      <c r="AE16" s="97">
        <v>0</v>
      </c>
      <c r="AF16" s="98">
        <v>0</v>
      </c>
      <c r="AG16" s="98">
        <v>0</v>
      </c>
      <c r="AH16" s="99">
        <v>0</v>
      </c>
      <c r="AI16" s="99">
        <v>0</v>
      </c>
    </row>
    <row r="17" spans="1:35" s="30" customFormat="1" ht="20.100000000000001" customHeight="1">
      <c r="A17" s="347"/>
      <c r="B17" s="89" t="s">
        <v>64</v>
      </c>
      <c r="C17" s="97">
        <v>91</v>
      </c>
      <c r="D17" s="97">
        <v>91</v>
      </c>
      <c r="E17" s="97">
        <v>93</v>
      </c>
      <c r="F17" s="97">
        <v>89</v>
      </c>
      <c r="G17" s="97">
        <v>92</v>
      </c>
      <c r="H17" s="97">
        <v>95</v>
      </c>
      <c r="I17" s="97"/>
      <c r="J17" s="97">
        <v>94</v>
      </c>
      <c r="K17" s="97">
        <v>94</v>
      </c>
      <c r="L17" s="97">
        <v>95</v>
      </c>
      <c r="M17" s="97">
        <v>88</v>
      </c>
      <c r="N17" s="97">
        <v>93</v>
      </c>
      <c r="O17" s="97">
        <v>90</v>
      </c>
      <c r="P17" s="97"/>
      <c r="Q17" s="97">
        <v>90</v>
      </c>
      <c r="R17" s="97">
        <v>92</v>
      </c>
      <c r="S17" s="97">
        <v>84</v>
      </c>
      <c r="T17" s="97">
        <v>88</v>
      </c>
      <c r="U17" s="97">
        <v>92</v>
      </c>
      <c r="V17" s="97">
        <v>92</v>
      </c>
      <c r="W17" s="97"/>
      <c r="X17" s="97">
        <v>90</v>
      </c>
      <c r="Y17" s="97">
        <v>88</v>
      </c>
      <c r="Z17" s="97"/>
      <c r="AA17" s="97"/>
      <c r="AB17" s="97"/>
      <c r="AC17" s="97"/>
      <c r="AD17" s="97"/>
      <c r="AE17" s="97"/>
      <c r="AF17" s="98"/>
      <c r="AG17" s="98"/>
      <c r="AH17" s="99"/>
      <c r="AI17" s="99"/>
    </row>
    <row r="18" spans="1:35" s="31" customFormat="1" ht="20.100000000000001" customHeight="1">
      <c r="A18" s="348" t="s">
        <v>60</v>
      </c>
      <c r="B18" s="79" t="s">
        <v>58</v>
      </c>
      <c r="C18" s="80">
        <v>43808</v>
      </c>
      <c r="D18" s="80">
        <v>2433.8000000000002</v>
      </c>
      <c r="E18" s="80">
        <v>2480</v>
      </c>
      <c r="F18" s="80">
        <v>2480</v>
      </c>
      <c r="G18" s="80">
        <v>2480</v>
      </c>
      <c r="H18" s="80">
        <v>2480</v>
      </c>
      <c r="I18" s="80"/>
      <c r="J18" s="80">
        <v>2480</v>
      </c>
      <c r="K18" s="80">
        <v>2480</v>
      </c>
      <c r="L18" s="80">
        <v>2480</v>
      </c>
      <c r="M18" s="80">
        <v>2480</v>
      </c>
      <c r="N18" s="80">
        <v>2480</v>
      </c>
      <c r="O18" s="80">
        <v>2480</v>
      </c>
      <c r="P18" s="80"/>
      <c r="Q18" s="80">
        <v>2480</v>
      </c>
      <c r="R18" s="80">
        <v>2480</v>
      </c>
      <c r="S18" s="80">
        <v>2480</v>
      </c>
      <c r="T18" s="80">
        <v>2480</v>
      </c>
      <c r="U18" s="80">
        <v>2480</v>
      </c>
      <c r="V18" s="80">
        <v>2480</v>
      </c>
      <c r="W18" s="80"/>
      <c r="X18" s="80">
        <v>2272</v>
      </c>
      <c r="Y18" s="80">
        <v>1856</v>
      </c>
      <c r="Z18" s="80"/>
      <c r="AA18" s="80"/>
      <c r="AB18" s="80"/>
      <c r="AC18" s="80"/>
      <c r="AD18" s="80"/>
      <c r="AE18" s="81"/>
      <c r="AF18" s="81"/>
      <c r="AG18" s="82"/>
      <c r="AH18" s="100"/>
      <c r="AI18" s="100"/>
    </row>
    <row r="19" spans="1:35" s="31" customFormat="1" ht="20.100000000000001" customHeight="1">
      <c r="A19" s="348"/>
      <c r="B19" s="84" t="s">
        <v>67</v>
      </c>
      <c r="C19" s="85">
        <v>40440</v>
      </c>
      <c r="D19" s="85">
        <v>2246.6999999999998</v>
      </c>
      <c r="E19" s="85">
        <v>2400</v>
      </c>
      <c r="F19" s="85">
        <v>2400</v>
      </c>
      <c r="G19" s="85">
        <v>2400</v>
      </c>
      <c r="H19" s="85">
        <v>2400</v>
      </c>
      <c r="I19" s="85"/>
      <c r="J19" s="85">
        <v>2400</v>
      </c>
      <c r="K19" s="85">
        <v>2400</v>
      </c>
      <c r="L19" s="85">
        <v>2400</v>
      </c>
      <c r="M19" s="85">
        <v>2400</v>
      </c>
      <c r="N19" s="85">
        <v>2400</v>
      </c>
      <c r="O19" s="85">
        <v>2400</v>
      </c>
      <c r="P19" s="85"/>
      <c r="Q19" s="85">
        <v>2400</v>
      </c>
      <c r="R19" s="85">
        <v>2400</v>
      </c>
      <c r="S19" s="85">
        <v>2400</v>
      </c>
      <c r="T19" s="85">
        <v>2400</v>
      </c>
      <c r="U19" s="85">
        <v>2400</v>
      </c>
      <c r="V19" s="85">
        <v>2400</v>
      </c>
      <c r="W19" s="85"/>
      <c r="X19" s="85">
        <v>1020</v>
      </c>
      <c r="Y19" s="85">
        <v>1020</v>
      </c>
      <c r="Z19" s="85">
        <v>1360</v>
      </c>
      <c r="AA19" s="85">
        <v>1360</v>
      </c>
      <c r="AB19" s="85">
        <v>1360</v>
      </c>
      <c r="AC19" s="85">
        <v>1360</v>
      </c>
      <c r="AD19" s="85"/>
      <c r="AE19" s="85">
        <v>1360</v>
      </c>
      <c r="AF19" s="85">
        <v>1360</v>
      </c>
      <c r="AG19" s="86">
        <v>1360</v>
      </c>
      <c r="AH19" s="101">
        <v>1360</v>
      </c>
      <c r="AI19" s="101">
        <v>1360</v>
      </c>
    </row>
    <row r="20" spans="1:35" s="31" customFormat="1" ht="20.100000000000001" customHeight="1">
      <c r="A20" s="348"/>
      <c r="B20" s="89" t="s">
        <v>68</v>
      </c>
      <c r="C20" s="90">
        <v>41040</v>
      </c>
      <c r="D20" s="90">
        <v>2280</v>
      </c>
      <c r="E20" s="90">
        <v>2000</v>
      </c>
      <c r="F20" s="90">
        <v>2500</v>
      </c>
      <c r="G20" s="90">
        <v>2500</v>
      </c>
      <c r="H20" s="90">
        <v>2600</v>
      </c>
      <c r="I20" s="90"/>
      <c r="J20" s="90">
        <v>4000</v>
      </c>
      <c r="K20" s="90">
        <v>3100</v>
      </c>
      <c r="L20" s="90">
        <v>2400</v>
      </c>
      <c r="M20" s="90">
        <v>2400</v>
      </c>
      <c r="N20" s="90">
        <v>2400</v>
      </c>
      <c r="O20" s="90">
        <v>2400</v>
      </c>
      <c r="P20" s="90"/>
      <c r="Q20" s="90">
        <v>2400</v>
      </c>
      <c r="R20" s="90">
        <v>1700</v>
      </c>
      <c r="S20" s="90">
        <v>2000</v>
      </c>
      <c r="T20" s="90">
        <v>1800</v>
      </c>
      <c r="U20" s="90">
        <v>2400</v>
      </c>
      <c r="V20" s="90">
        <v>2400</v>
      </c>
      <c r="W20" s="90"/>
      <c r="X20" s="90">
        <v>1020</v>
      </c>
      <c r="Y20" s="90">
        <v>1020</v>
      </c>
      <c r="Z20" s="90"/>
      <c r="AA20" s="90"/>
      <c r="AB20" s="90"/>
      <c r="AC20" s="90"/>
      <c r="AD20" s="90"/>
      <c r="AE20" s="91"/>
      <c r="AF20" s="92"/>
      <c r="AG20" s="92"/>
      <c r="AH20" s="102"/>
      <c r="AI20" s="102"/>
    </row>
    <row r="21" spans="1:35" s="31" customFormat="1" ht="20.100000000000001" customHeight="1">
      <c r="A21" s="348"/>
      <c r="B21" s="94" t="s">
        <v>69</v>
      </c>
      <c r="C21" s="95">
        <v>600</v>
      </c>
      <c r="D21" s="95">
        <v>33.299999999999997</v>
      </c>
      <c r="E21" s="95">
        <v>-400</v>
      </c>
      <c r="F21" s="95">
        <v>100</v>
      </c>
      <c r="G21" s="95">
        <v>100</v>
      </c>
      <c r="H21" s="95">
        <v>200</v>
      </c>
      <c r="I21" s="95"/>
      <c r="J21" s="95">
        <v>1600</v>
      </c>
      <c r="K21" s="95">
        <v>700</v>
      </c>
      <c r="L21" s="95">
        <v>0</v>
      </c>
      <c r="M21" s="95">
        <v>0</v>
      </c>
      <c r="N21" s="95">
        <v>0</v>
      </c>
      <c r="O21" s="95">
        <v>0</v>
      </c>
      <c r="P21" s="95"/>
      <c r="Q21" s="95">
        <v>0</v>
      </c>
      <c r="R21" s="95">
        <v>-700</v>
      </c>
      <c r="S21" s="95">
        <v>-400</v>
      </c>
      <c r="T21" s="95">
        <v>-600</v>
      </c>
      <c r="U21" s="95">
        <v>0</v>
      </c>
      <c r="V21" s="95">
        <v>0</v>
      </c>
      <c r="W21" s="95"/>
      <c r="X21" s="95">
        <v>0</v>
      </c>
      <c r="Y21" s="95">
        <v>0</v>
      </c>
      <c r="Z21" s="95"/>
      <c r="AA21" s="95"/>
      <c r="AB21" s="95"/>
      <c r="AC21" s="95"/>
      <c r="AD21" s="95"/>
      <c r="AE21" s="96"/>
      <c r="AF21" s="96"/>
      <c r="AG21" s="96"/>
      <c r="AH21" s="102"/>
      <c r="AI21" s="102"/>
    </row>
    <row r="22" spans="1:35" s="31" customFormat="1" ht="20.100000000000001" customHeight="1">
      <c r="A22" s="348"/>
      <c r="B22" s="94" t="s">
        <v>70</v>
      </c>
      <c r="C22" s="95">
        <v>-2768</v>
      </c>
      <c r="D22" s="95">
        <v>-153.80000000000001</v>
      </c>
      <c r="E22" s="95">
        <v>-480</v>
      </c>
      <c r="F22" s="95">
        <v>20</v>
      </c>
      <c r="G22" s="95">
        <v>20</v>
      </c>
      <c r="H22" s="95">
        <v>120</v>
      </c>
      <c r="I22" s="95"/>
      <c r="J22" s="95">
        <v>1520</v>
      </c>
      <c r="K22" s="95">
        <v>620</v>
      </c>
      <c r="L22" s="95">
        <v>-80</v>
      </c>
      <c r="M22" s="95">
        <v>-80</v>
      </c>
      <c r="N22" s="95">
        <v>-80</v>
      </c>
      <c r="O22" s="95">
        <v>-80</v>
      </c>
      <c r="P22" s="95"/>
      <c r="Q22" s="95">
        <v>-80</v>
      </c>
      <c r="R22" s="95">
        <v>-780</v>
      </c>
      <c r="S22" s="95">
        <v>-480</v>
      </c>
      <c r="T22" s="95">
        <v>-680</v>
      </c>
      <c r="U22" s="95">
        <v>-80</v>
      </c>
      <c r="V22" s="95">
        <v>-80</v>
      </c>
      <c r="W22" s="95"/>
      <c r="X22" s="95">
        <v>-1252</v>
      </c>
      <c r="Y22" s="95">
        <v>-836</v>
      </c>
      <c r="Z22" s="95"/>
      <c r="AA22" s="95"/>
      <c r="AB22" s="95"/>
      <c r="AC22" s="95"/>
      <c r="AD22" s="95"/>
      <c r="AE22" s="96"/>
      <c r="AF22" s="96"/>
      <c r="AG22" s="96"/>
      <c r="AH22" s="102"/>
      <c r="AI22" s="102"/>
    </row>
    <row r="23" spans="1:35" s="31" customFormat="1" ht="20.100000000000001" customHeight="1">
      <c r="A23" s="348"/>
      <c r="B23" s="89" t="s">
        <v>71</v>
      </c>
      <c r="C23" s="97">
        <v>101</v>
      </c>
      <c r="D23" s="97">
        <v>101</v>
      </c>
      <c r="E23" s="97">
        <v>83</v>
      </c>
      <c r="F23" s="97">
        <v>104</v>
      </c>
      <c r="G23" s="97">
        <v>104</v>
      </c>
      <c r="H23" s="97">
        <v>108</v>
      </c>
      <c r="I23" s="97"/>
      <c r="J23" s="97">
        <v>166</v>
      </c>
      <c r="K23" s="97">
        <v>129</v>
      </c>
      <c r="L23" s="97">
        <v>100</v>
      </c>
      <c r="M23" s="97">
        <v>100</v>
      </c>
      <c r="N23" s="97">
        <v>100</v>
      </c>
      <c r="O23" s="97">
        <v>100</v>
      </c>
      <c r="P23" s="97"/>
      <c r="Q23" s="97">
        <v>100</v>
      </c>
      <c r="R23" s="97">
        <v>70</v>
      </c>
      <c r="S23" s="97">
        <v>83</v>
      </c>
      <c r="T23" s="97">
        <v>75</v>
      </c>
      <c r="U23" s="97">
        <v>100</v>
      </c>
      <c r="V23" s="97">
        <v>100</v>
      </c>
      <c r="W23" s="97"/>
      <c r="X23" s="97">
        <v>100</v>
      </c>
      <c r="Y23" s="97">
        <v>100</v>
      </c>
      <c r="Z23" s="97">
        <v>0</v>
      </c>
      <c r="AA23" s="97">
        <v>0</v>
      </c>
      <c r="AB23" s="97">
        <v>0</v>
      </c>
      <c r="AC23" s="97">
        <v>0</v>
      </c>
      <c r="AD23" s="97"/>
      <c r="AE23" s="97">
        <v>0</v>
      </c>
      <c r="AF23" s="98">
        <v>0</v>
      </c>
      <c r="AG23" s="98">
        <v>0</v>
      </c>
      <c r="AH23" s="99">
        <v>0</v>
      </c>
      <c r="AI23" s="99">
        <v>0</v>
      </c>
    </row>
    <row r="24" spans="1:35" s="31" customFormat="1" ht="20.100000000000001" customHeight="1">
      <c r="A24" s="348"/>
      <c r="B24" s="89" t="s">
        <v>72</v>
      </c>
      <c r="C24" s="97">
        <v>93</v>
      </c>
      <c r="D24" s="97">
        <v>93</v>
      </c>
      <c r="E24" s="97">
        <v>80</v>
      </c>
      <c r="F24" s="97">
        <v>100</v>
      </c>
      <c r="G24" s="97">
        <v>100</v>
      </c>
      <c r="H24" s="97">
        <v>104</v>
      </c>
      <c r="I24" s="97"/>
      <c r="J24" s="97">
        <v>161</v>
      </c>
      <c r="K24" s="97">
        <v>125</v>
      </c>
      <c r="L24" s="97">
        <v>96</v>
      </c>
      <c r="M24" s="97">
        <v>96</v>
      </c>
      <c r="N24" s="97">
        <v>96</v>
      </c>
      <c r="O24" s="97">
        <v>96</v>
      </c>
      <c r="P24" s="97"/>
      <c r="Q24" s="97">
        <v>96</v>
      </c>
      <c r="R24" s="97">
        <v>68</v>
      </c>
      <c r="S24" s="97">
        <v>80</v>
      </c>
      <c r="T24" s="97">
        <v>72</v>
      </c>
      <c r="U24" s="97">
        <v>96</v>
      </c>
      <c r="V24" s="97">
        <v>96</v>
      </c>
      <c r="W24" s="97"/>
      <c r="X24" s="97">
        <v>44</v>
      </c>
      <c r="Y24" s="97">
        <v>54</v>
      </c>
      <c r="Z24" s="97"/>
      <c r="AA24" s="97"/>
      <c r="AB24" s="97"/>
      <c r="AC24" s="97"/>
      <c r="AD24" s="97"/>
      <c r="AE24" s="97"/>
      <c r="AF24" s="98"/>
      <c r="AG24" s="98"/>
      <c r="AH24" s="99"/>
      <c r="AI24" s="99"/>
    </row>
    <row r="25" spans="1:35" s="31" customFormat="1" ht="20.100000000000001" customHeight="1">
      <c r="A25" s="343" t="s">
        <v>61</v>
      </c>
      <c r="B25" s="79" t="s">
        <v>58</v>
      </c>
      <c r="C25" s="80">
        <v>1227128</v>
      </c>
      <c r="D25" s="80">
        <v>68173.8</v>
      </c>
      <c r="E25" s="80">
        <v>69424</v>
      </c>
      <c r="F25" s="80">
        <v>69488</v>
      </c>
      <c r="G25" s="80">
        <v>69896</v>
      </c>
      <c r="H25" s="103">
        <v>69472</v>
      </c>
      <c r="I25" s="103"/>
      <c r="J25" s="103">
        <v>69488</v>
      </c>
      <c r="K25" s="103">
        <v>69536</v>
      </c>
      <c r="L25" s="103">
        <v>69792</v>
      </c>
      <c r="M25" s="103">
        <v>69416</v>
      </c>
      <c r="N25" s="80">
        <v>69448</v>
      </c>
      <c r="O25" s="103">
        <v>69440</v>
      </c>
      <c r="P25" s="103"/>
      <c r="Q25" s="103">
        <v>68936</v>
      </c>
      <c r="R25" s="103">
        <v>68736</v>
      </c>
      <c r="S25" s="103">
        <v>68032</v>
      </c>
      <c r="T25" s="103">
        <v>66936</v>
      </c>
      <c r="U25" s="80">
        <v>66248</v>
      </c>
      <c r="V25" s="103">
        <v>65400</v>
      </c>
      <c r="W25" s="103"/>
      <c r="X25" s="103">
        <v>64416</v>
      </c>
      <c r="Y25" s="103">
        <v>63024</v>
      </c>
      <c r="Z25" s="103"/>
      <c r="AA25" s="103"/>
      <c r="AB25" s="80"/>
      <c r="AC25" s="103"/>
      <c r="AD25" s="103"/>
      <c r="AE25" s="103"/>
      <c r="AF25" s="103"/>
      <c r="AG25" s="82"/>
      <c r="AH25" s="100"/>
      <c r="AI25" s="100"/>
    </row>
    <row r="26" spans="1:35" s="31" customFormat="1" ht="20.100000000000001" customHeight="1">
      <c r="A26" s="343"/>
      <c r="B26" s="84" t="s">
        <v>65</v>
      </c>
      <c r="C26" s="85">
        <v>1119000</v>
      </c>
      <c r="D26" s="85">
        <v>62166.7</v>
      </c>
      <c r="E26" s="85">
        <v>63480</v>
      </c>
      <c r="F26" s="85">
        <v>63870</v>
      </c>
      <c r="G26" s="85">
        <v>65430</v>
      </c>
      <c r="H26" s="104">
        <v>66160</v>
      </c>
      <c r="I26" s="104"/>
      <c r="J26" s="104">
        <v>65820</v>
      </c>
      <c r="K26" s="104">
        <v>65820</v>
      </c>
      <c r="L26" s="104">
        <v>66120</v>
      </c>
      <c r="M26" s="104">
        <v>65420</v>
      </c>
      <c r="N26" s="85">
        <v>65860</v>
      </c>
      <c r="O26" s="104">
        <v>63760</v>
      </c>
      <c r="P26" s="104"/>
      <c r="Q26" s="104">
        <v>63180</v>
      </c>
      <c r="R26" s="104">
        <v>63000</v>
      </c>
      <c r="S26" s="104">
        <v>60460</v>
      </c>
      <c r="T26" s="104">
        <v>58480</v>
      </c>
      <c r="U26" s="85">
        <v>59180</v>
      </c>
      <c r="V26" s="104">
        <v>58140</v>
      </c>
      <c r="W26" s="104"/>
      <c r="X26" s="104">
        <v>52840</v>
      </c>
      <c r="Y26" s="104">
        <v>51980</v>
      </c>
      <c r="Z26" s="104">
        <v>53070</v>
      </c>
      <c r="AA26" s="104">
        <v>54410</v>
      </c>
      <c r="AB26" s="85">
        <v>55540</v>
      </c>
      <c r="AC26" s="104">
        <v>54620</v>
      </c>
      <c r="AD26" s="104"/>
      <c r="AE26" s="104">
        <v>54164</v>
      </c>
      <c r="AF26" s="104">
        <v>53974</v>
      </c>
      <c r="AG26" s="86">
        <v>54102</v>
      </c>
      <c r="AH26" s="101">
        <v>54112</v>
      </c>
      <c r="AI26" s="101">
        <v>54272</v>
      </c>
    </row>
    <row r="27" spans="1:35" s="31" customFormat="1" ht="20.100000000000001" customHeight="1">
      <c r="A27" s="343"/>
      <c r="B27" s="89" t="s">
        <v>66</v>
      </c>
      <c r="C27" s="90">
        <v>1107625</v>
      </c>
      <c r="D27" s="90">
        <v>61534.7</v>
      </c>
      <c r="E27" s="90">
        <v>62810</v>
      </c>
      <c r="F27" s="90">
        <v>64394</v>
      </c>
      <c r="G27" s="90">
        <v>65416</v>
      </c>
      <c r="H27" s="105">
        <v>66583</v>
      </c>
      <c r="I27" s="105"/>
      <c r="J27" s="90">
        <v>69344</v>
      </c>
      <c r="K27" s="105">
        <v>67106</v>
      </c>
      <c r="L27" s="105">
        <v>65709</v>
      </c>
      <c r="M27" s="105">
        <v>62590</v>
      </c>
      <c r="N27" s="90">
        <v>64767</v>
      </c>
      <c r="O27" s="105">
        <v>63420</v>
      </c>
      <c r="P27" s="90"/>
      <c r="Q27" s="90">
        <v>63158</v>
      </c>
      <c r="R27" s="90">
        <v>58695</v>
      </c>
      <c r="S27" s="90">
        <v>57925</v>
      </c>
      <c r="T27" s="90">
        <v>57234</v>
      </c>
      <c r="U27" s="90">
        <v>59360</v>
      </c>
      <c r="V27" s="90">
        <v>57719</v>
      </c>
      <c r="W27" s="90"/>
      <c r="X27" s="90">
        <v>50972</v>
      </c>
      <c r="Y27" s="90">
        <v>50423</v>
      </c>
      <c r="Z27" s="90"/>
      <c r="AA27" s="90"/>
      <c r="AB27" s="90"/>
      <c r="AC27" s="90"/>
      <c r="AD27" s="90"/>
      <c r="AE27" s="91"/>
      <c r="AF27" s="92"/>
      <c r="AG27" s="92"/>
      <c r="AH27" s="102"/>
      <c r="AI27" s="102"/>
    </row>
    <row r="28" spans="1:35" s="31" customFormat="1" ht="20.100000000000001" customHeight="1">
      <c r="A28" s="343"/>
      <c r="B28" s="94" t="s">
        <v>73</v>
      </c>
      <c r="C28" s="95">
        <v>-11375</v>
      </c>
      <c r="D28" s="95">
        <v>-632</v>
      </c>
      <c r="E28" s="95">
        <v>-670</v>
      </c>
      <c r="F28" s="95">
        <v>524</v>
      </c>
      <c r="G28" s="95">
        <v>-14</v>
      </c>
      <c r="H28" s="105">
        <v>423</v>
      </c>
      <c r="I28" s="105"/>
      <c r="J28" s="95">
        <v>3524</v>
      </c>
      <c r="K28" s="105">
        <v>1286</v>
      </c>
      <c r="L28" s="105">
        <v>-411</v>
      </c>
      <c r="M28" s="105">
        <v>-2830</v>
      </c>
      <c r="N28" s="95">
        <v>-1093</v>
      </c>
      <c r="O28" s="105">
        <v>-340</v>
      </c>
      <c r="P28" s="95"/>
      <c r="Q28" s="95">
        <v>-22</v>
      </c>
      <c r="R28" s="95">
        <v>-4305</v>
      </c>
      <c r="S28" s="95">
        <v>-2535</v>
      </c>
      <c r="T28" s="95">
        <v>-1246</v>
      </c>
      <c r="U28" s="95">
        <v>180</v>
      </c>
      <c r="V28" s="95">
        <v>-421</v>
      </c>
      <c r="W28" s="95"/>
      <c r="X28" s="95">
        <v>-1868</v>
      </c>
      <c r="Y28" s="95">
        <v>-1557</v>
      </c>
      <c r="Z28" s="95"/>
      <c r="AA28" s="95"/>
      <c r="AB28" s="95"/>
      <c r="AC28" s="95"/>
      <c r="AD28" s="95"/>
      <c r="AE28" s="96"/>
      <c r="AF28" s="96"/>
      <c r="AG28" s="96"/>
      <c r="AH28" s="102"/>
      <c r="AI28" s="102"/>
    </row>
    <row r="29" spans="1:35" s="31" customFormat="1" ht="20.100000000000001" customHeight="1">
      <c r="A29" s="343"/>
      <c r="B29" s="94" t="s">
        <v>74</v>
      </c>
      <c r="C29" s="95">
        <v>-119503</v>
      </c>
      <c r="D29" s="95">
        <v>-6639.1</v>
      </c>
      <c r="E29" s="95">
        <v>-6614</v>
      </c>
      <c r="F29" s="95">
        <v>-5094</v>
      </c>
      <c r="G29" s="95">
        <v>-4480</v>
      </c>
      <c r="H29" s="105">
        <v>-2889</v>
      </c>
      <c r="I29" s="105"/>
      <c r="J29" s="95">
        <v>-144</v>
      </c>
      <c r="K29" s="105">
        <v>-2430</v>
      </c>
      <c r="L29" s="105">
        <v>-4083</v>
      </c>
      <c r="M29" s="105">
        <v>-6826</v>
      </c>
      <c r="N29" s="95">
        <v>-4681</v>
      </c>
      <c r="O29" s="105">
        <v>-6020</v>
      </c>
      <c r="P29" s="95"/>
      <c r="Q29" s="95">
        <v>-5778</v>
      </c>
      <c r="R29" s="95">
        <v>-10041</v>
      </c>
      <c r="S29" s="95">
        <v>-10107</v>
      </c>
      <c r="T29" s="95">
        <v>-9702</v>
      </c>
      <c r="U29" s="95">
        <v>-6888</v>
      </c>
      <c r="V29" s="95">
        <v>-7681</v>
      </c>
      <c r="W29" s="95"/>
      <c r="X29" s="95">
        <v>-13444</v>
      </c>
      <c r="Y29" s="95">
        <v>-12601</v>
      </c>
      <c r="Z29" s="95"/>
      <c r="AA29" s="95"/>
      <c r="AB29" s="95"/>
      <c r="AC29" s="95"/>
      <c r="AD29" s="95"/>
      <c r="AE29" s="96"/>
      <c r="AF29" s="96"/>
      <c r="AG29" s="96"/>
      <c r="AH29" s="102"/>
      <c r="AI29" s="102"/>
    </row>
    <row r="30" spans="1:35" s="31" customFormat="1" ht="20.100000000000001" customHeight="1">
      <c r="A30" s="343"/>
      <c r="B30" s="89" t="s">
        <v>75</v>
      </c>
      <c r="C30" s="97">
        <v>98</v>
      </c>
      <c r="D30" s="97">
        <v>98</v>
      </c>
      <c r="E30" s="97">
        <v>98</v>
      </c>
      <c r="F30" s="97">
        <v>100</v>
      </c>
      <c r="G30" s="97">
        <v>99</v>
      </c>
      <c r="H30" s="97">
        <v>100</v>
      </c>
      <c r="I30" s="97"/>
      <c r="J30" s="97">
        <v>105</v>
      </c>
      <c r="K30" s="97">
        <v>101</v>
      </c>
      <c r="L30" s="97">
        <v>99</v>
      </c>
      <c r="M30" s="97">
        <v>95</v>
      </c>
      <c r="N30" s="97">
        <v>98</v>
      </c>
      <c r="O30" s="97">
        <v>99</v>
      </c>
      <c r="P30" s="97"/>
      <c r="Q30" s="97">
        <v>99</v>
      </c>
      <c r="R30" s="97">
        <v>93</v>
      </c>
      <c r="S30" s="97">
        <v>95</v>
      </c>
      <c r="T30" s="97">
        <v>97</v>
      </c>
      <c r="U30" s="97">
        <v>100</v>
      </c>
      <c r="V30" s="97">
        <v>99</v>
      </c>
      <c r="W30" s="97"/>
      <c r="X30" s="97">
        <v>96</v>
      </c>
      <c r="Y30" s="97">
        <v>97</v>
      </c>
      <c r="Z30" s="97">
        <v>0</v>
      </c>
      <c r="AA30" s="97">
        <v>0</v>
      </c>
      <c r="AB30" s="97">
        <v>0</v>
      </c>
      <c r="AC30" s="97">
        <v>0</v>
      </c>
      <c r="AD30" s="97"/>
      <c r="AE30" s="97">
        <v>0</v>
      </c>
      <c r="AF30" s="98">
        <v>0</v>
      </c>
      <c r="AG30" s="98">
        <v>0</v>
      </c>
      <c r="AH30" s="106">
        <v>0</v>
      </c>
      <c r="AI30" s="106">
        <v>0</v>
      </c>
    </row>
    <row r="31" spans="1:35" s="31" customFormat="1" ht="20.100000000000001" customHeight="1">
      <c r="A31" s="343"/>
      <c r="B31" s="89" t="s">
        <v>76</v>
      </c>
      <c r="C31" s="97">
        <v>90</v>
      </c>
      <c r="D31" s="97">
        <v>90</v>
      </c>
      <c r="E31" s="97">
        <v>90</v>
      </c>
      <c r="F31" s="97">
        <v>92</v>
      </c>
      <c r="G31" s="97">
        <v>93</v>
      </c>
      <c r="H31" s="97">
        <v>95</v>
      </c>
      <c r="I31" s="97"/>
      <c r="J31" s="97">
        <v>99</v>
      </c>
      <c r="K31" s="97">
        <v>96</v>
      </c>
      <c r="L31" s="97">
        <v>94</v>
      </c>
      <c r="M31" s="97">
        <v>90</v>
      </c>
      <c r="N31" s="97">
        <v>93</v>
      </c>
      <c r="O31" s="97">
        <v>91</v>
      </c>
      <c r="P31" s="97"/>
      <c r="Q31" s="97">
        <v>91</v>
      </c>
      <c r="R31" s="97">
        <v>85</v>
      </c>
      <c r="S31" s="97">
        <v>85</v>
      </c>
      <c r="T31" s="97">
        <v>85</v>
      </c>
      <c r="U31" s="97">
        <v>89</v>
      </c>
      <c r="V31" s="97">
        <v>88</v>
      </c>
      <c r="W31" s="97"/>
      <c r="X31" s="97">
        <v>79</v>
      </c>
      <c r="Y31" s="97">
        <v>80</v>
      </c>
      <c r="Z31" s="97"/>
      <c r="AA31" s="97"/>
      <c r="AB31" s="97"/>
      <c r="AC31" s="97"/>
      <c r="AD31" s="97"/>
      <c r="AE31" s="97"/>
      <c r="AF31" s="98"/>
      <c r="AG31" s="98"/>
      <c r="AH31" s="106"/>
      <c r="AI31" s="106"/>
    </row>
  </sheetData>
  <mergeCells count="6">
    <mergeCell ref="A25:A31"/>
    <mergeCell ref="A1:B1"/>
    <mergeCell ref="A3:B3"/>
    <mergeCell ref="A4:A10"/>
    <mergeCell ref="A11:A17"/>
    <mergeCell ref="A18:A24"/>
  </mergeCells>
  <phoneticPr fontId="31" type="noConversion"/>
  <hyperlinks>
    <hyperlink ref="A1" location="'目   錄'!A1" display="回到首頁"/>
  </hyperlinks>
  <printOptions horizontalCentered="1"/>
  <pageMargins left="0" right="0" top="0" bottom="0" header="0" footer="0"/>
  <pageSetup paperSize="9" scale="7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FF"/>
  </sheetPr>
  <dimension ref="A1:IT88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B1"/>
    </sheetView>
  </sheetViews>
  <sheetFormatPr defaultRowHeight="15"/>
  <cols>
    <col min="1" max="1" width="11.28515625" style="8" customWidth="1"/>
    <col min="2" max="2" width="8.42578125" style="8" bestFit="1" customWidth="1"/>
    <col min="3" max="3" width="9" style="8" bestFit="1" customWidth="1"/>
    <col min="4" max="4" width="9.28515625" style="8" customWidth="1"/>
    <col min="5" max="9" width="9" style="8" bestFit="1" customWidth="1"/>
    <col min="10" max="10" width="7.7109375" style="8" bestFit="1" customWidth="1"/>
    <col min="11" max="14" width="9" style="8" bestFit="1" customWidth="1"/>
    <col min="15" max="15" width="11" style="8" customWidth="1"/>
    <col min="16" max="16384" width="9.140625" style="8"/>
  </cols>
  <sheetData>
    <row r="1" spans="1:16" ht="27.75">
      <c r="A1" s="344" t="s">
        <v>4</v>
      </c>
      <c r="B1" s="345"/>
    </row>
    <row r="2" spans="1:16" ht="21.75" thickBot="1">
      <c r="A2" s="21" t="s">
        <v>40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6" ht="15.75" thickTop="1">
      <c r="A3" s="24" t="s">
        <v>20</v>
      </c>
      <c r="B3" s="25" t="s">
        <v>2</v>
      </c>
      <c r="C3" s="25" t="s">
        <v>8</v>
      </c>
      <c r="D3" s="25" t="s">
        <v>9</v>
      </c>
      <c r="E3" s="25" t="s">
        <v>10</v>
      </c>
      <c r="F3" s="25" t="s">
        <v>11</v>
      </c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5</v>
      </c>
      <c r="M3" s="25" t="s">
        <v>6</v>
      </c>
      <c r="N3" s="25" t="s">
        <v>7</v>
      </c>
      <c r="O3" s="26" t="s">
        <v>17</v>
      </c>
    </row>
    <row r="4" spans="1:16">
      <c r="A4" s="349" t="s">
        <v>30</v>
      </c>
      <c r="B4" s="32" t="s">
        <v>25</v>
      </c>
      <c r="C4" s="33">
        <v>923173</v>
      </c>
      <c r="D4" s="33">
        <v>930123</v>
      </c>
      <c r="E4" s="33">
        <v>1522093</v>
      </c>
      <c r="F4" s="33">
        <v>1788564</v>
      </c>
      <c r="G4" s="33">
        <v>1046594</v>
      </c>
      <c r="H4" s="33">
        <v>587937</v>
      </c>
      <c r="I4" s="33">
        <v>91056</v>
      </c>
      <c r="J4" s="33">
        <v>540</v>
      </c>
      <c r="K4" s="33">
        <v>0</v>
      </c>
      <c r="L4" s="33">
        <v>0</v>
      </c>
      <c r="M4" s="33">
        <v>0</v>
      </c>
      <c r="N4" s="33">
        <v>0</v>
      </c>
      <c r="O4" s="34">
        <v>6890080</v>
      </c>
    </row>
    <row r="5" spans="1:16">
      <c r="A5" s="350"/>
      <c r="B5" s="35" t="s">
        <v>31</v>
      </c>
      <c r="C5" s="36">
        <v>126310</v>
      </c>
      <c r="D5" s="36">
        <v>225104</v>
      </c>
      <c r="E5" s="37">
        <v>140154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8">
        <v>0</v>
      </c>
      <c r="L5" s="38">
        <v>0</v>
      </c>
      <c r="M5" s="36">
        <v>0</v>
      </c>
      <c r="N5" s="36">
        <v>0</v>
      </c>
      <c r="O5" s="39">
        <v>491568</v>
      </c>
      <c r="P5" s="40"/>
    </row>
    <row r="6" spans="1:16">
      <c r="A6" s="350"/>
      <c r="B6" s="41" t="s">
        <v>26</v>
      </c>
      <c r="C6" s="42">
        <v>796863</v>
      </c>
      <c r="D6" s="42">
        <v>705019</v>
      </c>
      <c r="E6" s="43">
        <v>1380270</v>
      </c>
      <c r="F6" s="43">
        <v>1004636</v>
      </c>
      <c r="G6" s="43">
        <v>101846</v>
      </c>
      <c r="H6" s="43">
        <v>26148</v>
      </c>
      <c r="I6" s="43">
        <v>0</v>
      </c>
      <c r="J6" s="43">
        <v>0</v>
      </c>
      <c r="K6" s="44">
        <v>0</v>
      </c>
      <c r="L6" s="44">
        <v>0</v>
      </c>
      <c r="M6" s="42">
        <v>0</v>
      </c>
      <c r="N6" s="42">
        <v>0</v>
      </c>
      <c r="O6" s="45">
        <v>4014782</v>
      </c>
    </row>
    <row r="7" spans="1:16">
      <c r="A7" s="351"/>
      <c r="B7" s="46" t="s">
        <v>27</v>
      </c>
      <c r="C7" s="47">
        <v>0</v>
      </c>
      <c r="D7" s="47">
        <v>0</v>
      </c>
      <c r="E7" s="47">
        <v>1669</v>
      </c>
      <c r="F7" s="47">
        <v>783928</v>
      </c>
      <c r="G7" s="47">
        <v>944748</v>
      </c>
      <c r="H7" s="47">
        <v>561789</v>
      </c>
      <c r="I7" s="47">
        <v>91056</v>
      </c>
      <c r="J7" s="47">
        <v>540</v>
      </c>
      <c r="K7" s="47">
        <v>0</v>
      </c>
      <c r="L7" s="47">
        <v>0</v>
      </c>
      <c r="M7" s="47">
        <v>0</v>
      </c>
      <c r="N7" s="47">
        <v>0</v>
      </c>
      <c r="O7" s="48">
        <v>2383730</v>
      </c>
    </row>
    <row r="8" spans="1:16">
      <c r="A8" s="352" t="s">
        <v>32</v>
      </c>
      <c r="B8" s="49" t="s">
        <v>25</v>
      </c>
      <c r="C8" s="50">
        <v>14280</v>
      </c>
      <c r="D8" s="50">
        <v>14520</v>
      </c>
      <c r="E8" s="50">
        <v>960</v>
      </c>
      <c r="F8" s="50">
        <v>7620</v>
      </c>
      <c r="G8" s="50">
        <v>16140</v>
      </c>
      <c r="H8" s="50">
        <v>11160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34">
        <v>64680</v>
      </c>
    </row>
    <row r="9" spans="1:16">
      <c r="A9" s="353"/>
      <c r="B9" s="35" t="s">
        <v>31</v>
      </c>
      <c r="C9" s="37">
        <v>1847</v>
      </c>
      <c r="D9" s="37">
        <v>1164</v>
      </c>
      <c r="E9" s="37">
        <v>960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8">
        <v>0</v>
      </c>
      <c r="L9" s="36">
        <v>0</v>
      </c>
      <c r="M9" s="36">
        <v>0</v>
      </c>
      <c r="N9" s="36">
        <v>0</v>
      </c>
      <c r="O9" s="39">
        <v>3971</v>
      </c>
    </row>
    <row r="10" spans="1:16">
      <c r="A10" s="353"/>
      <c r="B10" s="41" t="s">
        <v>26</v>
      </c>
      <c r="C10" s="43">
        <v>12433</v>
      </c>
      <c r="D10" s="43">
        <v>9985</v>
      </c>
      <c r="E10" s="43">
        <v>0</v>
      </c>
      <c r="F10" s="43">
        <v>7620</v>
      </c>
      <c r="G10" s="43">
        <v>10256</v>
      </c>
      <c r="H10" s="43">
        <v>0</v>
      </c>
      <c r="I10" s="43">
        <v>0</v>
      </c>
      <c r="J10" s="43">
        <v>0</v>
      </c>
      <c r="K10" s="44">
        <v>0</v>
      </c>
      <c r="L10" s="42">
        <v>0</v>
      </c>
      <c r="M10" s="42">
        <v>0</v>
      </c>
      <c r="N10" s="42">
        <v>0</v>
      </c>
      <c r="O10" s="45">
        <v>40294</v>
      </c>
    </row>
    <row r="11" spans="1:16">
      <c r="A11" s="354"/>
      <c r="B11" s="46" t="s">
        <v>27</v>
      </c>
      <c r="C11" s="47">
        <v>0</v>
      </c>
      <c r="D11" s="47">
        <v>3371</v>
      </c>
      <c r="E11" s="47">
        <v>0</v>
      </c>
      <c r="F11" s="47">
        <v>0</v>
      </c>
      <c r="G11" s="47">
        <v>5884</v>
      </c>
      <c r="H11" s="47">
        <v>11160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8">
        <v>20415</v>
      </c>
    </row>
    <row r="13" spans="1:16" ht="16.5">
      <c r="A13" s="51" t="s">
        <v>28</v>
      </c>
    </row>
    <row r="14" spans="1:16" ht="16.5">
      <c r="A14" s="52"/>
      <c r="B14" s="53"/>
      <c r="C14" s="53"/>
      <c r="D14" s="53"/>
      <c r="E14" s="53"/>
      <c r="F14" s="53"/>
      <c r="G14" s="53"/>
    </row>
    <row r="15" spans="1:16" ht="16.5">
      <c r="A15" s="52"/>
      <c r="B15" s="53"/>
      <c r="C15" s="53"/>
      <c r="D15" s="53"/>
      <c r="E15" s="53"/>
      <c r="F15" s="53"/>
      <c r="G15" s="53"/>
      <c r="O15" s="40"/>
    </row>
    <row r="16" spans="1:16" ht="16.5">
      <c r="A16" s="52"/>
    </row>
    <row r="17" spans="1:17" ht="16.5">
      <c r="A17" s="52"/>
    </row>
    <row r="18" spans="1:17" ht="16.5">
      <c r="A18" s="52"/>
      <c r="Q18" s="40"/>
    </row>
    <row r="19" spans="1:17" ht="16.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40"/>
    </row>
    <row r="20" spans="1:17" ht="16.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40"/>
    </row>
    <row r="21" spans="1:17" ht="16.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40"/>
    </row>
    <row r="22" spans="1:17" ht="16.5">
      <c r="A22" s="54"/>
      <c r="B22" s="2"/>
      <c r="C22" s="2"/>
      <c r="D22" s="2"/>
      <c r="E22" s="2"/>
      <c r="F22" s="2"/>
      <c r="G22" s="2"/>
      <c r="H22" s="2"/>
      <c r="I22" s="2"/>
      <c r="J22" s="53"/>
      <c r="K22" s="53"/>
      <c r="L22" s="53"/>
      <c r="M22" s="55"/>
      <c r="N22" s="55"/>
      <c r="O22" s="55"/>
      <c r="P22" s="55"/>
    </row>
    <row r="23" spans="1:17" ht="16.5">
      <c r="A23" s="54"/>
      <c r="B23" s="2"/>
      <c r="C23" s="2"/>
      <c r="D23" s="2"/>
      <c r="E23" s="2"/>
      <c r="F23" s="2"/>
      <c r="G23" s="2"/>
      <c r="H23" s="2"/>
      <c r="I23" s="2"/>
      <c r="J23" s="53"/>
      <c r="K23" s="53"/>
      <c r="L23" s="53"/>
      <c r="M23" s="55"/>
      <c r="N23" s="55"/>
      <c r="O23" s="55"/>
      <c r="P23" s="55"/>
    </row>
    <row r="24" spans="1:17" ht="16.5">
      <c r="A24" s="54"/>
      <c r="B24" s="2"/>
      <c r="C24" s="2"/>
      <c r="D24" s="2"/>
      <c r="E24" s="2"/>
      <c r="F24" s="2"/>
      <c r="G24" s="2"/>
      <c r="H24" s="2"/>
      <c r="I24" s="2"/>
      <c r="J24" s="53"/>
      <c r="K24" s="53"/>
      <c r="L24" s="53"/>
      <c r="M24" s="55"/>
      <c r="N24" s="55"/>
      <c r="O24" s="55"/>
      <c r="P24" s="55"/>
    </row>
    <row r="72" spans="17:17">
      <c r="Q72" s="40"/>
    </row>
    <row r="73" spans="17:17">
      <c r="Q73" s="40"/>
    </row>
    <row r="74" spans="17:17">
      <c r="Q74" s="40"/>
    </row>
    <row r="75" spans="17:17">
      <c r="Q75" s="40"/>
    </row>
    <row r="76" spans="17:17">
      <c r="Q76" s="40"/>
    </row>
    <row r="83" spans="1:254" s="53" customFormat="1" ht="16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254" s="53" customFormat="1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254" s="53" customFormat="1" ht="16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254" s="63" customFormat="1" ht="16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55"/>
      <c r="R86" s="56"/>
      <c r="S86" s="55"/>
      <c r="T86" s="55"/>
      <c r="U86" s="55"/>
      <c r="V86" s="55"/>
      <c r="W86" s="55"/>
      <c r="X86" s="55"/>
      <c r="Y86" s="56"/>
      <c r="Z86" s="55"/>
      <c r="AA86" s="55"/>
      <c r="AB86" s="55"/>
      <c r="AC86" s="57"/>
      <c r="AD86" s="57"/>
      <c r="AE86" s="58"/>
      <c r="AF86" s="58"/>
      <c r="AG86" s="59"/>
      <c r="AH86" s="59"/>
      <c r="AI86" s="59"/>
      <c r="AJ86" s="60"/>
      <c r="AK86" s="59"/>
      <c r="AL86" s="61"/>
      <c r="AM86" s="59"/>
      <c r="AN86" s="59"/>
      <c r="AO86" s="59"/>
      <c r="AP86" s="59"/>
      <c r="AQ86" s="59"/>
      <c r="AR86" s="59"/>
      <c r="AS86" s="59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  <c r="FZ86" s="62"/>
      <c r="GA86" s="62"/>
      <c r="GB86" s="62"/>
      <c r="GC86" s="62"/>
      <c r="GD86" s="62"/>
      <c r="GE86" s="62"/>
      <c r="GF86" s="62"/>
      <c r="GG86" s="62"/>
      <c r="GH86" s="62"/>
      <c r="GI86" s="62"/>
      <c r="GJ86" s="62"/>
      <c r="GK86" s="62"/>
      <c r="GL86" s="62"/>
      <c r="GM86" s="62"/>
      <c r="GN86" s="62"/>
      <c r="GO86" s="62"/>
      <c r="GP86" s="62"/>
      <c r="GQ86" s="62"/>
      <c r="GR86" s="62"/>
      <c r="GS86" s="62"/>
      <c r="GT86" s="62"/>
      <c r="GU86" s="62"/>
      <c r="GV86" s="62"/>
      <c r="GW86" s="62"/>
      <c r="GX86" s="62"/>
      <c r="GY86" s="62"/>
      <c r="GZ86" s="62"/>
      <c r="HA86" s="62"/>
      <c r="HB86" s="62"/>
      <c r="HC86" s="62"/>
      <c r="HD86" s="62"/>
      <c r="HE86" s="62"/>
      <c r="HF86" s="62"/>
      <c r="HG86" s="62"/>
      <c r="HH86" s="62"/>
      <c r="HI86" s="62"/>
      <c r="HJ86" s="62"/>
      <c r="HK86" s="62"/>
      <c r="HL86" s="62"/>
      <c r="HM86" s="62"/>
      <c r="HN86" s="62"/>
      <c r="HO86" s="62"/>
      <c r="HP86" s="62"/>
      <c r="HQ86" s="62"/>
      <c r="HR86" s="62"/>
      <c r="HS86" s="62"/>
      <c r="HT86" s="62"/>
      <c r="HU86" s="62"/>
      <c r="HV86" s="62"/>
      <c r="HW86" s="62"/>
      <c r="HX86" s="62"/>
      <c r="HY86" s="62"/>
      <c r="HZ86" s="62"/>
      <c r="IA86" s="62"/>
      <c r="IB86" s="62"/>
      <c r="IC86" s="62"/>
      <c r="ID86" s="62"/>
      <c r="IE86" s="62"/>
      <c r="IF86" s="62"/>
      <c r="IG86" s="62"/>
      <c r="IH86" s="62"/>
      <c r="II86" s="62"/>
      <c r="IJ86" s="62"/>
      <c r="IK86" s="62"/>
      <c r="IL86" s="62"/>
      <c r="IM86" s="62"/>
      <c r="IN86" s="62"/>
      <c r="IO86" s="62"/>
      <c r="IP86" s="62"/>
      <c r="IQ86" s="62"/>
      <c r="IR86" s="62"/>
      <c r="IS86" s="62"/>
      <c r="IT86" s="62"/>
    </row>
    <row r="87" spans="1:254" s="63" customFormat="1" ht="16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55"/>
      <c r="R87" s="56"/>
      <c r="S87" s="55"/>
      <c r="T87" s="55"/>
      <c r="U87" s="55"/>
      <c r="V87" s="55"/>
      <c r="W87" s="55"/>
      <c r="X87" s="55"/>
      <c r="Y87" s="56"/>
      <c r="Z87" s="55"/>
      <c r="AA87" s="55"/>
      <c r="AB87" s="55"/>
      <c r="AC87" s="57"/>
      <c r="AD87" s="57"/>
      <c r="AE87" s="58"/>
      <c r="AF87" s="58"/>
      <c r="AG87" s="59"/>
      <c r="AH87" s="59"/>
      <c r="AI87" s="59"/>
      <c r="AJ87" s="60"/>
      <c r="AK87" s="59"/>
      <c r="AL87" s="61"/>
      <c r="AM87" s="59"/>
      <c r="AN87" s="59"/>
      <c r="AO87" s="59"/>
      <c r="AP87" s="59"/>
      <c r="AQ87" s="59"/>
      <c r="AR87" s="59"/>
      <c r="AS87" s="59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  <c r="FV87" s="62"/>
      <c r="FW87" s="62"/>
      <c r="FX87" s="62"/>
      <c r="FY87" s="62"/>
      <c r="FZ87" s="62"/>
      <c r="GA87" s="62"/>
      <c r="GB87" s="62"/>
      <c r="GC87" s="62"/>
      <c r="GD87" s="62"/>
      <c r="GE87" s="62"/>
      <c r="GF87" s="62"/>
      <c r="GG87" s="62"/>
      <c r="GH87" s="62"/>
      <c r="GI87" s="62"/>
      <c r="GJ87" s="62"/>
      <c r="GK87" s="62"/>
      <c r="GL87" s="62"/>
      <c r="GM87" s="62"/>
      <c r="GN87" s="62"/>
      <c r="GO87" s="62"/>
      <c r="GP87" s="62"/>
      <c r="GQ87" s="62"/>
      <c r="GR87" s="62"/>
      <c r="GS87" s="62"/>
      <c r="GT87" s="62"/>
      <c r="GU87" s="62"/>
      <c r="GV87" s="62"/>
      <c r="GW87" s="62"/>
      <c r="GX87" s="62"/>
      <c r="GY87" s="62"/>
      <c r="GZ87" s="62"/>
      <c r="HA87" s="62"/>
      <c r="HB87" s="62"/>
      <c r="HC87" s="62"/>
      <c r="HD87" s="62"/>
      <c r="HE87" s="62"/>
      <c r="HF87" s="62"/>
      <c r="HG87" s="62"/>
      <c r="HH87" s="62"/>
      <c r="HI87" s="62"/>
      <c r="HJ87" s="62"/>
      <c r="HK87" s="62"/>
      <c r="HL87" s="62"/>
      <c r="HM87" s="62"/>
      <c r="HN87" s="62"/>
      <c r="HO87" s="62"/>
      <c r="HP87" s="62"/>
      <c r="HQ87" s="62"/>
      <c r="HR87" s="62"/>
      <c r="HS87" s="62"/>
      <c r="HT87" s="62"/>
      <c r="HU87" s="62"/>
      <c r="HV87" s="62"/>
      <c r="HW87" s="62"/>
      <c r="HX87" s="62"/>
      <c r="HY87" s="62"/>
      <c r="HZ87" s="62"/>
      <c r="IA87" s="62"/>
      <c r="IB87" s="62"/>
      <c r="IC87" s="62"/>
      <c r="ID87" s="62"/>
      <c r="IE87" s="62"/>
      <c r="IF87" s="62"/>
      <c r="IG87" s="62"/>
      <c r="IH87" s="62"/>
      <c r="II87" s="62"/>
      <c r="IJ87" s="62"/>
      <c r="IK87" s="62"/>
      <c r="IL87" s="62"/>
      <c r="IM87" s="62"/>
      <c r="IN87" s="62"/>
      <c r="IO87" s="62"/>
      <c r="IP87" s="62"/>
      <c r="IQ87" s="62"/>
      <c r="IR87" s="62"/>
      <c r="IS87" s="62"/>
      <c r="IT87" s="62"/>
    </row>
    <row r="88" spans="1:254" s="63" customFormat="1" ht="16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55"/>
      <c r="R88" s="56"/>
      <c r="S88" s="55"/>
      <c r="T88" s="55"/>
      <c r="U88" s="55"/>
      <c r="V88" s="55"/>
      <c r="W88" s="55"/>
      <c r="X88" s="55"/>
      <c r="Y88" s="56"/>
      <c r="Z88" s="55"/>
      <c r="AA88" s="55"/>
      <c r="AB88" s="55"/>
      <c r="AC88" s="57"/>
      <c r="AD88" s="57"/>
      <c r="AE88" s="58"/>
      <c r="AF88" s="58"/>
      <c r="AG88" s="59"/>
      <c r="AH88" s="59"/>
      <c r="AI88" s="59"/>
      <c r="AJ88" s="60"/>
      <c r="AK88" s="59"/>
      <c r="AL88" s="61"/>
      <c r="AM88" s="59"/>
      <c r="AN88" s="59"/>
      <c r="AO88" s="59"/>
      <c r="AP88" s="59"/>
      <c r="AQ88" s="59"/>
      <c r="AR88" s="59"/>
      <c r="AS88" s="59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62"/>
      <c r="HV88" s="62"/>
      <c r="HW88" s="62"/>
      <c r="HX88" s="62"/>
      <c r="HY88" s="62"/>
      <c r="HZ88" s="62"/>
      <c r="IA88" s="62"/>
      <c r="IB88" s="62"/>
      <c r="IC88" s="62"/>
      <c r="ID88" s="62"/>
      <c r="IE88" s="62"/>
      <c r="IF88" s="62"/>
      <c r="IG88" s="62"/>
      <c r="IH88" s="62"/>
      <c r="II88" s="62"/>
      <c r="IJ88" s="62"/>
      <c r="IK88" s="62"/>
      <c r="IL88" s="62"/>
      <c r="IM88" s="62"/>
      <c r="IN88" s="62"/>
      <c r="IO88" s="62"/>
      <c r="IP88" s="62"/>
      <c r="IQ88" s="62"/>
      <c r="IR88" s="62"/>
      <c r="IS88" s="62"/>
      <c r="IT88" s="62"/>
    </row>
  </sheetData>
  <mergeCells count="3">
    <mergeCell ref="A4:A7"/>
    <mergeCell ref="A8:A11"/>
    <mergeCell ref="A1:B1"/>
  </mergeCells>
  <phoneticPr fontId="31" type="noConversion"/>
  <hyperlinks>
    <hyperlink ref="A1" location="'目   錄'!A1" display="回到首頁"/>
  </hyperlinks>
  <printOptions horizontalCentered="1"/>
  <pageMargins left="0" right="0" top="0" bottom="0" header="0" footer="0"/>
  <pageSetup paperSize="9" scale="7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FF"/>
    <pageSetUpPr fitToPage="1"/>
  </sheetPr>
  <dimension ref="A1:AE7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B1"/>
    </sheetView>
  </sheetViews>
  <sheetFormatPr defaultRowHeight="15"/>
  <cols>
    <col min="1" max="1" width="10.28515625" bestFit="1" customWidth="1"/>
    <col min="2" max="2" width="11.85546875" style="17" bestFit="1" customWidth="1"/>
    <col min="3" max="3" width="9.7109375" bestFit="1" customWidth="1"/>
    <col min="4" max="9" width="7.42578125" bestFit="1" customWidth="1"/>
    <col min="10" max="10" width="9.28515625" bestFit="1" customWidth="1"/>
    <col min="11" max="11" width="7.42578125" bestFit="1" customWidth="1"/>
    <col min="12" max="12" width="8.5703125" bestFit="1" customWidth="1"/>
    <col min="13" max="13" width="6.28515625" bestFit="1" customWidth="1"/>
    <col min="14" max="14" width="7.42578125" bestFit="1" customWidth="1"/>
    <col min="15" max="15" width="6.28515625" bestFit="1" customWidth="1"/>
    <col min="16" max="16" width="9.28515625" bestFit="1" customWidth="1"/>
    <col min="17" max="18" width="8.5703125" bestFit="1" customWidth="1"/>
    <col min="19" max="19" width="7.42578125" bestFit="1" customWidth="1"/>
    <col min="20" max="20" width="5.28515625" bestFit="1" customWidth="1"/>
    <col min="21" max="21" width="8.140625" bestFit="1" customWidth="1"/>
    <col min="22" max="22" width="9.28515625" bestFit="1" customWidth="1"/>
    <col min="23" max="24" width="6.28515625" bestFit="1" customWidth="1"/>
    <col min="25" max="25" width="8.5703125" bestFit="1" customWidth="1"/>
    <col min="26" max="26" width="6.28515625" bestFit="1" customWidth="1"/>
    <col min="27" max="27" width="5.28515625" bestFit="1" customWidth="1"/>
    <col min="28" max="28" width="8.5703125" bestFit="1" customWidth="1"/>
    <col min="29" max="29" width="6.28515625" bestFit="1" customWidth="1"/>
    <col min="30" max="31" width="7.42578125" bestFit="1" customWidth="1"/>
  </cols>
  <sheetData>
    <row r="1" spans="1:31" s="9" customFormat="1" ht="21.75" customHeight="1">
      <c r="A1" s="344" t="s">
        <v>4</v>
      </c>
      <c r="B1" s="345"/>
    </row>
    <row r="2" spans="1:31" s="10" customFormat="1" ht="21.75" customHeight="1">
      <c r="A2" s="356" t="s">
        <v>22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  <c r="AC2" s="356"/>
      <c r="AD2" s="356"/>
      <c r="AE2" s="356"/>
    </row>
    <row r="3" spans="1:31" s="23" customFormat="1" ht="15" customHeight="1">
      <c r="A3" s="358" t="s">
        <v>54</v>
      </c>
      <c r="B3" s="65" t="s">
        <v>21</v>
      </c>
      <c r="C3" s="355" t="s">
        <v>53</v>
      </c>
      <c r="D3" s="355">
        <v>1</v>
      </c>
      <c r="E3" s="355">
        <v>2</v>
      </c>
      <c r="F3" s="355">
        <v>3</v>
      </c>
      <c r="G3" s="355">
        <v>4</v>
      </c>
      <c r="H3" s="355">
        <v>6</v>
      </c>
      <c r="I3" s="355">
        <v>7</v>
      </c>
      <c r="J3" s="355">
        <v>8</v>
      </c>
      <c r="K3" s="355">
        <v>9</v>
      </c>
      <c r="L3" s="355">
        <v>10</v>
      </c>
      <c r="M3" s="355">
        <v>11</v>
      </c>
      <c r="N3" s="355">
        <v>13</v>
      </c>
      <c r="O3" s="355">
        <v>14</v>
      </c>
      <c r="P3" s="355">
        <v>15</v>
      </c>
      <c r="Q3" s="355">
        <v>16</v>
      </c>
      <c r="R3" s="355">
        <v>17</v>
      </c>
      <c r="S3" s="355">
        <v>18</v>
      </c>
      <c r="T3" s="355">
        <v>19</v>
      </c>
      <c r="U3" s="355">
        <v>20</v>
      </c>
      <c r="V3" s="355">
        <v>21</v>
      </c>
      <c r="W3" s="355">
        <v>22</v>
      </c>
      <c r="X3" s="355">
        <v>23</v>
      </c>
      <c r="Y3" s="355">
        <v>24</v>
      </c>
      <c r="Z3" s="355">
        <v>25</v>
      </c>
      <c r="AA3" s="355">
        <v>26</v>
      </c>
      <c r="AB3" s="355">
        <v>27</v>
      </c>
      <c r="AC3" s="355">
        <v>28</v>
      </c>
      <c r="AD3" s="355">
        <v>30</v>
      </c>
      <c r="AE3" s="355">
        <v>31</v>
      </c>
    </row>
    <row r="4" spans="1:31" s="23" customFormat="1" ht="15" customHeight="1">
      <c r="A4" s="359"/>
      <c r="B4" s="28" t="s">
        <v>19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355"/>
      <c r="Z4" s="355"/>
      <c r="AA4" s="355"/>
      <c r="AB4" s="355"/>
      <c r="AC4" s="355"/>
      <c r="AD4" s="355"/>
      <c r="AE4" s="355"/>
    </row>
    <row r="5" spans="1:31" s="64" customFormat="1" ht="19.5" customHeight="1">
      <c r="A5" s="357" t="s">
        <v>29</v>
      </c>
      <c r="B5" s="68" t="s">
        <v>39</v>
      </c>
      <c r="C5" s="75">
        <v>1523053</v>
      </c>
      <c r="D5" s="76">
        <v>19608</v>
      </c>
      <c r="E5" s="76"/>
      <c r="F5" s="76">
        <v>6876</v>
      </c>
      <c r="G5" s="76">
        <v>23004</v>
      </c>
      <c r="H5" s="76"/>
      <c r="I5" s="76">
        <v>46276</v>
      </c>
      <c r="J5" s="76">
        <v>8204</v>
      </c>
      <c r="K5" s="76">
        <v>30864</v>
      </c>
      <c r="L5" s="76">
        <v>209574</v>
      </c>
      <c r="M5" s="76"/>
      <c r="N5" s="76"/>
      <c r="O5" s="76">
        <v>1224</v>
      </c>
      <c r="P5" s="76">
        <v>47964</v>
      </c>
      <c r="Q5" s="76">
        <v>222996</v>
      </c>
      <c r="R5" s="76">
        <v>356583</v>
      </c>
      <c r="S5" s="76">
        <v>16968</v>
      </c>
      <c r="T5" s="76">
        <v>264</v>
      </c>
      <c r="U5" s="76">
        <v>9977</v>
      </c>
      <c r="V5" s="76">
        <v>3060</v>
      </c>
      <c r="W5" s="76">
        <v>3588</v>
      </c>
      <c r="X5" s="76">
        <v>3600</v>
      </c>
      <c r="Y5" s="76">
        <v>124884</v>
      </c>
      <c r="Z5" s="76">
        <v>6036</v>
      </c>
      <c r="AA5" s="76">
        <v>156</v>
      </c>
      <c r="AB5" s="76">
        <v>346551</v>
      </c>
      <c r="AC5" s="76">
        <v>2210</v>
      </c>
      <c r="AD5" s="76">
        <v>20544</v>
      </c>
      <c r="AE5" s="76">
        <v>12042</v>
      </c>
    </row>
    <row r="6" spans="1:31" s="64" customFormat="1" ht="19.5" customHeight="1">
      <c r="A6" s="357"/>
      <c r="B6" s="68" t="s">
        <v>37</v>
      </c>
      <c r="C6" s="75">
        <v>1007922</v>
      </c>
      <c r="D6" s="76">
        <v>2040</v>
      </c>
      <c r="E6" s="76">
        <v>31656</v>
      </c>
      <c r="F6" s="76">
        <v>16488</v>
      </c>
      <c r="G6" s="76">
        <v>5412</v>
      </c>
      <c r="H6" s="76">
        <v>27588</v>
      </c>
      <c r="I6" s="76">
        <v>34360</v>
      </c>
      <c r="J6" s="76">
        <v>239526</v>
      </c>
      <c r="K6" s="76">
        <v>5796</v>
      </c>
      <c r="L6" s="76">
        <v>7788</v>
      </c>
      <c r="M6" s="76">
        <v>7908</v>
      </c>
      <c r="N6" s="76">
        <v>15612</v>
      </c>
      <c r="O6" s="76"/>
      <c r="P6" s="76">
        <v>193500</v>
      </c>
      <c r="Q6" s="76">
        <v>169080</v>
      </c>
      <c r="R6" s="76">
        <v>55635</v>
      </c>
      <c r="S6" s="76">
        <v>1914</v>
      </c>
      <c r="T6" s="76"/>
      <c r="U6" s="76">
        <v>24227</v>
      </c>
      <c r="V6" s="76">
        <v>169392</v>
      </c>
      <c r="W6" s="76"/>
      <c r="X6" s="76"/>
      <c r="Y6" s="76"/>
      <c r="Z6" s="76"/>
      <c r="AA6" s="76"/>
      <c r="AB6" s="76"/>
      <c r="AC6" s="76"/>
      <c r="AD6" s="76"/>
      <c r="AE6" s="76"/>
    </row>
    <row r="7" spans="1:31" s="64" customFormat="1" ht="19.5" customHeight="1">
      <c r="A7" s="357"/>
      <c r="B7" s="67" t="s">
        <v>38</v>
      </c>
      <c r="C7" s="75">
        <v>76796</v>
      </c>
      <c r="D7" s="76">
        <v>17568</v>
      </c>
      <c r="E7" s="76"/>
      <c r="F7" s="76">
        <v>-9612</v>
      </c>
      <c r="G7" s="76">
        <v>17592</v>
      </c>
      <c r="H7" s="76"/>
      <c r="I7" s="76">
        <v>11916</v>
      </c>
      <c r="J7" s="76">
        <v>-231322</v>
      </c>
      <c r="K7" s="76">
        <v>25068</v>
      </c>
      <c r="L7" s="76">
        <v>201786</v>
      </c>
      <c r="M7" s="76"/>
      <c r="N7" s="76"/>
      <c r="O7" s="76"/>
      <c r="P7" s="76">
        <v>-145536</v>
      </c>
      <c r="Q7" s="76">
        <v>53916</v>
      </c>
      <c r="R7" s="76">
        <v>300948</v>
      </c>
      <c r="S7" s="76">
        <v>15054</v>
      </c>
      <c r="T7" s="76"/>
      <c r="U7" s="76">
        <v>-14250</v>
      </c>
      <c r="V7" s="76">
        <v>-166332</v>
      </c>
      <c r="W7" s="76"/>
      <c r="X7" s="76"/>
      <c r="Y7" s="76"/>
      <c r="Z7" s="76"/>
      <c r="AA7" s="76"/>
      <c r="AB7" s="76"/>
      <c r="AC7" s="76"/>
      <c r="AD7" s="76"/>
      <c r="AE7" s="76"/>
    </row>
  </sheetData>
  <mergeCells count="33">
    <mergeCell ref="A5:A7"/>
    <mergeCell ref="A3:A4"/>
    <mergeCell ref="R3:R4"/>
    <mergeCell ref="S3:S4"/>
    <mergeCell ref="C3:C4"/>
    <mergeCell ref="H3:H4"/>
    <mergeCell ref="I3:I4"/>
    <mergeCell ref="J3:J4"/>
    <mergeCell ref="K3:K4"/>
    <mergeCell ref="L3:L4"/>
    <mergeCell ref="M3:M4"/>
    <mergeCell ref="N3:N4"/>
    <mergeCell ref="A1:B1"/>
    <mergeCell ref="D3:D4"/>
    <mergeCell ref="E3:E4"/>
    <mergeCell ref="F3:F4"/>
    <mergeCell ref="G3:G4"/>
    <mergeCell ref="AD3:AD4"/>
    <mergeCell ref="AE3:AE4"/>
    <mergeCell ref="A2:AE2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O3:O4"/>
    <mergeCell ref="P3:P4"/>
    <mergeCell ref="Q3:Q4"/>
  </mergeCells>
  <phoneticPr fontId="31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FF00"/>
  </sheetPr>
  <dimension ref="A1:AG51"/>
  <sheetViews>
    <sheetView workbookViewId="0">
      <pane ySplit="6" topLeftCell="A7" activePane="bottomLeft" state="frozen"/>
      <selection pane="bottomLeft" sqref="A1:B1"/>
    </sheetView>
  </sheetViews>
  <sheetFormatPr defaultRowHeight="16.5"/>
  <cols>
    <col min="1" max="1" width="11.7109375" style="66" bestFit="1" customWidth="1"/>
    <col min="2" max="2" width="12.7109375" style="66" customWidth="1"/>
    <col min="3" max="6" width="6.7109375" style="168" customWidth="1"/>
    <col min="7" max="7" width="6.7109375" style="189" customWidth="1"/>
    <col min="8" max="13" width="6.7109375" style="168" customWidth="1"/>
    <col min="14" max="14" width="6.7109375" style="189" customWidth="1"/>
    <col min="15" max="20" width="6.7109375" style="168" customWidth="1"/>
    <col min="21" max="21" width="6.7109375" style="189" customWidth="1"/>
    <col min="22" max="27" width="6.7109375" style="168" customWidth="1"/>
    <col min="28" max="28" width="6.7109375" style="189" customWidth="1"/>
    <col min="29" max="33" width="6.7109375" style="168" customWidth="1"/>
    <col min="34" max="16384" width="9.140625" style="66"/>
  </cols>
  <sheetData>
    <row r="1" spans="1:33" ht="27.75">
      <c r="A1" s="344" t="s">
        <v>4</v>
      </c>
      <c r="B1" s="345"/>
      <c r="C1" s="169"/>
      <c r="D1" s="169"/>
      <c r="E1" s="169"/>
      <c r="F1" s="169"/>
      <c r="G1" s="70"/>
      <c r="H1" s="169"/>
      <c r="I1" s="169"/>
      <c r="J1" s="169"/>
      <c r="K1" s="169"/>
      <c r="L1" s="169"/>
      <c r="M1" s="169"/>
      <c r="N1" s="70"/>
      <c r="O1" s="169"/>
      <c r="P1" s="169"/>
      <c r="Q1" s="169"/>
      <c r="R1" s="169"/>
      <c r="S1" s="169"/>
      <c r="T1" s="169"/>
      <c r="U1" s="70"/>
      <c r="V1" s="169"/>
      <c r="W1" s="169"/>
      <c r="X1" s="169"/>
      <c r="Y1" s="169"/>
      <c r="Z1" s="169"/>
      <c r="AA1" s="169"/>
      <c r="AB1" s="70"/>
      <c r="AC1" s="169"/>
      <c r="AD1" s="169"/>
      <c r="AE1" s="108"/>
      <c r="AF1" s="108"/>
      <c r="AG1" s="169"/>
    </row>
    <row r="2" spans="1:33" ht="30">
      <c r="A2" s="363" t="s">
        <v>109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170"/>
      <c r="AE2" s="109"/>
      <c r="AF2" s="109"/>
      <c r="AG2" s="170"/>
    </row>
    <row r="3" spans="1:33" ht="16.5" customHeight="1">
      <c r="A3" s="167" t="s">
        <v>110</v>
      </c>
      <c r="B3" s="176" t="s">
        <v>43</v>
      </c>
      <c r="C3" s="178">
        <v>1</v>
      </c>
      <c r="D3" s="178">
        <v>2</v>
      </c>
      <c r="E3" s="178">
        <v>3</v>
      </c>
      <c r="F3" s="178">
        <v>4</v>
      </c>
      <c r="G3" s="177">
        <v>5</v>
      </c>
      <c r="H3" s="178">
        <v>6</v>
      </c>
      <c r="I3" s="178">
        <v>7</v>
      </c>
      <c r="J3" s="178">
        <v>8</v>
      </c>
      <c r="K3" s="178">
        <v>9</v>
      </c>
      <c r="L3" s="178">
        <v>10</v>
      </c>
      <c r="M3" s="178">
        <v>11</v>
      </c>
      <c r="N3" s="177">
        <v>12</v>
      </c>
      <c r="O3" s="178">
        <v>13</v>
      </c>
      <c r="P3" s="178">
        <v>14</v>
      </c>
      <c r="Q3" s="178">
        <v>15</v>
      </c>
      <c r="R3" s="178">
        <v>16</v>
      </c>
      <c r="S3" s="178">
        <v>17</v>
      </c>
      <c r="T3" s="178">
        <v>18</v>
      </c>
      <c r="U3" s="177">
        <v>19</v>
      </c>
      <c r="V3" s="178">
        <v>20</v>
      </c>
      <c r="W3" s="178">
        <v>21</v>
      </c>
      <c r="X3" s="178">
        <v>22</v>
      </c>
      <c r="Y3" s="178">
        <v>23</v>
      </c>
      <c r="Z3" s="178">
        <v>24</v>
      </c>
      <c r="AA3" s="178">
        <v>25</v>
      </c>
      <c r="AB3" s="177">
        <v>26</v>
      </c>
      <c r="AC3" s="178">
        <v>27</v>
      </c>
      <c r="AD3" s="178">
        <v>28</v>
      </c>
      <c r="AE3" s="178">
        <v>29</v>
      </c>
      <c r="AF3" s="178">
        <v>30</v>
      </c>
      <c r="AG3" s="178">
        <v>31</v>
      </c>
    </row>
    <row r="4" spans="1:33" s="3" customFormat="1" ht="15" customHeight="1">
      <c r="A4" s="360" t="s">
        <v>129</v>
      </c>
      <c r="B4" s="179" t="s">
        <v>111</v>
      </c>
      <c r="C4" s="183">
        <v>19495</v>
      </c>
      <c r="D4" s="183">
        <v>19516</v>
      </c>
      <c r="E4" s="183">
        <v>19427</v>
      </c>
      <c r="F4" s="183">
        <v>15899</v>
      </c>
      <c r="G4" s="182">
        <v>58</v>
      </c>
      <c r="H4" s="183">
        <v>18884</v>
      </c>
      <c r="I4" s="183">
        <v>19260</v>
      </c>
      <c r="J4" s="183">
        <v>19245</v>
      </c>
      <c r="K4" s="183">
        <v>19277</v>
      </c>
      <c r="L4" s="183">
        <v>19326</v>
      </c>
      <c r="M4" s="183">
        <v>19097</v>
      </c>
      <c r="N4" s="182">
        <v>61</v>
      </c>
      <c r="O4" s="183">
        <v>19146</v>
      </c>
      <c r="P4" s="183">
        <v>19548</v>
      </c>
      <c r="Q4" s="183">
        <v>19565</v>
      </c>
      <c r="R4" s="183">
        <v>19437</v>
      </c>
      <c r="S4" s="183">
        <v>19584</v>
      </c>
      <c r="T4" s="183">
        <v>19322</v>
      </c>
      <c r="U4" s="182">
        <v>111</v>
      </c>
      <c r="V4" s="183">
        <v>19378</v>
      </c>
      <c r="W4" s="183">
        <v>19422</v>
      </c>
      <c r="X4" s="183">
        <v>19661</v>
      </c>
      <c r="Y4" s="183">
        <v>19625</v>
      </c>
      <c r="Z4" s="183">
        <v>19624</v>
      </c>
      <c r="AA4" s="183">
        <v>708</v>
      </c>
      <c r="AB4" s="182">
        <v>0</v>
      </c>
      <c r="AC4" s="181"/>
      <c r="AD4" s="181"/>
      <c r="AE4" s="190"/>
      <c r="AF4" s="190"/>
      <c r="AG4" s="190"/>
    </row>
    <row r="5" spans="1:33" s="4" customFormat="1" ht="15" customHeight="1">
      <c r="A5" s="361"/>
      <c r="B5" s="179" t="s">
        <v>112</v>
      </c>
      <c r="C5" s="183">
        <v>16234</v>
      </c>
      <c r="D5" s="183">
        <v>16240</v>
      </c>
      <c r="E5" s="183">
        <v>16157</v>
      </c>
      <c r="F5" s="183">
        <v>13059</v>
      </c>
      <c r="G5" s="182">
        <v>0</v>
      </c>
      <c r="H5" s="183">
        <v>15700</v>
      </c>
      <c r="I5" s="183">
        <v>16027</v>
      </c>
      <c r="J5" s="183">
        <v>16028</v>
      </c>
      <c r="K5" s="183">
        <v>16055</v>
      </c>
      <c r="L5" s="183">
        <v>16084</v>
      </c>
      <c r="M5" s="183">
        <v>15928</v>
      </c>
      <c r="N5" s="182">
        <v>0</v>
      </c>
      <c r="O5" s="183">
        <v>15979</v>
      </c>
      <c r="P5" s="183">
        <v>16280</v>
      </c>
      <c r="Q5" s="183">
        <v>16309</v>
      </c>
      <c r="R5" s="183">
        <v>16211</v>
      </c>
      <c r="S5" s="183">
        <v>16368</v>
      </c>
      <c r="T5" s="183">
        <v>16178</v>
      </c>
      <c r="U5" s="182">
        <v>0</v>
      </c>
      <c r="V5" s="183">
        <v>16210</v>
      </c>
      <c r="W5" s="183">
        <v>16256</v>
      </c>
      <c r="X5" s="183">
        <v>16470</v>
      </c>
      <c r="Y5" s="183">
        <v>16448</v>
      </c>
      <c r="Z5" s="183">
        <v>16450</v>
      </c>
      <c r="AA5" s="183">
        <v>569</v>
      </c>
      <c r="AB5" s="182">
        <v>0</v>
      </c>
      <c r="AC5" s="181"/>
      <c r="AD5" s="181"/>
      <c r="AE5" s="190"/>
      <c r="AF5" s="190"/>
      <c r="AG5" s="190"/>
    </row>
    <row r="6" spans="1:33" s="4" customFormat="1" ht="15" customHeight="1">
      <c r="A6" s="362"/>
      <c r="B6" s="184" t="s">
        <v>113</v>
      </c>
      <c r="C6" s="188">
        <v>3260</v>
      </c>
      <c r="D6" s="188">
        <v>3275</v>
      </c>
      <c r="E6" s="188">
        <v>3268</v>
      </c>
      <c r="F6" s="188">
        <v>2838</v>
      </c>
      <c r="G6" s="187">
        <v>58</v>
      </c>
      <c r="H6" s="188">
        <v>3182</v>
      </c>
      <c r="I6" s="188">
        <v>3231</v>
      </c>
      <c r="J6" s="188">
        <v>3213</v>
      </c>
      <c r="K6" s="188">
        <v>3218</v>
      </c>
      <c r="L6" s="188">
        <v>3238</v>
      </c>
      <c r="M6" s="188">
        <v>3165</v>
      </c>
      <c r="N6" s="187">
        <v>61</v>
      </c>
      <c r="O6" s="188">
        <v>3163</v>
      </c>
      <c r="P6" s="188">
        <v>3264</v>
      </c>
      <c r="Q6" s="188">
        <v>3252</v>
      </c>
      <c r="R6" s="188">
        <v>3222</v>
      </c>
      <c r="S6" s="188">
        <v>3212</v>
      </c>
      <c r="T6" s="188">
        <v>3140</v>
      </c>
      <c r="U6" s="187">
        <v>111</v>
      </c>
      <c r="V6" s="188">
        <v>3164</v>
      </c>
      <c r="W6" s="188">
        <v>3162</v>
      </c>
      <c r="X6" s="188">
        <v>3188</v>
      </c>
      <c r="Y6" s="188">
        <v>3173</v>
      </c>
      <c r="Z6" s="188">
        <v>3170</v>
      </c>
      <c r="AA6" s="188">
        <v>139</v>
      </c>
      <c r="AB6" s="187">
        <v>0</v>
      </c>
      <c r="AC6" s="186"/>
      <c r="AD6" s="186"/>
      <c r="AE6" s="191"/>
      <c r="AF6" s="191"/>
      <c r="AG6" s="191"/>
    </row>
    <row r="7" spans="1:33" s="4" customFormat="1" ht="18.75" customHeight="1">
      <c r="A7" s="360" t="s">
        <v>114</v>
      </c>
      <c r="B7" s="179" t="s">
        <v>111</v>
      </c>
      <c r="C7" s="183">
        <v>427</v>
      </c>
      <c r="D7" s="183">
        <v>432</v>
      </c>
      <c r="E7" s="183">
        <v>432</v>
      </c>
      <c r="F7" s="183">
        <v>415</v>
      </c>
      <c r="G7" s="182">
        <v>58</v>
      </c>
      <c r="H7" s="183">
        <v>423</v>
      </c>
      <c r="I7" s="183">
        <v>424</v>
      </c>
      <c r="J7" s="183">
        <v>417</v>
      </c>
      <c r="K7" s="183">
        <v>417</v>
      </c>
      <c r="L7" s="183">
        <v>429</v>
      </c>
      <c r="M7" s="183">
        <v>408</v>
      </c>
      <c r="N7" s="182">
        <v>61</v>
      </c>
      <c r="O7" s="183">
        <v>419</v>
      </c>
      <c r="P7" s="183">
        <v>434</v>
      </c>
      <c r="Q7" s="183">
        <v>427</v>
      </c>
      <c r="R7" s="183">
        <v>431</v>
      </c>
      <c r="S7" s="183">
        <v>408</v>
      </c>
      <c r="T7" s="183">
        <v>386</v>
      </c>
      <c r="U7" s="182">
        <v>111</v>
      </c>
      <c r="V7" s="183">
        <v>397</v>
      </c>
      <c r="W7" s="183">
        <v>390</v>
      </c>
      <c r="X7" s="183">
        <v>398</v>
      </c>
      <c r="Y7" s="183">
        <v>395</v>
      </c>
      <c r="Z7" s="183">
        <v>397</v>
      </c>
      <c r="AA7" s="183">
        <v>50</v>
      </c>
      <c r="AB7" s="180"/>
      <c r="AC7" s="181"/>
      <c r="AD7" s="181"/>
      <c r="AE7" s="190"/>
      <c r="AF7" s="190"/>
      <c r="AG7" s="190"/>
    </row>
    <row r="8" spans="1:33" s="4" customFormat="1" ht="18.75" customHeight="1">
      <c r="A8" s="361"/>
      <c r="B8" s="179" t="s">
        <v>112</v>
      </c>
      <c r="C8" s="183">
        <v>0</v>
      </c>
      <c r="D8" s="183">
        <v>0</v>
      </c>
      <c r="E8" s="183">
        <v>0</v>
      </c>
      <c r="F8" s="183">
        <v>0</v>
      </c>
      <c r="G8" s="182">
        <v>0</v>
      </c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2">
        <v>0</v>
      </c>
      <c r="O8" s="183">
        <v>0</v>
      </c>
      <c r="P8" s="183">
        <v>0</v>
      </c>
      <c r="Q8" s="183">
        <v>0</v>
      </c>
      <c r="R8" s="183">
        <v>0</v>
      </c>
      <c r="S8" s="183">
        <v>0</v>
      </c>
      <c r="T8" s="183">
        <v>0</v>
      </c>
      <c r="U8" s="182">
        <v>0</v>
      </c>
      <c r="V8" s="183">
        <v>0</v>
      </c>
      <c r="W8" s="183">
        <v>0</v>
      </c>
      <c r="X8" s="183">
        <v>0</v>
      </c>
      <c r="Y8" s="183">
        <v>0</v>
      </c>
      <c r="Z8" s="183">
        <v>1</v>
      </c>
      <c r="AA8" s="183">
        <v>0</v>
      </c>
      <c r="AB8" s="180"/>
      <c r="AC8" s="181"/>
      <c r="AD8" s="181"/>
      <c r="AE8" s="190"/>
      <c r="AF8" s="190"/>
      <c r="AG8" s="190"/>
    </row>
    <row r="9" spans="1:33" s="4" customFormat="1" ht="18.75" customHeight="1">
      <c r="A9" s="362"/>
      <c r="B9" s="184" t="s">
        <v>113</v>
      </c>
      <c r="C9" s="188">
        <v>427</v>
      </c>
      <c r="D9" s="188">
        <v>432</v>
      </c>
      <c r="E9" s="188">
        <v>432</v>
      </c>
      <c r="F9" s="188">
        <v>415</v>
      </c>
      <c r="G9" s="187">
        <v>58</v>
      </c>
      <c r="H9" s="188">
        <v>423</v>
      </c>
      <c r="I9" s="188">
        <v>424</v>
      </c>
      <c r="J9" s="188">
        <v>417</v>
      </c>
      <c r="K9" s="188">
        <v>417</v>
      </c>
      <c r="L9" s="188">
        <v>429</v>
      </c>
      <c r="M9" s="188">
        <v>408</v>
      </c>
      <c r="N9" s="187">
        <v>61</v>
      </c>
      <c r="O9" s="188">
        <v>419</v>
      </c>
      <c r="P9" s="188">
        <v>434</v>
      </c>
      <c r="Q9" s="188">
        <v>427</v>
      </c>
      <c r="R9" s="188">
        <v>431</v>
      </c>
      <c r="S9" s="188">
        <v>408</v>
      </c>
      <c r="T9" s="188">
        <v>386</v>
      </c>
      <c r="U9" s="187">
        <v>111</v>
      </c>
      <c r="V9" s="188">
        <v>397</v>
      </c>
      <c r="W9" s="188">
        <v>390</v>
      </c>
      <c r="X9" s="188">
        <v>398</v>
      </c>
      <c r="Y9" s="188">
        <v>395</v>
      </c>
      <c r="Z9" s="188">
        <v>396</v>
      </c>
      <c r="AA9" s="188">
        <v>50</v>
      </c>
      <c r="AB9" s="185"/>
      <c r="AC9" s="186"/>
      <c r="AD9" s="186"/>
      <c r="AE9" s="191"/>
      <c r="AF9" s="191"/>
      <c r="AG9" s="191"/>
    </row>
    <row r="10" spans="1:33" s="4" customFormat="1" ht="18.75" customHeight="1">
      <c r="A10" s="360" t="s">
        <v>115</v>
      </c>
      <c r="B10" s="179" t="s">
        <v>111</v>
      </c>
      <c r="C10" s="183">
        <v>564</v>
      </c>
      <c r="D10" s="183">
        <v>570</v>
      </c>
      <c r="E10" s="183">
        <v>565</v>
      </c>
      <c r="F10" s="183">
        <v>559</v>
      </c>
      <c r="G10" s="182">
        <v>0</v>
      </c>
      <c r="H10" s="183">
        <v>557</v>
      </c>
      <c r="I10" s="183">
        <v>558</v>
      </c>
      <c r="J10" s="183">
        <v>560</v>
      </c>
      <c r="K10" s="183">
        <v>561</v>
      </c>
      <c r="L10" s="183">
        <v>570</v>
      </c>
      <c r="M10" s="183">
        <v>561</v>
      </c>
      <c r="N10" s="182">
        <v>0</v>
      </c>
      <c r="O10" s="183">
        <v>560</v>
      </c>
      <c r="P10" s="183">
        <v>564</v>
      </c>
      <c r="Q10" s="183">
        <v>561</v>
      </c>
      <c r="R10" s="183">
        <v>559</v>
      </c>
      <c r="S10" s="183">
        <v>560</v>
      </c>
      <c r="T10" s="183">
        <v>558</v>
      </c>
      <c r="U10" s="182">
        <v>0</v>
      </c>
      <c r="V10" s="183">
        <v>550</v>
      </c>
      <c r="W10" s="183">
        <v>547</v>
      </c>
      <c r="X10" s="183">
        <v>553</v>
      </c>
      <c r="Y10" s="183">
        <v>556</v>
      </c>
      <c r="Z10" s="183">
        <v>556</v>
      </c>
      <c r="AA10" s="183">
        <v>144</v>
      </c>
      <c r="AB10" s="182">
        <v>0</v>
      </c>
      <c r="AC10" s="181"/>
      <c r="AD10" s="181"/>
      <c r="AE10" s="190"/>
      <c r="AF10" s="190"/>
      <c r="AG10" s="190"/>
    </row>
    <row r="11" spans="1:33" s="4" customFormat="1" ht="18.75" customHeight="1">
      <c r="A11" s="361"/>
      <c r="B11" s="179" t="s">
        <v>112</v>
      </c>
      <c r="C11" s="183">
        <v>444</v>
      </c>
      <c r="D11" s="183">
        <v>449</v>
      </c>
      <c r="E11" s="183">
        <v>443</v>
      </c>
      <c r="F11" s="183">
        <v>440</v>
      </c>
      <c r="G11" s="182">
        <v>0</v>
      </c>
      <c r="H11" s="183">
        <v>437</v>
      </c>
      <c r="I11" s="183">
        <v>440</v>
      </c>
      <c r="J11" s="183">
        <v>440</v>
      </c>
      <c r="K11" s="183">
        <v>440</v>
      </c>
      <c r="L11" s="183">
        <v>447</v>
      </c>
      <c r="M11" s="183">
        <v>445</v>
      </c>
      <c r="N11" s="182">
        <v>0</v>
      </c>
      <c r="O11" s="183">
        <v>438</v>
      </c>
      <c r="P11" s="183">
        <v>441</v>
      </c>
      <c r="Q11" s="183">
        <v>439</v>
      </c>
      <c r="R11" s="183">
        <v>439</v>
      </c>
      <c r="S11" s="183">
        <v>439</v>
      </c>
      <c r="T11" s="183">
        <v>441</v>
      </c>
      <c r="U11" s="182">
        <v>0</v>
      </c>
      <c r="V11" s="183">
        <v>436</v>
      </c>
      <c r="W11" s="183">
        <v>431</v>
      </c>
      <c r="X11" s="183">
        <v>438</v>
      </c>
      <c r="Y11" s="183">
        <v>442</v>
      </c>
      <c r="Z11" s="183">
        <v>439</v>
      </c>
      <c r="AA11" s="183">
        <v>124</v>
      </c>
      <c r="AB11" s="182">
        <v>0</v>
      </c>
      <c r="AC11" s="181"/>
      <c r="AD11" s="181"/>
      <c r="AE11" s="190"/>
      <c r="AF11" s="190"/>
      <c r="AG11" s="190"/>
    </row>
    <row r="12" spans="1:33" s="4" customFormat="1" ht="18.75" customHeight="1">
      <c r="A12" s="362"/>
      <c r="B12" s="184" t="s">
        <v>113</v>
      </c>
      <c r="C12" s="188">
        <v>120</v>
      </c>
      <c r="D12" s="188">
        <v>121</v>
      </c>
      <c r="E12" s="188">
        <v>122</v>
      </c>
      <c r="F12" s="188">
        <v>119</v>
      </c>
      <c r="G12" s="187">
        <v>0</v>
      </c>
      <c r="H12" s="188">
        <v>120</v>
      </c>
      <c r="I12" s="188">
        <v>118</v>
      </c>
      <c r="J12" s="188">
        <v>120</v>
      </c>
      <c r="K12" s="188">
        <v>121</v>
      </c>
      <c r="L12" s="188">
        <v>123</v>
      </c>
      <c r="M12" s="188">
        <v>116</v>
      </c>
      <c r="N12" s="187">
        <v>0</v>
      </c>
      <c r="O12" s="188">
        <v>122</v>
      </c>
      <c r="P12" s="188">
        <v>123</v>
      </c>
      <c r="Q12" s="188">
        <v>122</v>
      </c>
      <c r="R12" s="188">
        <v>120</v>
      </c>
      <c r="S12" s="188">
        <v>121</v>
      </c>
      <c r="T12" s="188">
        <v>117</v>
      </c>
      <c r="U12" s="187">
        <v>0</v>
      </c>
      <c r="V12" s="188">
        <v>114</v>
      </c>
      <c r="W12" s="188">
        <v>116</v>
      </c>
      <c r="X12" s="188">
        <v>115</v>
      </c>
      <c r="Y12" s="188">
        <v>114</v>
      </c>
      <c r="Z12" s="188">
        <v>117</v>
      </c>
      <c r="AA12" s="188">
        <v>20</v>
      </c>
      <c r="AB12" s="187">
        <v>0</v>
      </c>
      <c r="AC12" s="186"/>
      <c r="AD12" s="186"/>
      <c r="AE12" s="191"/>
      <c r="AF12" s="191"/>
      <c r="AG12" s="191"/>
    </row>
    <row r="13" spans="1:33" s="4" customFormat="1" ht="18.75" customHeight="1">
      <c r="A13" s="360" t="s">
        <v>116</v>
      </c>
      <c r="B13" s="179" t="s">
        <v>111</v>
      </c>
      <c r="C13" s="183">
        <v>239</v>
      </c>
      <c r="D13" s="183">
        <v>241</v>
      </c>
      <c r="E13" s="183">
        <v>238</v>
      </c>
      <c r="F13" s="183">
        <v>235</v>
      </c>
      <c r="G13" s="182">
        <v>0</v>
      </c>
      <c r="H13" s="183">
        <v>232</v>
      </c>
      <c r="I13" s="183">
        <v>236</v>
      </c>
      <c r="J13" s="183">
        <v>234</v>
      </c>
      <c r="K13" s="183">
        <v>232</v>
      </c>
      <c r="L13" s="183">
        <v>236</v>
      </c>
      <c r="M13" s="183">
        <v>232</v>
      </c>
      <c r="N13" s="182">
        <v>0</v>
      </c>
      <c r="O13" s="183">
        <v>236</v>
      </c>
      <c r="P13" s="183">
        <v>238</v>
      </c>
      <c r="Q13" s="183">
        <v>242</v>
      </c>
      <c r="R13" s="183">
        <v>238</v>
      </c>
      <c r="S13" s="183">
        <v>241</v>
      </c>
      <c r="T13" s="183">
        <v>222</v>
      </c>
      <c r="U13" s="182">
        <v>0</v>
      </c>
      <c r="V13" s="183">
        <v>241</v>
      </c>
      <c r="W13" s="183">
        <v>236</v>
      </c>
      <c r="X13" s="183">
        <v>243</v>
      </c>
      <c r="Y13" s="183">
        <v>239</v>
      </c>
      <c r="Z13" s="183">
        <v>236</v>
      </c>
      <c r="AA13" s="183">
        <v>77</v>
      </c>
      <c r="AB13" s="180"/>
      <c r="AC13" s="181"/>
      <c r="AD13" s="181"/>
      <c r="AE13" s="190"/>
      <c r="AF13" s="190"/>
      <c r="AG13" s="190"/>
    </row>
    <row r="14" spans="1:33" s="4" customFormat="1" ht="18.75" customHeight="1">
      <c r="A14" s="361"/>
      <c r="B14" s="179" t="s">
        <v>112</v>
      </c>
      <c r="C14" s="183">
        <v>193</v>
      </c>
      <c r="D14" s="183">
        <v>195</v>
      </c>
      <c r="E14" s="183">
        <v>191</v>
      </c>
      <c r="F14" s="183">
        <v>188</v>
      </c>
      <c r="G14" s="182">
        <v>0</v>
      </c>
      <c r="H14" s="183">
        <v>184</v>
      </c>
      <c r="I14" s="183">
        <v>189</v>
      </c>
      <c r="J14" s="183">
        <v>187</v>
      </c>
      <c r="K14" s="183">
        <v>186</v>
      </c>
      <c r="L14" s="183">
        <v>187</v>
      </c>
      <c r="M14" s="183">
        <v>185</v>
      </c>
      <c r="N14" s="182">
        <v>0</v>
      </c>
      <c r="O14" s="183">
        <v>190</v>
      </c>
      <c r="P14" s="183">
        <v>189</v>
      </c>
      <c r="Q14" s="183">
        <v>194</v>
      </c>
      <c r="R14" s="183">
        <v>190</v>
      </c>
      <c r="S14" s="183">
        <v>193</v>
      </c>
      <c r="T14" s="183">
        <v>176</v>
      </c>
      <c r="U14" s="182">
        <v>0</v>
      </c>
      <c r="V14" s="183">
        <v>193</v>
      </c>
      <c r="W14" s="183">
        <v>190</v>
      </c>
      <c r="X14" s="183">
        <v>195</v>
      </c>
      <c r="Y14" s="183">
        <v>191</v>
      </c>
      <c r="Z14" s="183">
        <v>188</v>
      </c>
      <c r="AA14" s="183">
        <v>59</v>
      </c>
      <c r="AB14" s="180"/>
      <c r="AC14" s="181"/>
      <c r="AD14" s="181"/>
      <c r="AE14" s="190"/>
      <c r="AF14" s="190"/>
      <c r="AG14" s="190"/>
    </row>
    <row r="15" spans="1:33" s="4" customFormat="1" ht="18.75" customHeight="1">
      <c r="A15" s="362"/>
      <c r="B15" s="184" t="s">
        <v>113</v>
      </c>
      <c r="C15" s="188">
        <v>46</v>
      </c>
      <c r="D15" s="188">
        <v>46</v>
      </c>
      <c r="E15" s="188">
        <v>47</v>
      </c>
      <c r="F15" s="188">
        <v>47</v>
      </c>
      <c r="G15" s="187">
        <v>0</v>
      </c>
      <c r="H15" s="188">
        <v>48</v>
      </c>
      <c r="I15" s="188">
        <v>47</v>
      </c>
      <c r="J15" s="188">
        <v>47</v>
      </c>
      <c r="K15" s="188">
        <v>46</v>
      </c>
      <c r="L15" s="188">
        <v>49</v>
      </c>
      <c r="M15" s="188">
        <v>47</v>
      </c>
      <c r="N15" s="187">
        <v>0</v>
      </c>
      <c r="O15" s="188">
        <v>46</v>
      </c>
      <c r="P15" s="188">
        <v>49</v>
      </c>
      <c r="Q15" s="188">
        <v>48</v>
      </c>
      <c r="R15" s="188">
        <v>48</v>
      </c>
      <c r="S15" s="188">
        <v>48</v>
      </c>
      <c r="T15" s="188">
        <v>46</v>
      </c>
      <c r="U15" s="187">
        <v>0</v>
      </c>
      <c r="V15" s="188">
        <v>48</v>
      </c>
      <c r="W15" s="188">
        <v>46</v>
      </c>
      <c r="X15" s="188">
        <v>48</v>
      </c>
      <c r="Y15" s="188">
        <v>48</v>
      </c>
      <c r="Z15" s="188">
        <v>48</v>
      </c>
      <c r="AA15" s="188">
        <v>18</v>
      </c>
      <c r="AB15" s="185"/>
      <c r="AC15" s="186"/>
      <c r="AD15" s="186"/>
      <c r="AE15" s="191"/>
      <c r="AF15" s="191"/>
      <c r="AG15" s="191"/>
    </row>
    <row r="16" spans="1:33" s="4" customFormat="1" ht="18.75" customHeight="1">
      <c r="A16" s="360" t="s">
        <v>117</v>
      </c>
      <c r="B16" s="179" t="s">
        <v>111</v>
      </c>
      <c r="C16" s="183">
        <v>14</v>
      </c>
      <c r="D16" s="183">
        <v>14</v>
      </c>
      <c r="E16" s="183">
        <v>14</v>
      </c>
      <c r="F16" s="183">
        <v>14</v>
      </c>
      <c r="G16" s="182">
        <v>0</v>
      </c>
      <c r="H16" s="183">
        <v>14</v>
      </c>
      <c r="I16" s="183">
        <v>13</v>
      </c>
      <c r="J16" s="183">
        <v>13</v>
      </c>
      <c r="K16" s="183">
        <v>13</v>
      </c>
      <c r="L16" s="183">
        <v>13</v>
      </c>
      <c r="M16" s="183">
        <v>13</v>
      </c>
      <c r="N16" s="182">
        <v>0</v>
      </c>
      <c r="O16" s="183">
        <v>12</v>
      </c>
      <c r="P16" s="183">
        <v>13</v>
      </c>
      <c r="Q16" s="183">
        <v>13</v>
      </c>
      <c r="R16" s="183">
        <v>12</v>
      </c>
      <c r="S16" s="183">
        <v>14</v>
      </c>
      <c r="T16" s="183">
        <v>14</v>
      </c>
      <c r="U16" s="182">
        <v>0</v>
      </c>
      <c r="V16" s="183">
        <v>14</v>
      </c>
      <c r="W16" s="183">
        <v>13</v>
      </c>
      <c r="X16" s="183">
        <v>14</v>
      </c>
      <c r="Y16" s="183">
        <v>12</v>
      </c>
      <c r="Z16" s="183">
        <v>14</v>
      </c>
      <c r="AA16" s="183">
        <v>1</v>
      </c>
      <c r="AB16" s="180"/>
      <c r="AC16" s="181"/>
      <c r="AD16" s="181"/>
      <c r="AE16" s="190"/>
      <c r="AF16" s="190"/>
      <c r="AG16" s="190"/>
    </row>
    <row r="17" spans="1:33" s="4" customFormat="1" ht="18.75" customHeight="1">
      <c r="A17" s="361"/>
      <c r="B17" s="179" t="s">
        <v>112</v>
      </c>
      <c r="C17" s="183">
        <v>13</v>
      </c>
      <c r="D17" s="183">
        <v>13</v>
      </c>
      <c r="E17" s="183">
        <v>13</v>
      </c>
      <c r="F17" s="183">
        <v>13</v>
      </c>
      <c r="G17" s="182">
        <v>0</v>
      </c>
      <c r="H17" s="183">
        <v>13</v>
      </c>
      <c r="I17" s="183">
        <v>12</v>
      </c>
      <c r="J17" s="183">
        <v>12</v>
      </c>
      <c r="K17" s="183">
        <v>12</v>
      </c>
      <c r="L17" s="183">
        <v>12</v>
      </c>
      <c r="M17" s="183">
        <v>12</v>
      </c>
      <c r="N17" s="182">
        <v>0</v>
      </c>
      <c r="O17" s="183">
        <v>11</v>
      </c>
      <c r="P17" s="183">
        <v>12</v>
      </c>
      <c r="Q17" s="183">
        <v>12</v>
      </c>
      <c r="R17" s="183">
        <v>11</v>
      </c>
      <c r="S17" s="183">
        <v>13</v>
      </c>
      <c r="T17" s="183">
        <v>13</v>
      </c>
      <c r="U17" s="182">
        <v>0</v>
      </c>
      <c r="V17" s="183">
        <v>13</v>
      </c>
      <c r="W17" s="183">
        <v>12</v>
      </c>
      <c r="X17" s="183">
        <v>12</v>
      </c>
      <c r="Y17" s="183">
        <v>10</v>
      </c>
      <c r="Z17" s="183">
        <v>12</v>
      </c>
      <c r="AA17" s="183">
        <v>0</v>
      </c>
      <c r="AB17" s="180"/>
      <c r="AC17" s="181"/>
      <c r="AD17" s="181"/>
      <c r="AE17" s="190"/>
      <c r="AF17" s="190"/>
      <c r="AG17" s="190"/>
    </row>
    <row r="18" spans="1:33" s="4" customFormat="1" ht="18.75" customHeight="1">
      <c r="A18" s="362"/>
      <c r="B18" s="184" t="s">
        <v>113</v>
      </c>
      <c r="C18" s="188">
        <v>1</v>
      </c>
      <c r="D18" s="188">
        <v>1</v>
      </c>
      <c r="E18" s="188">
        <v>1</v>
      </c>
      <c r="F18" s="188">
        <v>1</v>
      </c>
      <c r="G18" s="187">
        <v>0</v>
      </c>
      <c r="H18" s="188">
        <v>1</v>
      </c>
      <c r="I18" s="188">
        <v>1</v>
      </c>
      <c r="J18" s="188">
        <v>1</v>
      </c>
      <c r="K18" s="188">
        <v>1</v>
      </c>
      <c r="L18" s="188">
        <v>1</v>
      </c>
      <c r="M18" s="188">
        <v>1</v>
      </c>
      <c r="N18" s="187">
        <v>0</v>
      </c>
      <c r="O18" s="188">
        <v>1</v>
      </c>
      <c r="P18" s="188">
        <v>1</v>
      </c>
      <c r="Q18" s="188">
        <v>1</v>
      </c>
      <c r="R18" s="188">
        <v>1</v>
      </c>
      <c r="S18" s="188">
        <v>1</v>
      </c>
      <c r="T18" s="188">
        <v>1</v>
      </c>
      <c r="U18" s="187">
        <v>0</v>
      </c>
      <c r="V18" s="188">
        <v>1</v>
      </c>
      <c r="W18" s="188">
        <v>1</v>
      </c>
      <c r="X18" s="188">
        <v>2</v>
      </c>
      <c r="Y18" s="188">
        <v>2</v>
      </c>
      <c r="Z18" s="188">
        <v>2</v>
      </c>
      <c r="AA18" s="188">
        <v>1</v>
      </c>
      <c r="AB18" s="185"/>
      <c r="AC18" s="186"/>
      <c r="AD18" s="186"/>
      <c r="AE18" s="191"/>
      <c r="AF18" s="191"/>
      <c r="AG18" s="191"/>
    </row>
    <row r="19" spans="1:33" s="4" customFormat="1" ht="18.75" customHeight="1">
      <c r="A19" s="360" t="s">
        <v>118</v>
      </c>
      <c r="B19" s="179" t="s">
        <v>111</v>
      </c>
      <c r="C19" s="183">
        <v>449</v>
      </c>
      <c r="D19" s="183">
        <v>443</v>
      </c>
      <c r="E19" s="183">
        <v>444</v>
      </c>
      <c r="F19" s="183">
        <v>446</v>
      </c>
      <c r="G19" s="182">
        <v>0</v>
      </c>
      <c r="H19" s="183">
        <v>434</v>
      </c>
      <c r="I19" s="183">
        <v>450</v>
      </c>
      <c r="J19" s="183">
        <v>445</v>
      </c>
      <c r="K19" s="183">
        <v>443</v>
      </c>
      <c r="L19" s="183">
        <v>454</v>
      </c>
      <c r="M19" s="183">
        <v>439</v>
      </c>
      <c r="N19" s="182">
        <v>0</v>
      </c>
      <c r="O19" s="183">
        <v>440</v>
      </c>
      <c r="P19" s="183">
        <v>444</v>
      </c>
      <c r="Q19" s="183">
        <v>439</v>
      </c>
      <c r="R19" s="183">
        <v>439</v>
      </c>
      <c r="S19" s="183">
        <v>452</v>
      </c>
      <c r="T19" s="183">
        <v>442</v>
      </c>
      <c r="U19" s="182">
        <v>0</v>
      </c>
      <c r="V19" s="183">
        <v>434</v>
      </c>
      <c r="W19" s="183">
        <v>438</v>
      </c>
      <c r="X19" s="183">
        <v>440</v>
      </c>
      <c r="Y19" s="183">
        <v>447</v>
      </c>
      <c r="Z19" s="183">
        <v>442</v>
      </c>
      <c r="AA19" s="183">
        <v>10</v>
      </c>
      <c r="AB19" s="180"/>
      <c r="AC19" s="181"/>
      <c r="AD19" s="181"/>
      <c r="AE19" s="190"/>
      <c r="AF19" s="190"/>
      <c r="AG19" s="190"/>
    </row>
    <row r="20" spans="1:33" s="4" customFormat="1" ht="18.75" customHeight="1">
      <c r="A20" s="361"/>
      <c r="B20" s="179" t="s">
        <v>112</v>
      </c>
      <c r="C20" s="183">
        <v>390</v>
      </c>
      <c r="D20" s="183">
        <v>383</v>
      </c>
      <c r="E20" s="183">
        <v>384</v>
      </c>
      <c r="F20" s="183">
        <v>386</v>
      </c>
      <c r="G20" s="182">
        <v>0</v>
      </c>
      <c r="H20" s="183">
        <v>377</v>
      </c>
      <c r="I20" s="183">
        <v>391</v>
      </c>
      <c r="J20" s="183">
        <v>386</v>
      </c>
      <c r="K20" s="183">
        <v>384</v>
      </c>
      <c r="L20" s="183">
        <v>393</v>
      </c>
      <c r="M20" s="183">
        <v>381</v>
      </c>
      <c r="N20" s="182">
        <v>0</v>
      </c>
      <c r="O20" s="183">
        <v>382</v>
      </c>
      <c r="P20" s="183">
        <v>383</v>
      </c>
      <c r="Q20" s="183">
        <v>379</v>
      </c>
      <c r="R20" s="183">
        <v>378</v>
      </c>
      <c r="S20" s="183">
        <v>392</v>
      </c>
      <c r="T20" s="183">
        <v>385</v>
      </c>
      <c r="U20" s="182">
        <v>0</v>
      </c>
      <c r="V20" s="183">
        <v>378</v>
      </c>
      <c r="W20" s="183">
        <v>381</v>
      </c>
      <c r="X20" s="183">
        <v>385</v>
      </c>
      <c r="Y20" s="183">
        <v>389</v>
      </c>
      <c r="Z20" s="183">
        <v>383</v>
      </c>
      <c r="AA20" s="183">
        <v>9</v>
      </c>
      <c r="AB20" s="180"/>
      <c r="AC20" s="181"/>
      <c r="AD20" s="181"/>
      <c r="AE20" s="190"/>
      <c r="AF20" s="190"/>
      <c r="AG20" s="190"/>
    </row>
    <row r="21" spans="1:33" s="4" customFormat="1" ht="18.75" customHeight="1">
      <c r="A21" s="362"/>
      <c r="B21" s="184" t="s">
        <v>113</v>
      </c>
      <c r="C21" s="188">
        <v>59</v>
      </c>
      <c r="D21" s="188">
        <v>60</v>
      </c>
      <c r="E21" s="188">
        <v>60</v>
      </c>
      <c r="F21" s="188">
        <v>60</v>
      </c>
      <c r="G21" s="187">
        <v>0</v>
      </c>
      <c r="H21" s="188">
        <v>57</v>
      </c>
      <c r="I21" s="188">
        <v>59</v>
      </c>
      <c r="J21" s="188">
        <v>59</v>
      </c>
      <c r="K21" s="188">
        <v>59</v>
      </c>
      <c r="L21" s="188">
        <v>61</v>
      </c>
      <c r="M21" s="188">
        <v>58</v>
      </c>
      <c r="N21" s="187">
        <v>0</v>
      </c>
      <c r="O21" s="188">
        <v>58</v>
      </c>
      <c r="P21" s="188">
        <v>61</v>
      </c>
      <c r="Q21" s="188">
        <v>60</v>
      </c>
      <c r="R21" s="188">
        <v>61</v>
      </c>
      <c r="S21" s="188">
        <v>60</v>
      </c>
      <c r="T21" s="188">
        <v>57</v>
      </c>
      <c r="U21" s="187">
        <v>0</v>
      </c>
      <c r="V21" s="188">
        <v>56</v>
      </c>
      <c r="W21" s="188">
        <v>57</v>
      </c>
      <c r="X21" s="188">
        <v>55</v>
      </c>
      <c r="Y21" s="188">
        <v>58</v>
      </c>
      <c r="Z21" s="188">
        <v>59</v>
      </c>
      <c r="AA21" s="188">
        <v>1</v>
      </c>
      <c r="AB21" s="185"/>
      <c r="AC21" s="186"/>
      <c r="AD21" s="186"/>
      <c r="AE21" s="191"/>
      <c r="AF21" s="191"/>
      <c r="AG21" s="191"/>
    </row>
    <row r="22" spans="1:33" s="4" customFormat="1" ht="18.75" customHeight="1">
      <c r="A22" s="360" t="s">
        <v>119</v>
      </c>
      <c r="B22" s="179" t="s">
        <v>111</v>
      </c>
      <c r="C22" s="183">
        <v>702</v>
      </c>
      <c r="D22" s="183">
        <v>701</v>
      </c>
      <c r="E22" s="183">
        <v>693</v>
      </c>
      <c r="F22" s="183">
        <v>622</v>
      </c>
      <c r="G22" s="182">
        <v>0</v>
      </c>
      <c r="H22" s="183">
        <v>672</v>
      </c>
      <c r="I22" s="183">
        <v>686</v>
      </c>
      <c r="J22" s="183">
        <v>691</v>
      </c>
      <c r="K22" s="183">
        <v>691</v>
      </c>
      <c r="L22" s="183">
        <v>687</v>
      </c>
      <c r="M22" s="183">
        <v>682</v>
      </c>
      <c r="N22" s="182">
        <v>0</v>
      </c>
      <c r="O22" s="183">
        <v>674</v>
      </c>
      <c r="P22" s="183">
        <v>689</v>
      </c>
      <c r="Q22" s="183">
        <v>692</v>
      </c>
      <c r="R22" s="183">
        <v>686</v>
      </c>
      <c r="S22" s="183">
        <v>692</v>
      </c>
      <c r="T22" s="183">
        <v>688</v>
      </c>
      <c r="U22" s="182">
        <v>0</v>
      </c>
      <c r="V22" s="183">
        <v>678</v>
      </c>
      <c r="W22" s="183">
        <v>687</v>
      </c>
      <c r="X22" s="183">
        <v>701</v>
      </c>
      <c r="Y22" s="183">
        <v>691</v>
      </c>
      <c r="Z22" s="183">
        <v>700</v>
      </c>
      <c r="AA22" s="183">
        <v>0</v>
      </c>
      <c r="AB22" s="180"/>
      <c r="AC22" s="181"/>
      <c r="AD22" s="181"/>
      <c r="AE22" s="190"/>
      <c r="AF22" s="190"/>
      <c r="AG22" s="190"/>
    </row>
    <row r="23" spans="1:33" s="4" customFormat="1" ht="18.75" customHeight="1">
      <c r="A23" s="361"/>
      <c r="B23" s="179" t="s">
        <v>112</v>
      </c>
      <c r="C23" s="183">
        <v>677</v>
      </c>
      <c r="D23" s="183">
        <v>675</v>
      </c>
      <c r="E23" s="183">
        <v>668</v>
      </c>
      <c r="F23" s="183">
        <v>596</v>
      </c>
      <c r="G23" s="182">
        <v>0</v>
      </c>
      <c r="H23" s="183">
        <v>648</v>
      </c>
      <c r="I23" s="183">
        <v>661</v>
      </c>
      <c r="J23" s="183">
        <v>666</v>
      </c>
      <c r="K23" s="183">
        <v>666</v>
      </c>
      <c r="L23" s="183">
        <v>663</v>
      </c>
      <c r="M23" s="183">
        <v>658</v>
      </c>
      <c r="N23" s="182">
        <v>0</v>
      </c>
      <c r="O23" s="183">
        <v>650</v>
      </c>
      <c r="P23" s="183">
        <v>664</v>
      </c>
      <c r="Q23" s="183">
        <v>669</v>
      </c>
      <c r="R23" s="183">
        <v>664</v>
      </c>
      <c r="S23" s="183">
        <v>668</v>
      </c>
      <c r="T23" s="183">
        <v>663</v>
      </c>
      <c r="U23" s="182">
        <v>0</v>
      </c>
      <c r="V23" s="183">
        <v>653</v>
      </c>
      <c r="W23" s="183">
        <v>662</v>
      </c>
      <c r="X23" s="183">
        <v>675</v>
      </c>
      <c r="Y23" s="183">
        <v>667</v>
      </c>
      <c r="Z23" s="183">
        <v>674</v>
      </c>
      <c r="AA23" s="183">
        <v>0</v>
      </c>
      <c r="AB23" s="180"/>
      <c r="AC23" s="181"/>
      <c r="AD23" s="181"/>
      <c r="AE23" s="190"/>
      <c r="AF23" s="190"/>
      <c r="AG23" s="190"/>
    </row>
    <row r="24" spans="1:33" s="4" customFormat="1" ht="18.75" customHeight="1">
      <c r="A24" s="362"/>
      <c r="B24" s="184" t="s">
        <v>113</v>
      </c>
      <c r="C24" s="188">
        <v>25</v>
      </c>
      <c r="D24" s="188">
        <v>26</v>
      </c>
      <c r="E24" s="188">
        <v>25</v>
      </c>
      <c r="F24" s="188">
        <v>26</v>
      </c>
      <c r="G24" s="187">
        <v>0</v>
      </c>
      <c r="H24" s="188">
        <v>24</v>
      </c>
      <c r="I24" s="188">
        <v>25</v>
      </c>
      <c r="J24" s="188">
        <v>25</v>
      </c>
      <c r="K24" s="188">
        <v>25</v>
      </c>
      <c r="L24" s="188">
        <v>24</v>
      </c>
      <c r="M24" s="188">
        <v>24</v>
      </c>
      <c r="N24" s="187">
        <v>0</v>
      </c>
      <c r="O24" s="188">
        <v>24</v>
      </c>
      <c r="P24" s="188">
        <v>25</v>
      </c>
      <c r="Q24" s="188">
        <v>23</v>
      </c>
      <c r="R24" s="188">
        <v>22</v>
      </c>
      <c r="S24" s="188">
        <v>24</v>
      </c>
      <c r="T24" s="188">
        <v>25</v>
      </c>
      <c r="U24" s="187">
        <v>0</v>
      </c>
      <c r="V24" s="188">
        <v>25</v>
      </c>
      <c r="W24" s="188">
        <v>25</v>
      </c>
      <c r="X24" s="188">
        <v>26</v>
      </c>
      <c r="Y24" s="188">
        <v>24</v>
      </c>
      <c r="Z24" s="188">
        <v>26</v>
      </c>
      <c r="AA24" s="188">
        <v>0</v>
      </c>
      <c r="AB24" s="185"/>
      <c r="AC24" s="186"/>
      <c r="AD24" s="186"/>
      <c r="AE24" s="191"/>
      <c r="AF24" s="191"/>
      <c r="AG24" s="191"/>
    </row>
    <row r="25" spans="1:33" s="4" customFormat="1" ht="18.75" customHeight="1">
      <c r="A25" s="360" t="s">
        <v>120</v>
      </c>
      <c r="B25" s="179" t="s">
        <v>111</v>
      </c>
      <c r="C25" s="183">
        <v>22</v>
      </c>
      <c r="D25" s="183">
        <v>21</v>
      </c>
      <c r="E25" s="183">
        <v>22</v>
      </c>
      <c r="F25" s="183">
        <v>22</v>
      </c>
      <c r="G25" s="182">
        <v>0</v>
      </c>
      <c r="H25" s="183">
        <v>21</v>
      </c>
      <c r="I25" s="183">
        <v>22</v>
      </c>
      <c r="J25" s="183">
        <v>21</v>
      </c>
      <c r="K25" s="183">
        <v>22</v>
      </c>
      <c r="L25" s="183">
        <v>22</v>
      </c>
      <c r="M25" s="183">
        <v>21</v>
      </c>
      <c r="N25" s="182">
        <v>0</v>
      </c>
      <c r="O25" s="183">
        <v>22</v>
      </c>
      <c r="P25" s="183">
        <v>22</v>
      </c>
      <c r="Q25" s="183">
        <v>21</v>
      </c>
      <c r="R25" s="183">
        <v>20</v>
      </c>
      <c r="S25" s="183">
        <v>21</v>
      </c>
      <c r="T25" s="183">
        <v>22</v>
      </c>
      <c r="U25" s="182">
        <v>0</v>
      </c>
      <c r="V25" s="183">
        <v>20</v>
      </c>
      <c r="W25" s="183">
        <v>21</v>
      </c>
      <c r="X25" s="183">
        <v>21</v>
      </c>
      <c r="Y25" s="183">
        <v>21</v>
      </c>
      <c r="Z25" s="183">
        <v>22</v>
      </c>
      <c r="AA25" s="183">
        <v>0</v>
      </c>
      <c r="AB25" s="180"/>
      <c r="AC25" s="181"/>
      <c r="AD25" s="181"/>
      <c r="AE25" s="190"/>
      <c r="AF25" s="190"/>
      <c r="AG25" s="190"/>
    </row>
    <row r="26" spans="1:33" s="4" customFormat="1" ht="18.75" customHeight="1">
      <c r="A26" s="361"/>
      <c r="B26" s="179" t="s">
        <v>112</v>
      </c>
      <c r="C26" s="183">
        <v>19</v>
      </c>
      <c r="D26" s="183">
        <v>18</v>
      </c>
      <c r="E26" s="183">
        <v>19</v>
      </c>
      <c r="F26" s="183">
        <v>19</v>
      </c>
      <c r="G26" s="182">
        <v>0</v>
      </c>
      <c r="H26" s="183">
        <v>18</v>
      </c>
      <c r="I26" s="183">
        <v>19</v>
      </c>
      <c r="J26" s="183">
        <v>18</v>
      </c>
      <c r="K26" s="183">
        <v>19</v>
      </c>
      <c r="L26" s="183">
        <v>19</v>
      </c>
      <c r="M26" s="183">
        <v>18</v>
      </c>
      <c r="N26" s="182">
        <v>0</v>
      </c>
      <c r="O26" s="183">
        <v>19</v>
      </c>
      <c r="P26" s="183">
        <v>19</v>
      </c>
      <c r="Q26" s="183">
        <v>18</v>
      </c>
      <c r="R26" s="183">
        <v>17</v>
      </c>
      <c r="S26" s="183">
        <v>18</v>
      </c>
      <c r="T26" s="183">
        <v>19</v>
      </c>
      <c r="U26" s="182">
        <v>0</v>
      </c>
      <c r="V26" s="183">
        <v>17</v>
      </c>
      <c r="W26" s="183">
        <v>18</v>
      </c>
      <c r="X26" s="183">
        <v>18</v>
      </c>
      <c r="Y26" s="183">
        <v>19</v>
      </c>
      <c r="Z26" s="183">
        <v>19</v>
      </c>
      <c r="AA26" s="183">
        <v>0</v>
      </c>
      <c r="AB26" s="180"/>
      <c r="AC26" s="181"/>
      <c r="AD26" s="181"/>
      <c r="AE26" s="190"/>
      <c r="AF26" s="190"/>
      <c r="AG26" s="190"/>
    </row>
    <row r="27" spans="1:33" s="4" customFormat="1" ht="18.75" hidden="1" customHeight="1">
      <c r="A27" s="362"/>
      <c r="B27" s="184" t="s">
        <v>113</v>
      </c>
      <c r="C27" s="188">
        <v>3</v>
      </c>
      <c r="D27" s="188">
        <v>3</v>
      </c>
      <c r="E27" s="188">
        <v>3</v>
      </c>
      <c r="F27" s="188">
        <v>3</v>
      </c>
      <c r="G27" s="187">
        <v>0</v>
      </c>
      <c r="H27" s="188">
        <v>3</v>
      </c>
      <c r="I27" s="188">
        <v>3</v>
      </c>
      <c r="J27" s="188">
        <v>3</v>
      </c>
      <c r="K27" s="188">
        <v>3</v>
      </c>
      <c r="L27" s="188">
        <v>3</v>
      </c>
      <c r="M27" s="188">
        <v>3</v>
      </c>
      <c r="N27" s="187">
        <v>0</v>
      </c>
      <c r="O27" s="188">
        <v>3</v>
      </c>
      <c r="P27" s="188">
        <v>3</v>
      </c>
      <c r="Q27" s="188">
        <v>3</v>
      </c>
      <c r="R27" s="188">
        <v>3</v>
      </c>
      <c r="S27" s="188">
        <v>3</v>
      </c>
      <c r="T27" s="188">
        <v>3</v>
      </c>
      <c r="U27" s="187">
        <v>0</v>
      </c>
      <c r="V27" s="188">
        <v>3</v>
      </c>
      <c r="W27" s="188">
        <v>3</v>
      </c>
      <c r="X27" s="188">
        <v>3</v>
      </c>
      <c r="Y27" s="188">
        <v>2</v>
      </c>
      <c r="Z27" s="188">
        <v>3</v>
      </c>
      <c r="AA27" s="188">
        <v>0</v>
      </c>
      <c r="AB27" s="185"/>
      <c r="AC27" s="186"/>
      <c r="AD27" s="186"/>
      <c r="AE27" s="191"/>
      <c r="AF27" s="191"/>
      <c r="AG27" s="191"/>
    </row>
    <row r="28" spans="1:33" s="4" customFormat="1" ht="18.75" customHeight="1">
      <c r="A28" s="360" t="s">
        <v>121</v>
      </c>
      <c r="B28" s="179" t="s">
        <v>111</v>
      </c>
      <c r="C28" s="183">
        <v>466</v>
      </c>
      <c r="D28" s="183">
        <v>470</v>
      </c>
      <c r="E28" s="183">
        <v>466</v>
      </c>
      <c r="F28" s="183">
        <v>460</v>
      </c>
      <c r="G28" s="182">
        <v>0</v>
      </c>
      <c r="H28" s="183">
        <v>447</v>
      </c>
      <c r="I28" s="183">
        <v>468</v>
      </c>
      <c r="J28" s="183">
        <v>464</v>
      </c>
      <c r="K28" s="183">
        <v>462</v>
      </c>
      <c r="L28" s="183">
        <v>469</v>
      </c>
      <c r="M28" s="183">
        <v>455</v>
      </c>
      <c r="N28" s="182">
        <v>0</v>
      </c>
      <c r="O28" s="183">
        <v>460</v>
      </c>
      <c r="P28" s="183">
        <v>469</v>
      </c>
      <c r="Q28" s="183">
        <v>476</v>
      </c>
      <c r="R28" s="183">
        <v>461</v>
      </c>
      <c r="S28" s="183">
        <v>478</v>
      </c>
      <c r="T28" s="183">
        <v>468</v>
      </c>
      <c r="U28" s="182">
        <v>0</v>
      </c>
      <c r="V28" s="183">
        <v>482</v>
      </c>
      <c r="W28" s="183">
        <v>491</v>
      </c>
      <c r="X28" s="183">
        <v>506</v>
      </c>
      <c r="Y28" s="183">
        <v>503</v>
      </c>
      <c r="Z28" s="183">
        <v>504</v>
      </c>
      <c r="AA28" s="183">
        <v>76</v>
      </c>
      <c r="AB28" s="180"/>
      <c r="AC28" s="181"/>
      <c r="AD28" s="181"/>
      <c r="AE28" s="190"/>
      <c r="AF28" s="190"/>
      <c r="AG28" s="190"/>
    </row>
    <row r="29" spans="1:33" s="4" customFormat="1" ht="18.75" customHeight="1">
      <c r="A29" s="361"/>
      <c r="B29" s="179" t="s">
        <v>112</v>
      </c>
      <c r="C29" s="183">
        <v>427</v>
      </c>
      <c r="D29" s="183">
        <v>433</v>
      </c>
      <c r="E29" s="183">
        <v>428</v>
      </c>
      <c r="F29" s="183">
        <v>423</v>
      </c>
      <c r="G29" s="182">
        <v>0</v>
      </c>
      <c r="H29" s="183">
        <v>413</v>
      </c>
      <c r="I29" s="183">
        <v>430</v>
      </c>
      <c r="J29" s="183">
        <v>426</v>
      </c>
      <c r="K29" s="183">
        <v>424</v>
      </c>
      <c r="L29" s="183">
        <v>431</v>
      </c>
      <c r="M29" s="183">
        <v>418</v>
      </c>
      <c r="N29" s="182">
        <v>0</v>
      </c>
      <c r="O29" s="183">
        <v>423</v>
      </c>
      <c r="P29" s="183">
        <v>430</v>
      </c>
      <c r="Q29" s="183">
        <v>437</v>
      </c>
      <c r="R29" s="183">
        <v>422</v>
      </c>
      <c r="S29" s="183">
        <v>441</v>
      </c>
      <c r="T29" s="183">
        <v>431</v>
      </c>
      <c r="U29" s="182">
        <v>0</v>
      </c>
      <c r="V29" s="183">
        <v>446</v>
      </c>
      <c r="W29" s="183">
        <v>453</v>
      </c>
      <c r="X29" s="183">
        <v>470</v>
      </c>
      <c r="Y29" s="183">
        <v>466</v>
      </c>
      <c r="Z29" s="183">
        <v>466</v>
      </c>
      <c r="AA29" s="183">
        <v>76</v>
      </c>
      <c r="AB29" s="180"/>
      <c r="AC29" s="181"/>
      <c r="AD29" s="181"/>
      <c r="AE29" s="190"/>
      <c r="AF29" s="190"/>
      <c r="AG29" s="190"/>
    </row>
    <row r="30" spans="1:33" s="4" customFormat="1" ht="18.75" customHeight="1">
      <c r="A30" s="362"/>
      <c r="B30" s="184" t="s">
        <v>113</v>
      </c>
      <c r="C30" s="188">
        <v>39</v>
      </c>
      <c r="D30" s="188">
        <v>37</v>
      </c>
      <c r="E30" s="188">
        <v>38</v>
      </c>
      <c r="F30" s="188">
        <v>37</v>
      </c>
      <c r="G30" s="187">
        <v>0</v>
      </c>
      <c r="H30" s="188">
        <v>34</v>
      </c>
      <c r="I30" s="188">
        <v>38</v>
      </c>
      <c r="J30" s="188">
        <v>38</v>
      </c>
      <c r="K30" s="188">
        <v>38</v>
      </c>
      <c r="L30" s="188">
        <v>38</v>
      </c>
      <c r="M30" s="188">
        <v>37</v>
      </c>
      <c r="N30" s="187">
        <v>0</v>
      </c>
      <c r="O30" s="188">
        <v>37</v>
      </c>
      <c r="P30" s="188">
        <v>39</v>
      </c>
      <c r="Q30" s="188">
        <v>39</v>
      </c>
      <c r="R30" s="188">
        <v>39</v>
      </c>
      <c r="S30" s="188">
        <v>37</v>
      </c>
      <c r="T30" s="188">
        <v>37</v>
      </c>
      <c r="U30" s="187">
        <v>0</v>
      </c>
      <c r="V30" s="188">
        <v>36</v>
      </c>
      <c r="W30" s="188">
        <v>38</v>
      </c>
      <c r="X30" s="188">
        <v>36</v>
      </c>
      <c r="Y30" s="188">
        <v>37</v>
      </c>
      <c r="Z30" s="188">
        <v>38</v>
      </c>
      <c r="AA30" s="188">
        <v>0</v>
      </c>
      <c r="AB30" s="185"/>
      <c r="AC30" s="186"/>
      <c r="AD30" s="186"/>
      <c r="AE30" s="191"/>
      <c r="AF30" s="191"/>
      <c r="AG30" s="191"/>
    </row>
    <row r="31" spans="1:33" s="4" customFormat="1" ht="18.75" customHeight="1">
      <c r="A31" s="360" t="s">
        <v>122</v>
      </c>
      <c r="B31" s="179" t="s">
        <v>111</v>
      </c>
      <c r="C31" s="183">
        <v>3439</v>
      </c>
      <c r="D31" s="183">
        <v>3449</v>
      </c>
      <c r="E31" s="183">
        <v>3416</v>
      </c>
      <c r="F31" s="183">
        <v>382</v>
      </c>
      <c r="G31" s="182">
        <v>0</v>
      </c>
      <c r="H31" s="183">
        <v>3331</v>
      </c>
      <c r="I31" s="183">
        <v>3420</v>
      </c>
      <c r="J31" s="183">
        <v>3418</v>
      </c>
      <c r="K31" s="183">
        <v>3421</v>
      </c>
      <c r="L31" s="183">
        <v>3445</v>
      </c>
      <c r="M31" s="183">
        <v>3426</v>
      </c>
      <c r="N31" s="182">
        <v>0</v>
      </c>
      <c r="O31" s="183">
        <v>3413</v>
      </c>
      <c r="P31" s="183">
        <v>3473</v>
      </c>
      <c r="Q31" s="183">
        <v>3460</v>
      </c>
      <c r="R31" s="183">
        <v>3430</v>
      </c>
      <c r="S31" s="183">
        <v>3505</v>
      </c>
      <c r="T31" s="183">
        <v>3449</v>
      </c>
      <c r="U31" s="182">
        <v>0</v>
      </c>
      <c r="V31" s="183">
        <v>3477</v>
      </c>
      <c r="W31" s="183">
        <v>3470</v>
      </c>
      <c r="X31" s="183">
        <v>3507</v>
      </c>
      <c r="Y31" s="183">
        <v>3515</v>
      </c>
      <c r="Z31" s="183">
        <v>3515</v>
      </c>
      <c r="AA31" s="183">
        <v>175</v>
      </c>
      <c r="AB31" s="180"/>
      <c r="AC31" s="181"/>
      <c r="AD31" s="181"/>
      <c r="AE31" s="190"/>
      <c r="AF31" s="190"/>
      <c r="AG31" s="190"/>
    </row>
    <row r="32" spans="1:33" s="4" customFormat="1" ht="19.5" customHeight="1">
      <c r="A32" s="361"/>
      <c r="B32" s="179" t="s">
        <v>112</v>
      </c>
      <c r="C32" s="183">
        <v>3137</v>
      </c>
      <c r="D32" s="183">
        <v>3146</v>
      </c>
      <c r="E32" s="183">
        <v>3117</v>
      </c>
      <c r="F32" s="183">
        <v>278</v>
      </c>
      <c r="G32" s="182">
        <v>0</v>
      </c>
      <c r="H32" s="183">
        <v>3034</v>
      </c>
      <c r="I32" s="183">
        <v>3121</v>
      </c>
      <c r="J32" s="183">
        <v>3120</v>
      </c>
      <c r="K32" s="183">
        <v>3127</v>
      </c>
      <c r="L32" s="183">
        <v>3147</v>
      </c>
      <c r="M32" s="183">
        <v>3134</v>
      </c>
      <c r="N32" s="182">
        <v>0</v>
      </c>
      <c r="O32" s="183">
        <v>3114</v>
      </c>
      <c r="P32" s="183">
        <v>3169</v>
      </c>
      <c r="Q32" s="183">
        <v>3157</v>
      </c>
      <c r="R32" s="183">
        <v>3134</v>
      </c>
      <c r="S32" s="183">
        <v>3205</v>
      </c>
      <c r="T32" s="183">
        <v>3153</v>
      </c>
      <c r="U32" s="182">
        <v>0</v>
      </c>
      <c r="V32" s="183">
        <v>3187</v>
      </c>
      <c r="W32" s="183">
        <v>3178</v>
      </c>
      <c r="X32" s="183">
        <v>3213</v>
      </c>
      <c r="Y32" s="183">
        <v>3220</v>
      </c>
      <c r="Z32" s="183">
        <v>3226</v>
      </c>
      <c r="AA32" s="183">
        <v>143</v>
      </c>
      <c r="AB32" s="180"/>
      <c r="AC32" s="181"/>
      <c r="AD32" s="181"/>
      <c r="AE32" s="190"/>
      <c r="AF32" s="190"/>
      <c r="AG32" s="190"/>
    </row>
    <row r="33" spans="1:33" s="5" customFormat="1" ht="24.75" customHeight="1">
      <c r="A33" s="362"/>
      <c r="B33" s="184" t="s">
        <v>113</v>
      </c>
      <c r="C33" s="188">
        <v>302</v>
      </c>
      <c r="D33" s="188">
        <v>303</v>
      </c>
      <c r="E33" s="188">
        <v>299</v>
      </c>
      <c r="F33" s="188">
        <v>104</v>
      </c>
      <c r="G33" s="187">
        <v>0</v>
      </c>
      <c r="H33" s="188">
        <v>297</v>
      </c>
      <c r="I33" s="188">
        <v>299</v>
      </c>
      <c r="J33" s="188">
        <v>298</v>
      </c>
      <c r="K33" s="188">
        <v>294</v>
      </c>
      <c r="L33" s="188">
        <v>298</v>
      </c>
      <c r="M33" s="188">
        <v>292</v>
      </c>
      <c r="N33" s="187">
        <v>0</v>
      </c>
      <c r="O33" s="188">
        <v>299</v>
      </c>
      <c r="P33" s="188">
        <v>304</v>
      </c>
      <c r="Q33" s="188">
        <v>303</v>
      </c>
      <c r="R33" s="188">
        <v>296</v>
      </c>
      <c r="S33" s="188">
        <v>300</v>
      </c>
      <c r="T33" s="188">
        <v>296</v>
      </c>
      <c r="U33" s="187">
        <v>0</v>
      </c>
      <c r="V33" s="188">
        <v>290</v>
      </c>
      <c r="W33" s="188">
        <v>292</v>
      </c>
      <c r="X33" s="188">
        <v>294</v>
      </c>
      <c r="Y33" s="188">
        <v>295</v>
      </c>
      <c r="Z33" s="188">
        <v>289</v>
      </c>
      <c r="AA33" s="188">
        <v>32</v>
      </c>
      <c r="AB33" s="185"/>
      <c r="AC33" s="186"/>
      <c r="AD33" s="186"/>
      <c r="AE33" s="191"/>
      <c r="AF33" s="191"/>
      <c r="AG33" s="191"/>
    </row>
    <row r="34" spans="1:33" s="4" customFormat="1" ht="18.75" customHeight="1">
      <c r="A34" s="360" t="s">
        <v>123</v>
      </c>
      <c r="B34" s="179" t="s">
        <v>111</v>
      </c>
      <c r="C34" s="183">
        <v>473</v>
      </c>
      <c r="D34" s="183">
        <v>474</v>
      </c>
      <c r="E34" s="183">
        <v>475</v>
      </c>
      <c r="F34" s="183">
        <v>464</v>
      </c>
      <c r="G34" s="182">
        <v>0</v>
      </c>
      <c r="H34" s="183">
        <v>462</v>
      </c>
      <c r="I34" s="183">
        <v>472</v>
      </c>
      <c r="J34" s="183">
        <v>463</v>
      </c>
      <c r="K34" s="183">
        <v>472</v>
      </c>
      <c r="L34" s="183">
        <v>471</v>
      </c>
      <c r="M34" s="183">
        <v>461</v>
      </c>
      <c r="N34" s="182">
        <v>0</v>
      </c>
      <c r="O34" s="183">
        <v>471</v>
      </c>
      <c r="P34" s="183">
        <v>478</v>
      </c>
      <c r="Q34" s="183">
        <v>482</v>
      </c>
      <c r="R34" s="183">
        <v>479</v>
      </c>
      <c r="S34" s="183">
        <v>498</v>
      </c>
      <c r="T34" s="183">
        <v>487</v>
      </c>
      <c r="U34" s="182">
        <v>0</v>
      </c>
      <c r="V34" s="183">
        <v>491</v>
      </c>
      <c r="W34" s="183">
        <v>487</v>
      </c>
      <c r="X34" s="183">
        <v>501</v>
      </c>
      <c r="Y34" s="183">
        <v>497</v>
      </c>
      <c r="Z34" s="183">
        <v>536</v>
      </c>
      <c r="AA34" s="183">
        <v>153</v>
      </c>
      <c r="AB34" s="180"/>
      <c r="AC34" s="181"/>
      <c r="AD34" s="181"/>
      <c r="AE34" s="190"/>
      <c r="AF34" s="190"/>
      <c r="AG34" s="190"/>
    </row>
    <row r="35" spans="1:33" ht="18.75" customHeight="1">
      <c r="A35" s="361"/>
      <c r="B35" s="179" t="s">
        <v>112</v>
      </c>
      <c r="C35" s="183">
        <v>426</v>
      </c>
      <c r="D35" s="183">
        <v>427</v>
      </c>
      <c r="E35" s="183">
        <v>428</v>
      </c>
      <c r="F35" s="183">
        <v>417</v>
      </c>
      <c r="G35" s="182">
        <v>0</v>
      </c>
      <c r="H35" s="183">
        <v>419</v>
      </c>
      <c r="I35" s="183">
        <v>426</v>
      </c>
      <c r="J35" s="183">
        <v>416</v>
      </c>
      <c r="K35" s="183">
        <v>424</v>
      </c>
      <c r="L35" s="183">
        <v>423</v>
      </c>
      <c r="M35" s="183">
        <v>418</v>
      </c>
      <c r="N35" s="182">
        <v>0</v>
      </c>
      <c r="O35" s="183">
        <v>424</v>
      </c>
      <c r="P35" s="183">
        <v>431</v>
      </c>
      <c r="Q35" s="183">
        <v>434</v>
      </c>
      <c r="R35" s="183">
        <v>433</v>
      </c>
      <c r="S35" s="183">
        <v>453</v>
      </c>
      <c r="T35" s="183">
        <v>444</v>
      </c>
      <c r="U35" s="182">
        <v>0</v>
      </c>
      <c r="V35" s="183">
        <v>445</v>
      </c>
      <c r="W35" s="183">
        <v>443</v>
      </c>
      <c r="X35" s="183">
        <v>456</v>
      </c>
      <c r="Y35" s="183">
        <v>452</v>
      </c>
      <c r="Z35" s="183">
        <v>491</v>
      </c>
      <c r="AA35" s="183">
        <v>146</v>
      </c>
      <c r="AB35" s="180"/>
      <c r="AC35" s="181"/>
      <c r="AD35" s="181"/>
      <c r="AE35" s="190"/>
      <c r="AF35" s="190"/>
      <c r="AG35" s="190"/>
    </row>
    <row r="36" spans="1:33" ht="18.75" customHeight="1">
      <c r="A36" s="362"/>
      <c r="B36" s="184" t="s">
        <v>113</v>
      </c>
      <c r="C36" s="188">
        <v>47</v>
      </c>
      <c r="D36" s="188">
        <v>47</v>
      </c>
      <c r="E36" s="188">
        <v>47</v>
      </c>
      <c r="F36" s="188">
        <v>47</v>
      </c>
      <c r="G36" s="187">
        <v>0</v>
      </c>
      <c r="H36" s="188">
        <v>43</v>
      </c>
      <c r="I36" s="188">
        <v>46</v>
      </c>
      <c r="J36" s="188">
        <v>47</v>
      </c>
      <c r="K36" s="188">
        <v>48</v>
      </c>
      <c r="L36" s="188">
        <v>48</v>
      </c>
      <c r="M36" s="188">
        <v>43</v>
      </c>
      <c r="N36" s="187">
        <v>0</v>
      </c>
      <c r="O36" s="188">
        <v>47</v>
      </c>
      <c r="P36" s="188">
        <v>47</v>
      </c>
      <c r="Q36" s="188">
        <v>48</v>
      </c>
      <c r="R36" s="188">
        <v>46</v>
      </c>
      <c r="S36" s="188">
        <v>45</v>
      </c>
      <c r="T36" s="188">
        <v>43</v>
      </c>
      <c r="U36" s="187">
        <v>0</v>
      </c>
      <c r="V36" s="188">
        <v>46</v>
      </c>
      <c r="W36" s="188">
        <v>44</v>
      </c>
      <c r="X36" s="188">
        <v>45</v>
      </c>
      <c r="Y36" s="188">
        <v>45</v>
      </c>
      <c r="Z36" s="188">
        <v>45</v>
      </c>
      <c r="AA36" s="188">
        <v>7</v>
      </c>
      <c r="AB36" s="185"/>
      <c r="AC36" s="186"/>
      <c r="AD36" s="186"/>
      <c r="AE36" s="191"/>
      <c r="AF36" s="191"/>
      <c r="AG36" s="191"/>
    </row>
    <row r="37" spans="1:33" ht="18.75" customHeight="1">
      <c r="A37" s="360" t="s">
        <v>124</v>
      </c>
      <c r="B37" s="179" t="s">
        <v>111</v>
      </c>
      <c r="C37" s="183">
        <v>3099</v>
      </c>
      <c r="D37" s="183">
        <v>3112</v>
      </c>
      <c r="E37" s="183">
        <v>3106</v>
      </c>
      <c r="F37" s="183">
        <v>3066</v>
      </c>
      <c r="G37" s="182">
        <v>0</v>
      </c>
      <c r="H37" s="183">
        <v>3029</v>
      </c>
      <c r="I37" s="183">
        <v>3071</v>
      </c>
      <c r="J37" s="183">
        <v>3050</v>
      </c>
      <c r="K37" s="183">
        <v>3049</v>
      </c>
      <c r="L37" s="183">
        <v>3067</v>
      </c>
      <c r="M37" s="183">
        <v>3039</v>
      </c>
      <c r="N37" s="182">
        <v>0</v>
      </c>
      <c r="O37" s="183">
        <v>3035</v>
      </c>
      <c r="P37" s="183">
        <v>3097</v>
      </c>
      <c r="Q37" s="183">
        <v>3110</v>
      </c>
      <c r="R37" s="183">
        <v>3093</v>
      </c>
      <c r="S37" s="183">
        <v>3115</v>
      </c>
      <c r="T37" s="183">
        <v>3092</v>
      </c>
      <c r="U37" s="182">
        <v>0</v>
      </c>
      <c r="V37" s="183">
        <v>3082</v>
      </c>
      <c r="W37" s="183">
        <v>3089</v>
      </c>
      <c r="X37" s="183">
        <v>3115</v>
      </c>
      <c r="Y37" s="183">
        <v>3107</v>
      </c>
      <c r="Z37" s="183">
        <v>3108</v>
      </c>
      <c r="AA37" s="183">
        <v>2</v>
      </c>
      <c r="AB37" s="180"/>
      <c r="AC37" s="181"/>
      <c r="AD37" s="181"/>
      <c r="AE37" s="190"/>
      <c r="AF37" s="190"/>
      <c r="AG37" s="190"/>
    </row>
    <row r="38" spans="1:33">
      <c r="A38" s="361"/>
      <c r="B38" s="179" t="s">
        <v>112</v>
      </c>
      <c r="C38" s="183">
        <v>2907</v>
      </c>
      <c r="D38" s="183">
        <v>2917</v>
      </c>
      <c r="E38" s="183">
        <v>2912</v>
      </c>
      <c r="F38" s="183">
        <v>2887</v>
      </c>
      <c r="G38" s="182">
        <v>0</v>
      </c>
      <c r="H38" s="183">
        <v>2839</v>
      </c>
      <c r="I38" s="183">
        <v>2882</v>
      </c>
      <c r="J38" s="183">
        <v>2864</v>
      </c>
      <c r="K38" s="183">
        <v>2861</v>
      </c>
      <c r="L38" s="183">
        <v>2874</v>
      </c>
      <c r="M38" s="183">
        <v>2851</v>
      </c>
      <c r="N38" s="182">
        <v>0</v>
      </c>
      <c r="O38" s="183">
        <v>2849</v>
      </c>
      <c r="P38" s="183">
        <v>2904</v>
      </c>
      <c r="Q38" s="183">
        <v>2920</v>
      </c>
      <c r="R38" s="183">
        <v>2907</v>
      </c>
      <c r="S38" s="183">
        <v>2925</v>
      </c>
      <c r="T38" s="183">
        <v>2908</v>
      </c>
      <c r="U38" s="182">
        <v>0</v>
      </c>
      <c r="V38" s="183">
        <v>2895</v>
      </c>
      <c r="W38" s="183">
        <v>2907</v>
      </c>
      <c r="X38" s="183">
        <v>2935</v>
      </c>
      <c r="Y38" s="183">
        <v>2927</v>
      </c>
      <c r="Z38" s="183">
        <v>2927</v>
      </c>
      <c r="AA38" s="183">
        <v>1</v>
      </c>
      <c r="AB38" s="180"/>
      <c r="AC38" s="181"/>
      <c r="AD38" s="181"/>
      <c r="AE38" s="190"/>
      <c r="AF38" s="190"/>
      <c r="AG38" s="190"/>
    </row>
    <row r="39" spans="1:33" ht="16.5" customHeight="1">
      <c r="A39" s="362"/>
      <c r="B39" s="184" t="s">
        <v>113</v>
      </c>
      <c r="C39" s="188">
        <v>192</v>
      </c>
      <c r="D39" s="188">
        <v>195</v>
      </c>
      <c r="E39" s="188">
        <v>194</v>
      </c>
      <c r="F39" s="188">
        <v>179</v>
      </c>
      <c r="G39" s="187">
        <v>0</v>
      </c>
      <c r="H39" s="188">
        <v>190</v>
      </c>
      <c r="I39" s="188">
        <v>189</v>
      </c>
      <c r="J39" s="188">
        <v>186</v>
      </c>
      <c r="K39" s="188">
        <v>188</v>
      </c>
      <c r="L39" s="188">
        <v>193</v>
      </c>
      <c r="M39" s="188">
        <v>188</v>
      </c>
      <c r="N39" s="187">
        <v>0</v>
      </c>
      <c r="O39" s="188">
        <v>186</v>
      </c>
      <c r="P39" s="188">
        <v>193</v>
      </c>
      <c r="Q39" s="188">
        <v>190</v>
      </c>
      <c r="R39" s="188">
        <v>186</v>
      </c>
      <c r="S39" s="188">
        <v>190</v>
      </c>
      <c r="T39" s="188">
        <v>184</v>
      </c>
      <c r="U39" s="187">
        <v>0</v>
      </c>
      <c r="V39" s="188">
        <v>187</v>
      </c>
      <c r="W39" s="188">
        <v>182</v>
      </c>
      <c r="X39" s="188">
        <v>180</v>
      </c>
      <c r="Y39" s="188">
        <v>180</v>
      </c>
      <c r="Z39" s="188">
        <v>181</v>
      </c>
      <c r="AA39" s="188">
        <v>1</v>
      </c>
      <c r="AB39" s="185"/>
      <c r="AC39" s="186"/>
      <c r="AD39" s="186"/>
      <c r="AE39" s="191"/>
      <c r="AF39" s="191"/>
      <c r="AG39" s="191"/>
    </row>
    <row r="40" spans="1:33" ht="16.5" customHeight="1">
      <c r="A40" s="360" t="s">
        <v>125</v>
      </c>
      <c r="B40" s="179" t="s">
        <v>111</v>
      </c>
      <c r="C40" s="183">
        <v>928</v>
      </c>
      <c r="D40" s="183">
        <v>925</v>
      </c>
      <c r="E40" s="183">
        <v>924</v>
      </c>
      <c r="F40" s="183">
        <v>669</v>
      </c>
      <c r="G40" s="182">
        <v>0</v>
      </c>
      <c r="H40" s="183">
        <v>903</v>
      </c>
      <c r="I40" s="183">
        <v>908</v>
      </c>
      <c r="J40" s="183">
        <v>909</v>
      </c>
      <c r="K40" s="183">
        <v>908</v>
      </c>
      <c r="L40" s="183">
        <v>910</v>
      </c>
      <c r="M40" s="183">
        <v>899</v>
      </c>
      <c r="N40" s="182">
        <v>0</v>
      </c>
      <c r="O40" s="183">
        <v>943</v>
      </c>
      <c r="P40" s="183">
        <v>963</v>
      </c>
      <c r="Q40" s="183">
        <v>964</v>
      </c>
      <c r="R40" s="183">
        <v>959</v>
      </c>
      <c r="S40" s="183">
        <v>977</v>
      </c>
      <c r="T40" s="183">
        <v>967</v>
      </c>
      <c r="U40" s="182">
        <v>0</v>
      </c>
      <c r="V40" s="183">
        <v>982</v>
      </c>
      <c r="W40" s="183">
        <v>983</v>
      </c>
      <c r="X40" s="183">
        <v>998</v>
      </c>
      <c r="Y40" s="183">
        <v>993</v>
      </c>
      <c r="Z40" s="183">
        <v>995</v>
      </c>
      <c r="AA40" s="183">
        <v>16</v>
      </c>
      <c r="AB40" s="180"/>
      <c r="AC40" s="181"/>
      <c r="AD40" s="181"/>
      <c r="AE40" s="190"/>
      <c r="AF40" s="190"/>
      <c r="AG40" s="190"/>
    </row>
    <row r="41" spans="1:33" ht="16.5" customHeight="1">
      <c r="A41" s="361"/>
      <c r="B41" s="179" t="s">
        <v>112</v>
      </c>
      <c r="C41" s="183">
        <v>163</v>
      </c>
      <c r="D41" s="183">
        <v>159</v>
      </c>
      <c r="E41" s="183">
        <v>159</v>
      </c>
      <c r="F41" s="183">
        <v>84</v>
      </c>
      <c r="G41" s="182">
        <v>0</v>
      </c>
      <c r="H41" s="183">
        <v>154</v>
      </c>
      <c r="I41" s="183">
        <v>155</v>
      </c>
      <c r="J41" s="183">
        <v>157</v>
      </c>
      <c r="K41" s="183">
        <v>157</v>
      </c>
      <c r="L41" s="183">
        <v>155</v>
      </c>
      <c r="M41" s="183">
        <v>151</v>
      </c>
      <c r="N41" s="182">
        <v>0</v>
      </c>
      <c r="O41" s="183">
        <v>199</v>
      </c>
      <c r="P41" s="183">
        <v>198</v>
      </c>
      <c r="Q41" s="183">
        <v>201</v>
      </c>
      <c r="R41" s="183">
        <v>202</v>
      </c>
      <c r="S41" s="183">
        <v>213</v>
      </c>
      <c r="T41" s="183">
        <v>215</v>
      </c>
      <c r="U41" s="182">
        <v>0</v>
      </c>
      <c r="V41" s="183">
        <v>220</v>
      </c>
      <c r="W41" s="183">
        <v>223</v>
      </c>
      <c r="X41" s="183">
        <v>229</v>
      </c>
      <c r="Y41" s="183">
        <v>230</v>
      </c>
      <c r="Z41" s="183">
        <v>231</v>
      </c>
      <c r="AA41" s="183">
        <v>7</v>
      </c>
      <c r="AB41" s="180"/>
      <c r="AC41" s="181"/>
      <c r="AD41" s="181"/>
      <c r="AE41" s="190"/>
      <c r="AF41" s="190"/>
      <c r="AG41" s="190"/>
    </row>
    <row r="42" spans="1:33" ht="16.5" customHeight="1">
      <c r="A42" s="362"/>
      <c r="B42" s="184" t="s">
        <v>113</v>
      </c>
      <c r="C42" s="188">
        <v>765</v>
      </c>
      <c r="D42" s="188">
        <v>766</v>
      </c>
      <c r="E42" s="188">
        <v>765</v>
      </c>
      <c r="F42" s="188">
        <v>585</v>
      </c>
      <c r="G42" s="187">
        <v>0</v>
      </c>
      <c r="H42" s="188">
        <v>749</v>
      </c>
      <c r="I42" s="188">
        <v>753</v>
      </c>
      <c r="J42" s="188">
        <v>752</v>
      </c>
      <c r="K42" s="188">
        <v>751</v>
      </c>
      <c r="L42" s="188">
        <v>755</v>
      </c>
      <c r="M42" s="188">
        <v>748</v>
      </c>
      <c r="N42" s="187">
        <v>0</v>
      </c>
      <c r="O42" s="188">
        <v>744</v>
      </c>
      <c r="P42" s="188">
        <v>765</v>
      </c>
      <c r="Q42" s="188">
        <v>763</v>
      </c>
      <c r="R42" s="188">
        <v>757</v>
      </c>
      <c r="S42" s="188">
        <v>764</v>
      </c>
      <c r="T42" s="188">
        <v>752</v>
      </c>
      <c r="U42" s="187">
        <v>0</v>
      </c>
      <c r="V42" s="188">
        <v>762</v>
      </c>
      <c r="W42" s="188">
        <v>760</v>
      </c>
      <c r="X42" s="188">
        <v>769</v>
      </c>
      <c r="Y42" s="188">
        <v>763</v>
      </c>
      <c r="Z42" s="188">
        <v>764</v>
      </c>
      <c r="AA42" s="188">
        <v>9</v>
      </c>
      <c r="AB42" s="185"/>
      <c r="AC42" s="186"/>
      <c r="AD42" s="186"/>
      <c r="AE42" s="191"/>
      <c r="AF42" s="191"/>
      <c r="AG42" s="191"/>
    </row>
    <row r="43" spans="1:33" ht="16.5" customHeight="1">
      <c r="A43" s="360" t="s">
        <v>126</v>
      </c>
      <c r="B43" s="179" t="s">
        <v>111</v>
      </c>
      <c r="C43" s="183">
        <v>3659</v>
      </c>
      <c r="D43" s="183">
        <v>3660</v>
      </c>
      <c r="E43" s="183">
        <v>3644</v>
      </c>
      <c r="F43" s="183">
        <v>3622</v>
      </c>
      <c r="G43" s="182">
        <v>0</v>
      </c>
      <c r="H43" s="183">
        <v>3561</v>
      </c>
      <c r="I43" s="183">
        <v>3618</v>
      </c>
      <c r="J43" s="183">
        <v>3624</v>
      </c>
      <c r="K43" s="183">
        <v>3646</v>
      </c>
      <c r="L43" s="183">
        <v>3642</v>
      </c>
      <c r="M43" s="183">
        <v>3628</v>
      </c>
      <c r="N43" s="182">
        <v>0</v>
      </c>
      <c r="O43" s="183">
        <v>3596</v>
      </c>
      <c r="P43" s="183">
        <v>3674</v>
      </c>
      <c r="Q43" s="183">
        <v>3671</v>
      </c>
      <c r="R43" s="183">
        <v>3648</v>
      </c>
      <c r="S43" s="183">
        <v>3640</v>
      </c>
      <c r="T43" s="183">
        <v>3613</v>
      </c>
      <c r="U43" s="182">
        <v>0</v>
      </c>
      <c r="V43" s="183">
        <v>3624</v>
      </c>
      <c r="W43" s="183">
        <v>3620</v>
      </c>
      <c r="X43" s="183">
        <v>3669</v>
      </c>
      <c r="Y43" s="183">
        <v>3661</v>
      </c>
      <c r="Z43" s="183">
        <v>3640</v>
      </c>
      <c r="AA43" s="183">
        <v>3</v>
      </c>
      <c r="AB43" s="180"/>
      <c r="AC43" s="181"/>
      <c r="AD43" s="181"/>
      <c r="AE43" s="190"/>
      <c r="AF43" s="190"/>
      <c r="AG43" s="190"/>
    </row>
    <row r="44" spans="1:33" ht="16.5" customHeight="1">
      <c r="A44" s="361"/>
      <c r="B44" s="179" t="s">
        <v>112</v>
      </c>
      <c r="C44" s="183">
        <v>3315</v>
      </c>
      <c r="D44" s="183">
        <v>3316</v>
      </c>
      <c r="E44" s="183">
        <v>3297</v>
      </c>
      <c r="F44" s="183">
        <v>3276</v>
      </c>
      <c r="G44" s="182">
        <v>0</v>
      </c>
      <c r="H44" s="183">
        <v>3222</v>
      </c>
      <c r="I44" s="183">
        <v>3275</v>
      </c>
      <c r="J44" s="183">
        <v>3282</v>
      </c>
      <c r="K44" s="183">
        <v>3301</v>
      </c>
      <c r="L44" s="183">
        <v>3303</v>
      </c>
      <c r="M44" s="183">
        <v>3284</v>
      </c>
      <c r="N44" s="182">
        <v>0</v>
      </c>
      <c r="O44" s="183">
        <v>3272</v>
      </c>
      <c r="P44" s="183">
        <v>3334</v>
      </c>
      <c r="Q44" s="183">
        <v>3329</v>
      </c>
      <c r="R44" s="183">
        <v>3304</v>
      </c>
      <c r="S44" s="183">
        <v>3294</v>
      </c>
      <c r="T44" s="183">
        <v>3270</v>
      </c>
      <c r="U44" s="182">
        <v>0</v>
      </c>
      <c r="V44" s="183">
        <v>3286</v>
      </c>
      <c r="W44" s="183">
        <v>3284</v>
      </c>
      <c r="X44" s="183">
        <v>3329</v>
      </c>
      <c r="Y44" s="183">
        <v>3326</v>
      </c>
      <c r="Z44" s="183">
        <v>3307</v>
      </c>
      <c r="AA44" s="183">
        <v>3</v>
      </c>
      <c r="AB44" s="180"/>
      <c r="AC44" s="181"/>
      <c r="AD44" s="181"/>
      <c r="AE44" s="190"/>
      <c r="AF44" s="190"/>
      <c r="AG44" s="190"/>
    </row>
    <row r="45" spans="1:33">
      <c r="A45" s="362"/>
      <c r="B45" s="184" t="s">
        <v>113</v>
      </c>
      <c r="C45" s="188">
        <v>344</v>
      </c>
      <c r="D45" s="188">
        <v>344</v>
      </c>
      <c r="E45" s="188">
        <v>347</v>
      </c>
      <c r="F45" s="188">
        <v>346</v>
      </c>
      <c r="G45" s="187">
        <v>0</v>
      </c>
      <c r="H45" s="188">
        <v>339</v>
      </c>
      <c r="I45" s="188">
        <v>343</v>
      </c>
      <c r="J45" s="188">
        <v>342</v>
      </c>
      <c r="K45" s="188">
        <v>345</v>
      </c>
      <c r="L45" s="188">
        <v>339</v>
      </c>
      <c r="M45" s="188">
        <v>344</v>
      </c>
      <c r="N45" s="187">
        <v>0</v>
      </c>
      <c r="O45" s="188">
        <v>324</v>
      </c>
      <c r="P45" s="188">
        <v>340</v>
      </c>
      <c r="Q45" s="188">
        <v>342</v>
      </c>
      <c r="R45" s="188">
        <v>344</v>
      </c>
      <c r="S45" s="188">
        <v>346</v>
      </c>
      <c r="T45" s="188">
        <v>343</v>
      </c>
      <c r="U45" s="187">
        <v>0</v>
      </c>
      <c r="V45" s="188">
        <v>338</v>
      </c>
      <c r="W45" s="188">
        <v>336</v>
      </c>
      <c r="X45" s="188">
        <v>340</v>
      </c>
      <c r="Y45" s="188">
        <v>335</v>
      </c>
      <c r="Z45" s="188">
        <v>333</v>
      </c>
      <c r="AA45" s="188">
        <v>0</v>
      </c>
      <c r="AB45" s="185"/>
      <c r="AC45" s="186"/>
      <c r="AD45" s="186"/>
      <c r="AE45" s="191"/>
      <c r="AF45" s="191"/>
      <c r="AG45" s="191"/>
    </row>
    <row r="46" spans="1:33">
      <c r="A46" s="360" t="s">
        <v>127</v>
      </c>
      <c r="B46" s="179" t="s">
        <v>111</v>
      </c>
      <c r="C46" s="183">
        <v>658</v>
      </c>
      <c r="D46" s="183">
        <v>656</v>
      </c>
      <c r="E46" s="183">
        <v>654</v>
      </c>
      <c r="F46" s="183">
        <v>638</v>
      </c>
      <c r="G46" s="182">
        <v>0</v>
      </c>
      <c r="H46" s="183">
        <v>633</v>
      </c>
      <c r="I46" s="183">
        <v>651</v>
      </c>
      <c r="J46" s="183">
        <v>651</v>
      </c>
      <c r="K46" s="183">
        <v>648</v>
      </c>
      <c r="L46" s="183">
        <v>651</v>
      </c>
      <c r="M46" s="183">
        <v>628</v>
      </c>
      <c r="N46" s="182">
        <v>0</v>
      </c>
      <c r="O46" s="183">
        <v>624</v>
      </c>
      <c r="P46" s="183">
        <v>652</v>
      </c>
      <c r="Q46" s="183">
        <v>655</v>
      </c>
      <c r="R46" s="183">
        <v>635</v>
      </c>
      <c r="S46" s="183">
        <v>636</v>
      </c>
      <c r="T46" s="183">
        <v>631</v>
      </c>
      <c r="U46" s="182">
        <v>0</v>
      </c>
      <c r="V46" s="183">
        <v>632</v>
      </c>
      <c r="W46" s="183">
        <v>644</v>
      </c>
      <c r="X46" s="183">
        <v>654</v>
      </c>
      <c r="Y46" s="183">
        <v>658</v>
      </c>
      <c r="Z46" s="183">
        <v>644</v>
      </c>
      <c r="AA46" s="183">
        <v>0</v>
      </c>
      <c r="AB46" s="180"/>
      <c r="AC46" s="181"/>
      <c r="AD46" s="181"/>
      <c r="AE46" s="190"/>
      <c r="AF46" s="190"/>
      <c r="AG46" s="190"/>
    </row>
    <row r="47" spans="1:33">
      <c r="A47" s="361"/>
      <c r="B47" s="179" t="s">
        <v>112</v>
      </c>
      <c r="C47" s="183">
        <v>191</v>
      </c>
      <c r="D47" s="183">
        <v>189</v>
      </c>
      <c r="E47" s="183">
        <v>186</v>
      </c>
      <c r="F47" s="183">
        <v>184</v>
      </c>
      <c r="G47" s="182">
        <v>0</v>
      </c>
      <c r="H47" s="183">
        <v>179</v>
      </c>
      <c r="I47" s="183">
        <v>187</v>
      </c>
      <c r="J47" s="183">
        <v>188</v>
      </c>
      <c r="K47" s="183">
        <v>189</v>
      </c>
      <c r="L47" s="183">
        <v>193</v>
      </c>
      <c r="M47" s="183">
        <v>188</v>
      </c>
      <c r="N47" s="182">
        <v>0</v>
      </c>
      <c r="O47" s="183">
        <v>180</v>
      </c>
      <c r="P47" s="183">
        <v>193</v>
      </c>
      <c r="Q47" s="183">
        <v>193</v>
      </c>
      <c r="R47" s="183">
        <v>188</v>
      </c>
      <c r="S47" s="183">
        <v>187</v>
      </c>
      <c r="T47" s="183">
        <v>188</v>
      </c>
      <c r="U47" s="182">
        <v>0</v>
      </c>
      <c r="V47" s="183">
        <v>184</v>
      </c>
      <c r="W47" s="183">
        <v>183</v>
      </c>
      <c r="X47" s="183">
        <v>194</v>
      </c>
      <c r="Y47" s="183">
        <v>192</v>
      </c>
      <c r="Z47" s="183">
        <v>189</v>
      </c>
      <c r="AA47" s="183">
        <v>0</v>
      </c>
      <c r="AB47" s="180"/>
      <c r="AC47" s="181"/>
      <c r="AD47" s="181"/>
      <c r="AE47" s="190"/>
      <c r="AF47" s="190"/>
      <c r="AG47" s="190"/>
    </row>
    <row r="48" spans="1:33">
      <c r="A48" s="362"/>
      <c r="B48" s="184" t="s">
        <v>113</v>
      </c>
      <c r="C48" s="188">
        <v>466</v>
      </c>
      <c r="D48" s="188">
        <v>466</v>
      </c>
      <c r="E48" s="188">
        <v>466</v>
      </c>
      <c r="F48" s="188">
        <v>452</v>
      </c>
      <c r="G48" s="187">
        <v>0</v>
      </c>
      <c r="H48" s="188">
        <v>452</v>
      </c>
      <c r="I48" s="188">
        <v>462</v>
      </c>
      <c r="J48" s="188">
        <v>459</v>
      </c>
      <c r="K48" s="188">
        <v>455</v>
      </c>
      <c r="L48" s="188">
        <v>454</v>
      </c>
      <c r="M48" s="188">
        <v>436</v>
      </c>
      <c r="N48" s="187">
        <v>0</v>
      </c>
      <c r="O48" s="188">
        <v>440</v>
      </c>
      <c r="P48" s="188">
        <v>455</v>
      </c>
      <c r="Q48" s="188">
        <v>458</v>
      </c>
      <c r="R48" s="188">
        <v>443</v>
      </c>
      <c r="S48" s="188">
        <v>445</v>
      </c>
      <c r="T48" s="188">
        <v>439</v>
      </c>
      <c r="U48" s="187">
        <v>0</v>
      </c>
      <c r="V48" s="188">
        <v>444</v>
      </c>
      <c r="W48" s="188">
        <v>457</v>
      </c>
      <c r="X48" s="188">
        <v>457</v>
      </c>
      <c r="Y48" s="188">
        <v>462</v>
      </c>
      <c r="Z48" s="188">
        <v>451</v>
      </c>
      <c r="AA48" s="188">
        <v>0</v>
      </c>
      <c r="AB48" s="185"/>
      <c r="AC48" s="186"/>
      <c r="AD48" s="186"/>
      <c r="AE48" s="191"/>
      <c r="AF48" s="191"/>
      <c r="AG48" s="191"/>
    </row>
    <row r="49" spans="1:33">
      <c r="A49" s="360" t="s">
        <v>128</v>
      </c>
      <c r="B49" s="179" t="s">
        <v>111</v>
      </c>
      <c r="C49" s="183">
        <v>4356</v>
      </c>
      <c r="D49" s="183">
        <v>4348</v>
      </c>
      <c r="E49" s="183">
        <v>4334</v>
      </c>
      <c r="F49" s="183">
        <v>4285</v>
      </c>
      <c r="G49" s="182">
        <v>0</v>
      </c>
      <c r="H49" s="183">
        <v>4165</v>
      </c>
      <c r="I49" s="183">
        <v>4263</v>
      </c>
      <c r="J49" s="183">
        <v>4285</v>
      </c>
      <c r="K49" s="183">
        <v>4292</v>
      </c>
      <c r="L49" s="183">
        <v>4260</v>
      </c>
      <c r="M49" s="183">
        <v>4205</v>
      </c>
      <c r="N49" s="182">
        <v>0</v>
      </c>
      <c r="O49" s="183">
        <v>4241</v>
      </c>
      <c r="P49" s="183">
        <v>4338</v>
      </c>
      <c r="Q49" s="183">
        <v>4352</v>
      </c>
      <c r="R49" s="183">
        <v>4347</v>
      </c>
      <c r="S49" s="183">
        <v>4347</v>
      </c>
      <c r="T49" s="183">
        <v>4283</v>
      </c>
      <c r="U49" s="182">
        <v>0</v>
      </c>
      <c r="V49" s="183">
        <v>4274</v>
      </c>
      <c r="W49" s="183">
        <v>4306</v>
      </c>
      <c r="X49" s="183">
        <v>4341</v>
      </c>
      <c r="Y49" s="183">
        <v>4330</v>
      </c>
      <c r="Z49" s="183">
        <v>4314</v>
      </c>
      <c r="AA49" s="183">
        <v>1</v>
      </c>
      <c r="AB49" s="182">
        <v>0</v>
      </c>
      <c r="AC49" s="181"/>
      <c r="AD49" s="181"/>
      <c r="AE49" s="190"/>
      <c r="AF49" s="190"/>
      <c r="AG49" s="190"/>
    </row>
    <row r="50" spans="1:33">
      <c r="A50" s="361"/>
      <c r="B50" s="179" t="s">
        <v>112</v>
      </c>
      <c r="C50" s="183">
        <v>3932</v>
      </c>
      <c r="D50" s="183">
        <v>3920</v>
      </c>
      <c r="E50" s="183">
        <v>3912</v>
      </c>
      <c r="F50" s="183">
        <v>3868</v>
      </c>
      <c r="G50" s="182">
        <v>0</v>
      </c>
      <c r="H50" s="183">
        <v>3763</v>
      </c>
      <c r="I50" s="183">
        <v>3839</v>
      </c>
      <c r="J50" s="183">
        <v>3866</v>
      </c>
      <c r="K50" s="183">
        <v>3865</v>
      </c>
      <c r="L50" s="183">
        <v>3837</v>
      </c>
      <c r="M50" s="183">
        <v>3785</v>
      </c>
      <c r="N50" s="182">
        <v>0</v>
      </c>
      <c r="O50" s="183">
        <v>3828</v>
      </c>
      <c r="P50" s="183">
        <v>3913</v>
      </c>
      <c r="Q50" s="183">
        <v>3927</v>
      </c>
      <c r="R50" s="183">
        <v>3922</v>
      </c>
      <c r="S50" s="183">
        <v>3927</v>
      </c>
      <c r="T50" s="183">
        <v>3872</v>
      </c>
      <c r="U50" s="182">
        <v>0</v>
      </c>
      <c r="V50" s="183">
        <v>3857</v>
      </c>
      <c r="W50" s="183">
        <v>3891</v>
      </c>
      <c r="X50" s="183">
        <v>3921</v>
      </c>
      <c r="Y50" s="183">
        <v>3917</v>
      </c>
      <c r="Z50" s="183">
        <v>3897</v>
      </c>
      <c r="AA50" s="183">
        <v>1</v>
      </c>
      <c r="AB50" s="182">
        <v>0</v>
      </c>
      <c r="AC50" s="181"/>
      <c r="AD50" s="181"/>
      <c r="AE50" s="190"/>
      <c r="AF50" s="190"/>
      <c r="AG50" s="190"/>
    </row>
    <row r="51" spans="1:33">
      <c r="A51" s="362"/>
      <c r="B51" s="184" t="s">
        <v>113</v>
      </c>
      <c r="C51" s="188">
        <v>424</v>
      </c>
      <c r="D51" s="188">
        <v>428</v>
      </c>
      <c r="E51" s="188">
        <v>422</v>
      </c>
      <c r="F51" s="188">
        <v>417</v>
      </c>
      <c r="G51" s="187">
        <v>0</v>
      </c>
      <c r="H51" s="188">
        <v>402</v>
      </c>
      <c r="I51" s="188">
        <v>424</v>
      </c>
      <c r="J51" s="188">
        <v>419</v>
      </c>
      <c r="K51" s="188">
        <v>427</v>
      </c>
      <c r="L51" s="188">
        <v>423</v>
      </c>
      <c r="M51" s="188">
        <v>420</v>
      </c>
      <c r="N51" s="187">
        <v>0</v>
      </c>
      <c r="O51" s="188">
        <v>413</v>
      </c>
      <c r="P51" s="188">
        <v>425</v>
      </c>
      <c r="Q51" s="188">
        <v>425</v>
      </c>
      <c r="R51" s="188">
        <v>425</v>
      </c>
      <c r="S51" s="188">
        <v>420</v>
      </c>
      <c r="T51" s="188">
        <v>411</v>
      </c>
      <c r="U51" s="187">
        <v>0</v>
      </c>
      <c r="V51" s="188">
        <v>417</v>
      </c>
      <c r="W51" s="188">
        <v>415</v>
      </c>
      <c r="X51" s="188">
        <v>420</v>
      </c>
      <c r="Y51" s="188">
        <v>413</v>
      </c>
      <c r="Z51" s="188">
        <v>417</v>
      </c>
      <c r="AA51" s="188">
        <v>0</v>
      </c>
      <c r="AB51" s="187">
        <v>0</v>
      </c>
      <c r="AC51" s="186"/>
      <c r="AD51" s="186"/>
      <c r="AE51" s="191"/>
      <c r="AF51" s="191"/>
      <c r="AG51" s="191"/>
    </row>
  </sheetData>
  <mergeCells count="18">
    <mergeCell ref="A43:A45"/>
    <mergeCell ref="A46:A48"/>
    <mergeCell ref="A49:A51"/>
    <mergeCell ref="A28:A30"/>
    <mergeCell ref="A31:A33"/>
    <mergeCell ref="A34:A36"/>
    <mergeCell ref="A37:A39"/>
    <mergeCell ref="A40:A42"/>
    <mergeCell ref="A13:A15"/>
    <mergeCell ref="A16:A18"/>
    <mergeCell ref="A19:A21"/>
    <mergeCell ref="A22:A24"/>
    <mergeCell ref="A25:A27"/>
    <mergeCell ref="A4:A6"/>
    <mergeCell ref="A1:B1"/>
    <mergeCell ref="A2:AC2"/>
    <mergeCell ref="A7:A9"/>
    <mergeCell ref="A10:A12"/>
  </mergeCells>
  <phoneticPr fontId="31" type="noConversion"/>
  <hyperlinks>
    <hyperlink ref="A1" location="'目   錄'!A1" display="回到首頁"/>
  </hyperlinks>
  <printOptions horizontalCentered="1"/>
  <pageMargins left="0" right="0" top="0.39370078740157483" bottom="0.19685039370078741" header="0" footer="0"/>
  <pageSetup paperSize="9" scale="85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79"/>
  <sheetViews>
    <sheetView tabSelected="1" workbookViewId="0">
      <selection activeCell="I7" sqref="I7"/>
    </sheetView>
  </sheetViews>
  <sheetFormatPr defaultRowHeight="15.75"/>
  <cols>
    <col min="1" max="1" width="10.42578125" style="73" customWidth="1"/>
    <col min="4" max="4" width="7.7109375" style="71" customWidth="1"/>
    <col min="5" max="5" width="4.7109375" style="70" customWidth="1"/>
    <col min="6" max="8" width="4.7109375" customWidth="1"/>
    <col min="9" max="9" width="4.7109375" style="70" customWidth="1"/>
    <col min="10" max="11" width="4.7109375" customWidth="1"/>
    <col min="12" max="12" width="4.7109375" style="70" customWidth="1"/>
    <col min="13" max="15" width="4.7109375" customWidth="1"/>
    <col min="16" max="16" width="4.7109375" style="70" customWidth="1"/>
    <col min="17" max="18" width="4.7109375" customWidth="1"/>
    <col min="19" max="19" width="4.7109375" style="70" customWidth="1"/>
    <col min="20" max="22" width="4.7109375" customWidth="1"/>
    <col min="23" max="23" width="4.7109375" style="70" customWidth="1"/>
    <col min="24" max="25" width="4.7109375" customWidth="1"/>
    <col min="26" max="26" width="4.7109375" style="70" customWidth="1"/>
    <col min="27" max="29" width="4.7109375" customWidth="1"/>
    <col min="30" max="30" width="4.7109375" style="70" customWidth="1"/>
    <col min="31" max="32" width="4.7109375" customWidth="1"/>
    <col min="33" max="33" width="4.7109375" style="70" customWidth="1"/>
    <col min="34" max="35" width="4.7109375" customWidth="1"/>
  </cols>
  <sheetData>
    <row r="1" spans="1:36" ht="29.25" customHeight="1">
      <c r="A1" s="344" t="s">
        <v>4</v>
      </c>
      <c r="B1" s="345"/>
    </row>
    <row r="2" spans="1:36" s="8" customFormat="1" ht="30">
      <c r="A2" s="363" t="s">
        <v>95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G2" s="74"/>
    </row>
    <row r="3" spans="1:36" s="8" customFormat="1" ht="16.5">
      <c r="A3" s="72" t="s">
        <v>96</v>
      </c>
      <c r="B3" s="386" t="s">
        <v>43</v>
      </c>
      <c r="C3" s="387" t="s">
        <v>44</v>
      </c>
      <c r="D3" s="388" t="s">
        <v>97</v>
      </c>
      <c r="E3" s="389">
        <v>1</v>
      </c>
      <c r="F3" s="386">
        <v>2</v>
      </c>
      <c r="G3" s="386">
        <v>3</v>
      </c>
      <c r="H3" s="386">
        <v>4</v>
      </c>
      <c r="I3" s="390">
        <v>5</v>
      </c>
      <c r="J3" s="386">
        <v>6</v>
      </c>
      <c r="K3" s="386">
        <v>7</v>
      </c>
      <c r="L3" s="389">
        <v>8</v>
      </c>
      <c r="M3" s="386">
        <v>9</v>
      </c>
      <c r="N3" s="386">
        <v>10</v>
      </c>
      <c r="O3" s="386">
        <v>11</v>
      </c>
      <c r="P3" s="390">
        <v>12</v>
      </c>
      <c r="Q3" s="386">
        <v>13</v>
      </c>
      <c r="R3" s="386">
        <v>14</v>
      </c>
      <c r="S3" s="389">
        <v>15</v>
      </c>
      <c r="T3" s="386">
        <v>16</v>
      </c>
      <c r="U3" s="386">
        <v>17</v>
      </c>
      <c r="V3" s="386">
        <v>18</v>
      </c>
      <c r="W3" s="390">
        <v>19</v>
      </c>
      <c r="X3" s="386">
        <v>20</v>
      </c>
      <c r="Y3" s="386">
        <v>21</v>
      </c>
      <c r="Z3" s="389">
        <v>22</v>
      </c>
      <c r="AA3" s="386">
        <v>23</v>
      </c>
      <c r="AB3" s="386">
        <v>24</v>
      </c>
      <c r="AC3" s="386">
        <v>25</v>
      </c>
      <c r="AD3" s="390">
        <v>26</v>
      </c>
      <c r="AE3" s="386">
        <v>27</v>
      </c>
      <c r="AF3" s="386">
        <v>28</v>
      </c>
      <c r="AG3" s="391">
        <v>29</v>
      </c>
      <c r="AH3" s="392">
        <v>30</v>
      </c>
      <c r="AI3" s="392">
        <v>31</v>
      </c>
    </row>
    <row r="4" spans="1:36" s="8" customFormat="1" ht="15" customHeight="1">
      <c r="A4" s="364" t="s">
        <v>44</v>
      </c>
      <c r="B4" s="393" t="s">
        <v>258</v>
      </c>
      <c r="C4" s="394">
        <v>774152</v>
      </c>
      <c r="D4" s="394">
        <v>35188.727272727272</v>
      </c>
      <c r="E4" s="395">
        <v>37296</v>
      </c>
      <c r="F4" s="396">
        <v>37480</v>
      </c>
      <c r="G4" s="396">
        <v>37544</v>
      </c>
      <c r="H4" s="396">
        <v>37144</v>
      </c>
      <c r="I4" s="397"/>
      <c r="J4" s="396">
        <v>37080</v>
      </c>
      <c r="K4" s="396">
        <v>37040</v>
      </c>
      <c r="L4" s="395">
        <v>37080</v>
      </c>
      <c r="M4" s="396">
        <v>36936</v>
      </c>
      <c r="N4" s="396">
        <v>36848</v>
      </c>
      <c r="O4" s="396">
        <v>36720</v>
      </c>
      <c r="P4" s="397"/>
      <c r="Q4" s="396">
        <v>36616</v>
      </c>
      <c r="R4" s="396">
        <v>36208</v>
      </c>
      <c r="S4" s="395">
        <v>35760</v>
      </c>
      <c r="T4" s="396">
        <v>35080</v>
      </c>
      <c r="U4" s="396">
        <v>34256</v>
      </c>
      <c r="V4" s="396">
        <v>34256</v>
      </c>
      <c r="W4" s="397"/>
      <c r="X4" s="396">
        <v>32760</v>
      </c>
      <c r="Y4" s="396">
        <v>32376</v>
      </c>
      <c r="Z4" s="395">
        <v>31880</v>
      </c>
      <c r="AA4" s="396">
        <v>31672</v>
      </c>
      <c r="AB4" s="396">
        <v>31248</v>
      </c>
      <c r="AC4" s="396">
        <v>30872</v>
      </c>
      <c r="AD4" s="397"/>
      <c r="AE4" s="398"/>
      <c r="AF4" s="398"/>
      <c r="AG4" s="399"/>
      <c r="AH4" s="400"/>
      <c r="AI4" s="400"/>
    </row>
    <row r="5" spans="1:36" s="8" customFormat="1" ht="15" customHeight="1">
      <c r="A5" s="365"/>
      <c r="B5" s="393" t="s">
        <v>259</v>
      </c>
      <c r="C5" s="394">
        <v>703580</v>
      </c>
      <c r="D5" s="394">
        <v>31980.909090909088</v>
      </c>
      <c r="E5" s="395">
        <v>33220</v>
      </c>
      <c r="F5" s="396">
        <v>34720</v>
      </c>
      <c r="G5" s="396">
        <v>35240</v>
      </c>
      <c r="H5" s="396">
        <v>35240</v>
      </c>
      <c r="I5" s="397"/>
      <c r="J5" s="396">
        <v>34900</v>
      </c>
      <c r="K5" s="396">
        <v>34900</v>
      </c>
      <c r="L5" s="395">
        <v>35200</v>
      </c>
      <c r="M5" s="396">
        <v>35020</v>
      </c>
      <c r="N5" s="396">
        <v>35020</v>
      </c>
      <c r="O5" s="396">
        <v>34160</v>
      </c>
      <c r="P5" s="397"/>
      <c r="Q5" s="396">
        <v>34480</v>
      </c>
      <c r="R5" s="396">
        <v>33600</v>
      </c>
      <c r="S5" s="395">
        <v>33440</v>
      </c>
      <c r="T5" s="396">
        <v>30700</v>
      </c>
      <c r="U5" s="396">
        <v>30260</v>
      </c>
      <c r="V5" s="396">
        <v>29720</v>
      </c>
      <c r="W5" s="397"/>
      <c r="X5" s="396">
        <v>26460</v>
      </c>
      <c r="Y5" s="396">
        <v>26620</v>
      </c>
      <c r="Z5" s="395">
        <v>26840</v>
      </c>
      <c r="AA5" s="396">
        <v>27840</v>
      </c>
      <c r="AB5" s="396">
        <v>28180</v>
      </c>
      <c r="AC5" s="396">
        <v>27820</v>
      </c>
      <c r="AD5" s="397"/>
      <c r="AE5" s="396">
        <v>26964</v>
      </c>
      <c r="AF5" s="396">
        <v>27624</v>
      </c>
      <c r="AG5" s="401">
        <v>28272</v>
      </c>
      <c r="AH5" s="402">
        <v>28272</v>
      </c>
      <c r="AI5" s="402">
        <v>28272</v>
      </c>
    </row>
    <row r="6" spans="1:36" s="8" customFormat="1" ht="15" customHeight="1">
      <c r="A6" s="365"/>
      <c r="B6" s="403" t="s">
        <v>260</v>
      </c>
      <c r="C6" s="404">
        <v>693399</v>
      </c>
      <c r="D6" s="404">
        <v>31518.13636363636</v>
      </c>
      <c r="E6" s="405">
        <v>33769</v>
      </c>
      <c r="F6" s="406">
        <v>36021</v>
      </c>
      <c r="G6" s="406">
        <v>35782</v>
      </c>
      <c r="H6" s="406">
        <v>35970</v>
      </c>
      <c r="I6" s="407"/>
      <c r="J6" s="406">
        <v>36950</v>
      </c>
      <c r="K6" s="406">
        <v>36045</v>
      </c>
      <c r="L6" s="405">
        <v>35862</v>
      </c>
      <c r="M6" s="406">
        <v>35254</v>
      </c>
      <c r="N6" s="406">
        <v>35789</v>
      </c>
      <c r="O6" s="406">
        <v>33973</v>
      </c>
      <c r="P6" s="407"/>
      <c r="Q6" s="406">
        <v>33011</v>
      </c>
      <c r="R6" s="406">
        <v>30336</v>
      </c>
      <c r="S6" s="405">
        <v>30267</v>
      </c>
      <c r="T6" s="406">
        <v>29529</v>
      </c>
      <c r="U6" s="406">
        <v>29108</v>
      </c>
      <c r="V6" s="406">
        <v>27071</v>
      </c>
      <c r="W6" s="407"/>
      <c r="X6" s="406">
        <v>27316</v>
      </c>
      <c r="Y6" s="406">
        <v>25481</v>
      </c>
      <c r="Z6" s="405">
        <v>25766</v>
      </c>
      <c r="AA6" s="406">
        <v>27169</v>
      </c>
      <c r="AB6" s="406">
        <v>27190</v>
      </c>
      <c r="AC6" s="406">
        <v>25740</v>
      </c>
      <c r="AD6" s="407"/>
      <c r="AE6" s="408"/>
      <c r="AF6" s="408"/>
      <c r="AG6" s="409"/>
      <c r="AH6" s="410"/>
      <c r="AI6" s="410"/>
    </row>
    <row r="7" spans="1:36" s="8" customFormat="1" ht="15" customHeight="1">
      <c r="A7" s="365"/>
      <c r="B7" s="403" t="s">
        <v>261</v>
      </c>
      <c r="C7" s="411">
        <v>-10181</v>
      </c>
      <c r="D7" s="411">
        <v>-462.77272727272725</v>
      </c>
      <c r="E7" s="405">
        <v>549</v>
      </c>
      <c r="F7" s="406">
        <v>1301</v>
      </c>
      <c r="G7" s="406">
        <v>542</v>
      </c>
      <c r="H7" s="406">
        <v>730</v>
      </c>
      <c r="I7" s="407"/>
      <c r="J7" s="406">
        <v>2050</v>
      </c>
      <c r="K7" s="406">
        <v>1145</v>
      </c>
      <c r="L7" s="405">
        <v>662</v>
      </c>
      <c r="M7" s="406">
        <v>234</v>
      </c>
      <c r="N7" s="406">
        <v>769</v>
      </c>
      <c r="O7" s="408">
        <v>-187</v>
      </c>
      <c r="P7" s="407"/>
      <c r="Q7" s="408">
        <v>-1469</v>
      </c>
      <c r="R7" s="408">
        <v>-3264</v>
      </c>
      <c r="S7" s="407">
        <v>-3173</v>
      </c>
      <c r="T7" s="408">
        <v>-1171</v>
      </c>
      <c r="U7" s="408">
        <v>-1152</v>
      </c>
      <c r="V7" s="408">
        <v>-2649</v>
      </c>
      <c r="W7" s="407"/>
      <c r="X7" s="406">
        <v>856</v>
      </c>
      <c r="Y7" s="408">
        <v>-1139</v>
      </c>
      <c r="Z7" s="407">
        <v>-1074</v>
      </c>
      <c r="AA7" s="408">
        <v>-671</v>
      </c>
      <c r="AB7" s="408">
        <v>-990</v>
      </c>
      <c r="AC7" s="408">
        <v>-2080</v>
      </c>
      <c r="AD7" s="407"/>
      <c r="AE7" s="408"/>
      <c r="AF7" s="408"/>
      <c r="AG7" s="409"/>
      <c r="AH7" s="410"/>
      <c r="AI7" s="410"/>
    </row>
    <row r="8" spans="1:36" s="8" customFormat="1" ht="15" customHeight="1">
      <c r="A8" s="365"/>
      <c r="B8" s="403" t="s">
        <v>262</v>
      </c>
      <c r="C8" s="404">
        <v>176</v>
      </c>
      <c r="D8" s="404">
        <v>8</v>
      </c>
      <c r="E8" s="405">
        <v>8</v>
      </c>
      <c r="F8" s="406">
        <v>8</v>
      </c>
      <c r="G8" s="406">
        <v>8</v>
      </c>
      <c r="H8" s="406">
        <v>8</v>
      </c>
      <c r="I8" s="407"/>
      <c r="J8" s="406">
        <v>8</v>
      </c>
      <c r="K8" s="406">
        <v>8</v>
      </c>
      <c r="L8" s="405">
        <v>8</v>
      </c>
      <c r="M8" s="406">
        <v>8</v>
      </c>
      <c r="N8" s="406">
        <v>8</v>
      </c>
      <c r="O8" s="406">
        <v>8</v>
      </c>
      <c r="P8" s="407"/>
      <c r="Q8" s="406">
        <v>8</v>
      </c>
      <c r="R8" s="406">
        <v>8</v>
      </c>
      <c r="S8" s="405">
        <v>8</v>
      </c>
      <c r="T8" s="406">
        <v>8</v>
      </c>
      <c r="U8" s="406">
        <v>8</v>
      </c>
      <c r="V8" s="406">
        <v>8</v>
      </c>
      <c r="W8" s="407"/>
      <c r="X8" s="406">
        <v>8</v>
      </c>
      <c r="Y8" s="406">
        <v>8</v>
      </c>
      <c r="Z8" s="405">
        <v>8</v>
      </c>
      <c r="AA8" s="406">
        <v>8</v>
      </c>
      <c r="AB8" s="406">
        <v>8</v>
      </c>
      <c r="AC8" s="406">
        <v>8</v>
      </c>
      <c r="AD8" s="407"/>
      <c r="AE8" s="408"/>
      <c r="AF8" s="408"/>
      <c r="AG8" s="409"/>
      <c r="AH8" s="410"/>
      <c r="AI8" s="410"/>
    </row>
    <row r="9" spans="1:36" s="8" customFormat="1" ht="15" customHeight="1">
      <c r="A9" s="365"/>
      <c r="B9" s="403" t="s">
        <v>263</v>
      </c>
      <c r="C9" s="404">
        <v>2101</v>
      </c>
      <c r="D9" s="404">
        <v>2101</v>
      </c>
      <c r="E9" s="405">
        <v>2145</v>
      </c>
      <c r="F9" s="406">
        <v>2140</v>
      </c>
      <c r="G9" s="406">
        <v>2141</v>
      </c>
      <c r="H9" s="406">
        <v>2111</v>
      </c>
      <c r="I9" s="407"/>
      <c r="J9" s="406">
        <v>2041</v>
      </c>
      <c r="K9" s="406">
        <v>2087</v>
      </c>
      <c r="L9" s="405">
        <v>2107</v>
      </c>
      <c r="M9" s="406">
        <v>2103</v>
      </c>
      <c r="N9" s="406">
        <v>2069</v>
      </c>
      <c r="O9" s="406">
        <v>2035</v>
      </c>
      <c r="P9" s="407"/>
      <c r="Q9" s="406">
        <v>2077</v>
      </c>
      <c r="R9" s="406">
        <v>2127</v>
      </c>
      <c r="S9" s="405">
        <v>2138</v>
      </c>
      <c r="T9" s="406">
        <v>2138</v>
      </c>
      <c r="U9" s="406">
        <v>2132</v>
      </c>
      <c r="V9" s="406">
        <v>2102</v>
      </c>
      <c r="W9" s="407"/>
      <c r="X9" s="406">
        <v>2096</v>
      </c>
      <c r="Y9" s="406">
        <v>2121</v>
      </c>
      <c r="Z9" s="405">
        <v>2143</v>
      </c>
      <c r="AA9" s="406">
        <v>2138</v>
      </c>
      <c r="AB9" s="406">
        <v>2129</v>
      </c>
      <c r="AC9" s="406">
        <v>2107</v>
      </c>
      <c r="AD9" s="407"/>
      <c r="AE9" s="408"/>
      <c r="AF9" s="408"/>
      <c r="AG9" s="409"/>
      <c r="AH9" s="410"/>
      <c r="AI9" s="410"/>
    </row>
    <row r="10" spans="1:36" s="8" customFormat="1" ht="15" customHeight="1">
      <c r="A10" s="365"/>
      <c r="B10" s="403" t="s">
        <v>264</v>
      </c>
      <c r="C10" s="404">
        <v>3939.767045454545</v>
      </c>
      <c r="D10" s="404">
        <v>3939.767045454545</v>
      </c>
      <c r="E10" s="405">
        <v>4221.125</v>
      </c>
      <c r="F10" s="406">
        <v>4502.625</v>
      </c>
      <c r="G10" s="406">
        <v>4472.75</v>
      </c>
      <c r="H10" s="406">
        <v>4496.25</v>
      </c>
      <c r="I10" s="407"/>
      <c r="J10" s="406">
        <v>4618.75</v>
      </c>
      <c r="K10" s="406">
        <v>4505.625</v>
      </c>
      <c r="L10" s="405">
        <v>4482.75</v>
      </c>
      <c r="M10" s="406">
        <v>4406.75</v>
      </c>
      <c r="N10" s="406">
        <v>4473.625</v>
      </c>
      <c r="O10" s="406">
        <v>4246.625</v>
      </c>
      <c r="P10" s="407"/>
      <c r="Q10" s="406">
        <v>4126.375</v>
      </c>
      <c r="R10" s="406">
        <v>3792</v>
      </c>
      <c r="S10" s="405">
        <v>3783.375</v>
      </c>
      <c r="T10" s="406">
        <v>3691.125</v>
      </c>
      <c r="U10" s="406">
        <v>3638.5</v>
      </c>
      <c r="V10" s="406">
        <v>3383.875</v>
      </c>
      <c r="W10" s="407"/>
      <c r="X10" s="406">
        <v>3414.5</v>
      </c>
      <c r="Y10" s="406">
        <v>3185.125</v>
      </c>
      <c r="Z10" s="405">
        <v>3220.75</v>
      </c>
      <c r="AA10" s="406">
        <v>3396.125</v>
      </c>
      <c r="AB10" s="406">
        <v>3398.75</v>
      </c>
      <c r="AC10" s="406">
        <v>3217.5</v>
      </c>
      <c r="AD10" s="407"/>
      <c r="AE10" s="408"/>
      <c r="AF10" s="408"/>
      <c r="AG10" s="409"/>
      <c r="AH10" s="410"/>
      <c r="AI10" s="410"/>
    </row>
    <row r="11" spans="1:36" s="8" customFormat="1" ht="15" customHeight="1">
      <c r="A11" s="366"/>
      <c r="B11" s="412" t="s">
        <v>265</v>
      </c>
      <c r="C11" s="413">
        <v>1.8751865994548047</v>
      </c>
      <c r="D11" s="413">
        <v>1.8751865994548049</v>
      </c>
      <c r="E11" s="414">
        <v>1.9678904428904429</v>
      </c>
      <c r="F11" s="413">
        <v>2.1040303738317756</v>
      </c>
      <c r="G11" s="413">
        <v>2.0890938813638487</v>
      </c>
      <c r="H11" s="413">
        <v>2.1299147323543344</v>
      </c>
      <c r="I11" s="415"/>
      <c r="J11" s="413">
        <v>2.2629838314551689</v>
      </c>
      <c r="K11" s="413">
        <v>2.1589003354096792</v>
      </c>
      <c r="L11" s="414">
        <v>2.1275510204081631</v>
      </c>
      <c r="M11" s="413">
        <v>2.0954588682834046</v>
      </c>
      <c r="N11" s="413">
        <v>2.1622160463992266</v>
      </c>
      <c r="O11" s="413">
        <v>2.0867936117936119</v>
      </c>
      <c r="P11" s="415"/>
      <c r="Q11" s="413">
        <v>1.9866995666827154</v>
      </c>
      <c r="R11" s="413">
        <v>1.7827926657263751</v>
      </c>
      <c r="S11" s="414">
        <v>1.7695860617399439</v>
      </c>
      <c r="T11" s="413">
        <v>1.7264382600561272</v>
      </c>
      <c r="U11" s="413">
        <v>1.7066135084427767</v>
      </c>
      <c r="V11" s="413">
        <v>1.6098358705994291</v>
      </c>
      <c r="W11" s="415"/>
      <c r="X11" s="413">
        <v>1.6290553435114503</v>
      </c>
      <c r="Y11" s="413">
        <v>1.5017090994813767</v>
      </c>
      <c r="Z11" s="414">
        <v>1.5029164722351844</v>
      </c>
      <c r="AA11" s="413">
        <v>1.5884588400374182</v>
      </c>
      <c r="AB11" s="413">
        <v>1.5964067637388446</v>
      </c>
      <c r="AC11" s="413">
        <v>1.5270526815377314</v>
      </c>
      <c r="AD11" s="415"/>
      <c r="AE11" s="416"/>
      <c r="AF11" s="416"/>
      <c r="AG11" s="417"/>
      <c r="AH11" s="418"/>
      <c r="AI11" s="418"/>
    </row>
    <row r="12" spans="1:36" ht="15">
      <c r="A12" s="364" t="s">
        <v>266</v>
      </c>
      <c r="B12" s="393" t="s">
        <v>258</v>
      </c>
      <c r="C12" s="394">
        <v>38616</v>
      </c>
      <c r="D12" s="394">
        <v>1755.2727272727273</v>
      </c>
      <c r="E12" s="395">
        <v>1696</v>
      </c>
      <c r="F12" s="396">
        <v>1720</v>
      </c>
      <c r="G12" s="396">
        <v>1760</v>
      </c>
      <c r="H12" s="396">
        <v>1760</v>
      </c>
      <c r="I12" s="397"/>
      <c r="J12" s="396">
        <v>1760</v>
      </c>
      <c r="K12" s="396">
        <v>1760</v>
      </c>
      <c r="L12" s="395">
        <v>1760</v>
      </c>
      <c r="M12" s="396">
        <v>1760</v>
      </c>
      <c r="N12" s="396">
        <v>1760</v>
      </c>
      <c r="O12" s="396">
        <v>1760</v>
      </c>
      <c r="P12" s="397"/>
      <c r="Q12" s="396">
        <v>1760</v>
      </c>
      <c r="R12" s="396">
        <v>1760</v>
      </c>
      <c r="S12" s="395">
        <v>1760</v>
      </c>
      <c r="T12" s="396">
        <v>1760</v>
      </c>
      <c r="U12" s="396">
        <v>1760</v>
      </c>
      <c r="V12" s="396">
        <v>1760</v>
      </c>
      <c r="W12" s="397"/>
      <c r="X12" s="396">
        <v>1760</v>
      </c>
      <c r="Y12" s="396">
        <v>1760</v>
      </c>
      <c r="Z12" s="395">
        <v>1760</v>
      </c>
      <c r="AA12" s="396">
        <v>1760</v>
      </c>
      <c r="AB12" s="396">
        <v>1760</v>
      </c>
      <c r="AC12" s="396">
        <v>1760</v>
      </c>
      <c r="AD12" s="397"/>
      <c r="AE12" s="398"/>
      <c r="AF12" s="398"/>
      <c r="AG12" s="399"/>
      <c r="AH12" s="400"/>
      <c r="AI12" s="400"/>
      <c r="AJ12" s="8"/>
    </row>
    <row r="13" spans="1:36" ht="15">
      <c r="A13" s="365"/>
      <c r="B13" s="393" t="s">
        <v>259</v>
      </c>
      <c r="C13" s="394">
        <v>34360</v>
      </c>
      <c r="D13" s="394">
        <v>1561.8181818181818</v>
      </c>
      <c r="E13" s="395">
        <v>1320</v>
      </c>
      <c r="F13" s="396">
        <v>1320</v>
      </c>
      <c r="G13" s="396">
        <v>1760</v>
      </c>
      <c r="H13" s="396">
        <v>1760</v>
      </c>
      <c r="I13" s="397"/>
      <c r="J13" s="396">
        <v>1760</v>
      </c>
      <c r="K13" s="396">
        <v>1760</v>
      </c>
      <c r="L13" s="395">
        <v>1760</v>
      </c>
      <c r="M13" s="396">
        <v>1760</v>
      </c>
      <c r="N13" s="396">
        <v>1760</v>
      </c>
      <c r="O13" s="396">
        <v>1760</v>
      </c>
      <c r="P13" s="397"/>
      <c r="Q13" s="396">
        <v>1760</v>
      </c>
      <c r="R13" s="396">
        <v>1760</v>
      </c>
      <c r="S13" s="395">
        <v>1760</v>
      </c>
      <c r="T13" s="396">
        <v>1760</v>
      </c>
      <c r="U13" s="396">
        <v>1760</v>
      </c>
      <c r="V13" s="396">
        <v>1020</v>
      </c>
      <c r="W13" s="397"/>
      <c r="X13" s="396">
        <v>1020</v>
      </c>
      <c r="Y13" s="396">
        <v>1360</v>
      </c>
      <c r="Z13" s="395">
        <v>1360</v>
      </c>
      <c r="AA13" s="396">
        <v>1360</v>
      </c>
      <c r="AB13" s="396">
        <v>1360</v>
      </c>
      <c r="AC13" s="396">
        <v>1360</v>
      </c>
      <c r="AD13" s="397"/>
      <c r="AE13" s="396">
        <v>1360</v>
      </c>
      <c r="AF13" s="396">
        <v>1360</v>
      </c>
      <c r="AG13" s="401">
        <v>1360</v>
      </c>
      <c r="AH13" s="402">
        <v>1360</v>
      </c>
      <c r="AI13" s="402">
        <v>1360</v>
      </c>
      <c r="AJ13" s="8"/>
    </row>
    <row r="14" spans="1:36" ht="15">
      <c r="A14" s="365"/>
      <c r="B14" s="403" t="s">
        <v>260</v>
      </c>
      <c r="C14" s="404">
        <v>35748</v>
      </c>
      <c r="D14" s="404">
        <v>1624.909090909091</v>
      </c>
      <c r="E14" s="405">
        <v>1896</v>
      </c>
      <c r="F14" s="406">
        <v>1944</v>
      </c>
      <c r="G14" s="406">
        <v>1764</v>
      </c>
      <c r="H14" s="406">
        <v>1764</v>
      </c>
      <c r="I14" s="407"/>
      <c r="J14" s="406">
        <v>1764</v>
      </c>
      <c r="K14" s="406">
        <v>1818</v>
      </c>
      <c r="L14" s="405">
        <v>1788</v>
      </c>
      <c r="M14" s="406">
        <v>1764</v>
      </c>
      <c r="N14" s="406">
        <v>1764</v>
      </c>
      <c r="O14" s="406">
        <v>1764</v>
      </c>
      <c r="P14" s="407"/>
      <c r="Q14" s="406">
        <v>1764</v>
      </c>
      <c r="R14" s="406">
        <v>1770</v>
      </c>
      <c r="S14" s="405">
        <v>1764</v>
      </c>
      <c r="T14" s="406">
        <v>1764</v>
      </c>
      <c r="U14" s="406">
        <v>1764</v>
      </c>
      <c r="V14" s="406">
        <v>1026</v>
      </c>
      <c r="W14" s="407"/>
      <c r="X14" s="406">
        <v>1020</v>
      </c>
      <c r="Y14" s="406">
        <v>1362</v>
      </c>
      <c r="Z14" s="405">
        <v>1362</v>
      </c>
      <c r="AA14" s="406">
        <v>1362</v>
      </c>
      <c r="AB14" s="406">
        <v>1398</v>
      </c>
      <c r="AC14" s="406">
        <v>1362</v>
      </c>
      <c r="AD14" s="407"/>
      <c r="AE14" s="408"/>
      <c r="AF14" s="408"/>
      <c r="AG14" s="409"/>
      <c r="AH14" s="410"/>
      <c r="AI14" s="410"/>
      <c r="AJ14" s="8"/>
    </row>
    <row r="15" spans="1:36" ht="15">
      <c r="A15" s="365"/>
      <c r="B15" s="403" t="s">
        <v>261</v>
      </c>
      <c r="C15" s="404">
        <v>1388</v>
      </c>
      <c r="D15" s="404">
        <v>63.090909090909093</v>
      </c>
      <c r="E15" s="405">
        <v>576</v>
      </c>
      <c r="F15" s="406">
        <v>624</v>
      </c>
      <c r="G15" s="406">
        <v>4</v>
      </c>
      <c r="H15" s="406">
        <v>4</v>
      </c>
      <c r="I15" s="407"/>
      <c r="J15" s="406">
        <v>4</v>
      </c>
      <c r="K15" s="406">
        <v>58</v>
      </c>
      <c r="L15" s="405">
        <v>28</v>
      </c>
      <c r="M15" s="406">
        <v>4</v>
      </c>
      <c r="N15" s="406">
        <v>4</v>
      </c>
      <c r="O15" s="406">
        <v>4</v>
      </c>
      <c r="P15" s="407"/>
      <c r="Q15" s="406">
        <v>4</v>
      </c>
      <c r="R15" s="406">
        <v>10</v>
      </c>
      <c r="S15" s="405">
        <v>4</v>
      </c>
      <c r="T15" s="406">
        <v>4</v>
      </c>
      <c r="U15" s="406">
        <v>4</v>
      </c>
      <c r="V15" s="406">
        <v>6</v>
      </c>
      <c r="W15" s="407"/>
      <c r="X15" s="406">
        <v>0</v>
      </c>
      <c r="Y15" s="406">
        <v>2</v>
      </c>
      <c r="Z15" s="405">
        <v>2</v>
      </c>
      <c r="AA15" s="406">
        <v>2</v>
      </c>
      <c r="AB15" s="406">
        <v>38</v>
      </c>
      <c r="AC15" s="406">
        <v>2</v>
      </c>
      <c r="AD15" s="407"/>
      <c r="AE15" s="408"/>
      <c r="AF15" s="408"/>
      <c r="AG15" s="409"/>
      <c r="AH15" s="410"/>
      <c r="AI15" s="410"/>
      <c r="AJ15" s="8"/>
    </row>
    <row r="16" spans="1:36" ht="15">
      <c r="A16" s="365"/>
      <c r="B16" s="403" t="s">
        <v>262</v>
      </c>
      <c r="C16" s="404">
        <v>176</v>
      </c>
      <c r="D16" s="404">
        <v>8</v>
      </c>
      <c r="E16" s="405">
        <v>8</v>
      </c>
      <c r="F16" s="406">
        <v>8</v>
      </c>
      <c r="G16" s="406">
        <v>8</v>
      </c>
      <c r="H16" s="406">
        <v>8</v>
      </c>
      <c r="I16" s="407"/>
      <c r="J16" s="406">
        <v>8</v>
      </c>
      <c r="K16" s="406">
        <v>8</v>
      </c>
      <c r="L16" s="405">
        <v>8</v>
      </c>
      <c r="M16" s="406">
        <v>8</v>
      </c>
      <c r="N16" s="406">
        <v>8</v>
      </c>
      <c r="O16" s="406">
        <v>8</v>
      </c>
      <c r="P16" s="407"/>
      <c r="Q16" s="406">
        <v>8</v>
      </c>
      <c r="R16" s="406">
        <v>8</v>
      </c>
      <c r="S16" s="405">
        <v>8</v>
      </c>
      <c r="T16" s="406">
        <v>8</v>
      </c>
      <c r="U16" s="406">
        <v>8</v>
      </c>
      <c r="V16" s="406">
        <v>8</v>
      </c>
      <c r="W16" s="407"/>
      <c r="X16" s="406">
        <v>8</v>
      </c>
      <c r="Y16" s="406">
        <v>8</v>
      </c>
      <c r="Z16" s="405">
        <v>8</v>
      </c>
      <c r="AA16" s="406">
        <v>8</v>
      </c>
      <c r="AB16" s="406">
        <v>8</v>
      </c>
      <c r="AC16" s="406">
        <v>8</v>
      </c>
      <c r="AD16" s="407"/>
      <c r="AE16" s="408"/>
      <c r="AF16" s="408"/>
      <c r="AG16" s="409"/>
      <c r="AH16" s="410"/>
      <c r="AI16" s="410"/>
      <c r="AJ16" s="8"/>
    </row>
    <row r="17" spans="1:36" ht="15">
      <c r="A17" s="365"/>
      <c r="B17" s="403" t="s">
        <v>263</v>
      </c>
      <c r="C17" s="404">
        <v>127</v>
      </c>
      <c r="D17" s="404">
        <v>127</v>
      </c>
      <c r="E17" s="405">
        <v>123</v>
      </c>
      <c r="F17" s="406">
        <v>120</v>
      </c>
      <c r="G17" s="406">
        <v>117</v>
      </c>
      <c r="H17" s="406">
        <v>117</v>
      </c>
      <c r="I17" s="407"/>
      <c r="J17" s="406">
        <v>110</v>
      </c>
      <c r="K17" s="406">
        <v>113</v>
      </c>
      <c r="L17" s="405">
        <v>116</v>
      </c>
      <c r="M17" s="406">
        <v>119</v>
      </c>
      <c r="N17" s="406">
        <v>122</v>
      </c>
      <c r="O17" s="406">
        <v>120</v>
      </c>
      <c r="P17" s="407"/>
      <c r="Q17" s="406">
        <v>130</v>
      </c>
      <c r="R17" s="406">
        <v>137</v>
      </c>
      <c r="S17" s="405">
        <v>137</v>
      </c>
      <c r="T17" s="406">
        <v>135</v>
      </c>
      <c r="U17" s="406">
        <v>139</v>
      </c>
      <c r="V17" s="406">
        <v>135</v>
      </c>
      <c r="W17" s="407"/>
      <c r="X17" s="406">
        <v>135</v>
      </c>
      <c r="Y17" s="406">
        <v>135</v>
      </c>
      <c r="Z17" s="405">
        <v>138</v>
      </c>
      <c r="AA17" s="406">
        <v>137</v>
      </c>
      <c r="AB17" s="406">
        <v>135</v>
      </c>
      <c r="AC17" s="406">
        <v>133</v>
      </c>
      <c r="AD17" s="407"/>
      <c r="AE17" s="408"/>
      <c r="AF17" s="408"/>
      <c r="AG17" s="409"/>
      <c r="AH17" s="410"/>
      <c r="AI17" s="410"/>
      <c r="AJ17" s="8"/>
    </row>
    <row r="18" spans="1:36" ht="15">
      <c r="A18" s="365"/>
      <c r="B18" s="403" t="s">
        <v>264</v>
      </c>
      <c r="C18" s="404">
        <v>203.11363636363637</v>
      </c>
      <c r="D18" s="404">
        <v>203.11363636363637</v>
      </c>
      <c r="E18" s="405">
        <v>237</v>
      </c>
      <c r="F18" s="406">
        <v>243</v>
      </c>
      <c r="G18" s="406">
        <v>220.5</v>
      </c>
      <c r="H18" s="406">
        <v>220.5</v>
      </c>
      <c r="I18" s="407"/>
      <c r="J18" s="406">
        <v>220.5</v>
      </c>
      <c r="K18" s="406">
        <v>227.25</v>
      </c>
      <c r="L18" s="405">
        <v>223.5</v>
      </c>
      <c r="M18" s="406">
        <v>220.5</v>
      </c>
      <c r="N18" s="406">
        <v>220.5</v>
      </c>
      <c r="O18" s="406">
        <v>220.5</v>
      </c>
      <c r="P18" s="407"/>
      <c r="Q18" s="406">
        <v>220.5</v>
      </c>
      <c r="R18" s="406">
        <v>221.25</v>
      </c>
      <c r="S18" s="405">
        <v>220.5</v>
      </c>
      <c r="T18" s="406">
        <v>220.5</v>
      </c>
      <c r="U18" s="406">
        <v>220.5</v>
      </c>
      <c r="V18" s="406">
        <v>128.25</v>
      </c>
      <c r="W18" s="407"/>
      <c r="X18" s="406">
        <v>127.5</v>
      </c>
      <c r="Y18" s="406">
        <v>170.25</v>
      </c>
      <c r="Z18" s="405">
        <v>170.25</v>
      </c>
      <c r="AA18" s="406">
        <v>170.25</v>
      </c>
      <c r="AB18" s="406">
        <v>174.75</v>
      </c>
      <c r="AC18" s="406">
        <v>170.25</v>
      </c>
      <c r="AD18" s="407"/>
      <c r="AE18" s="408"/>
      <c r="AF18" s="408"/>
      <c r="AG18" s="409"/>
      <c r="AH18" s="410"/>
      <c r="AI18" s="410"/>
      <c r="AJ18" s="8"/>
    </row>
    <row r="19" spans="1:36" ht="15">
      <c r="A19" s="366"/>
      <c r="B19" s="412" t="s">
        <v>265</v>
      </c>
      <c r="C19" s="413">
        <v>1.5992999999999999</v>
      </c>
      <c r="D19" s="413">
        <v>1.5992999999999999</v>
      </c>
      <c r="E19" s="414">
        <v>1.9268000000000001</v>
      </c>
      <c r="F19" s="413">
        <v>2.0249999999999999</v>
      </c>
      <c r="G19" s="413">
        <v>1.8846000000000001</v>
      </c>
      <c r="H19" s="413">
        <v>1.8846000000000001</v>
      </c>
      <c r="I19" s="415"/>
      <c r="J19" s="413">
        <v>2.0045000000000002</v>
      </c>
      <c r="K19" s="413">
        <v>2.0110999999999999</v>
      </c>
      <c r="L19" s="414">
        <v>1.9266999999999999</v>
      </c>
      <c r="M19" s="413">
        <v>1.8529</v>
      </c>
      <c r="N19" s="413">
        <v>1.8073999999999999</v>
      </c>
      <c r="O19" s="413">
        <v>1.8374999999999999</v>
      </c>
      <c r="P19" s="415"/>
      <c r="Q19" s="413">
        <v>1.6962000000000002</v>
      </c>
      <c r="R19" s="413">
        <v>1.615</v>
      </c>
      <c r="S19" s="414">
        <v>1.6095000000000002</v>
      </c>
      <c r="T19" s="413">
        <v>1.6333</v>
      </c>
      <c r="U19" s="413">
        <v>1.5863</v>
      </c>
      <c r="V19" s="413">
        <v>0.95</v>
      </c>
      <c r="W19" s="415"/>
      <c r="X19" s="413">
        <v>0.94440000000000002</v>
      </c>
      <c r="Y19" s="413">
        <v>1.2610999999999999</v>
      </c>
      <c r="Z19" s="414">
        <v>1.2337</v>
      </c>
      <c r="AA19" s="413">
        <v>1.2426999999999999</v>
      </c>
      <c r="AB19" s="413">
        <v>1.2944</v>
      </c>
      <c r="AC19" s="413">
        <v>1.2801</v>
      </c>
      <c r="AD19" s="415"/>
      <c r="AE19" s="416"/>
      <c r="AF19" s="416"/>
      <c r="AG19" s="417"/>
      <c r="AH19" s="418"/>
      <c r="AI19" s="418"/>
      <c r="AJ19" s="8"/>
    </row>
    <row r="20" spans="1:36" ht="15">
      <c r="A20" s="364" t="s">
        <v>267</v>
      </c>
      <c r="B20" s="393" t="s">
        <v>258</v>
      </c>
      <c r="C20" s="394">
        <v>38960</v>
      </c>
      <c r="D20" s="394">
        <v>1770.909090909091</v>
      </c>
      <c r="E20" s="395">
        <v>1760</v>
      </c>
      <c r="F20" s="396">
        <v>1760</v>
      </c>
      <c r="G20" s="396">
        <v>1760</v>
      </c>
      <c r="H20" s="396">
        <v>1760</v>
      </c>
      <c r="I20" s="397"/>
      <c r="J20" s="396">
        <v>1760</v>
      </c>
      <c r="K20" s="396">
        <v>1760</v>
      </c>
      <c r="L20" s="395">
        <v>1760</v>
      </c>
      <c r="M20" s="396">
        <v>1760</v>
      </c>
      <c r="N20" s="396">
        <v>1760</v>
      </c>
      <c r="O20" s="396">
        <v>1760</v>
      </c>
      <c r="P20" s="397"/>
      <c r="Q20" s="396">
        <v>1760</v>
      </c>
      <c r="R20" s="396">
        <v>1760</v>
      </c>
      <c r="S20" s="395">
        <v>1760</v>
      </c>
      <c r="T20" s="396">
        <v>1760</v>
      </c>
      <c r="U20" s="396">
        <v>1800</v>
      </c>
      <c r="V20" s="396">
        <v>1840</v>
      </c>
      <c r="W20" s="397"/>
      <c r="X20" s="396">
        <v>1840</v>
      </c>
      <c r="Y20" s="396">
        <v>1800</v>
      </c>
      <c r="Z20" s="395">
        <v>1760</v>
      </c>
      <c r="AA20" s="396">
        <v>1760</v>
      </c>
      <c r="AB20" s="396">
        <v>1760</v>
      </c>
      <c r="AC20" s="396">
        <v>1760</v>
      </c>
      <c r="AD20" s="397"/>
      <c r="AE20" s="398"/>
      <c r="AF20" s="398"/>
      <c r="AG20" s="399"/>
      <c r="AH20" s="400"/>
      <c r="AI20" s="400"/>
      <c r="AJ20" s="8"/>
    </row>
    <row r="21" spans="1:36" ht="15">
      <c r="A21" s="365"/>
      <c r="B21" s="393" t="s">
        <v>259</v>
      </c>
      <c r="C21" s="394">
        <v>35300</v>
      </c>
      <c r="D21" s="394">
        <v>1604.5454545454545</v>
      </c>
      <c r="E21" s="395">
        <v>1760</v>
      </c>
      <c r="F21" s="396">
        <v>1760</v>
      </c>
      <c r="G21" s="396">
        <v>1760</v>
      </c>
      <c r="H21" s="396">
        <v>1760</v>
      </c>
      <c r="I21" s="397"/>
      <c r="J21" s="396">
        <v>1760</v>
      </c>
      <c r="K21" s="396">
        <v>1760</v>
      </c>
      <c r="L21" s="395">
        <v>1760</v>
      </c>
      <c r="M21" s="396">
        <v>1760</v>
      </c>
      <c r="N21" s="396">
        <v>1760</v>
      </c>
      <c r="O21" s="396">
        <v>1760</v>
      </c>
      <c r="P21" s="397"/>
      <c r="Q21" s="396">
        <v>1760</v>
      </c>
      <c r="R21" s="396">
        <v>1760</v>
      </c>
      <c r="S21" s="395">
        <v>1760</v>
      </c>
      <c r="T21" s="396">
        <v>1760</v>
      </c>
      <c r="U21" s="396">
        <v>1760</v>
      </c>
      <c r="V21" s="396">
        <v>1760</v>
      </c>
      <c r="W21" s="397"/>
      <c r="X21" s="396">
        <v>1020</v>
      </c>
      <c r="Y21" s="396">
        <v>1020</v>
      </c>
      <c r="Z21" s="395">
        <v>1360</v>
      </c>
      <c r="AA21" s="396">
        <v>1360</v>
      </c>
      <c r="AB21" s="396">
        <v>1360</v>
      </c>
      <c r="AC21" s="396">
        <v>1020</v>
      </c>
      <c r="AD21" s="397"/>
      <c r="AE21" s="396">
        <v>1020</v>
      </c>
      <c r="AF21" s="396">
        <v>1360</v>
      </c>
      <c r="AG21" s="401">
        <v>1360</v>
      </c>
      <c r="AH21" s="402">
        <v>1360</v>
      </c>
      <c r="AI21" s="402">
        <v>1360</v>
      </c>
      <c r="AJ21" s="8"/>
    </row>
    <row r="22" spans="1:36" ht="15">
      <c r="A22" s="365"/>
      <c r="B22" s="403" t="s">
        <v>260</v>
      </c>
      <c r="C22" s="404">
        <v>35711</v>
      </c>
      <c r="D22" s="404">
        <v>1623.2272727272727</v>
      </c>
      <c r="E22" s="405">
        <v>1788</v>
      </c>
      <c r="F22" s="406">
        <v>1764</v>
      </c>
      <c r="G22" s="406">
        <v>1764</v>
      </c>
      <c r="H22" s="406">
        <v>1764</v>
      </c>
      <c r="I22" s="407"/>
      <c r="J22" s="406">
        <v>1764</v>
      </c>
      <c r="K22" s="406">
        <v>1800</v>
      </c>
      <c r="L22" s="405">
        <v>1764</v>
      </c>
      <c r="M22" s="406">
        <v>1764</v>
      </c>
      <c r="N22" s="406">
        <v>1764</v>
      </c>
      <c r="O22" s="406">
        <v>1763</v>
      </c>
      <c r="P22" s="407"/>
      <c r="Q22" s="406">
        <v>1764</v>
      </c>
      <c r="R22" s="406">
        <v>1764</v>
      </c>
      <c r="S22" s="405">
        <v>1764</v>
      </c>
      <c r="T22" s="406">
        <v>1764</v>
      </c>
      <c r="U22" s="406">
        <v>1764</v>
      </c>
      <c r="V22" s="406">
        <v>1764</v>
      </c>
      <c r="W22" s="407"/>
      <c r="X22" s="406">
        <v>1302</v>
      </c>
      <c r="Y22" s="406">
        <v>1020</v>
      </c>
      <c r="Z22" s="405">
        <v>1362</v>
      </c>
      <c r="AA22" s="406">
        <v>1362</v>
      </c>
      <c r="AB22" s="406">
        <v>1362</v>
      </c>
      <c r="AC22" s="406">
        <v>1020</v>
      </c>
      <c r="AD22" s="407"/>
      <c r="AE22" s="408"/>
      <c r="AF22" s="408"/>
      <c r="AG22" s="409"/>
      <c r="AH22" s="410"/>
      <c r="AI22" s="410"/>
      <c r="AJ22" s="8"/>
    </row>
    <row r="23" spans="1:36" ht="15">
      <c r="A23" s="365"/>
      <c r="B23" s="403" t="s">
        <v>261</v>
      </c>
      <c r="C23" s="404">
        <v>411</v>
      </c>
      <c r="D23" s="404">
        <v>18.681818181818183</v>
      </c>
      <c r="E23" s="405">
        <v>28</v>
      </c>
      <c r="F23" s="406">
        <v>4</v>
      </c>
      <c r="G23" s="406">
        <v>4</v>
      </c>
      <c r="H23" s="406">
        <v>4</v>
      </c>
      <c r="I23" s="407"/>
      <c r="J23" s="406">
        <v>4</v>
      </c>
      <c r="K23" s="406">
        <v>40</v>
      </c>
      <c r="L23" s="405">
        <v>4</v>
      </c>
      <c r="M23" s="406">
        <v>4</v>
      </c>
      <c r="N23" s="406">
        <v>4</v>
      </c>
      <c r="O23" s="406">
        <v>3</v>
      </c>
      <c r="P23" s="407"/>
      <c r="Q23" s="406">
        <v>4</v>
      </c>
      <c r="R23" s="406">
        <v>4</v>
      </c>
      <c r="S23" s="405">
        <v>4</v>
      </c>
      <c r="T23" s="406">
        <v>4</v>
      </c>
      <c r="U23" s="406">
        <v>4</v>
      </c>
      <c r="V23" s="406">
        <v>4</v>
      </c>
      <c r="W23" s="407"/>
      <c r="X23" s="406">
        <v>282</v>
      </c>
      <c r="Y23" s="406">
        <v>0</v>
      </c>
      <c r="Z23" s="405">
        <v>2</v>
      </c>
      <c r="AA23" s="406">
        <v>2</v>
      </c>
      <c r="AB23" s="406">
        <v>2</v>
      </c>
      <c r="AC23" s="406">
        <v>0</v>
      </c>
      <c r="AD23" s="407"/>
      <c r="AE23" s="408"/>
      <c r="AF23" s="408"/>
      <c r="AG23" s="409"/>
      <c r="AH23" s="410"/>
      <c r="AI23" s="410"/>
      <c r="AJ23" s="8"/>
    </row>
    <row r="24" spans="1:36" ht="15">
      <c r="A24" s="365"/>
      <c r="B24" s="403" t="s">
        <v>262</v>
      </c>
      <c r="C24" s="404">
        <v>176</v>
      </c>
      <c r="D24" s="404">
        <v>8</v>
      </c>
      <c r="E24" s="405">
        <v>8</v>
      </c>
      <c r="F24" s="406">
        <v>8</v>
      </c>
      <c r="G24" s="406">
        <v>8</v>
      </c>
      <c r="H24" s="406">
        <v>8</v>
      </c>
      <c r="I24" s="407"/>
      <c r="J24" s="406">
        <v>8</v>
      </c>
      <c r="K24" s="406">
        <v>8</v>
      </c>
      <c r="L24" s="405">
        <v>8</v>
      </c>
      <c r="M24" s="406">
        <v>8</v>
      </c>
      <c r="N24" s="406">
        <v>8</v>
      </c>
      <c r="O24" s="406">
        <v>8</v>
      </c>
      <c r="P24" s="407"/>
      <c r="Q24" s="406">
        <v>8</v>
      </c>
      <c r="R24" s="406">
        <v>8</v>
      </c>
      <c r="S24" s="405">
        <v>8</v>
      </c>
      <c r="T24" s="406">
        <v>8</v>
      </c>
      <c r="U24" s="406">
        <v>8</v>
      </c>
      <c r="V24" s="406">
        <v>8</v>
      </c>
      <c r="W24" s="407"/>
      <c r="X24" s="406">
        <v>8</v>
      </c>
      <c r="Y24" s="406">
        <v>8</v>
      </c>
      <c r="Z24" s="405">
        <v>8</v>
      </c>
      <c r="AA24" s="406">
        <v>8</v>
      </c>
      <c r="AB24" s="406">
        <v>8</v>
      </c>
      <c r="AC24" s="406">
        <v>8</v>
      </c>
      <c r="AD24" s="407"/>
      <c r="AE24" s="408"/>
      <c r="AF24" s="408"/>
      <c r="AG24" s="409"/>
      <c r="AH24" s="410"/>
      <c r="AI24" s="410"/>
      <c r="AJ24" s="8"/>
    </row>
    <row r="25" spans="1:36" ht="15">
      <c r="A25" s="365"/>
      <c r="B25" s="403" t="s">
        <v>263</v>
      </c>
      <c r="C25" s="404">
        <v>106</v>
      </c>
      <c r="D25" s="404">
        <v>106</v>
      </c>
      <c r="E25" s="405">
        <v>116</v>
      </c>
      <c r="F25" s="406">
        <v>114</v>
      </c>
      <c r="G25" s="406">
        <v>113</v>
      </c>
      <c r="H25" s="406">
        <v>109</v>
      </c>
      <c r="I25" s="407"/>
      <c r="J25" s="406">
        <v>104</v>
      </c>
      <c r="K25" s="406">
        <v>106</v>
      </c>
      <c r="L25" s="405">
        <v>109</v>
      </c>
      <c r="M25" s="406">
        <v>101</v>
      </c>
      <c r="N25" s="406">
        <v>85</v>
      </c>
      <c r="O25" s="406">
        <v>83</v>
      </c>
      <c r="P25" s="407"/>
      <c r="Q25" s="406">
        <v>106</v>
      </c>
      <c r="R25" s="406">
        <v>108</v>
      </c>
      <c r="S25" s="405">
        <v>112</v>
      </c>
      <c r="T25" s="406">
        <v>115</v>
      </c>
      <c r="U25" s="406">
        <v>102</v>
      </c>
      <c r="V25" s="406">
        <v>103</v>
      </c>
      <c r="W25" s="407"/>
      <c r="X25" s="406">
        <v>105</v>
      </c>
      <c r="Y25" s="406">
        <v>106</v>
      </c>
      <c r="Z25" s="405">
        <v>110</v>
      </c>
      <c r="AA25" s="406">
        <v>113</v>
      </c>
      <c r="AB25" s="406">
        <v>113</v>
      </c>
      <c r="AC25" s="406">
        <v>110</v>
      </c>
      <c r="AD25" s="407"/>
      <c r="AE25" s="408"/>
      <c r="AF25" s="408"/>
      <c r="AG25" s="409"/>
      <c r="AH25" s="410"/>
      <c r="AI25" s="410"/>
      <c r="AJ25" s="8"/>
    </row>
    <row r="26" spans="1:36" ht="15">
      <c r="A26" s="365"/>
      <c r="B26" s="403" t="s">
        <v>264</v>
      </c>
      <c r="C26" s="404">
        <v>202.90340909090909</v>
      </c>
      <c r="D26" s="404">
        <v>202.90340909090909</v>
      </c>
      <c r="E26" s="405">
        <v>223.5</v>
      </c>
      <c r="F26" s="406">
        <v>220.5</v>
      </c>
      <c r="G26" s="406">
        <v>220.5</v>
      </c>
      <c r="H26" s="406">
        <v>220.5</v>
      </c>
      <c r="I26" s="407"/>
      <c r="J26" s="406">
        <v>220.5</v>
      </c>
      <c r="K26" s="406">
        <v>225</v>
      </c>
      <c r="L26" s="405">
        <v>220.5</v>
      </c>
      <c r="M26" s="406">
        <v>220.5</v>
      </c>
      <c r="N26" s="406">
        <v>220.5</v>
      </c>
      <c r="O26" s="406">
        <v>220.375</v>
      </c>
      <c r="P26" s="407"/>
      <c r="Q26" s="406">
        <v>220.5</v>
      </c>
      <c r="R26" s="406">
        <v>220.5</v>
      </c>
      <c r="S26" s="405">
        <v>220.5</v>
      </c>
      <c r="T26" s="406">
        <v>220.5</v>
      </c>
      <c r="U26" s="406">
        <v>220.5</v>
      </c>
      <c r="V26" s="406">
        <v>220.5</v>
      </c>
      <c r="W26" s="407"/>
      <c r="X26" s="406">
        <v>162.75</v>
      </c>
      <c r="Y26" s="406">
        <v>127.5</v>
      </c>
      <c r="Z26" s="405">
        <v>170.25</v>
      </c>
      <c r="AA26" s="406">
        <v>170.25</v>
      </c>
      <c r="AB26" s="406">
        <v>170.25</v>
      </c>
      <c r="AC26" s="406">
        <v>127.5</v>
      </c>
      <c r="AD26" s="407"/>
      <c r="AE26" s="408"/>
      <c r="AF26" s="408"/>
      <c r="AG26" s="409"/>
      <c r="AH26" s="410"/>
      <c r="AI26" s="410"/>
      <c r="AJ26" s="8"/>
    </row>
    <row r="27" spans="1:36" ht="15">
      <c r="A27" s="366"/>
      <c r="B27" s="412" t="s">
        <v>265</v>
      </c>
      <c r="C27" s="413">
        <v>1.9142000000000001</v>
      </c>
      <c r="D27" s="413">
        <v>1.9142000000000001</v>
      </c>
      <c r="E27" s="414">
        <v>1.9266999999999999</v>
      </c>
      <c r="F27" s="413">
        <v>1.9342000000000001</v>
      </c>
      <c r="G27" s="413">
        <v>1.9513</v>
      </c>
      <c r="H27" s="413">
        <v>2.0228999999999999</v>
      </c>
      <c r="I27" s="415"/>
      <c r="J27" s="413">
        <v>2.1202000000000001</v>
      </c>
      <c r="K27" s="413">
        <v>2.1225999999999998</v>
      </c>
      <c r="L27" s="414">
        <v>2.0228999999999999</v>
      </c>
      <c r="M27" s="413">
        <v>2.1831999999999998</v>
      </c>
      <c r="N27" s="413">
        <v>2.5941000000000001</v>
      </c>
      <c r="O27" s="413">
        <v>2.6551</v>
      </c>
      <c r="P27" s="415"/>
      <c r="Q27" s="413">
        <v>2.0802</v>
      </c>
      <c r="R27" s="413">
        <v>2.0417000000000001</v>
      </c>
      <c r="S27" s="414">
        <v>1.9687999999999999</v>
      </c>
      <c r="T27" s="413">
        <v>1.9174</v>
      </c>
      <c r="U27" s="413">
        <v>2.1617999999999999</v>
      </c>
      <c r="V27" s="413">
        <v>2.1408</v>
      </c>
      <c r="W27" s="415"/>
      <c r="X27" s="413">
        <v>1.55</v>
      </c>
      <c r="Y27" s="413">
        <v>1.2028000000000001</v>
      </c>
      <c r="Z27" s="414">
        <v>1.5476999999999999</v>
      </c>
      <c r="AA27" s="413">
        <v>1.5066000000000002</v>
      </c>
      <c r="AB27" s="413">
        <v>1.5066000000000002</v>
      </c>
      <c r="AC27" s="413">
        <v>1.1591</v>
      </c>
      <c r="AD27" s="415"/>
      <c r="AE27" s="416"/>
      <c r="AF27" s="416"/>
      <c r="AG27" s="417"/>
      <c r="AH27" s="418"/>
      <c r="AI27" s="418"/>
      <c r="AJ27" s="8"/>
    </row>
    <row r="28" spans="1:36" ht="15">
      <c r="A28" s="364" t="s">
        <v>268</v>
      </c>
      <c r="B28" s="393" t="s">
        <v>258</v>
      </c>
      <c r="C28" s="394">
        <v>38432</v>
      </c>
      <c r="D28" s="394">
        <v>1746.909090909091</v>
      </c>
      <c r="E28" s="395">
        <v>1760</v>
      </c>
      <c r="F28" s="396">
        <v>1760</v>
      </c>
      <c r="G28" s="396">
        <v>1760</v>
      </c>
      <c r="H28" s="396">
        <v>1760</v>
      </c>
      <c r="I28" s="397"/>
      <c r="J28" s="396">
        <v>1760</v>
      </c>
      <c r="K28" s="396">
        <v>1760</v>
      </c>
      <c r="L28" s="395">
        <v>1760</v>
      </c>
      <c r="M28" s="396">
        <v>1760</v>
      </c>
      <c r="N28" s="396">
        <v>1760</v>
      </c>
      <c r="O28" s="396">
        <v>1760</v>
      </c>
      <c r="P28" s="397"/>
      <c r="Q28" s="396">
        <v>1760</v>
      </c>
      <c r="R28" s="396">
        <v>1760</v>
      </c>
      <c r="S28" s="395">
        <v>1760</v>
      </c>
      <c r="T28" s="396">
        <v>1760</v>
      </c>
      <c r="U28" s="396">
        <v>1760</v>
      </c>
      <c r="V28" s="396">
        <v>1760</v>
      </c>
      <c r="W28" s="397"/>
      <c r="X28" s="396">
        <v>1760</v>
      </c>
      <c r="Y28" s="396">
        <v>1760</v>
      </c>
      <c r="Z28" s="395">
        <v>1760</v>
      </c>
      <c r="AA28" s="396">
        <v>1760</v>
      </c>
      <c r="AB28" s="396">
        <v>1760</v>
      </c>
      <c r="AC28" s="396">
        <v>1472</v>
      </c>
      <c r="AD28" s="397"/>
      <c r="AE28" s="398"/>
      <c r="AF28" s="398"/>
      <c r="AG28" s="399"/>
      <c r="AH28" s="400"/>
      <c r="AI28" s="400"/>
      <c r="AJ28" s="8"/>
    </row>
    <row r="29" spans="1:36" ht="15">
      <c r="A29" s="365"/>
      <c r="B29" s="393" t="s">
        <v>259</v>
      </c>
      <c r="C29" s="394">
        <v>34760</v>
      </c>
      <c r="D29" s="394">
        <v>1580</v>
      </c>
      <c r="E29" s="395">
        <v>1320</v>
      </c>
      <c r="F29" s="396">
        <v>1320</v>
      </c>
      <c r="G29" s="396">
        <v>1760</v>
      </c>
      <c r="H29" s="396">
        <v>1760</v>
      </c>
      <c r="I29" s="397"/>
      <c r="J29" s="396">
        <v>1760</v>
      </c>
      <c r="K29" s="396">
        <v>1760</v>
      </c>
      <c r="L29" s="395">
        <v>1760</v>
      </c>
      <c r="M29" s="396">
        <v>1760</v>
      </c>
      <c r="N29" s="396">
        <v>1760</v>
      </c>
      <c r="O29" s="396">
        <v>1760</v>
      </c>
      <c r="P29" s="397"/>
      <c r="Q29" s="396">
        <v>1760</v>
      </c>
      <c r="R29" s="396">
        <v>1760</v>
      </c>
      <c r="S29" s="395">
        <v>1760</v>
      </c>
      <c r="T29" s="396">
        <v>1760</v>
      </c>
      <c r="U29" s="396">
        <v>1760</v>
      </c>
      <c r="V29" s="396">
        <v>1760</v>
      </c>
      <c r="W29" s="397"/>
      <c r="X29" s="396">
        <v>1020</v>
      </c>
      <c r="Y29" s="396">
        <v>1020</v>
      </c>
      <c r="Z29" s="395">
        <v>1360</v>
      </c>
      <c r="AA29" s="396">
        <v>1360</v>
      </c>
      <c r="AB29" s="396">
        <v>1360</v>
      </c>
      <c r="AC29" s="396">
        <v>1360</v>
      </c>
      <c r="AD29" s="397"/>
      <c r="AE29" s="396">
        <v>1360</v>
      </c>
      <c r="AF29" s="396">
        <v>1360</v>
      </c>
      <c r="AG29" s="401">
        <v>1360</v>
      </c>
      <c r="AH29" s="402">
        <v>1360</v>
      </c>
      <c r="AI29" s="402">
        <v>1360</v>
      </c>
      <c r="AJ29" s="8"/>
    </row>
    <row r="30" spans="1:36" ht="15">
      <c r="A30" s="365"/>
      <c r="B30" s="403" t="s">
        <v>260</v>
      </c>
      <c r="C30" s="404">
        <v>34894</v>
      </c>
      <c r="D30" s="404">
        <v>1586.090909090909</v>
      </c>
      <c r="E30" s="405">
        <v>1356</v>
      </c>
      <c r="F30" s="406">
        <v>1320</v>
      </c>
      <c r="G30" s="406">
        <v>1764</v>
      </c>
      <c r="H30" s="406">
        <v>1764</v>
      </c>
      <c r="I30" s="407"/>
      <c r="J30" s="406">
        <v>1764</v>
      </c>
      <c r="K30" s="406">
        <v>1764</v>
      </c>
      <c r="L30" s="405">
        <v>1774</v>
      </c>
      <c r="M30" s="406">
        <v>1776</v>
      </c>
      <c r="N30" s="406">
        <v>1764</v>
      </c>
      <c r="O30" s="406">
        <v>1766</v>
      </c>
      <c r="P30" s="407"/>
      <c r="Q30" s="406">
        <v>1762</v>
      </c>
      <c r="R30" s="406">
        <v>1764</v>
      </c>
      <c r="S30" s="405">
        <v>1764</v>
      </c>
      <c r="T30" s="406">
        <v>1764</v>
      </c>
      <c r="U30" s="406">
        <v>1764</v>
      </c>
      <c r="V30" s="406">
        <v>1764</v>
      </c>
      <c r="W30" s="407"/>
      <c r="X30" s="406">
        <v>1032</v>
      </c>
      <c r="Y30" s="406">
        <v>1020</v>
      </c>
      <c r="Z30" s="405">
        <v>1362</v>
      </c>
      <c r="AA30" s="406">
        <v>1362</v>
      </c>
      <c r="AB30" s="406">
        <v>1362</v>
      </c>
      <c r="AC30" s="406">
        <v>1362</v>
      </c>
      <c r="AD30" s="407"/>
      <c r="AE30" s="408"/>
      <c r="AF30" s="408"/>
      <c r="AG30" s="409"/>
      <c r="AH30" s="410"/>
      <c r="AI30" s="410"/>
      <c r="AJ30" s="8"/>
    </row>
    <row r="31" spans="1:36" ht="15">
      <c r="A31" s="365"/>
      <c r="B31" s="403" t="s">
        <v>261</v>
      </c>
      <c r="C31" s="404">
        <v>134</v>
      </c>
      <c r="D31" s="404">
        <v>6.0909090909090908</v>
      </c>
      <c r="E31" s="405">
        <v>36</v>
      </c>
      <c r="F31" s="406">
        <v>0</v>
      </c>
      <c r="G31" s="406">
        <v>4</v>
      </c>
      <c r="H31" s="406">
        <v>4</v>
      </c>
      <c r="I31" s="407"/>
      <c r="J31" s="406">
        <v>4</v>
      </c>
      <c r="K31" s="406">
        <v>4</v>
      </c>
      <c r="L31" s="405">
        <v>14</v>
      </c>
      <c r="M31" s="406">
        <v>16</v>
      </c>
      <c r="N31" s="406">
        <v>4</v>
      </c>
      <c r="O31" s="406">
        <v>6</v>
      </c>
      <c r="P31" s="407"/>
      <c r="Q31" s="406">
        <v>2</v>
      </c>
      <c r="R31" s="406">
        <v>4</v>
      </c>
      <c r="S31" s="405">
        <v>4</v>
      </c>
      <c r="T31" s="406">
        <v>4</v>
      </c>
      <c r="U31" s="406">
        <v>4</v>
      </c>
      <c r="V31" s="406">
        <v>4</v>
      </c>
      <c r="W31" s="407"/>
      <c r="X31" s="406">
        <v>12</v>
      </c>
      <c r="Y31" s="406">
        <v>0</v>
      </c>
      <c r="Z31" s="405">
        <v>2</v>
      </c>
      <c r="AA31" s="406">
        <v>2</v>
      </c>
      <c r="AB31" s="406">
        <v>2</v>
      </c>
      <c r="AC31" s="406">
        <v>2</v>
      </c>
      <c r="AD31" s="407"/>
      <c r="AE31" s="408"/>
      <c r="AF31" s="408"/>
      <c r="AG31" s="409"/>
      <c r="AH31" s="410"/>
      <c r="AI31" s="410"/>
      <c r="AJ31" s="8"/>
    </row>
    <row r="32" spans="1:36" ht="15">
      <c r="A32" s="365"/>
      <c r="B32" s="403" t="s">
        <v>262</v>
      </c>
      <c r="C32" s="404">
        <v>176</v>
      </c>
      <c r="D32" s="404">
        <v>8</v>
      </c>
      <c r="E32" s="405">
        <v>8</v>
      </c>
      <c r="F32" s="406">
        <v>8</v>
      </c>
      <c r="G32" s="406">
        <v>8</v>
      </c>
      <c r="H32" s="406">
        <v>8</v>
      </c>
      <c r="I32" s="407"/>
      <c r="J32" s="406">
        <v>8</v>
      </c>
      <c r="K32" s="406">
        <v>8</v>
      </c>
      <c r="L32" s="405">
        <v>8</v>
      </c>
      <c r="M32" s="406">
        <v>8</v>
      </c>
      <c r="N32" s="406">
        <v>8</v>
      </c>
      <c r="O32" s="406">
        <v>8</v>
      </c>
      <c r="P32" s="407"/>
      <c r="Q32" s="406">
        <v>8</v>
      </c>
      <c r="R32" s="406">
        <v>8</v>
      </c>
      <c r="S32" s="405">
        <v>8</v>
      </c>
      <c r="T32" s="406">
        <v>8</v>
      </c>
      <c r="U32" s="406">
        <v>8</v>
      </c>
      <c r="V32" s="406">
        <v>8</v>
      </c>
      <c r="W32" s="407"/>
      <c r="X32" s="406">
        <v>8</v>
      </c>
      <c r="Y32" s="406">
        <v>8</v>
      </c>
      <c r="Z32" s="405">
        <v>8</v>
      </c>
      <c r="AA32" s="406">
        <v>8</v>
      </c>
      <c r="AB32" s="406">
        <v>8</v>
      </c>
      <c r="AC32" s="406">
        <v>8</v>
      </c>
      <c r="AD32" s="407"/>
      <c r="AE32" s="408"/>
      <c r="AF32" s="408"/>
      <c r="AG32" s="409"/>
      <c r="AH32" s="410"/>
      <c r="AI32" s="410"/>
      <c r="AJ32" s="8"/>
    </row>
    <row r="33" spans="1:36" ht="15">
      <c r="A33" s="365"/>
      <c r="B33" s="403" t="s">
        <v>263</v>
      </c>
      <c r="C33" s="404">
        <v>121</v>
      </c>
      <c r="D33" s="404">
        <v>121</v>
      </c>
      <c r="E33" s="405">
        <v>121</v>
      </c>
      <c r="F33" s="406">
        <v>122</v>
      </c>
      <c r="G33" s="406">
        <v>126</v>
      </c>
      <c r="H33" s="406">
        <v>122</v>
      </c>
      <c r="I33" s="407"/>
      <c r="J33" s="406">
        <v>120</v>
      </c>
      <c r="K33" s="406">
        <v>120</v>
      </c>
      <c r="L33" s="405">
        <v>122</v>
      </c>
      <c r="M33" s="406">
        <v>124</v>
      </c>
      <c r="N33" s="406">
        <v>95</v>
      </c>
      <c r="O33" s="406">
        <v>93</v>
      </c>
      <c r="P33" s="407"/>
      <c r="Q33" s="406">
        <v>124</v>
      </c>
      <c r="R33" s="406">
        <v>126</v>
      </c>
      <c r="S33" s="405">
        <v>126</v>
      </c>
      <c r="T33" s="406">
        <v>126</v>
      </c>
      <c r="U33" s="406">
        <v>126</v>
      </c>
      <c r="V33" s="406">
        <v>122</v>
      </c>
      <c r="W33" s="407"/>
      <c r="X33" s="406">
        <v>119</v>
      </c>
      <c r="Y33" s="406">
        <v>123</v>
      </c>
      <c r="Z33" s="405">
        <v>126</v>
      </c>
      <c r="AA33" s="406">
        <v>128</v>
      </c>
      <c r="AB33" s="406">
        <v>128</v>
      </c>
      <c r="AC33" s="406">
        <v>127</v>
      </c>
      <c r="AD33" s="407"/>
      <c r="AE33" s="408"/>
      <c r="AF33" s="408"/>
      <c r="AG33" s="409"/>
      <c r="AH33" s="410"/>
      <c r="AI33" s="410"/>
      <c r="AJ33" s="8"/>
    </row>
    <row r="34" spans="1:36" ht="15">
      <c r="A34" s="365"/>
      <c r="B34" s="403" t="s">
        <v>264</v>
      </c>
      <c r="C34" s="404">
        <v>198.26136363636363</v>
      </c>
      <c r="D34" s="404">
        <v>198.26136363636363</v>
      </c>
      <c r="E34" s="405">
        <v>169.5</v>
      </c>
      <c r="F34" s="406">
        <v>165</v>
      </c>
      <c r="G34" s="406">
        <v>220.5</v>
      </c>
      <c r="H34" s="406">
        <v>220.5</v>
      </c>
      <c r="I34" s="407"/>
      <c r="J34" s="406">
        <v>220.5</v>
      </c>
      <c r="K34" s="406">
        <v>220.5</v>
      </c>
      <c r="L34" s="405">
        <v>221.75</v>
      </c>
      <c r="M34" s="406">
        <v>222</v>
      </c>
      <c r="N34" s="406">
        <v>220.5</v>
      </c>
      <c r="O34" s="406">
        <v>220.75</v>
      </c>
      <c r="P34" s="407"/>
      <c r="Q34" s="406">
        <v>220.25</v>
      </c>
      <c r="R34" s="406">
        <v>220.5</v>
      </c>
      <c r="S34" s="405">
        <v>220.5</v>
      </c>
      <c r="T34" s="406">
        <v>220.5</v>
      </c>
      <c r="U34" s="406">
        <v>220.5</v>
      </c>
      <c r="V34" s="406">
        <v>220.5</v>
      </c>
      <c r="W34" s="407"/>
      <c r="X34" s="406">
        <v>129</v>
      </c>
      <c r="Y34" s="406">
        <v>127.5</v>
      </c>
      <c r="Z34" s="405">
        <v>170.25</v>
      </c>
      <c r="AA34" s="406">
        <v>170.25</v>
      </c>
      <c r="AB34" s="406">
        <v>170.25</v>
      </c>
      <c r="AC34" s="406">
        <v>170.25</v>
      </c>
      <c r="AD34" s="407"/>
      <c r="AE34" s="408"/>
      <c r="AF34" s="408"/>
      <c r="AG34" s="409"/>
      <c r="AH34" s="410"/>
      <c r="AI34" s="410"/>
      <c r="AJ34" s="8"/>
    </row>
    <row r="35" spans="1:36" ht="15">
      <c r="A35" s="366"/>
      <c r="B35" s="412" t="s">
        <v>265</v>
      </c>
      <c r="C35" s="413">
        <v>1.6385000000000001</v>
      </c>
      <c r="D35" s="413">
        <v>1.6385000000000001</v>
      </c>
      <c r="E35" s="414">
        <v>1.4008</v>
      </c>
      <c r="F35" s="413">
        <v>1.3525</v>
      </c>
      <c r="G35" s="413">
        <v>1.75</v>
      </c>
      <c r="H35" s="413">
        <v>1.8073999999999999</v>
      </c>
      <c r="I35" s="415"/>
      <c r="J35" s="413">
        <v>1.8374999999999999</v>
      </c>
      <c r="K35" s="413">
        <v>1.8374999999999999</v>
      </c>
      <c r="L35" s="414">
        <v>1.8176000000000001</v>
      </c>
      <c r="M35" s="413">
        <v>1.7903</v>
      </c>
      <c r="N35" s="413">
        <v>2.3210999999999999</v>
      </c>
      <c r="O35" s="413">
        <v>2.3736999999999999</v>
      </c>
      <c r="P35" s="415"/>
      <c r="Q35" s="413">
        <v>1.7762</v>
      </c>
      <c r="R35" s="413">
        <v>1.75</v>
      </c>
      <c r="S35" s="414">
        <v>1.75</v>
      </c>
      <c r="T35" s="413">
        <v>1.75</v>
      </c>
      <c r="U35" s="413">
        <v>1.75</v>
      </c>
      <c r="V35" s="413">
        <v>1.8073999999999999</v>
      </c>
      <c r="W35" s="415"/>
      <c r="X35" s="413">
        <v>1.0840000000000001</v>
      </c>
      <c r="Y35" s="413">
        <v>1.0366</v>
      </c>
      <c r="Z35" s="414">
        <v>1.3512</v>
      </c>
      <c r="AA35" s="413">
        <v>1.3301000000000001</v>
      </c>
      <c r="AB35" s="413">
        <v>1.3301000000000001</v>
      </c>
      <c r="AC35" s="413">
        <v>1.3406</v>
      </c>
      <c r="AD35" s="415"/>
      <c r="AE35" s="416"/>
      <c r="AF35" s="416"/>
      <c r="AG35" s="417"/>
      <c r="AH35" s="418"/>
      <c r="AI35" s="418"/>
      <c r="AJ35" s="8"/>
    </row>
    <row r="36" spans="1:36" ht="15">
      <c r="A36" s="364" t="s">
        <v>269</v>
      </c>
      <c r="B36" s="393" t="s">
        <v>258</v>
      </c>
      <c r="C36" s="394">
        <v>37304</v>
      </c>
      <c r="D36" s="394">
        <v>1695.6363636363637</v>
      </c>
      <c r="E36" s="395">
        <v>1760</v>
      </c>
      <c r="F36" s="396">
        <v>1760</v>
      </c>
      <c r="G36" s="396">
        <v>1760</v>
      </c>
      <c r="H36" s="396">
        <v>1760</v>
      </c>
      <c r="I36" s="397"/>
      <c r="J36" s="396">
        <v>1760</v>
      </c>
      <c r="K36" s="396">
        <v>1760</v>
      </c>
      <c r="L36" s="395">
        <v>1760</v>
      </c>
      <c r="M36" s="396">
        <v>1760</v>
      </c>
      <c r="N36" s="396">
        <v>1760</v>
      </c>
      <c r="O36" s="396">
        <v>1760</v>
      </c>
      <c r="P36" s="397"/>
      <c r="Q36" s="396">
        <v>1760</v>
      </c>
      <c r="R36" s="396">
        <v>1760</v>
      </c>
      <c r="S36" s="395">
        <v>1760</v>
      </c>
      <c r="T36" s="396">
        <v>1760</v>
      </c>
      <c r="U36" s="396">
        <v>1760</v>
      </c>
      <c r="V36" s="396">
        <v>1680</v>
      </c>
      <c r="W36" s="397"/>
      <c r="X36" s="396">
        <v>1600</v>
      </c>
      <c r="Y36" s="396">
        <v>1600</v>
      </c>
      <c r="Z36" s="395">
        <v>1600</v>
      </c>
      <c r="AA36" s="396">
        <v>1640</v>
      </c>
      <c r="AB36" s="396">
        <v>1504</v>
      </c>
      <c r="AC36" s="396">
        <v>1280</v>
      </c>
      <c r="AD36" s="397"/>
      <c r="AE36" s="398"/>
      <c r="AF36" s="398"/>
      <c r="AG36" s="399"/>
      <c r="AH36" s="400"/>
      <c r="AI36" s="400"/>
      <c r="AJ36" s="8"/>
    </row>
    <row r="37" spans="1:36" ht="15">
      <c r="A37" s="365"/>
      <c r="B37" s="393" t="s">
        <v>259</v>
      </c>
      <c r="C37" s="394">
        <v>35720</v>
      </c>
      <c r="D37" s="394">
        <v>1623.6363636363637</v>
      </c>
      <c r="E37" s="395">
        <v>1680</v>
      </c>
      <c r="F37" s="396">
        <v>1680</v>
      </c>
      <c r="G37" s="396">
        <v>1320</v>
      </c>
      <c r="H37" s="396">
        <v>1320</v>
      </c>
      <c r="I37" s="397"/>
      <c r="J37" s="396">
        <v>1760</v>
      </c>
      <c r="K37" s="396">
        <v>1760</v>
      </c>
      <c r="L37" s="395">
        <v>1760</v>
      </c>
      <c r="M37" s="396">
        <v>1760</v>
      </c>
      <c r="N37" s="396">
        <v>1760</v>
      </c>
      <c r="O37" s="396">
        <v>1760</v>
      </c>
      <c r="P37" s="397"/>
      <c r="Q37" s="396">
        <v>1760</v>
      </c>
      <c r="R37" s="396">
        <v>1760</v>
      </c>
      <c r="S37" s="395">
        <v>1760</v>
      </c>
      <c r="T37" s="396">
        <v>1760</v>
      </c>
      <c r="U37" s="396">
        <v>1760</v>
      </c>
      <c r="V37" s="396">
        <v>1760</v>
      </c>
      <c r="W37" s="397"/>
      <c r="X37" s="396">
        <v>1760</v>
      </c>
      <c r="Y37" s="396">
        <v>1140</v>
      </c>
      <c r="Z37" s="395">
        <v>1140</v>
      </c>
      <c r="AA37" s="396">
        <v>1520</v>
      </c>
      <c r="AB37" s="396">
        <v>1520</v>
      </c>
      <c r="AC37" s="396">
        <v>1520</v>
      </c>
      <c r="AD37" s="397"/>
      <c r="AE37" s="396">
        <v>984</v>
      </c>
      <c r="AF37" s="396">
        <v>984</v>
      </c>
      <c r="AG37" s="401">
        <v>1312</v>
      </c>
      <c r="AH37" s="402">
        <v>1312</v>
      </c>
      <c r="AI37" s="402">
        <v>1312</v>
      </c>
      <c r="AJ37" s="8"/>
    </row>
    <row r="38" spans="1:36" ht="15">
      <c r="A38" s="365"/>
      <c r="B38" s="403" t="s">
        <v>260</v>
      </c>
      <c r="C38" s="404">
        <v>35990</v>
      </c>
      <c r="D38" s="404">
        <v>1635.909090909091</v>
      </c>
      <c r="E38" s="405">
        <v>1718</v>
      </c>
      <c r="F38" s="406">
        <v>1740</v>
      </c>
      <c r="G38" s="406">
        <v>1326</v>
      </c>
      <c r="H38" s="406">
        <v>1320</v>
      </c>
      <c r="I38" s="407"/>
      <c r="J38" s="406">
        <v>1764</v>
      </c>
      <c r="K38" s="406">
        <v>1764</v>
      </c>
      <c r="L38" s="405">
        <v>1764</v>
      </c>
      <c r="M38" s="406">
        <v>1764</v>
      </c>
      <c r="N38" s="406">
        <v>1764</v>
      </c>
      <c r="O38" s="406">
        <v>1764</v>
      </c>
      <c r="P38" s="407"/>
      <c r="Q38" s="406">
        <v>1764</v>
      </c>
      <c r="R38" s="406">
        <v>1764</v>
      </c>
      <c r="S38" s="405">
        <v>1764</v>
      </c>
      <c r="T38" s="406">
        <v>1764</v>
      </c>
      <c r="U38" s="406">
        <v>1764</v>
      </c>
      <c r="V38" s="406">
        <v>1764</v>
      </c>
      <c r="W38" s="407"/>
      <c r="X38" s="406">
        <v>1788</v>
      </c>
      <c r="Y38" s="406">
        <v>1140</v>
      </c>
      <c r="Z38" s="405">
        <v>1140</v>
      </c>
      <c r="AA38" s="406">
        <v>1524</v>
      </c>
      <c r="AB38" s="406">
        <v>1602</v>
      </c>
      <c r="AC38" s="406">
        <v>1524</v>
      </c>
      <c r="AD38" s="407"/>
      <c r="AE38" s="408"/>
      <c r="AF38" s="408"/>
      <c r="AG38" s="409"/>
      <c r="AH38" s="410"/>
      <c r="AI38" s="410"/>
      <c r="AJ38" s="8"/>
    </row>
    <row r="39" spans="1:36" ht="15">
      <c r="A39" s="365"/>
      <c r="B39" s="403" t="s">
        <v>261</v>
      </c>
      <c r="C39" s="404">
        <v>270</v>
      </c>
      <c r="D39" s="404">
        <v>12.272727272727273</v>
      </c>
      <c r="E39" s="405">
        <v>38</v>
      </c>
      <c r="F39" s="406">
        <v>60</v>
      </c>
      <c r="G39" s="406">
        <v>6</v>
      </c>
      <c r="H39" s="406">
        <v>0</v>
      </c>
      <c r="I39" s="407"/>
      <c r="J39" s="406">
        <v>4</v>
      </c>
      <c r="K39" s="406">
        <v>4</v>
      </c>
      <c r="L39" s="405">
        <v>4</v>
      </c>
      <c r="M39" s="406">
        <v>4</v>
      </c>
      <c r="N39" s="406">
        <v>4</v>
      </c>
      <c r="O39" s="406">
        <v>4</v>
      </c>
      <c r="P39" s="407"/>
      <c r="Q39" s="406">
        <v>4</v>
      </c>
      <c r="R39" s="406">
        <v>4</v>
      </c>
      <c r="S39" s="405">
        <v>4</v>
      </c>
      <c r="T39" s="406">
        <v>4</v>
      </c>
      <c r="U39" s="406">
        <v>4</v>
      </c>
      <c r="V39" s="406">
        <v>4</v>
      </c>
      <c r="W39" s="407"/>
      <c r="X39" s="406">
        <v>28</v>
      </c>
      <c r="Y39" s="406">
        <v>0</v>
      </c>
      <c r="Z39" s="405">
        <v>0</v>
      </c>
      <c r="AA39" s="406">
        <v>4</v>
      </c>
      <c r="AB39" s="406">
        <v>82</v>
      </c>
      <c r="AC39" s="406">
        <v>4</v>
      </c>
      <c r="AD39" s="407"/>
      <c r="AE39" s="408"/>
      <c r="AF39" s="408"/>
      <c r="AG39" s="409"/>
      <c r="AH39" s="410"/>
      <c r="AI39" s="410"/>
      <c r="AJ39" s="8"/>
    </row>
    <row r="40" spans="1:36" ht="15">
      <c r="A40" s="365"/>
      <c r="B40" s="403" t="s">
        <v>262</v>
      </c>
      <c r="C40" s="404">
        <v>176</v>
      </c>
      <c r="D40" s="404">
        <v>8</v>
      </c>
      <c r="E40" s="405">
        <v>8</v>
      </c>
      <c r="F40" s="406">
        <v>8</v>
      </c>
      <c r="G40" s="406">
        <v>8</v>
      </c>
      <c r="H40" s="406">
        <v>8</v>
      </c>
      <c r="I40" s="407"/>
      <c r="J40" s="406">
        <v>8</v>
      </c>
      <c r="K40" s="406">
        <v>8</v>
      </c>
      <c r="L40" s="405">
        <v>8</v>
      </c>
      <c r="M40" s="406">
        <v>8</v>
      </c>
      <c r="N40" s="406">
        <v>8</v>
      </c>
      <c r="O40" s="406">
        <v>8</v>
      </c>
      <c r="P40" s="407"/>
      <c r="Q40" s="406">
        <v>8</v>
      </c>
      <c r="R40" s="406">
        <v>8</v>
      </c>
      <c r="S40" s="405">
        <v>8</v>
      </c>
      <c r="T40" s="406">
        <v>8</v>
      </c>
      <c r="U40" s="406">
        <v>8</v>
      </c>
      <c r="V40" s="406">
        <v>8</v>
      </c>
      <c r="W40" s="407"/>
      <c r="X40" s="406">
        <v>8</v>
      </c>
      <c r="Y40" s="406">
        <v>8</v>
      </c>
      <c r="Z40" s="405">
        <v>8</v>
      </c>
      <c r="AA40" s="406">
        <v>8</v>
      </c>
      <c r="AB40" s="406">
        <v>8</v>
      </c>
      <c r="AC40" s="406">
        <v>8</v>
      </c>
      <c r="AD40" s="407"/>
      <c r="AE40" s="408"/>
      <c r="AF40" s="408"/>
      <c r="AG40" s="409"/>
      <c r="AH40" s="410"/>
      <c r="AI40" s="410"/>
      <c r="AJ40" s="8"/>
    </row>
    <row r="41" spans="1:36" ht="15">
      <c r="A41" s="365"/>
      <c r="B41" s="403" t="s">
        <v>263</v>
      </c>
      <c r="C41" s="404">
        <v>116</v>
      </c>
      <c r="D41" s="404">
        <v>116</v>
      </c>
      <c r="E41" s="405">
        <v>117</v>
      </c>
      <c r="F41" s="406">
        <v>115</v>
      </c>
      <c r="G41" s="406">
        <v>116</v>
      </c>
      <c r="H41" s="406">
        <v>110</v>
      </c>
      <c r="I41" s="407"/>
      <c r="J41" s="406">
        <v>110</v>
      </c>
      <c r="K41" s="406">
        <v>112</v>
      </c>
      <c r="L41" s="405">
        <v>115</v>
      </c>
      <c r="M41" s="406">
        <v>113</v>
      </c>
      <c r="N41" s="406">
        <v>108</v>
      </c>
      <c r="O41" s="406">
        <v>107</v>
      </c>
      <c r="P41" s="407"/>
      <c r="Q41" s="406">
        <v>114</v>
      </c>
      <c r="R41" s="406">
        <v>119</v>
      </c>
      <c r="S41" s="405">
        <v>120</v>
      </c>
      <c r="T41" s="406">
        <v>122</v>
      </c>
      <c r="U41" s="406">
        <v>118</v>
      </c>
      <c r="V41" s="406">
        <v>120</v>
      </c>
      <c r="W41" s="407"/>
      <c r="X41" s="406">
        <v>120</v>
      </c>
      <c r="Y41" s="406">
        <v>121</v>
      </c>
      <c r="Z41" s="405">
        <v>120</v>
      </c>
      <c r="AA41" s="406">
        <v>115</v>
      </c>
      <c r="AB41" s="406">
        <v>119</v>
      </c>
      <c r="AC41" s="406">
        <v>121</v>
      </c>
      <c r="AD41" s="407"/>
      <c r="AE41" s="408"/>
      <c r="AF41" s="408"/>
      <c r="AG41" s="409"/>
      <c r="AH41" s="410"/>
      <c r="AI41" s="410"/>
      <c r="AJ41" s="8"/>
    </row>
    <row r="42" spans="1:36" ht="15">
      <c r="A42" s="365"/>
      <c r="B42" s="403" t="s">
        <v>264</v>
      </c>
      <c r="C42" s="404">
        <v>204.48863636363637</v>
      </c>
      <c r="D42" s="404">
        <v>204.48863636363637</v>
      </c>
      <c r="E42" s="405">
        <v>214.75</v>
      </c>
      <c r="F42" s="406">
        <v>217.5</v>
      </c>
      <c r="G42" s="406">
        <v>165.75</v>
      </c>
      <c r="H42" s="406">
        <v>165</v>
      </c>
      <c r="I42" s="407"/>
      <c r="J42" s="406">
        <v>220.5</v>
      </c>
      <c r="K42" s="406">
        <v>220.5</v>
      </c>
      <c r="L42" s="405">
        <v>220.5</v>
      </c>
      <c r="M42" s="406">
        <v>220.5</v>
      </c>
      <c r="N42" s="406">
        <v>220.5</v>
      </c>
      <c r="O42" s="406">
        <v>220.5</v>
      </c>
      <c r="P42" s="407"/>
      <c r="Q42" s="406">
        <v>220.5</v>
      </c>
      <c r="R42" s="406">
        <v>220.5</v>
      </c>
      <c r="S42" s="405">
        <v>220.5</v>
      </c>
      <c r="T42" s="406">
        <v>220.5</v>
      </c>
      <c r="U42" s="406">
        <v>220.5</v>
      </c>
      <c r="V42" s="406">
        <v>220.5</v>
      </c>
      <c r="W42" s="407"/>
      <c r="X42" s="406">
        <v>223.5</v>
      </c>
      <c r="Y42" s="406">
        <v>142.5</v>
      </c>
      <c r="Z42" s="405">
        <v>142.5</v>
      </c>
      <c r="AA42" s="406">
        <v>190.5</v>
      </c>
      <c r="AB42" s="406">
        <v>200.25</v>
      </c>
      <c r="AC42" s="406">
        <v>190.5</v>
      </c>
      <c r="AD42" s="407"/>
      <c r="AE42" s="408"/>
      <c r="AF42" s="408"/>
      <c r="AG42" s="409"/>
      <c r="AH42" s="410"/>
      <c r="AI42" s="410"/>
      <c r="AJ42" s="8"/>
    </row>
    <row r="43" spans="1:36" ht="15">
      <c r="A43" s="366"/>
      <c r="B43" s="412" t="s">
        <v>265</v>
      </c>
      <c r="C43" s="413">
        <v>1.7627999999999999</v>
      </c>
      <c r="D43" s="413">
        <v>1.7627999999999999</v>
      </c>
      <c r="E43" s="414">
        <v>1.8355000000000001</v>
      </c>
      <c r="F43" s="413">
        <v>1.8913</v>
      </c>
      <c r="G43" s="413">
        <v>1.4289000000000001</v>
      </c>
      <c r="H43" s="413">
        <v>1.5</v>
      </c>
      <c r="I43" s="415"/>
      <c r="J43" s="413">
        <v>2.0045000000000002</v>
      </c>
      <c r="K43" s="413">
        <v>1.9687999999999999</v>
      </c>
      <c r="L43" s="414">
        <v>1.9174</v>
      </c>
      <c r="M43" s="413">
        <v>1.9513</v>
      </c>
      <c r="N43" s="413">
        <v>2.0417000000000001</v>
      </c>
      <c r="O43" s="413">
        <v>2.0607000000000002</v>
      </c>
      <c r="P43" s="415"/>
      <c r="Q43" s="413">
        <v>1.9342000000000001</v>
      </c>
      <c r="R43" s="413">
        <v>1.8529</v>
      </c>
      <c r="S43" s="414">
        <v>1.8374999999999999</v>
      </c>
      <c r="T43" s="413">
        <v>1.8073999999999999</v>
      </c>
      <c r="U43" s="413">
        <v>1.8686</v>
      </c>
      <c r="V43" s="413">
        <v>1.8374999999999999</v>
      </c>
      <c r="W43" s="415"/>
      <c r="X43" s="413">
        <v>1.8625</v>
      </c>
      <c r="Y43" s="413">
        <v>1.1777</v>
      </c>
      <c r="Z43" s="414">
        <v>1.1875</v>
      </c>
      <c r="AA43" s="413">
        <v>1.6564999999999999</v>
      </c>
      <c r="AB43" s="413">
        <v>1.6827999999999999</v>
      </c>
      <c r="AC43" s="413">
        <v>1.5744</v>
      </c>
      <c r="AD43" s="415"/>
      <c r="AE43" s="416"/>
      <c r="AF43" s="416"/>
      <c r="AG43" s="417"/>
      <c r="AH43" s="418"/>
      <c r="AI43" s="418"/>
      <c r="AJ43" s="8"/>
    </row>
    <row r="44" spans="1:36" ht="15">
      <c r="A44" s="364" t="s">
        <v>270</v>
      </c>
      <c r="B44" s="393" t="s">
        <v>258</v>
      </c>
      <c r="C44" s="394">
        <v>36800</v>
      </c>
      <c r="D44" s="394">
        <v>1672.7272727272727</v>
      </c>
      <c r="E44" s="395">
        <v>1840</v>
      </c>
      <c r="F44" s="396">
        <v>1840</v>
      </c>
      <c r="G44" s="396">
        <v>1840</v>
      </c>
      <c r="H44" s="396">
        <v>1840</v>
      </c>
      <c r="I44" s="397"/>
      <c r="J44" s="396">
        <v>1800</v>
      </c>
      <c r="K44" s="396">
        <v>1760</v>
      </c>
      <c r="L44" s="395">
        <v>1760</v>
      </c>
      <c r="M44" s="396">
        <v>1760</v>
      </c>
      <c r="N44" s="396">
        <v>1760</v>
      </c>
      <c r="O44" s="396">
        <v>1760</v>
      </c>
      <c r="P44" s="397"/>
      <c r="Q44" s="396">
        <v>1784</v>
      </c>
      <c r="R44" s="396">
        <v>1840</v>
      </c>
      <c r="S44" s="395">
        <v>1840</v>
      </c>
      <c r="T44" s="396">
        <v>1840</v>
      </c>
      <c r="U44" s="396">
        <v>1640</v>
      </c>
      <c r="V44" s="396">
        <v>1440</v>
      </c>
      <c r="W44" s="397"/>
      <c r="X44" s="396">
        <v>1440</v>
      </c>
      <c r="Y44" s="396">
        <v>1408</v>
      </c>
      <c r="Z44" s="395">
        <v>1400</v>
      </c>
      <c r="AA44" s="396">
        <v>1408</v>
      </c>
      <c r="AB44" s="396">
        <v>1400</v>
      </c>
      <c r="AC44" s="396">
        <v>1400</v>
      </c>
      <c r="AD44" s="397"/>
      <c r="AE44" s="398"/>
      <c r="AF44" s="398"/>
      <c r="AG44" s="399"/>
      <c r="AH44" s="400"/>
      <c r="AI44" s="400"/>
      <c r="AJ44" s="8"/>
    </row>
    <row r="45" spans="1:36" ht="15">
      <c r="A45" s="365"/>
      <c r="B45" s="393" t="s">
        <v>271</v>
      </c>
      <c r="C45" s="394">
        <v>34840</v>
      </c>
      <c r="D45" s="394">
        <v>1583.6363636363637</v>
      </c>
      <c r="E45" s="395">
        <v>1760</v>
      </c>
      <c r="F45" s="396">
        <v>1760</v>
      </c>
      <c r="G45" s="396">
        <v>1760</v>
      </c>
      <c r="H45" s="396">
        <v>1760</v>
      </c>
      <c r="I45" s="397"/>
      <c r="J45" s="396">
        <v>1760</v>
      </c>
      <c r="K45" s="396">
        <v>1760</v>
      </c>
      <c r="L45" s="395">
        <v>1760</v>
      </c>
      <c r="M45" s="396">
        <v>1760</v>
      </c>
      <c r="N45" s="396">
        <v>1760</v>
      </c>
      <c r="O45" s="396">
        <v>1760</v>
      </c>
      <c r="P45" s="397"/>
      <c r="Q45" s="396">
        <v>1760</v>
      </c>
      <c r="R45" s="396">
        <v>1760</v>
      </c>
      <c r="S45" s="395">
        <v>1760</v>
      </c>
      <c r="T45" s="396">
        <v>1760</v>
      </c>
      <c r="U45" s="396">
        <v>1020</v>
      </c>
      <c r="V45" s="396">
        <v>1020</v>
      </c>
      <c r="W45" s="397"/>
      <c r="X45" s="396">
        <v>1360</v>
      </c>
      <c r="Y45" s="396">
        <v>1360</v>
      </c>
      <c r="Z45" s="395">
        <v>1360</v>
      </c>
      <c r="AA45" s="396">
        <v>1360</v>
      </c>
      <c r="AB45" s="396">
        <v>1360</v>
      </c>
      <c r="AC45" s="396">
        <v>1360</v>
      </c>
      <c r="AD45" s="397"/>
      <c r="AE45" s="396">
        <v>1360</v>
      </c>
      <c r="AF45" s="396">
        <v>1360</v>
      </c>
      <c r="AG45" s="401">
        <v>1360</v>
      </c>
      <c r="AH45" s="402">
        <v>1360</v>
      </c>
      <c r="AI45" s="402">
        <v>1360</v>
      </c>
      <c r="AJ45" s="8"/>
    </row>
    <row r="46" spans="1:36" ht="15">
      <c r="A46" s="365"/>
      <c r="B46" s="403" t="s">
        <v>272</v>
      </c>
      <c r="C46" s="404">
        <v>35520</v>
      </c>
      <c r="D46" s="404">
        <v>1614.5454545454545</v>
      </c>
      <c r="E46" s="405">
        <v>2202</v>
      </c>
      <c r="F46" s="406">
        <v>1878</v>
      </c>
      <c r="G46" s="406">
        <v>1740</v>
      </c>
      <c r="H46" s="406">
        <v>1872</v>
      </c>
      <c r="I46" s="407"/>
      <c r="J46" s="406">
        <v>1656</v>
      </c>
      <c r="K46" s="406">
        <v>1572</v>
      </c>
      <c r="L46" s="405">
        <v>1830</v>
      </c>
      <c r="M46" s="406">
        <v>1770</v>
      </c>
      <c r="N46" s="406">
        <v>1830</v>
      </c>
      <c r="O46" s="406">
        <v>1644</v>
      </c>
      <c r="P46" s="407"/>
      <c r="Q46" s="406">
        <v>1740</v>
      </c>
      <c r="R46" s="406">
        <v>1770</v>
      </c>
      <c r="S46" s="405">
        <v>1836</v>
      </c>
      <c r="T46" s="406">
        <v>1764</v>
      </c>
      <c r="U46" s="406">
        <v>1068</v>
      </c>
      <c r="V46" s="406">
        <v>1026</v>
      </c>
      <c r="W46" s="407"/>
      <c r="X46" s="406">
        <v>1410</v>
      </c>
      <c r="Y46" s="406">
        <v>1404</v>
      </c>
      <c r="Z46" s="405">
        <v>1182</v>
      </c>
      <c r="AA46" s="406">
        <v>1506</v>
      </c>
      <c r="AB46" s="406">
        <v>1494</v>
      </c>
      <c r="AC46" s="406">
        <v>1326</v>
      </c>
      <c r="AD46" s="407"/>
      <c r="AE46" s="408"/>
      <c r="AF46" s="408"/>
      <c r="AG46" s="409"/>
      <c r="AH46" s="410"/>
      <c r="AI46" s="410"/>
      <c r="AJ46" s="8"/>
    </row>
    <row r="47" spans="1:36" ht="15">
      <c r="A47" s="365"/>
      <c r="B47" s="403" t="s">
        <v>273</v>
      </c>
      <c r="C47" s="404">
        <v>680</v>
      </c>
      <c r="D47" s="404">
        <v>30.90909090909091</v>
      </c>
      <c r="E47" s="405">
        <v>442</v>
      </c>
      <c r="F47" s="406">
        <v>118</v>
      </c>
      <c r="G47" s="408">
        <v>-20</v>
      </c>
      <c r="H47" s="406">
        <v>112</v>
      </c>
      <c r="I47" s="407"/>
      <c r="J47" s="408">
        <v>-104</v>
      </c>
      <c r="K47" s="408">
        <v>-188</v>
      </c>
      <c r="L47" s="405">
        <v>70</v>
      </c>
      <c r="M47" s="406">
        <v>10</v>
      </c>
      <c r="N47" s="406">
        <v>70</v>
      </c>
      <c r="O47" s="408">
        <v>-116</v>
      </c>
      <c r="P47" s="407"/>
      <c r="Q47" s="408">
        <v>-20</v>
      </c>
      <c r="R47" s="406">
        <v>10</v>
      </c>
      <c r="S47" s="405">
        <v>76</v>
      </c>
      <c r="T47" s="406">
        <v>4</v>
      </c>
      <c r="U47" s="406">
        <v>48</v>
      </c>
      <c r="V47" s="406">
        <v>6</v>
      </c>
      <c r="W47" s="407"/>
      <c r="X47" s="406">
        <v>50</v>
      </c>
      <c r="Y47" s="406">
        <v>44</v>
      </c>
      <c r="Z47" s="407">
        <v>-178</v>
      </c>
      <c r="AA47" s="406">
        <v>146</v>
      </c>
      <c r="AB47" s="406">
        <v>134</v>
      </c>
      <c r="AC47" s="408">
        <v>-34</v>
      </c>
      <c r="AD47" s="407"/>
      <c r="AE47" s="408"/>
      <c r="AF47" s="408"/>
      <c r="AG47" s="409"/>
      <c r="AH47" s="410"/>
      <c r="AI47" s="410"/>
      <c r="AJ47" s="8"/>
    </row>
    <row r="48" spans="1:36" ht="15">
      <c r="A48" s="365"/>
      <c r="B48" s="403" t="s">
        <v>274</v>
      </c>
      <c r="C48" s="404">
        <v>176</v>
      </c>
      <c r="D48" s="404">
        <v>8</v>
      </c>
      <c r="E48" s="405">
        <v>8</v>
      </c>
      <c r="F48" s="406">
        <v>8</v>
      </c>
      <c r="G48" s="406">
        <v>8</v>
      </c>
      <c r="H48" s="406">
        <v>8</v>
      </c>
      <c r="I48" s="407"/>
      <c r="J48" s="406">
        <v>8</v>
      </c>
      <c r="K48" s="406">
        <v>8</v>
      </c>
      <c r="L48" s="405">
        <v>8</v>
      </c>
      <c r="M48" s="406">
        <v>8</v>
      </c>
      <c r="N48" s="406">
        <v>8</v>
      </c>
      <c r="O48" s="406">
        <v>8</v>
      </c>
      <c r="P48" s="407"/>
      <c r="Q48" s="406">
        <v>8</v>
      </c>
      <c r="R48" s="406">
        <v>8</v>
      </c>
      <c r="S48" s="405">
        <v>8</v>
      </c>
      <c r="T48" s="406">
        <v>8</v>
      </c>
      <c r="U48" s="406">
        <v>8</v>
      </c>
      <c r="V48" s="406">
        <v>8</v>
      </c>
      <c r="W48" s="407"/>
      <c r="X48" s="406">
        <v>8</v>
      </c>
      <c r="Y48" s="406">
        <v>8</v>
      </c>
      <c r="Z48" s="405">
        <v>8</v>
      </c>
      <c r="AA48" s="406">
        <v>8</v>
      </c>
      <c r="AB48" s="406">
        <v>8</v>
      </c>
      <c r="AC48" s="406">
        <v>8</v>
      </c>
      <c r="AD48" s="407"/>
      <c r="AE48" s="408"/>
      <c r="AF48" s="408"/>
      <c r="AG48" s="409"/>
      <c r="AH48" s="410"/>
      <c r="AI48" s="410"/>
      <c r="AJ48" s="8"/>
    </row>
    <row r="49" spans="1:36" ht="15">
      <c r="A49" s="365"/>
      <c r="B49" s="403" t="s">
        <v>275</v>
      </c>
      <c r="C49" s="404">
        <v>115</v>
      </c>
      <c r="D49" s="404">
        <v>115</v>
      </c>
      <c r="E49" s="405">
        <v>114</v>
      </c>
      <c r="F49" s="406">
        <v>117</v>
      </c>
      <c r="G49" s="406">
        <v>119</v>
      </c>
      <c r="H49" s="406">
        <v>113</v>
      </c>
      <c r="I49" s="407"/>
      <c r="J49" s="406">
        <v>115</v>
      </c>
      <c r="K49" s="406">
        <v>114</v>
      </c>
      <c r="L49" s="405">
        <v>115</v>
      </c>
      <c r="M49" s="406">
        <v>117</v>
      </c>
      <c r="N49" s="406">
        <v>117</v>
      </c>
      <c r="O49" s="406">
        <v>118</v>
      </c>
      <c r="P49" s="407"/>
      <c r="Q49" s="406">
        <v>111</v>
      </c>
      <c r="R49" s="406">
        <v>113</v>
      </c>
      <c r="S49" s="405">
        <v>116</v>
      </c>
      <c r="T49" s="406">
        <v>117</v>
      </c>
      <c r="U49" s="406">
        <v>116</v>
      </c>
      <c r="V49" s="406">
        <v>114</v>
      </c>
      <c r="W49" s="407"/>
      <c r="X49" s="406">
        <v>114</v>
      </c>
      <c r="Y49" s="406">
        <v>116</v>
      </c>
      <c r="Z49" s="405">
        <v>117</v>
      </c>
      <c r="AA49" s="406">
        <v>116</v>
      </c>
      <c r="AB49" s="406">
        <v>117</v>
      </c>
      <c r="AC49" s="406">
        <v>116</v>
      </c>
      <c r="AD49" s="407"/>
      <c r="AE49" s="408"/>
      <c r="AF49" s="408"/>
      <c r="AG49" s="409"/>
      <c r="AH49" s="410"/>
      <c r="AI49" s="410"/>
      <c r="AJ49" s="8"/>
    </row>
    <row r="50" spans="1:36" ht="15">
      <c r="A50" s="365"/>
      <c r="B50" s="403" t="s">
        <v>276</v>
      </c>
      <c r="C50" s="404">
        <v>201.81818181818181</v>
      </c>
      <c r="D50" s="404">
        <v>201.81818181818181</v>
      </c>
      <c r="E50" s="405">
        <v>275.25</v>
      </c>
      <c r="F50" s="406">
        <v>234.75</v>
      </c>
      <c r="G50" s="406">
        <v>217.5</v>
      </c>
      <c r="H50" s="406">
        <v>234</v>
      </c>
      <c r="I50" s="407"/>
      <c r="J50" s="406">
        <v>207</v>
      </c>
      <c r="K50" s="406">
        <v>196.5</v>
      </c>
      <c r="L50" s="405">
        <v>228.75</v>
      </c>
      <c r="M50" s="406">
        <v>221.25</v>
      </c>
      <c r="N50" s="406">
        <v>228.75</v>
      </c>
      <c r="O50" s="406">
        <v>205.5</v>
      </c>
      <c r="P50" s="407"/>
      <c r="Q50" s="406">
        <v>217.5</v>
      </c>
      <c r="R50" s="406">
        <v>221.25</v>
      </c>
      <c r="S50" s="405">
        <v>229.5</v>
      </c>
      <c r="T50" s="406">
        <v>220.5</v>
      </c>
      <c r="U50" s="406">
        <v>133.5</v>
      </c>
      <c r="V50" s="406">
        <v>128.25</v>
      </c>
      <c r="W50" s="407"/>
      <c r="X50" s="406">
        <v>176.25</v>
      </c>
      <c r="Y50" s="406">
        <v>175.5</v>
      </c>
      <c r="Z50" s="405">
        <v>147.75</v>
      </c>
      <c r="AA50" s="406">
        <v>188.25</v>
      </c>
      <c r="AB50" s="406">
        <v>186.75</v>
      </c>
      <c r="AC50" s="406">
        <v>165.75</v>
      </c>
      <c r="AD50" s="407"/>
      <c r="AE50" s="408"/>
      <c r="AF50" s="408"/>
      <c r="AG50" s="409"/>
      <c r="AH50" s="410"/>
      <c r="AI50" s="410"/>
      <c r="AJ50" s="8"/>
    </row>
    <row r="51" spans="1:36" ht="15">
      <c r="A51" s="366"/>
      <c r="B51" s="412" t="s">
        <v>277</v>
      </c>
      <c r="C51" s="413">
        <v>1.7549000000000001</v>
      </c>
      <c r="D51" s="413">
        <v>1.7549000000000001</v>
      </c>
      <c r="E51" s="414">
        <v>2.4144999999999999</v>
      </c>
      <c r="F51" s="413">
        <v>2.0064000000000002</v>
      </c>
      <c r="G51" s="413">
        <v>1.8277000000000001</v>
      </c>
      <c r="H51" s="413">
        <v>2.0708000000000002</v>
      </c>
      <c r="I51" s="415"/>
      <c r="J51" s="413">
        <v>1.8</v>
      </c>
      <c r="K51" s="413">
        <v>1.7237</v>
      </c>
      <c r="L51" s="414">
        <v>1.9891000000000001</v>
      </c>
      <c r="M51" s="413">
        <v>1.891</v>
      </c>
      <c r="N51" s="413">
        <v>1.9550999999999998</v>
      </c>
      <c r="O51" s="413">
        <v>1.7415</v>
      </c>
      <c r="P51" s="415"/>
      <c r="Q51" s="413">
        <v>1.9595</v>
      </c>
      <c r="R51" s="413">
        <v>1.958</v>
      </c>
      <c r="S51" s="414">
        <v>1.9784000000000002</v>
      </c>
      <c r="T51" s="413">
        <v>1.8846000000000001</v>
      </c>
      <c r="U51" s="413">
        <v>1.1509</v>
      </c>
      <c r="V51" s="413">
        <v>1.125</v>
      </c>
      <c r="W51" s="415"/>
      <c r="X51" s="413">
        <v>1.5461</v>
      </c>
      <c r="Y51" s="413">
        <v>1.5129000000000001</v>
      </c>
      <c r="Z51" s="414">
        <v>1.2627999999999999</v>
      </c>
      <c r="AA51" s="413">
        <v>1.6228</v>
      </c>
      <c r="AB51" s="413">
        <v>1.5962000000000001</v>
      </c>
      <c r="AC51" s="413">
        <v>1.4289000000000001</v>
      </c>
      <c r="AD51" s="415"/>
      <c r="AE51" s="416"/>
      <c r="AF51" s="416"/>
      <c r="AG51" s="417"/>
      <c r="AH51" s="418"/>
      <c r="AI51" s="418"/>
      <c r="AJ51" s="8"/>
    </row>
    <row r="52" spans="1:36" ht="15">
      <c r="A52" s="364" t="s">
        <v>278</v>
      </c>
      <c r="B52" s="393" t="s">
        <v>279</v>
      </c>
      <c r="C52" s="394">
        <v>30864</v>
      </c>
      <c r="D52" s="394">
        <v>1402.909090909091</v>
      </c>
      <c r="E52" s="395">
        <v>1760</v>
      </c>
      <c r="F52" s="396">
        <v>1760</v>
      </c>
      <c r="G52" s="396">
        <v>1760</v>
      </c>
      <c r="H52" s="396">
        <v>1384</v>
      </c>
      <c r="I52" s="397"/>
      <c r="J52" s="396">
        <v>1360</v>
      </c>
      <c r="K52" s="396">
        <v>1360</v>
      </c>
      <c r="L52" s="395">
        <v>1440</v>
      </c>
      <c r="M52" s="396">
        <v>1440</v>
      </c>
      <c r="N52" s="396">
        <v>1440</v>
      </c>
      <c r="O52" s="396">
        <v>1440</v>
      </c>
      <c r="P52" s="397"/>
      <c r="Q52" s="396">
        <v>1440</v>
      </c>
      <c r="R52" s="396">
        <v>1440</v>
      </c>
      <c r="S52" s="395">
        <v>1440</v>
      </c>
      <c r="T52" s="396">
        <v>1440</v>
      </c>
      <c r="U52" s="396">
        <v>1440</v>
      </c>
      <c r="V52" s="396">
        <v>1320</v>
      </c>
      <c r="W52" s="397"/>
      <c r="X52" s="396">
        <v>1200</v>
      </c>
      <c r="Y52" s="396">
        <v>1200</v>
      </c>
      <c r="Z52" s="395">
        <v>1200</v>
      </c>
      <c r="AA52" s="396">
        <v>1200</v>
      </c>
      <c r="AB52" s="396">
        <v>1200</v>
      </c>
      <c r="AC52" s="396">
        <v>1200</v>
      </c>
      <c r="AD52" s="397"/>
      <c r="AE52" s="398"/>
      <c r="AF52" s="398"/>
      <c r="AG52" s="399"/>
      <c r="AH52" s="400"/>
      <c r="AI52" s="400"/>
      <c r="AJ52" s="8"/>
    </row>
    <row r="53" spans="1:36" ht="15">
      <c r="A53" s="365"/>
      <c r="B53" s="393" t="s">
        <v>271</v>
      </c>
      <c r="C53" s="394">
        <v>27160</v>
      </c>
      <c r="D53" s="394">
        <v>1234.5454545454545</v>
      </c>
      <c r="E53" s="395">
        <v>1260</v>
      </c>
      <c r="F53" s="396">
        <v>1680</v>
      </c>
      <c r="G53" s="396">
        <v>1680</v>
      </c>
      <c r="H53" s="396">
        <v>1680</v>
      </c>
      <c r="I53" s="397"/>
      <c r="J53" s="396">
        <v>900</v>
      </c>
      <c r="K53" s="396">
        <v>900</v>
      </c>
      <c r="L53" s="395">
        <v>1200</v>
      </c>
      <c r="M53" s="396">
        <v>1020</v>
      </c>
      <c r="N53" s="396">
        <v>1020</v>
      </c>
      <c r="O53" s="396">
        <v>1360</v>
      </c>
      <c r="P53" s="397"/>
      <c r="Q53" s="396">
        <v>1360</v>
      </c>
      <c r="R53" s="396">
        <v>1360</v>
      </c>
      <c r="S53" s="395">
        <v>1360</v>
      </c>
      <c r="T53" s="396">
        <v>1360</v>
      </c>
      <c r="U53" s="396">
        <v>1360</v>
      </c>
      <c r="V53" s="396">
        <v>1360</v>
      </c>
      <c r="W53" s="397"/>
      <c r="X53" s="396">
        <v>900</v>
      </c>
      <c r="Y53" s="396">
        <v>900</v>
      </c>
      <c r="Z53" s="395">
        <v>900</v>
      </c>
      <c r="AA53" s="396">
        <v>1200</v>
      </c>
      <c r="AB53" s="396">
        <v>1200</v>
      </c>
      <c r="AC53" s="396">
        <v>1200</v>
      </c>
      <c r="AD53" s="397"/>
      <c r="AE53" s="396">
        <v>1200</v>
      </c>
      <c r="AF53" s="396">
        <v>1200</v>
      </c>
      <c r="AG53" s="401">
        <v>1200</v>
      </c>
      <c r="AH53" s="402">
        <v>1200</v>
      </c>
      <c r="AI53" s="402">
        <v>1200</v>
      </c>
      <c r="AJ53" s="8"/>
    </row>
    <row r="54" spans="1:36" ht="15">
      <c r="A54" s="365"/>
      <c r="B54" s="403" t="s">
        <v>272</v>
      </c>
      <c r="C54" s="404">
        <v>26568</v>
      </c>
      <c r="D54" s="404">
        <v>1207.6363636363637</v>
      </c>
      <c r="E54" s="405">
        <v>1278</v>
      </c>
      <c r="F54" s="406">
        <v>1698</v>
      </c>
      <c r="G54" s="406">
        <v>1698</v>
      </c>
      <c r="H54" s="406">
        <v>1602</v>
      </c>
      <c r="I54" s="407"/>
      <c r="J54" s="406">
        <v>1011</v>
      </c>
      <c r="K54" s="406">
        <v>912</v>
      </c>
      <c r="L54" s="405">
        <v>1323</v>
      </c>
      <c r="M54" s="406">
        <v>1077</v>
      </c>
      <c r="N54" s="406">
        <v>1116</v>
      </c>
      <c r="O54" s="406">
        <v>1497</v>
      </c>
      <c r="P54" s="407"/>
      <c r="Q54" s="406">
        <v>1386</v>
      </c>
      <c r="R54" s="406">
        <v>1368</v>
      </c>
      <c r="S54" s="405">
        <v>1464</v>
      </c>
      <c r="T54" s="406">
        <v>1116</v>
      </c>
      <c r="U54" s="406">
        <v>894</v>
      </c>
      <c r="V54" s="406">
        <v>1332</v>
      </c>
      <c r="W54" s="407"/>
      <c r="X54" s="406">
        <v>1092</v>
      </c>
      <c r="Y54" s="406">
        <v>1068</v>
      </c>
      <c r="Z54" s="405">
        <v>828</v>
      </c>
      <c r="AA54" s="406">
        <v>894</v>
      </c>
      <c r="AB54" s="406">
        <v>918</v>
      </c>
      <c r="AC54" s="406">
        <v>996</v>
      </c>
      <c r="AD54" s="407"/>
      <c r="AE54" s="408"/>
      <c r="AF54" s="408"/>
      <c r="AG54" s="409"/>
      <c r="AH54" s="410"/>
      <c r="AI54" s="410"/>
      <c r="AJ54" s="8"/>
    </row>
    <row r="55" spans="1:36" ht="15">
      <c r="A55" s="365"/>
      <c r="B55" s="403" t="s">
        <v>273</v>
      </c>
      <c r="C55" s="411">
        <v>-592</v>
      </c>
      <c r="D55" s="411">
        <v>-26.90909090909091</v>
      </c>
      <c r="E55" s="405">
        <v>18</v>
      </c>
      <c r="F55" s="406">
        <v>18</v>
      </c>
      <c r="G55" s="406">
        <v>18</v>
      </c>
      <c r="H55" s="408">
        <v>-78</v>
      </c>
      <c r="I55" s="407"/>
      <c r="J55" s="406">
        <v>111</v>
      </c>
      <c r="K55" s="406">
        <v>12</v>
      </c>
      <c r="L55" s="405">
        <v>123</v>
      </c>
      <c r="M55" s="406">
        <v>57</v>
      </c>
      <c r="N55" s="406">
        <v>96</v>
      </c>
      <c r="O55" s="406">
        <v>137</v>
      </c>
      <c r="P55" s="407"/>
      <c r="Q55" s="406">
        <v>26</v>
      </c>
      <c r="R55" s="406">
        <v>8</v>
      </c>
      <c r="S55" s="405">
        <v>104</v>
      </c>
      <c r="T55" s="408">
        <v>-244</v>
      </c>
      <c r="U55" s="408">
        <v>-466</v>
      </c>
      <c r="V55" s="408">
        <v>-28</v>
      </c>
      <c r="W55" s="407"/>
      <c r="X55" s="406">
        <v>192</v>
      </c>
      <c r="Y55" s="406">
        <v>168</v>
      </c>
      <c r="Z55" s="407">
        <v>-72</v>
      </c>
      <c r="AA55" s="408">
        <v>-306</v>
      </c>
      <c r="AB55" s="408">
        <v>-282</v>
      </c>
      <c r="AC55" s="408">
        <v>-204</v>
      </c>
      <c r="AD55" s="407"/>
      <c r="AE55" s="408"/>
      <c r="AF55" s="408"/>
      <c r="AG55" s="409"/>
      <c r="AH55" s="410"/>
      <c r="AI55" s="410"/>
      <c r="AJ55" s="8"/>
    </row>
    <row r="56" spans="1:36" ht="15">
      <c r="A56" s="365"/>
      <c r="B56" s="403" t="s">
        <v>274</v>
      </c>
      <c r="C56" s="404">
        <v>176</v>
      </c>
      <c r="D56" s="404">
        <v>8</v>
      </c>
      <c r="E56" s="405">
        <v>8</v>
      </c>
      <c r="F56" s="406">
        <v>8</v>
      </c>
      <c r="G56" s="406">
        <v>8</v>
      </c>
      <c r="H56" s="406">
        <v>8</v>
      </c>
      <c r="I56" s="407"/>
      <c r="J56" s="406">
        <v>8</v>
      </c>
      <c r="K56" s="406">
        <v>8</v>
      </c>
      <c r="L56" s="405">
        <v>8</v>
      </c>
      <c r="M56" s="406">
        <v>8</v>
      </c>
      <c r="N56" s="406">
        <v>8</v>
      </c>
      <c r="O56" s="406">
        <v>8</v>
      </c>
      <c r="P56" s="407"/>
      <c r="Q56" s="406">
        <v>8</v>
      </c>
      <c r="R56" s="406">
        <v>8</v>
      </c>
      <c r="S56" s="405">
        <v>8</v>
      </c>
      <c r="T56" s="406">
        <v>8</v>
      </c>
      <c r="U56" s="406">
        <v>8</v>
      </c>
      <c r="V56" s="406">
        <v>8</v>
      </c>
      <c r="W56" s="407"/>
      <c r="X56" s="406">
        <v>8</v>
      </c>
      <c r="Y56" s="406">
        <v>8</v>
      </c>
      <c r="Z56" s="405">
        <v>8</v>
      </c>
      <c r="AA56" s="406">
        <v>8</v>
      </c>
      <c r="AB56" s="406">
        <v>8</v>
      </c>
      <c r="AC56" s="406">
        <v>8</v>
      </c>
      <c r="AD56" s="407"/>
      <c r="AE56" s="408"/>
      <c r="AF56" s="408"/>
      <c r="AG56" s="409"/>
      <c r="AH56" s="410"/>
      <c r="AI56" s="410"/>
      <c r="AJ56" s="8"/>
    </row>
    <row r="57" spans="1:36" ht="15">
      <c r="A57" s="365"/>
      <c r="B57" s="403" t="s">
        <v>275</v>
      </c>
      <c r="C57" s="404">
        <v>120</v>
      </c>
      <c r="D57" s="404">
        <v>120</v>
      </c>
      <c r="E57" s="405">
        <v>124</v>
      </c>
      <c r="F57" s="406">
        <v>122</v>
      </c>
      <c r="G57" s="406">
        <v>124</v>
      </c>
      <c r="H57" s="406">
        <v>122</v>
      </c>
      <c r="I57" s="407"/>
      <c r="J57" s="406">
        <v>118</v>
      </c>
      <c r="K57" s="406">
        <v>120</v>
      </c>
      <c r="L57" s="405">
        <v>122</v>
      </c>
      <c r="M57" s="406">
        <v>121</v>
      </c>
      <c r="N57" s="406">
        <v>123</v>
      </c>
      <c r="O57" s="406">
        <v>114</v>
      </c>
      <c r="P57" s="407"/>
      <c r="Q57" s="406">
        <v>116</v>
      </c>
      <c r="R57" s="406">
        <v>124</v>
      </c>
      <c r="S57" s="405">
        <v>124</v>
      </c>
      <c r="T57" s="406">
        <v>121</v>
      </c>
      <c r="U57" s="406">
        <v>119</v>
      </c>
      <c r="V57" s="406">
        <v>117</v>
      </c>
      <c r="W57" s="407"/>
      <c r="X57" s="406">
        <v>115</v>
      </c>
      <c r="Y57" s="406">
        <v>118</v>
      </c>
      <c r="Z57" s="405">
        <v>124</v>
      </c>
      <c r="AA57" s="406">
        <v>123</v>
      </c>
      <c r="AB57" s="406">
        <v>122</v>
      </c>
      <c r="AC57" s="406">
        <v>119</v>
      </c>
      <c r="AD57" s="407"/>
      <c r="AE57" s="408"/>
      <c r="AF57" s="408"/>
      <c r="AG57" s="409"/>
      <c r="AH57" s="410"/>
      <c r="AI57" s="410"/>
      <c r="AJ57" s="8"/>
    </row>
    <row r="58" spans="1:36" ht="15">
      <c r="A58" s="365"/>
      <c r="B58" s="403" t="s">
        <v>276</v>
      </c>
      <c r="C58" s="404">
        <v>150.95454545454547</v>
      </c>
      <c r="D58" s="404">
        <v>150.95454545454547</v>
      </c>
      <c r="E58" s="405">
        <v>159.75</v>
      </c>
      <c r="F58" s="406">
        <v>212.25</v>
      </c>
      <c r="G58" s="406">
        <v>212.25</v>
      </c>
      <c r="H58" s="406">
        <v>200.25</v>
      </c>
      <c r="I58" s="407"/>
      <c r="J58" s="406">
        <v>126.375</v>
      </c>
      <c r="K58" s="406">
        <v>114</v>
      </c>
      <c r="L58" s="405">
        <v>165.375</v>
      </c>
      <c r="M58" s="406">
        <v>134.625</v>
      </c>
      <c r="N58" s="406">
        <v>139.5</v>
      </c>
      <c r="O58" s="406">
        <v>187.125</v>
      </c>
      <c r="P58" s="407"/>
      <c r="Q58" s="406">
        <v>173.25</v>
      </c>
      <c r="R58" s="406">
        <v>171</v>
      </c>
      <c r="S58" s="405">
        <v>183</v>
      </c>
      <c r="T58" s="406">
        <v>139.5</v>
      </c>
      <c r="U58" s="406">
        <v>111.75</v>
      </c>
      <c r="V58" s="406">
        <v>166.5</v>
      </c>
      <c r="W58" s="407"/>
      <c r="X58" s="406">
        <v>136.5</v>
      </c>
      <c r="Y58" s="406">
        <v>133.5</v>
      </c>
      <c r="Z58" s="405">
        <v>103.5</v>
      </c>
      <c r="AA58" s="406">
        <v>111.75</v>
      </c>
      <c r="AB58" s="406">
        <v>114.75</v>
      </c>
      <c r="AC58" s="406">
        <v>124.5</v>
      </c>
      <c r="AD58" s="407"/>
      <c r="AE58" s="408"/>
      <c r="AF58" s="408"/>
      <c r="AG58" s="409"/>
      <c r="AH58" s="410"/>
      <c r="AI58" s="410"/>
      <c r="AJ58" s="8"/>
    </row>
    <row r="59" spans="1:36" ht="15">
      <c r="A59" s="366"/>
      <c r="B59" s="412" t="s">
        <v>277</v>
      </c>
      <c r="C59" s="413">
        <v>1.258</v>
      </c>
      <c r="D59" s="413">
        <v>1.258</v>
      </c>
      <c r="E59" s="414">
        <v>1.2883</v>
      </c>
      <c r="F59" s="413">
        <v>1.7398</v>
      </c>
      <c r="G59" s="413">
        <v>1.7117</v>
      </c>
      <c r="H59" s="413">
        <v>1.6414</v>
      </c>
      <c r="I59" s="415"/>
      <c r="J59" s="413">
        <v>1.071</v>
      </c>
      <c r="K59" s="413">
        <v>0.95</v>
      </c>
      <c r="L59" s="414">
        <v>1.3554999999999999</v>
      </c>
      <c r="M59" s="413">
        <v>1.1126</v>
      </c>
      <c r="N59" s="413">
        <v>1.1341000000000001</v>
      </c>
      <c r="O59" s="413">
        <v>1.6414</v>
      </c>
      <c r="P59" s="415"/>
      <c r="Q59" s="413">
        <v>1.4935</v>
      </c>
      <c r="R59" s="413">
        <v>1.379</v>
      </c>
      <c r="S59" s="414">
        <v>1.4758</v>
      </c>
      <c r="T59" s="413">
        <v>1.1529</v>
      </c>
      <c r="U59" s="413">
        <v>0.93910000000000005</v>
      </c>
      <c r="V59" s="413">
        <v>1.4231</v>
      </c>
      <c r="W59" s="415"/>
      <c r="X59" s="413">
        <v>1.1870000000000001</v>
      </c>
      <c r="Y59" s="413">
        <v>1.1314</v>
      </c>
      <c r="Z59" s="414">
        <v>0.8347</v>
      </c>
      <c r="AA59" s="413">
        <v>0.90849999999999997</v>
      </c>
      <c r="AB59" s="413">
        <v>0.94059999999999999</v>
      </c>
      <c r="AC59" s="413">
        <v>1.0462</v>
      </c>
      <c r="AD59" s="415"/>
      <c r="AE59" s="416"/>
      <c r="AF59" s="416"/>
      <c r="AG59" s="417"/>
      <c r="AH59" s="418"/>
      <c r="AI59" s="418"/>
      <c r="AJ59" s="8"/>
    </row>
    <row r="60" spans="1:36" ht="15">
      <c r="A60" s="364" t="s">
        <v>280</v>
      </c>
      <c r="B60" s="393" t="s">
        <v>279</v>
      </c>
      <c r="C60" s="394">
        <v>38048</v>
      </c>
      <c r="D60" s="394">
        <v>1729.4545454545455</v>
      </c>
      <c r="E60" s="395">
        <v>1840</v>
      </c>
      <c r="F60" s="396">
        <v>1840</v>
      </c>
      <c r="G60" s="396">
        <v>1840</v>
      </c>
      <c r="H60" s="396">
        <v>1840</v>
      </c>
      <c r="I60" s="397"/>
      <c r="J60" s="396">
        <v>1840</v>
      </c>
      <c r="K60" s="396">
        <v>1840</v>
      </c>
      <c r="L60" s="395">
        <v>1800</v>
      </c>
      <c r="M60" s="396">
        <v>1776</v>
      </c>
      <c r="N60" s="396">
        <v>1760</v>
      </c>
      <c r="O60" s="396">
        <v>1760</v>
      </c>
      <c r="P60" s="397"/>
      <c r="Q60" s="396">
        <v>1808</v>
      </c>
      <c r="R60" s="396">
        <v>1808</v>
      </c>
      <c r="S60" s="395">
        <v>1760</v>
      </c>
      <c r="T60" s="396">
        <v>1720</v>
      </c>
      <c r="U60" s="396">
        <v>1720</v>
      </c>
      <c r="V60" s="396">
        <v>1480</v>
      </c>
      <c r="W60" s="397"/>
      <c r="X60" s="396">
        <v>1440</v>
      </c>
      <c r="Y60" s="396">
        <v>1680</v>
      </c>
      <c r="Z60" s="395">
        <v>1840</v>
      </c>
      <c r="AA60" s="396">
        <v>1696</v>
      </c>
      <c r="AB60" s="396">
        <v>1520</v>
      </c>
      <c r="AC60" s="396">
        <v>1440</v>
      </c>
      <c r="AD60" s="397"/>
      <c r="AE60" s="398"/>
      <c r="AF60" s="398"/>
      <c r="AG60" s="399"/>
      <c r="AH60" s="400"/>
      <c r="AI60" s="400"/>
      <c r="AJ60" s="8"/>
    </row>
    <row r="61" spans="1:36" ht="15">
      <c r="A61" s="365"/>
      <c r="B61" s="393" t="s">
        <v>271</v>
      </c>
      <c r="C61" s="394">
        <v>34000</v>
      </c>
      <c r="D61" s="394">
        <v>1545.4545454545455</v>
      </c>
      <c r="E61" s="395">
        <v>1080</v>
      </c>
      <c r="F61" s="396">
        <v>1760</v>
      </c>
      <c r="G61" s="396">
        <v>1760</v>
      </c>
      <c r="H61" s="396">
        <v>1760</v>
      </c>
      <c r="I61" s="397"/>
      <c r="J61" s="396">
        <v>1760</v>
      </c>
      <c r="K61" s="396">
        <v>1760</v>
      </c>
      <c r="L61" s="395">
        <v>1760</v>
      </c>
      <c r="M61" s="396">
        <v>1760</v>
      </c>
      <c r="N61" s="396">
        <v>1760</v>
      </c>
      <c r="O61" s="396">
        <v>1760</v>
      </c>
      <c r="P61" s="397"/>
      <c r="Q61" s="396">
        <v>1760</v>
      </c>
      <c r="R61" s="396">
        <v>1760</v>
      </c>
      <c r="S61" s="395">
        <v>1760</v>
      </c>
      <c r="T61" s="396">
        <v>1760</v>
      </c>
      <c r="U61" s="396">
        <v>1760</v>
      </c>
      <c r="V61" s="396">
        <v>1080</v>
      </c>
      <c r="W61" s="397"/>
      <c r="X61" s="396">
        <v>1080</v>
      </c>
      <c r="Y61" s="396">
        <v>1360</v>
      </c>
      <c r="Z61" s="395">
        <v>1020</v>
      </c>
      <c r="AA61" s="396">
        <v>1020</v>
      </c>
      <c r="AB61" s="396">
        <v>1360</v>
      </c>
      <c r="AC61" s="396">
        <v>1360</v>
      </c>
      <c r="AD61" s="397"/>
      <c r="AE61" s="396">
        <v>1360</v>
      </c>
      <c r="AF61" s="396">
        <v>1360</v>
      </c>
      <c r="AG61" s="401">
        <v>1360</v>
      </c>
      <c r="AH61" s="402">
        <v>1360</v>
      </c>
      <c r="AI61" s="402">
        <v>1360</v>
      </c>
      <c r="AJ61" s="8"/>
    </row>
    <row r="62" spans="1:36" ht="15">
      <c r="A62" s="365"/>
      <c r="B62" s="403" t="s">
        <v>272</v>
      </c>
      <c r="C62" s="404">
        <v>35580</v>
      </c>
      <c r="D62" s="404">
        <v>1617.2727272727273</v>
      </c>
      <c r="E62" s="405">
        <v>1140</v>
      </c>
      <c r="F62" s="406">
        <v>1764</v>
      </c>
      <c r="G62" s="406">
        <v>1788</v>
      </c>
      <c r="H62" s="406">
        <v>1722</v>
      </c>
      <c r="I62" s="407"/>
      <c r="J62" s="406">
        <v>1770</v>
      </c>
      <c r="K62" s="406">
        <v>1782</v>
      </c>
      <c r="L62" s="405">
        <v>1756</v>
      </c>
      <c r="M62" s="406">
        <v>1934</v>
      </c>
      <c r="N62" s="406">
        <v>1674</v>
      </c>
      <c r="O62" s="406">
        <v>1722</v>
      </c>
      <c r="P62" s="407"/>
      <c r="Q62" s="406">
        <v>1734</v>
      </c>
      <c r="R62" s="406">
        <v>1452</v>
      </c>
      <c r="S62" s="405">
        <v>2100</v>
      </c>
      <c r="T62" s="406">
        <v>1812</v>
      </c>
      <c r="U62" s="406">
        <v>1884</v>
      </c>
      <c r="V62" s="406">
        <v>1162</v>
      </c>
      <c r="W62" s="407"/>
      <c r="X62" s="406">
        <v>1904</v>
      </c>
      <c r="Y62" s="406">
        <v>1674</v>
      </c>
      <c r="Z62" s="405">
        <v>1224</v>
      </c>
      <c r="AA62" s="406">
        <v>1098</v>
      </c>
      <c r="AB62" s="406">
        <v>1284</v>
      </c>
      <c r="AC62" s="406">
        <v>1200</v>
      </c>
      <c r="AD62" s="407"/>
      <c r="AE62" s="408"/>
      <c r="AF62" s="408"/>
      <c r="AG62" s="409"/>
      <c r="AH62" s="410"/>
      <c r="AI62" s="410"/>
      <c r="AJ62" s="8"/>
    </row>
    <row r="63" spans="1:36" ht="15">
      <c r="A63" s="365"/>
      <c r="B63" s="403" t="s">
        <v>273</v>
      </c>
      <c r="C63" s="404">
        <v>1580</v>
      </c>
      <c r="D63" s="404">
        <v>71.818181818181813</v>
      </c>
      <c r="E63" s="405">
        <v>60</v>
      </c>
      <c r="F63" s="406">
        <v>4</v>
      </c>
      <c r="G63" s="406">
        <v>28</v>
      </c>
      <c r="H63" s="408">
        <v>-38</v>
      </c>
      <c r="I63" s="407"/>
      <c r="J63" s="406">
        <v>10</v>
      </c>
      <c r="K63" s="406">
        <v>22</v>
      </c>
      <c r="L63" s="407">
        <v>-4</v>
      </c>
      <c r="M63" s="406">
        <v>174</v>
      </c>
      <c r="N63" s="408">
        <v>-86</v>
      </c>
      <c r="O63" s="408">
        <v>-38</v>
      </c>
      <c r="P63" s="407"/>
      <c r="Q63" s="408">
        <v>-26</v>
      </c>
      <c r="R63" s="408">
        <v>-308</v>
      </c>
      <c r="S63" s="405">
        <v>340</v>
      </c>
      <c r="T63" s="406">
        <v>52</v>
      </c>
      <c r="U63" s="406">
        <v>124</v>
      </c>
      <c r="V63" s="406">
        <v>82</v>
      </c>
      <c r="W63" s="407"/>
      <c r="X63" s="406">
        <v>824</v>
      </c>
      <c r="Y63" s="406">
        <v>314</v>
      </c>
      <c r="Z63" s="405">
        <v>204</v>
      </c>
      <c r="AA63" s="406">
        <v>78</v>
      </c>
      <c r="AB63" s="408">
        <v>-76</v>
      </c>
      <c r="AC63" s="408">
        <v>-160</v>
      </c>
      <c r="AD63" s="407"/>
      <c r="AE63" s="408"/>
      <c r="AF63" s="408"/>
      <c r="AG63" s="409"/>
      <c r="AH63" s="410"/>
      <c r="AI63" s="410"/>
      <c r="AJ63" s="8"/>
    </row>
    <row r="64" spans="1:36" ht="15">
      <c r="A64" s="365"/>
      <c r="B64" s="403" t="s">
        <v>274</v>
      </c>
      <c r="C64" s="404">
        <v>176</v>
      </c>
      <c r="D64" s="404">
        <v>8</v>
      </c>
      <c r="E64" s="405">
        <v>8</v>
      </c>
      <c r="F64" s="406">
        <v>8</v>
      </c>
      <c r="G64" s="406">
        <v>8</v>
      </c>
      <c r="H64" s="406">
        <v>8</v>
      </c>
      <c r="I64" s="407"/>
      <c r="J64" s="406">
        <v>8</v>
      </c>
      <c r="K64" s="406">
        <v>8</v>
      </c>
      <c r="L64" s="405">
        <v>8</v>
      </c>
      <c r="M64" s="406">
        <v>8</v>
      </c>
      <c r="N64" s="406">
        <v>8</v>
      </c>
      <c r="O64" s="406">
        <v>8</v>
      </c>
      <c r="P64" s="407"/>
      <c r="Q64" s="406">
        <v>8</v>
      </c>
      <c r="R64" s="406">
        <v>8</v>
      </c>
      <c r="S64" s="405">
        <v>8</v>
      </c>
      <c r="T64" s="406">
        <v>8</v>
      </c>
      <c r="U64" s="406">
        <v>8</v>
      </c>
      <c r="V64" s="406">
        <v>8</v>
      </c>
      <c r="W64" s="407"/>
      <c r="X64" s="406">
        <v>8</v>
      </c>
      <c r="Y64" s="406">
        <v>8</v>
      </c>
      <c r="Z64" s="405">
        <v>8</v>
      </c>
      <c r="AA64" s="406">
        <v>8</v>
      </c>
      <c r="AB64" s="406">
        <v>8</v>
      </c>
      <c r="AC64" s="406">
        <v>8</v>
      </c>
      <c r="AD64" s="407"/>
      <c r="AE64" s="408"/>
      <c r="AF64" s="408"/>
      <c r="AG64" s="409"/>
      <c r="AH64" s="410"/>
      <c r="AI64" s="410"/>
      <c r="AJ64" s="8"/>
    </row>
    <row r="65" spans="1:36" ht="15">
      <c r="A65" s="365"/>
      <c r="B65" s="403" t="s">
        <v>275</v>
      </c>
      <c r="C65" s="404">
        <v>92</v>
      </c>
      <c r="D65" s="404">
        <v>92</v>
      </c>
      <c r="E65" s="405">
        <v>97</v>
      </c>
      <c r="F65" s="406">
        <v>95</v>
      </c>
      <c r="G65" s="406">
        <v>92</v>
      </c>
      <c r="H65" s="406">
        <v>93</v>
      </c>
      <c r="I65" s="407"/>
      <c r="J65" s="406">
        <v>88</v>
      </c>
      <c r="K65" s="406">
        <v>94</v>
      </c>
      <c r="L65" s="405">
        <v>92</v>
      </c>
      <c r="M65" s="406">
        <v>90</v>
      </c>
      <c r="N65" s="406">
        <v>92</v>
      </c>
      <c r="O65" s="406">
        <v>93</v>
      </c>
      <c r="P65" s="407"/>
      <c r="Q65" s="406">
        <v>90</v>
      </c>
      <c r="R65" s="406">
        <v>92</v>
      </c>
      <c r="S65" s="405">
        <v>94</v>
      </c>
      <c r="T65" s="406">
        <v>92</v>
      </c>
      <c r="U65" s="406">
        <v>94</v>
      </c>
      <c r="V65" s="406">
        <v>90</v>
      </c>
      <c r="W65" s="407"/>
      <c r="X65" s="406">
        <v>93</v>
      </c>
      <c r="Y65" s="406">
        <v>90</v>
      </c>
      <c r="Z65" s="405">
        <v>92</v>
      </c>
      <c r="AA65" s="406">
        <v>92</v>
      </c>
      <c r="AB65" s="406">
        <v>92</v>
      </c>
      <c r="AC65" s="406">
        <v>89</v>
      </c>
      <c r="AD65" s="407"/>
      <c r="AE65" s="408"/>
      <c r="AF65" s="408"/>
      <c r="AG65" s="409"/>
      <c r="AH65" s="410"/>
      <c r="AI65" s="410"/>
      <c r="AJ65" s="8"/>
    </row>
    <row r="66" spans="1:36" ht="15">
      <c r="A66" s="365"/>
      <c r="B66" s="403" t="s">
        <v>276</v>
      </c>
      <c r="C66" s="404">
        <v>202.15909090909091</v>
      </c>
      <c r="D66" s="404">
        <v>202.15909090909091</v>
      </c>
      <c r="E66" s="405">
        <v>142.5</v>
      </c>
      <c r="F66" s="406">
        <v>220.5</v>
      </c>
      <c r="G66" s="406">
        <v>223.5</v>
      </c>
      <c r="H66" s="406">
        <v>215.25</v>
      </c>
      <c r="I66" s="407"/>
      <c r="J66" s="406">
        <v>221.25</v>
      </c>
      <c r="K66" s="406">
        <v>222.75</v>
      </c>
      <c r="L66" s="405">
        <v>219.5</v>
      </c>
      <c r="M66" s="406">
        <v>241.75</v>
      </c>
      <c r="N66" s="406">
        <v>209.25</v>
      </c>
      <c r="O66" s="406">
        <v>215.25</v>
      </c>
      <c r="P66" s="407"/>
      <c r="Q66" s="406">
        <v>216.75</v>
      </c>
      <c r="R66" s="406">
        <v>181.5</v>
      </c>
      <c r="S66" s="405">
        <v>262.5</v>
      </c>
      <c r="T66" s="406">
        <v>226.5</v>
      </c>
      <c r="U66" s="406">
        <v>235.5</v>
      </c>
      <c r="V66" s="406">
        <v>145.25</v>
      </c>
      <c r="W66" s="407"/>
      <c r="X66" s="406">
        <v>238</v>
      </c>
      <c r="Y66" s="406">
        <v>209.25</v>
      </c>
      <c r="Z66" s="405">
        <v>153</v>
      </c>
      <c r="AA66" s="406">
        <v>137.25</v>
      </c>
      <c r="AB66" s="406">
        <v>160.5</v>
      </c>
      <c r="AC66" s="406">
        <v>150</v>
      </c>
      <c r="AD66" s="407"/>
      <c r="AE66" s="408"/>
      <c r="AF66" s="408"/>
      <c r="AG66" s="409"/>
      <c r="AH66" s="410"/>
      <c r="AI66" s="410"/>
      <c r="AJ66" s="8"/>
    </row>
    <row r="67" spans="1:36" ht="15">
      <c r="A67" s="366"/>
      <c r="B67" s="412" t="s">
        <v>277</v>
      </c>
      <c r="C67" s="413">
        <v>2.1974</v>
      </c>
      <c r="D67" s="413">
        <v>2.1974</v>
      </c>
      <c r="E67" s="414">
        <v>1.4691000000000001</v>
      </c>
      <c r="F67" s="413">
        <v>2.3210999999999999</v>
      </c>
      <c r="G67" s="413">
        <v>2.4293</v>
      </c>
      <c r="H67" s="413">
        <v>2.3144999999999998</v>
      </c>
      <c r="I67" s="415"/>
      <c r="J67" s="413">
        <v>2.5141999999999998</v>
      </c>
      <c r="K67" s="413">
        <v>2.3696999999999999</v>
      </c>
      <c r="L67" s="414">
        <v>2.3858999999999999</v>
      </c>
      <c r="M67" s="413">
        <v>2.6861000000000002</v>
      </c>
      <c r="N67" s="413">
        <v>2.2745000000000002</v>
      </c>
      <c r="O67" s="413">
        <v>2.3144999999999998</v>
      </c>
      <c r="P67" s="415"/>
      <c r="Q67" s="413">
        <v>2.4083000000000001</v>
      </c>
      <c r="R67" s="413">
        <v>1.9727999999999999</v>
      </c>
      <c r="S67" s="414">
        <v>2.7926000000000002</v>
      </c>
      <c r="T67" s="413">
        <v>2.4620000000000002</v>
      </c>
      <c r="U67" s="413">
        <v>2.5053000000000001</v>
      </c>
      <c r="V67" s="413">
        <v>1.6139000000000001</v>
      </c>
      <c r="W67" s="415"/>
      <c r="X67" s="413">
        <v>2.5590999999999999</v>
      </c>
      <c r="Y67" s="413">
        <v>2.3250000000000002</v>
      </c>
      <c r="Z67" s="414">
        <v>1.663</v>
      </c>
      <c r="AA67" s="413">
        <v>1.4918</v>
      </c>
      <c r="AB67" s="413">
        <v>1.7446000000000002</v>
      </c>
      <c r="AC67" s="413">
        <v>1.6854</v>
      </c>
      <c r="AD67" s="415"/>
      <c r="AE67" s="416"/>
      <c r="AF67" s="416"/>
      <c r="AG67" s="417"/>
      <c r="AH67" s="418"/>
      <c r="AI67" s="418"/>
      <c r="AJ67" s="8"/>
    </row>
    <row r="68" spans="1:36" ht="15">
      <c r="A68" s="364" t="s">
        <v>281</v>
      </c>
      <c r="B68" s="393" t="s">
        <v>279</v>
      </c>
      <c r="C68" s="394">
        <v>32352</v>
      </c>
      <c r="D68" s="394">
        <v>1470.5454545454545</v>
      </c>
      <c r="E68" s="395">
        <v>1760</v>
      </c>
      <c r="F68" s="396">
        <v>1760</v>
      </c>
      <c r="G68" s="396">
        <v>1784</v>
      </c>
      <c r="H68" s="396">
        <v>1760</v>
      </c>
      <c r="I68" s="397"/>
      <c r="J68" s="396">
        <v>1760</v>
      </c>
      <c r="K68" s="396">
        <v>1760</v>
      </c>
      <c r="L68" s="395">
        <v>1760</v>
      </c>
      <c r="M68" s="396">
        <v>1640</v>
      </c>
      <c r="N68" s="396">
        <v>1568</v>
      </c>
      <c r="O68" s="396">
        <v>1440</v>
      </c>
      <c r="P68" s="397"/>
      <c r="Q68" s="396">
        <v>1280</v>
      </c>
      <c r="R68" s="396">
        <v>1280</v>
      </c>
      <c r="S68" s="395">
        <v>1280</v>
      </c>
      <c r="T68" s="396">
        <v>1280</v>
      </c>
      <c r="U68" s="396">
        <v>1280</v>
      </c>
      <c r="V68" s="396">
        <v>1280</v>
      </c>
      <c r="W68" s="397"/>
      <c r="X68" s="396">
        <v>1280</v>
      </c>
      <c r="Y68" s="396">
        <v>1280</v>
      </c>
      <c r="Z68" s="395">
        <v>1280</v>
      </c>
      <c r="AA68" s="396">
        <v>1280</v>
      </c>
      <c r="AB68" s="396">
        <v>1280</v>
      </c>
      <c r="AC68" s="396">
        <v>1280</v>
      </c>
      <c r="AD68" s="397"/>
      <c r="AE68" s="398"/>
      <c r="AF68" s="398"/>
      <c r="AG68" s="399"/>
      <c r="AH68" s="400"/>
      <c r="AI68" s="400"/>
      <c r="AJ68" s="8"/>
    </row>
    <row r="69" spans="1:36" ht="15">
      <c r="A69" s="365"/>
      <c r="B69" s="393" t="s">
        <v>271</v>
      </c>
      <c r="C69" s="394">
        <v>29880</v>
      </c>
      <c r="D69" s="394">
        <v>1358.1818181818182</v>
      </c>
      <c r="E69" s="395">
        <v>1680</v>
      </c>
      <c r="F69" s="396">
        <v>1680</v>
      </c>
      <c r="G69" s="396">
        <v>1680</v>
      </c>
      <c r="H69" s="396">
        <v>1680</v>
      </c>
      <c r="I69" s="397"/>
      <c r="J69" s="396">
        <v>1680</v>
      </c>
      <c r="K69" s="396">
        <v>1680</v>
      </c>
      <c r="L69" s="395">
        <v>1680</v>
      </c>
      <c r="M69" s="396">
        <v>1680</v>
      </c>
      <c r="N69" s="396">
        <v>1680</v>
      </c>
      <c r="O69" s="396">
        <v>900</v>
      </c>
      <c r="P69" s="397"/>
      <c r="Q69" s="396">
        <v>900</v>
      </c>
      <c r="R69" s="396">
        <v>1120</v>
      </c>
      <c r="S69" s="395">
        <v>1120</v>
      </c>
      <c r="T69" s="396">
        <v>1120</v>
      </c>
      <c r="U69" s="396">
        <v>1200</v>
      </c>
      <c r="V69" s="396">
        <v>1200</v>
      </c>
      <c r="W69" s="397"/>
      <c r="X69" s="396">
        <v>1200</v>
      </c>
      <c r="Y69" s="396">
        <v>1200</v>
      </c>
      <c r="Z69" s="395">
        <v>1200</v>
      </c>
      <c r="AA69" s="396">
        <v>1200</v>
      </c>
      <c r="AB69" s="396">
        <v>1200</v>
      </c>
      <c r="AC69" s="396">
        <v>1200</v>
      </c>
      <c r="AD69" s="397"/>
      <c r="AE69" s="396">
        <v>1200</v>
      </c>
      <c r="AF69" s="396">
        <v>1200</v>
      </c>
      <c r="AG69" s="401">
        <v>1200</v>
      </c>
      <c r="AH69" s="402">
        <v>1200</v>
      </c>
      <c r="AI69" s="402">
        <v>1200</v>
      </c>
      <c r="AJ69" s="8"/>
    </row>
    <row r="70" spans="1:36" ht="15">
      <c r="A70" s="365"/>
      <c r="B70" s="403" t="s">
        <v>272</v>
      </c>
      <c r="C70" s="404">
        <v>26920</v>
      </c>
      <c r="D70" s="404">
        <v>1223.6363636363637</v>
      </c>
      <c r="E70" s="405">
        <v>1596</v>
      </c>
      <c r="F70" s="406">
        <v>1818</v>
      </c>
      <c r="G70" s="406">
        <v>1782</v>
      </c>
      <c r="H70" s="406">
        <v>1728</v>
      </c>
      <c r="I70" s="407"/>
      <c r="J70" s="406">
        <v>1932</v>
      </c>
      <c r="K70" s="406">
        <v>1710</v>
      </c>
      <c r="L70" s="405">
        <v>1674</v>
      </c>
      <c r="M70" s="406">
        <v>1656</v>
      </c>
      <c r="N70" s="406">
        <v>1260</v>
      </c>
      <c r="O70" s="406">
        <v>966</v>
      </c>
      <c r="P70" s="407"/>
      <c r="Q70" s="406">
        <v>858</v>
      </c>
      <c r="R70" s="406">
        <v>738</v>
      </c>
      <c r="S70" s="405">
        <v>720</v>
      </c>
      <c r="T70" s="406">
        <v>936</v>
      </c>
      <c r="U70" s="406">
        <v>970</v>
      </c>
      <c r="V70" s="406">
        <v>912</v>
      </c>
      <c r="W70" s="407"/>
      <c r="X70" s="406">
        <v>900</v>
      </c>
      <c r="Y70" s="406">
        <v>834</v>
      </c>
      <c r="Z70" s="405">
        <v>906</v>
      </c>
      <c r="AA70" s="406">
        <v>912</v>
      </c>
      <c r="AB70" s="406">
        <v>954</v>
      </c>
      <c r="AC70" s="406">
        <v>1158</v>
      </c>
      <c r="AD70" s="407"/>
      <c r="AE70" s="408"/>
      <c r="AF70" s="408"/>
      <c r="AG70" s="409"/>
      <c r="AH70" s="410"/>
      <c r="AI70" s="410"/>
      <c r="AJ70" s="8"/>
    </row>
    <row r="71" spans="1:36" ht="15">
      <c r="A71" s="365"/>
      <c r="B71" s="403" t="s">
        <v>273</v>
      </c>
      <c r="C71" s="411">
        <v>-2960</v>
      </c>
      <c r="D71" s="411">
        <v>-134.54545454545453</v>
      </c>
      <c r="E71" s="407">
        <v>-84</v>
      </c>
      <c r="F71" s="406">
        <v>138</v>
      </c>
      <c r="G71" s="406">
        <v>102</v>
      </c>
      <c r="H71" s="406">
        <v>48</v>
      </c>
      <c r="I71" s="407"/>
      <c r="J71" s="406">
        <v>252</v>
      </c>
      <c r="K71" s="406">
        <v>30</v>
      </c>
      <c r="L71" s="407">
        <v>-6</v>
      </c>
      <c r="M71" s="408">
        <v>-24</v>
      </c>
      <c r="N71" s="408">
        <v>-420</v>
      </c>
      <c r="O71" s="406">
        <v>66</v>
      </c>
      <c r="P71" s="407"/>
      <c r="Q71" s="408">
        <v>-42</v>
      </c>
      <c r="R71" s="408">
        <v>-382</v>
      </c>
      <c r="S71" s="407">
        <v>-400</v>
      </c>
      <c r="T71" s="408">
        <v>-184</v>
      </c>
      <c r="U71" s="408">
        <v>-230</v>
      </c>
      <c r="V71" s="408">
        <v>-288</v>
      </c>
      <c r="W71" s="407"/>
      <c r="X71" s="408">
        <v>-300</v>
      </c>
      <c r="Y71" s="408">
        <v>-366</v>
      </c>
      <c r="Z71" s="407">
        <v>-294</v>
      </c>
      <c r="AA71" s="408">
        <v>-288</v>
      </c>
      <c r="AB71" s="408">
        <v>-246</v>
      </c>
      <c r="AC71" s="408">
        <v>-42</v>
      </c>
      <c r="AD71" s="407"/>
      <c r="AE71" s="408"/>
      <c r="AF71" s="408"/>
      <c r="AG71" s="409"/>
      <c r="AH71" s="410"/>
      <c r="AI71" s="410"/>
      <c r="AJ71" s="8"/>
    </row>
    <row r="72" spans="1:36" ht="15">
      <c r="A72" s="365"/>
      <c r="B72" s="403" t="s">
        <v>274</v>
      </c>
      <c r="C72" s="404">
        <v>176</v>
      </c>
      <c r="D72" s="404">
        <v>8</v>
      </c>
      <c r="E72" s="405">
        <v>8</v>
      </c>
      <c r="F72" s="406">
        <v>8</v>
      </c>
      <c r="G72" s="406">
        <v>8</v>
      </c>
      <c r="H72" s="406">
        <v>8</v>
      </c>
      <c r="I72" s="407"/>
      <c r="J72" s="406">
        <v>8</v>
      </c>
      <c r="K72" s="406">
        <v>8</v>
      </c>
      <c r="L72" s="405">
        <v>8</v>
      </c>
      <c r="M72" s="406">
        <v>8</v>
      </c>
      <c r="N72" s="406">
        <v>8</v>
      </c>
      <c r="O72" s="406">
        <v>8</v>
      </c>
      <c r="P72" s="407"/>
      <c r="Q72" s="406">
        <v>8</v>
      </c>
      <c r="R72" s="406">
        <v>8</v>
      </c>
      <c r="S72" s="405">
        <v>8</v>
      </c>
      <c r="T72" s="406">
        <v>8</v>
      </c>
      <c r="U72" s="406">
        <v>8</v>
      </c>
      <c r="V72" s="406">
        <v>8</v>
      </c>
      <c r="W72" s="407"/>
      <c r="X72" s="406">
        <v>8</v>
      </c>
      <c r="Y72" s="406">
        <v>8</v>
      </c>
      <c r="Z72" s="405">
        <v>8</v>
      </c>
      <c r="AA72" s="406">
        <v>8</v>
      </c>
      <c r="AB72" s="406">
        <v>8</v>
      </c>
      <c r="AC72" s="406">
        <v>8</v>
      </c>
      <c r="AD72" s="407"/>
      <c r="AE72" s="408"/>
      <c r="AF72" s="408"/>
      <c r="AG72" s="409"/>
      <c r="AH72" s="410"/>
      <c r="AI72" s="410"/>
      <c r="AJ72" s="8"/>
    </row>
    <row r="73" spans="1:36" ht="15">
      <c r="A73" s="365"/>
      <c r="B73" s="403" t="s">
        <v>275</v>
      </c>
      <c r="C73" s="404">
        <v>84</v>
      </c>
      <c r="D73" s="404">
        <v>84</v>
      </c>
      <c r="E73" s="405">
        <v>85</v>
      </c>
      <c r="F73" s="406">
        <v>85</v>
      </c>
      <c r="G73" s="406">
        <v>85</v>
      </c>
      <c r="H73" s="406">
        <v>86</v>
      </c>
      <c r="I73" s="407"/>
      <c r="J73" s="406">
        <v>82</v>
      </c>
      <c r="K73" s="406">
        <v>82</v>
      </c>
      <c r="L73" s="405">
        <v>83</v>
      </c>
      <c r="M73" s="406">
        <v>83</v>
      </c>
      <c r="N73" s="406">
        <v>88</v>
      </c>
      <c r="O73" s="406">
        <v>85</v>
      </c>
      <c r="P73" s="407"/>
      <c r="Q73" s="406">
        <v>85</v>
      </c>
      <c r="R73" s="406">
        <v>86</v>
      </c>
      <c r="S73" s="405">
        <v>85</v>
      </c>
      <c r="T73" s="406">
        <v>86</v>
      </c>
      <c r="U73" s="406">
        <v>84</v>
      </c>
      <c r="V73" s="406">
        <v>81</v>
      </c>
      <c r="W73" s="407"/>
      <c r="X73" s="406">
        <v>84</v>
      </c>
      <c r="Y73" s="406">
        <v>84</v>
      </c>
      <c r="Z73" s="405">
        <v>84</v>
      </c>
      <c r="AA73" s="406">
        <v>83</v>
      </c>
      <c r="AB73" s="406">
        <v>80</v>
      </c>
      <c r="AC73" s="406">
        <v>82</v>
      </c>
      <c r="AD73" s="407"/>
      <c r="AE73" s="408"/>
      <c r="AF73" s="408"/>
      <c r="AG73" s="409"/>
      <c r="AH73" s="410"/>
      <c r="AI73" s="410"/>
      <c r="AJ73" s="8"/>
    </row>
    <row r="74" spans="1:36" ht="15">
      <c r="A74" s="365"/>
      <c r="B74" s="403" t="s">
        <v>276</v>
      </c>
      <c r="C74" s="404">
        <v>152.95454545454547</v>
      </c>
      <c r="D74" s="404">
        <v>152.95454545454547</v>
      </c>
      <c r="E74" s="405">
        <v>199.5</v>
      </c>
      <c r="F74" s="406">
        <v>227.25</v>
      </c>
      <c r="G74" s="406">
        <v>222.75</v>
      </c>
      <c r="H74" s="406">
        <v>216</v>
      </c>
      <c r="I74" s="407"/>
      <c r="J74" s="406">
        <v>241.5</v>
      </c>
      <c r="K74" s="406">
        <v>213.75</v>
      </c>
      <c r="L74" s="405">
        <v>209.25</v>
      </c>
      <c r="M74" s="406">
        <v>207</v>
      </c>
      <c r="N74" s="406">
        <v>157.5</v>
      </c>
      <c r="O74" s="406">
        <v>120.75</v>
      </c>
      <c r="P74" s="407"/>
      <c r="Q74" s="406">
        <v>107.25</v>
      </c>
      <c r="R74" s="406">
        <v>92.25</v>
      </c>
      <c r="S74" s="405">
        <v>90</v>
      </c>
      <c r="T74" s="406">
        <v>117</v>
      </c>
      <c r="U74" s="406">
        <v>121.25</v>
      </c>
      <c r="V74" s="406">
        <v>114</v>
      </c>
      <c r="W74" s="407"/>
      <c r="X74" s="406">
        <v>112.5</v>
      </c>
      <c r="Y74" s="406">
        <v>104.25</v>
      </c>
      <c r="Z74" s="405">
        <v>113.25</v>
      </c>
      <c r="AA74" s="406">
        <v>114</v>
      </c>
      <c r="AB74" s="406">
        <v>119.25</v>
      </c>
      <c r="AC74" s="406">
        <v>144.75</v>
      </c>
      <c r="AD74" s="407"/>
      <c r="AE74" s="408"/>
      <c r="AF74" s="408"/>
      <c r="AG74" s="409"/>
      <c r="AH74" s="410"/>
      <c r="AI74" s="410"/>
      <c r="AJ74" s="8"/>
    </row>
    <row r="75" spans="1:36" ht="15">
      <c r="A75" s="366"/>
      <c r="B75" s="412" t="s">
        <v>277</v>
      </c>
      <c r="C75" s="413">
        <v>1.8209</v>
      </c>
      <c r="D75" s="413">
        <v>1.8209</v>
      </c>
      <c r="E75" s="414">
        <v>2.3471000000000002</v>
      </c>
      <c r="F75" s="413">
        <v>2.6734999999999998</v>
      </c>
      <c r="G75" s="413">
        <v>2.6206</v>
      </c>
      <c r="H75" s="413">
        <v>2.5116000000000001</v>
      </c>
      <c r="I75" s="415"/>
      <c r="J75" s="413">
        <v>2.9451000000000001</v>
      </c>
      <c r="K75" s="413">
        <v>2.6067</v>
      </c>
      <c r="L75" s="414">
        <v>2.5211000000000001</v>
      </c>
      <c r="M75" s="413">
        <v>2.4939999999999998</v>
      </c>
      <c r="N75" s="413">
        <v>1.7898000000000001</v>
      </c>
      <c r="O75" s="413">
        <v>1.4205999999999999</v>
      </c>
      <c r="P75" s="415"/>
      <c r="Q75" s="413">
        <v>1.2618</v>
      </c>
      <c r="R75" s="413">
        <v>1.0727</v>
      </c>
      <c r="S75" s="414">
        <v>1.0588</v>
      </c>
      <c r="T75" s="413">
        <v>1.3605</v>
      </c>
      <c r="U75" s="413">
        <v>1.4435</v>
      </c>
      <c r="V75" s="413">
        <v>1.4074</v>
      </c>
      <c r="W75" s="415"/>
      <c r="X75" s="413">
        <v>1.3392999999999999</v>
      </c>
      <c r="Y75" s="413">
        <v>1.2411000000000001</v>
      </c>
      <c r="Z75" s="414">
        <v>1.3482000000000001</v>
      </c>
      <c r="AA75" s="413">
        <v>1.3734999999999999</v>
      </c>
      <c r="AB75" s="413">
        <v>1.4905999999999999</v>
      </c>
      <c r="AC75" s="413">
        <v>1.7652000000000001</v>
      </c>
      <c r="AD75" s="415"/>
      <c r="AE75" s="416"/>
      <c r="AF75" s="416"/>
      <c r="AG75" s="417"/>
      <c r="AH75" s="418"/>
      <c r="AI75" s="418"/>
      <c r="AJ75" s="8"/>
    </row>
    <row r="76" spans="1:36" ht="15">
      <c r="A76" s="364" t="s">
        <v>282</v>
      </c>
      <c r="B76" s="393" t="s">
        <v>279</v>
      </c>
      <c r="C76" s="394">
        <v>36384</v>
      </c>
      <c r="D76" s="394">
        <v>1653.8181818181818</v>
      </c>
      <c r="E76" s="395">
        <v>1760</v>
      </c>
      <c r="F76" s="396">
        <v>1760</v>
      </c>
      <c r="G76" s="396">
        <v>1760</v>
      </c>
      <c r="H76" s="396">
        <v>1760</v>
      </c>
      <c r="I76" s="397"/>
      <c r="J76" s="396">
        <v>1760</v>
      </c>
      <c r="K76" s="396">
        <v>1760</v>
      </c>
      <c r="L76" s="395">
        <v>1760</v>
      </c>
      <c r="M76" s="396">
        <v>1760</v>
      </c>
      <c r="N76" s="396">
        <v>1760</v>
      </c>
      <c r="O76" s="396">
        <v>1760</v>
      </c>
      <c r="P76" s="397"/>
      <c r="Q76" s="396">
        <v>1760</v>
      </c>
      <c r="R76" s="396">
        <v>1600</v>
      </c>
      <c r="S76" s="395">
        <v>1520</v>
      </c>
      <c r="T76" s="396">
        <v>1520</v>
      </c>
      <c r="U76" s="396">
        <v>1576</v>
      </c>
      <c r="V76" s="396">
        <v>1520</v>
      </c>
      <c r="W76" s="397"/>
      <c r="X76" s="396">
        <v>1520</v>
      </c>
      <c r="Y76" s="396">
        <v>1520</v>
      </c>
      <c r="Z76" s="395">
        <v>1520</v>
      </c>
      <c r="AA76" s="396">
        <v>1568</v>
      </c>
      <c r="AB76" s="396">
        <v>1520</v>
      </c>
      <c r="AC76" s="396">
        <v>1640</v>
      </c>
      <c r="AD76" s="397"/>
      <c r="AE76" s="398"/>
      <c r="AF76" s="398"/>
      <c r="AG76" s="399"/>
      <c r="AH76" s="400"/>
      <c r="AI76" s="400"/>
      <c r="AJ76" s="8"/>
    </row>
    <row r="77" spans="1:36" ht="15">
      <c r="A77" s="365"/>
      <c r="B77" s="393" t="s">
        <v>271</v>
      </c>
      <c r="C77" s="394">
        <v>31720</v>
      </c>
      <c r="D77" s="394">
        <v>1441.8181818181818</v>
      </c>
      <c r="E77" s="395">
        <v>1200</v>
      </c>
      <c r="F77" s="396">
        <v>1600</v>
      </c>
      <c r="G77" s="396">
        <v>1600</v>
      </c>
      <c r="H77" s="396">
        <v>1600</v>
      </c>
      <c r="I77" s="397"/>
      <c r="J77" s="396">
        <v>1600</v>
      </c>
      <c r="K77" s="396">
        <v>1600</v>
      </c>
      <c r="L77" s="395">
        <v>1600</v>
      </c>
      <c r="M77" s="396">
        <v>1600</v>
      </c>
      <c r="N77" s="396">
        <v>1600</v>
      </c>
      <c r="O77" s="396">
        <v>1600</v>
      </c>
      <c r="P77" s="397"/>
      <c r="Q77" s="396">
        <v>1600</v>
      </c>
      <c r="R77" s="396">
        <v>1600</v>
      </c>
      <c r="S77" s="395">
        <v>1020</v>
      </c>
      <c r="T77" s="396">
        <v>1020</v>
      </c>
      <c r="U77" s="396">
        <v>1360</v>
      </c>
      <c r="V77" s="396">
        <v>1360</v>
      </c>
      <c r="W77" s="397"/>
      <c r="X77" s="396">
        <v>1360</v>
      </c>
      <c r="Y77" s="396">
        <v>1360</v>
      </c>
      <c r="Z77" s="395">
        <v>1360</v>
      </c>
      <c r="AA77" s="396">
        <v>1360</v>
      </c>
      <c r="AB77" s="396">
        <v>1360</v>
      </c>
      <c r="AC77" s="396">
        <v>1360</v>
      </c>
      <c r="AD77" s="397"/>
      <c r="AE77" s="396">
        <v>1360</v>
      </c>
      <c r="AF77" s="396">
        <v>1360</v>
      </c>
      <c r="AG77" s="401">
        <v>1360</v>
      </c>
      <c r="AH77" s="402">
        <v>1360</v>
      </c>
      <c r="AI77" s="402">
        <v>1360</v>
      </c>
      <c r="AJ77" s="8"/>
    </row>
    <row r="78" spans="1:36" ht="15">
      <c r="A78" s="365"/>
      <c r="B78" s="403" t="s">
        <v>272</v>
      </c>
      <c r="C78" s="404">
        <v>32904</v>
      </c>
      <c r="D78" s="404">
        <v>1495.6363636363637</v>
      </c>
      <c r="E78" s="405">
        <v>1374</v>
      </c>
      <c r="F78" s="406">
        <v>1656</v>
      </c>
      <c r="G78" s="406">
        <v>1620</v>
      </c>
      <c r="H78" s="406">
        <v>1728</v>
      </c>
      <c r="I78" s="407"/>
      <c r="J78" s="406">
        <v>1776</v>
      </c>
      <c r="K78" s="406">
        <v>1602</v>
      </c>
      <c r="L78" s="405">
        <v>1464</v>
      </c>
      <c r="M78" s="406">
        <v>1572</v>
      </c>
      <c r="N78" s="406">
        <v>2070</v>
      </c>
      <c r="O78" s="406">
        <v>1788</v>
      </c>
      <c r="P78" s="407"/>
      <c r="Q78" s="406">
        <v>1566</v>
      </c>
      <c r="R78" s="406">
        <v>1572</v>
      </c>
      <c r="S78" s="405">
        <v>1320</v>
      </c>
      <c r="T78" s="406">
        <v>1092</v>
      </c>
      <c r="U78" s="406">
        <v>1368</v>
      </c>
      <c r="V78" s="406">
        <v>1464</v>
      </c>
      <c r="W78" s="407"/>
      <c r="X78" s="406">
        <v>1428</v>
      </c>
      <c r="Y78" s="406">
        <v>1356</v>
      </c>
      <c r="Z78" s="405">
        <v>1494</v>
      </c>
      <c r="AA78" s="406">
        <v>1422</v>
      </c>
      <c r="AB78" s="406">
        <v>1038</v>
      </c>
      <c r="AC78" s="406">
        <v>1134</v>
      </c>
      <c r="AD78" s="407"/>
      <c r="AE78" s="408"/>
      <c r="AF78" s="408"/>
      <c r="AG78" s="409"/>
      <c r="AH78" s="410"/>
      <c r="AI78" s="410"/>
      <c r="AJ78" s="8"/>
    </row>
    <row r="79" spans="1:36" ht="15">
      <c r="A79" s="365"/>
      <c r="B79" s="403" t="s">
        <v>273</v>
      </c>
      <c r="C79" s="404">
        <v>1184</v>
      </c>
      <c r="D79" s="404">
        <v>53.81818181818182</v>
      </c>
      <c r="E79" s="405">
        <v>174</v>
      </c>
      <c r="F79" s="406">
        <v>56</v>
      </c>
      <c r="G79" s="406">
        <v>20</v>
      </c>
      <c r="H79" s="406">
        <v>128</v>
      </c>
      <c r="I79" s="407"/>
      <c r="J79" s="406">
        <v>176</v>
      </c>
      <c r="K79" s="406">
        <v>2</v>
      </c>
      <c r="L79" s="407">
        <v>-136</v>
      </c>
      <c r="M79" s="408">
        <v>-28</v>
      </c>
      <c r="N79" s="406">
        <v>470</v>
      </c>
      <c r="O79" s="406">
        <v>188</v>
      </c>
      <c r="P79" s="407"/>
      <c r="Q79" s="408">
        <v>-34</v>
      </c>
      <c r="R79" s="408">
        <v>-28</v>
      </c>
      <c r="S79" s="405">
        <v>300</v>
      </c>
      <c r="T79" s="406">
        <v>72</v>
      </c>
      <c r="U79" s="406">
        <v>8</v>
      </c>
      <c r="V79" s="406">
        <v>104</v>
      </c>
      <c r="W79" s="407"/>
      <c r="X79" s="406">
        <v>68</v>
      </c>
      <c r="Y79" s="408">
        <v>-4</v>
      </c>
      <c r="Z79" s="405">
        <v>134</v>
      </c>
      <c r="AA79" s="406">
        <v>62</v>
      </c>
      <c r="AB79" s="408">
        <v>-322</v>
      </c>
      <c r="AC79" s="408">
        <v>-226</v>
      </c>
      <c r="AD79" s="407"/>
      <c r="AE79" s="408"/>
      <c r="AF79" s="408"/>
      <c r="AG79" s="409"/>
      <c r="AH79" s="410"/>
      <c r="AI79" s="410"/>
      <c r="AJ79" s="8"/>
    </row>
    <row r="80" spans="1:36" ht="15">
      <c r="A80" s="365"/>
      <c r="B80" s="403" t="s">
        <v>274</v>
      </c>
      <c r="C80" s="404">
        <v>176</v>
      </c>
      <c r="D80" s="404">
        <v>8</v>
      </c>
      <c r="E80" s="405">
        <v>8</v>
      </c>
      <c r="F80" s="406">
        <v>8</v>
      </c>
      <c r="G80" s="406">
        <v>8</v>
      </c>
      <c r="H80" s="406">
        <v>8</v>
      </c>
      <c r="I80" s="407"/>
      <c r="J80" s="406">
        <v>8</v>
      </c>
      <c r="K80" s="406">
        <v>8</v>
      </c>
      <c r="L80" s="405">
        <v>8</v>
      </c>
      <c r="M80" s="406">
        <v>8</v>
      </c>
      <c r="N80" s="406">
        <v>8</v>
      </c>
      <c r="O80" s="406">
        <v>8</v>
      </c>
      <c r="P80" s="407"/>
      <c r="Q80" s="406">
        <v>8</v>
      </c>
      <c r="R80" s="406">
        <v>8</v>
      </c>
      <c r="S80" s="405">
        <v>8</v>
      </c>
      <c r="T80" s="406">
        <v>8</v>
      </c>
      <c r="U80" s="406">
        <v>8</v>
      </c>
      <c r="V80" s="406">
        <v>8</v>
      </c>
      <c r="W80" s="407"/>
      <c r="X80" s="406">
        <v>8</v>
      </c>
      <c r="Y80" s="406">
        <v>8</v>
      </c>
      <c r="Z80" s="405">
        <v>8</v>
      </c>
      <c r="AA80" s="406">
        <v>8</v>
      </c>
      <c r="AB80" s="406">
        <v>8</v>
      </c>
      <c r="AC80" s="406">
        <v>8</v>
      </c>
      <c r="AD80" s="407"/>
      <c r="AE80" s="408"/>
      <c r="AF80" s="408"/>
      <c r="AG80" s="409"/>
      <c r="AH80" s="410"/>
      <c r="AI80" s="410"/>
      <c r="AJ80" s="8"/>
    </row>
    <row r="81" spans="1:36" ht="15">
      <c r="A81" s="365"/>
      <c r="B81" s="403" t="s">
        <v>275</v>
      </c>
      <c r="C81" s="404">
        <v>93</v>
      </c>
      <c r="D81" s="404">
        <v>93</v>
      </c>
      <c r="E81" s="405">
        <v>94</v>
      </c>
      <c r="F81" s="406">
        <v>94</v>
      </c>
      <c r="G81" s="406">
        <v>95</v>
      </c>
      <c r="H81" s="406">
        <v>94</v>
      </c>
      <c r="I81" s="407"/>
      <c r="J81" s="406">
        <v>90</v>
      </c>
      <c r="K81" s="406">
        <v>90</v>
      </c>
      <c r="L81" s="405">
        <v>89</v>
      </c>
      <c r="M81" s="406">
        <v>90</v>
      </c>
      <c r="N81" s="406">
        <v>90</v>
      </c>
      <c r="O81" s="406">
        <v>94</v>
      </c>
      <c r="P81" s="407"/>
      <c r="Q81" s="406">
        <v>92</v>
      </c>
      <c r="R81" s="406">
        <v>97</v>
      </c>
      <c r="S81" s="405">
        <v>98</v>
      </c>
      <c r="T81" s="406">
        <v>96</v>
      </c>
      <c r="U81" s="406">
        <v>96</v>
      </c>
      <c r="V81" s="406">
        <v>92</v>
      </c>
      <c r="W81" s="407"/>
      <c r="X81" s="406">
        <v>95</v>
      </c>
      <c r="Y81" s="406">
        <v>96</v>
      </c>
      <c r="Z81" s="405">
        <v>95</v>
      </c>
      <c r="AA81" s="406">
        <v>97</v>
      </c>
      <c r="AB81" s="406">
        <v>94</v>
      </c>
      <c r="AC81" s="406">
        <v>94</v>
      </c>
      <c r="AD81" s="407"/>
      <c r="AE81" s="408"/>
      <c r="AF81" s="408"/>
      <c r="AG81" s="409"/>
      <c r="AH81" s="410"/>
      <c r="AI81" s="410"/>
      <c r="AJ81" s="8"/>
    </row>
    <row r="82" spans="1:36" ht="15">
      <c r="A82" s="365"/>
      <c r="B82" s="403" t="s">
        <v>276</v>
      </c>
      <c r="C82" s="404">
        <v>186.95454545454547</v>
      </c>
      <c r="D82" s="404">
        <v>186.95454545454547</v>
      </c>
      <c r="E82" s="405">
        <v>171.75</v>
      </c>
      <c r="F82" s="406">
        <v>207</v>
      </c>
      <c r="G82" s="406">
        <v>202.5</v>
      </c>
      <c r="H82" s="406">
        <v>216</v>
      </c>
      <c r="I82" s="407"/>
      <c r="J82" s="406">
        <v>222</v>
      </c>
      <c r="K82" s="406">
        <v>200.25</v>
      </c>
      <c r="L82" s="405">
        <v>183</v>
      </c>
      <c r="M82" s="406">
        <v>196.5</v>
      </c>
      <c r="N82" s="406">
        <v>258.75</v>
      </c>
      <c r="O82" s="406">
        <v>223.5</v>
      </c>
      <c r="P82" s="407"/>
      <c r="Q82" s="406">
        <v>195.75</v>
      </c>
      <c r="R82" s="406">
        <v>196.5</v>
      </c>
      <c r="S82" s="405">
        <v>165</v>
      </c>
      <c r="T82" s="406">
        <v>136.5</v>
      </c>
      <c r="U82" s="406">
        <v>171</v>
      </c>
      <c r="V82" s="406">
        <v>183</v>
      </c>
      <c r="W82" s="407"/>
      <c r="X82" s="406">
        <v>178.5</v>
      </c>
      <c r="Y82" s="406">
        <v>169.5</v>
      </c>
      <c r="Z82" s="405">
        <v>186.75</v>
      </c>
      <c r="AA82" s="406">
        <v>177.75</v>
      </c>
      <c r="AB82" s="406">
        <v>129.75</v>
      </c>
      <c r="AC82" s="406">
        <v>141.75</v>
      </c>
      <c r="AD82" s="407"/>
      <c r="AE82" s="408"/>
      <c r="AF82" s="408"/>
      <c r="AG82" s="409"/>
      <c r="AH82" s="410"/>
      <c r="AI82" s="410"/>
      <c r="AJ82" s="8"/>
    </row>
    <row r="83" spans="1:36" ht="15">
      <c r="A83" s="366"/>
      <c r="B83" s="412" t="s">
        <v>277</v>
      </c>
      <c r="C83" s="413">
        <v>2.0103</v>
      </c>
      <c r="D83" s="413">
        <v>2.0103</v>
      </c>
      <c r="E83" s="414">
        <v>1.8270999999999999</v>
      </c>
      <c r="F83" s="413">
        <v>2.2021000000000002</v>
      </c>
      <c r="G83" s="413">
        <v>2.1316000000000002</v>
      </c>
      <c r="H83" s="413">
        <v>2.2978999999999998</v>
      </c>
      <c r="I83" s="415"/>
      <c r="J83" s="413">
        <v>2.4666999999999999</v>
      </c>
      <c r="K83" s="413">
        <v>2.2250000000000001</v>
      </c>
      <c r="L83" s="414">
        <v>2.0562</v>
      </c>
      <c r="M83" s="413">
        <v>2.1833</v>
      </c>
      <c r="N83" s="413">
        <v>2.875</v>
      </c>
      <c r="O83" s="413">
        <v>2.3776999999999999</v>
      </c>
      <c r="P83" s="415"/>
      <c r="Q83" s="413">
        <v>2.1276999999999999</v>
      </c>
      <c r="R83" s="413">
        <v>2.0257999999999998</v>
      </c>
      <c r="S83" s="414">
        <v>1.6837</v>
      </c>
      <c r="T83" s="413">
        <v>1.4218999999999999</v>
      </c>
      <c r="U83" s="413">
        <v>1.7812999999999999</v>
      </c>
      <c r="V83" s="413">
        <v>1.9891000000000001</v>
      </c>
      <c r="W83" s="415"/>
      <c r="X83" s="413">
        <v>1.8789</v>
      </c>
      <c r="Y83" s="413">
        <v>1.7656000000000001</v>
      </c>
      <c r="Z83" s="414">
        <v>1.9658</v>
      </c>
      <c r="AA83" s="413">
        <v>1.8325</v>
      </c>
      <c r="AB83" s="413">
        <v>1.3803000000000001</v>
      </c>
      <c r="AC83" s="413">
        <v>1.508</v>
      </c>
      <c r="AD83" s="415"/>
      <c r="AE83" s="416"/>
      <c r="AF83" s="416"/>
      <c r="AG83" s="417"/>
      <c r="AH83" s="418"/>
      <c r="AI83" s="418"/>
      <c r="AJ83" s="8"/>
    </row>
    <row r="84" spans="1:36" ht="15">
      <c r="A84" s="364" t="s">
        <v>283</v>
      </c>
      <c r="B84" s="393" t="s">
        <v>279</v>
      </c>
      <c r="C84" s="394">
        <v>38600</v>
      </c>
      <c r="D84" s="394">
        <v>1754.5454545454545</v>
      </c>
      <c r="E84" s="395">
        <v>1760</v>
      </c>
      <c r="F84" s="396">
        <v>1760</v>
      </c>
      <c r="G84" s="396">
        <v>1760</v>
      </c>
      <c r="H84" s="396">
        <v>1760</v>
      </c>
      <c r="I84" s="397"/>
      <c r="J84" s="396">
        <v>1760</v>
      </c>
      <c r="K84" s="396">
        <v>1760</v>
      </c>
      <c r="L84" s="395">
        <v>1760</v>
      </c>
      <c r="M84" s="396">
        <v>1760</v>
      </c>
      <c r="N84" s="396">
        <v>1760</v>
      </c>
      <c r="O84" s="396">
        <v>1760</v>
      </c>
      <c r="P84" s="397"/>
      <c r="Q84" s="396">
        <v>1760</v>
      </c>
      <c r="R84" s="396">
        <v>1760</v>
      </c>
      <c r="S84" s="395">
        <v>1760</v>
      </c>
      <c r="T84" s="396">
        <v>1760</v>
      </c>
      <c r="U84" s="396">
        <v>1760</v>
      </c>
      <c r="V84" s="396">
        <v>1760</v>
      </c>
      <c r="W84" s="397"/>
      <c r="X84" s="396">
        <v>1760</v>
      </c>
      <c r="Y84" s="396">
        <v>1760</v>
      </c>
      <c r="Z84" s="395">
        <v>1760</v>
      </c>
      <c r="AA84" s="396">
        <v>1760</v>
      </c>
      <c r="AB84" s="396">
        <v>1760</v>
      </c>
      <c r="AC84" s="396">
        <v>1640</v>
      </c>
      <c r="AD84" s="397"/>
      <c r="AE84" s="398"/>
      <c r="AF84" s="398"/>
      <c r="AG84" s="399"/>
      <c r="AH84" s="400"/>
      <c r="AI84" s="400"/>
      <c r="AJ84" s="8"/>
    </row>
    <row r="85" spans="1:36" ht="15">
      <c r="A85" s="365"/>
      <c r="B85" s="393" t="s">
        <v>271</v>
      </c>
      <c r="C85" s="394">
        <v>36960</v>
      </c>
      <c r="D85" s="394">
        <v>1680</v>
      </c>
      <c r="E85" s="395">
        <v>1680</v>
      </c>
      <c r="F85" s="396">
        <v>1680</v>
      </c>
      <c r="G85" s="396">
        <v>1680</v>
      </c>
      <c r="H85" s="396">
        <v>1680</v>
      </c>
      <c r="I85" s="397"/>
      <c r="J85" s="396">
        <v>1680</v>
      </c>
      <c r="K85" s="396">
        <v>1680</v>
      </c>
      <c r="L85" s="395">
        <v>1680</v>
      </c>
      <c r="M85" s="396">
        <v>1680</v>
      </c>
      <c r="N85" s="396">
        <v>1680</v>
      </c>
      <c r="O85" s="396">
        <v>1680</v>
      </c>
      <c r="P85" s="397"/>
      <c r="Q85" s="396">
        <v>1680</v>
      </c>
      <c r="R85" s="396">
        <v>1680</v>
      </c>
      <c r="S85" s="395">
        <v>1680</v>
      </c>
      <c r="T85" s="396">
        <v>1680</v>
      </c>
      <c r="U85" s="396">
        <v>1680</v>
      </c>
      <c r="V85" s="396">
        <v>1680</v>
      </c>
      <c r="W85" s="397"/>
      <c r="X85" s="396">
        <v>1680</v>
      </c>
      <c r="Y85" s="396">
        <v>1680</v>
      </c>
      <c r="Z85" s="395">
        <v>1680</v>
      </c>
      <c r="AA85" s="396">
        <v>1680</v>
      </c>
      <c r="AB85" s="396">
        <v>1680</v>
      </c>
      <c r="AC85" s="396">
        <v>1680</v>
      </c>
      <c r="AD85" s="397"/>
      <c r="AE85" s="396">
        <v>1680</v>
      </c>
      <c r="AF85" s="396">
        <v>1680</v>
      </c>
      <c r="AG85" s="401">
        <v>1680</v>
      </c>
      <c r="AH85" s="402">
        <v>1680</v>
      </c>
      <c r="AI85" s="402">
        <v>1680</v>
      </c>
      <c r="AJ85" s="8"/>
    </row>
    <row r="86" spans="1:36" ht="15">
      <c r="A86" s="365"/>
      <c r="B86" s="403" t="s">
        <v>272</v>
      </c>
      <c r="C86" s="404">
        <v>35172</v>
      </c>
      <c r="D86" s="404">
        <v>1598.7272727272727</v>
      </c>
      <c r="E86" s="405">
        <v>1620</v>
      </c>
      <c r="F86" s="406">
        <v>1734</v>
      </c>
      <c r="G86" s="406">
        <v>1596</v>
      </c>
      <c r="H86" s="406">
        <v>1602</v>
      </c>
      <c r="I86" s="407"/>
      <c r="J86" s="406">
        <v>1536</v>
      </c>
      <c r="K86" s="406">
        <v>1698</v>
      </c>
      <c r="L86" s="405">
        <v>1848</v>
      </c>
      <c r="M86" s="406">
        <v>1470</v>
      </c>
      <c r="N86" s="406">
        <v>1806</v>
      </c>
      <c r="O86" s="406">
        <v>1362</v>
      </c>
      <c r="P86" s="407"/>
      <c r="Q86" s="406">
        <v>1224</v>
      </c>
      <c r="R86" s="406">
        <v>1914</v>
      </c>
      <c r="S86" s="405">
        <v>1830</v>
      </c>
      <c r="T86" s="406">
        <v>1542</v>
      </c>
      <c r="U86" s="406">
        <v>1662</v>
      </c>
      <c r="V86" s="406">
        <v>1068</v>
      </c>
      <c r="W86" s="407"/>
      <c r="X86" s="406">
        <v>1662</v>
      </c>
      <c r="Y86" s="406">
        <v>1704</v>
      </c>
      <c r="Z86" s="405">
        <v>1680</v>
      </c>
      <c r="AA86" s="406">
        <v>1620</v>
      </c>
      <c r="AB86" s="406">
        <v>1428</v>
      </c>
      <c r="AC86" s="406">
        <v>1566</v>
      </c>
      <c r="AD86" s="407"/>
      <c r="AE86" s="408"/>
      <c r="AF86" s="408"/>
      <c r="AG86" s="409"/>
      <c r="AH86" s="410"/>
      <c r="AI86" s="410"/>
      <c r="AJ86" s="8"/>
    </row>
    <row r="87" spans="1:36" ht="15">
      <c r="A87" s="365"/>
      <c r="B87" s="403" t="s">
        <v>273</v>
      </c>
      <c r="C87" s="411">
        <v>-1788</v>
      </c>
      <c r="D87" s="411">
        <v>-81.272727272727266</v>
      </c>
      <c r="E87" s="407">
        <v>-60</v>
      </c>
      <c r="F87" s="406">
        <v>54</v>
      </c>
      <c r="G87" s="408">
        <v>-84</v>
      </c>
      <c r="H87" s="408">
        <v>-78</v>
      </c>
      <c r="I87" s="407"/>
      <c r="J87" s="408">
        <v>-144</v>
      </c>
      <c r="K87" s="406">
        <v>18</v>
      </c>
      <c r="L87" s="405">
        <v>168</v>
      </c>
      <c r="M87" s="408">
        <v>-210</v>
      </c>
      <c r="N87" s="406">
        <v>126</v>
      </c>
      <c r="O87" s="408">
        <v>-318</v>
      </c>
      <c r="P87" s="407"/>
      <c r="Q87" s="408">
        <v>-456</v>
      </c>
      <c r="R87" s="406">
        <v>234</v>
      </c>
      <c r="S87" s="405">
        <v>150</v>
      </c>
      <c r="T87" s="408">
        <v>-138</v>
      </c>
      <c r="U87" s="408">
        <v>-18</v>
      </c>
      <c r="V87" s="408">
        <v>-612</v>
      </c>
      <c r="W87" s="407"/>
      <c r="X87" s="408">
        <v>-18</v>
      </c>
      <c r="Y87" s="406">
        <v>24</v>
      </c>
      <c r="Z87" s="405">
        <v>0</v>
      </c>
      <c r="AA87" s="408">
        <v>-60</v>
      </c>
      <c r="AB87" s="408">
        <v>-252</v>
      </c>
      <c r="AC87" s="408">
        <v>-114</v>
      </c>
      <c r="AD87" s="407"/>
      <c r="AE87" s="408"/>
      <c r="AF87" s="408"/>
      <c r="AG87" s="409"/>
      <c r="AH87" s="410"/>
      <c r="AI87" s="410"/>
      <c r="AJ87" s="8"/>
    </row>
    <row r="88" spans="1:36" ht="15">
      <c r="A88" s="365"/>
      <c r="B88" s="403" t="s">
        <v>274</v>
      </c>
      <c r="C88" s="404">
        <v>176</v>
      </c>
      <c r="D88" s="404">
        <v>8</v>
      </c>
      <c r="E88" s="405">
        <v>8</v>
      </c>
      <c r="F88" s="406">
        <v>8</v>
      </c>
      <c r="G88" s="406">
        <v>8</v>
      </c>
      <c r="H88" s="406">
        <v>8</v>
      </c>
      <c r="I88" s="407"/>
      <c r="J88" s="406">
        <v>8</v>
      </c>
      <c r="K88" s="406">
        <v>8</v>
      </c>
      <c r="L88" s="405">
        <v>8</v>
      </c>
      <c r="M88" s="406">
        <v>8</v>
      </c>
      <c r="N88" s="406">
        <v>8</v>
      </c>
      <c r="O88" s="406">
        <v>8</v>
      </c>
      <c r="P88" s="407"/>
      <c r="Q88" s="406">
        <v>8</v>
      </c>
      <c r="R88" s="406">
        <v>8</v>
      </c>
      <c r="S88" s="405">
        <v>8</v>
      </c>
      <c r="T88" s="406">
        <v>8</v>
      </c>
      <c r="U88" s="406">
        <v>8</v>
      </c>
      <c r="V88" s="406">
        <v>8</v>
      </c>
      <c r="W88" s="407"/>
      <c r="X88" s="406">
        <v>8</v>
      </c>
      <c r="Y88" s="406">
        <v>8</v>
      </c>
      <c r="Z88" s="405">
        <v>8</v>
      </c>
      <c r="AA88" s="406">
        <v>8</v>
      </c>
      <c r="AB88" s="406">
        <v>8</v>
      </c>
      <c r="AC88" s="406">
        <v>8</v>
      </c>
      <c r="AD88" s="407"/>
      <c r="AE88" s="408"/>
      <c r="AF88" s="408"/>
      <c r="AG88" s="409"/>
      <c r="AH88" s="410"/>
      <c r="AI88" s="410"/>
      <c r="AJ88" s="8"/>
    </row>
    <row r="89" spans="1:36" ht="15">
      <c r="A89" s="365"/>
      <c r="B89" s="403" t="s">
        <v>275</v>
      </c>
      <c r="C89" s="404">
        <v>61</v>
      </c>
      <c r="D89" s="404">
        <v>61</v>
      </c>
      <c r="E89" s="405">
        <v>63</v>
      </c>
      <c r="F89" s="406">
        <v>62</v>
      </c>
      <c r="G89" s="406">
        <v>62</v>
      </c>
      <c r="H89" s="406">
        <v>62</v>
      </c>
      <c r="I89" s="407"/>
      <c r="J89" s="406">
        <v>62</v>
      </c>
      <c r="K89" s="406">
        <v>62</v>
      </c>
      <c r="L89" s="405">
        <v>61</v>
      </c>
      <c r="M89" s="406">
        <v>63</v>
      </c>
      <c r="N89" s="406">
        <v>63</v>
      </c>
      <c r="O89" s="406">
        <v>62</v>
      </c>
      <c r="P89" s="407"/>
      <c r="Q89" s="406">
        <v>63</v>
      </c>
      <c r="R89" s="406">
        <v>63</v>
      </c>
      <c r="S89" s="405">
        <v>62</v>
      </c>
      <c r="T89" s="406">
        <v>62</v>
      </c>
      <c r="U89" s="406">
        <v>63</v>
      </c>
      <c r="V89" s="406">
        <v>62</v>
      </c>
      <c r="W89" s="407"/>
      <c r="X89" s="406">
        <v>58</v>
      </c>
      <c r="Y89" s="406">
        <v>61</v>
      </c>
      <c r="Z89" s="405">
        <v>62</v>
      </c>
      <c r="AA89" s="406">
        <v>62</v>
      </c>
      <c r="AB89" s="406">
        <v>61</v>
      </c>
      <c r="AC89" s="406">
        <v>58</v>
      </c>
      <c r="AD89" s="407"/>
      <c r="AE89" s="408"/>
      <c r="AF89" s="408"/>
      <c r="AG89" s="409"/>
      <c r="AH89" s="410"/>
      <c r="AI89" s="410"/>
      <c r="AJ89" s="8"/>
    </row>
    <row r="90" spans="1:36" ht="15">
      <c r="A90" s="365"/>
      <c r="B90" s="403" t="s">
        <v>276</v>
      </c>
      <c r="C90" s="404">
        <v>199.84090909090909</v>
      </c>
      <c r="D90" s="404">
        <v>199.84090909090909</v>
      </c>
      <c r="E90" s="405">
        <v>202.5</v>
      </c>
      <c r="F90" s="406">
        <v>216.75</v>
      </c>
      <c r="G90" s="406">
        <v>199.5</v>
      </c>
      <c r="H90" s="406">
        <v>200.25</v>
      </c>
      <c r="I90" s="407"/>
      <c r="J90" s="406">
        <v>192</v>
      </c>
      <c r="K90" s="406">
        <v>212.25</v>
      </c>
      <c r="L90" s="405">
        <v>231</v>
      </c>
      <c r="M90" s="406">
        <v>183.75</v>
      </c>
      <c r="N90" s="406">
        <v>225.75</v>
      </c>
      <c r="O90" s="406">
        <v>170.25</v>
      </c>
      <c r="P90" s="407"/>
      <c r="Q90" s="406">
        <v>153</v>
      </c>
      <c r="R90" s="406">
        <v>239.25</v>
      </c>
      <c r="S90" s="405">
        <v>228.75</v>
      </c>
      <c r="T90" s="406">
        <v>192.75</v>
      </c>
      <c r="U90" s="406">
        <v>207.75</v>
      </c>
      <c r="V90" s="406">
        <v>133.5</v>
      </c>
      <c r="W90" s="407"/>
      <c r="X90" s="406">
        <v>207.75</v>
      </c>
      <c r="Y90" s="406">
        <v>213</v>
      </c>
      <c r="Z90" s="405">
        <v>210</v>
      </c>
      <c r="AA90" s="406">
        <v>202.5</v>
      </c>
      <c r="AB90" s="406">
        <v>178.5</v>
      </c>
      <c r="AC90" s="406">
        <v>195.75</v>
      </c>
      <c r="AD90" s="407"/>
      <c r="AE90" s="408"/>
      <c r="AF90" s="408"/>
      <c r="AG90" s="409"/>
      <c r="AH90" s="410"/>
      <c r="AI90" s="410"/>
      <c r="AJ90" s="8"/>
    </row>
    <row r="91" spans="1:36" ht="15">
      <c r="A91" s="366"/>
      <c r="B91" s="412" t="s">
        <v>277</v>
      </c>
      <c r="C91" s="413">
        <v>3.2761</v>
      </c>
      <c r="D91" s="413">
        <v>3.2761</v>
      </c>
      <c r="E91" s="414">
        <v>3.2143000000000002</v>
      </c>
      <c r="F91" s="413">
        <v>3.496</v>
      </c>
      <c r="G91" s="413">
        <v>3.2176999999999998</v>
      </c>
      <c r="H91" s="413">
        <v>3.2298</v>
      </c>
      <c r="I91" s="415"/>
      <c r="J91" s="413">
        <v>3.0968</v>
      </c>
      <c r="K91" s="413">
        <v>3.4234</v>
      </c>
      <c r="L91" s="414">
        <v>3.7869000000000002</v>
      </c>
      <c r="M91" s="413">
        <v>2.9167000000000001</v>
      </c>
      <c r="N91" s="413">
        <v>3.5832999999999999</v>
      </c>
      <c r="O91" s="413">
        <v>2.746</v>
      </c>
      <c r="P91" s="415"/>
      <c r="Q91" s="413">
        <v>2.4285999999999999</v>
      </c>
      <c r="R91" s="413">
        <v>3.7976000000000001</v>
      </c>
      <c r="S91" s="414">
        <v>3.6894999999999998</v>
      </c>
      <c r="T91" s="413">
        <v>3.1089000000000002</v>
      </c>
      <c r="U91" s="413">
        <v>3.2976000000000001</v>
      </c>
      <c r="V91" s="413">
        <v>2.1532</v>
      </c>
      <c r="W91" s="415"/>
      <c r="X91" s="413">
        <v>3.5819000000000001</v>
      </c>
      <c r="Y91" s="413">
        <v>3.4918</v>
      </c>
      <c r="Z91" s="414">
        <v>3.3871000000000002</v>
      </c>
      <c r="AA91" s="413">
        <v>3.2660999999999998</v>
      </c>
      <c r="AB91" s="413">
        <v>2.9262000000000001</v>
      </c>
      <c r="AC91" s="413">
        <v>3.375</v>
      </c>
      <c r="AD91" s="415"/>
      <c r="AE91" s="416"/>
      <c r="AF91" s="416"/>
      <c r="AG91" s="417"/>
      <c r="AH91" s="418"/>
      <c r="AI91" s="418"/>
      <c r="AJ91" s="8"/>
    </row>
    <row r="92" spans="1:36" ht="15">
      <c r="A92" s="364" t="s">
        <v>284</v>
      </c>
      <c r="B92" s="393" t="s">
        <v>279</v>
      </c>
      <c r="C92" s="394">
        <v>38720</v>
      </c>
      <c r="D92" s="394">
        <v>1760</v>
      </c>
      <c r="E92" s="395">
        <v>1760</v>
      </c>
      <c r="F92" s="396">
        <v>1760</v>
      </c>
      <c r="G92" s="396">
        <v>1760</v>
      </c>
      <c r="H92" s="396">
        <v>1760</v>
      </c>
      <c r="I92" s="397"/>
      <c r="J92" s="396">
        <v>1760</v>
      </c>
      <c r="K92" s="396">
        <v>1760</v>
      </c>
      <c r="L92" s="395">
        <v>1760</v>
      </c>
      <c r="M92" s="396">
        <v>1760</v>
      </c>
      <c r="N92" s="396">
        <v>1760</v>
      </c>
      <c r="O92" s="396">
        <v>1760</v>
      </c>
      <c r="P92" s="397"/>
      <c r="Q92" s="396">
        <v>1760</v>
      </c>
      <c r="R92" s="396">
        <v>1760</v>
      </c>
      <c r="S92" s="395">
        <v>1760</v>
      </c>
      <c r="T92" s="396">
        <v>1760</v>
      </c>
      <c r="U92" s="396">
        <v>1760</v>
      </c>
      <c r="V92" s="396">
        <v>1760</v>
      </c>
      <c r="W92" s="397"/>
      <c r="X92" s="396">
        <v>1760</v>
      </c>
      <c r="Y92" s="396">
        <v>1760</v>
      </c>
      <c r="Z92" s="395">
        <v>1760</v>
      </c>
      <c r="AA92" s="396">
        <v>1760</v>
      </c>
      <c r="AB92" s="396">
        <v>1760</v>
      </c>
      <c r="AC92" s="396">
        <v>1760</v>
      </c>
      <c r="AD92" s="397"/>
      <c r="AE92" s="398"/>
      <c r="AF92" s="398"/>
      <c r="AG92" s="399"/>
      <c r="AH92" s="400"/>
      <c r="AI92" s="400"/>
      <c r="AJ92" s="8"/>
    </row>
    <row r="93" spans="1:36" ht="15">
      <c r="A93" s="365"/>
      <c r="B93" s="393" t="s">
        <v>271</v>
      </c>
      <c r="C93" s="394">
        <v>36960</v>
      </c>
      <c r="D93" s="394">
        <v>1680</v>
      </c>
      <c r="E93" s="395">
        <v>1680</v>
      </c>
      <c r="F93" s="396">
        <v>1680</v>
      </c>
      <c r="G93" s="396">
        <v>1680</v>
      </c>
      <c r="H93" s="396">
        <v>1680</v>
      </c>
      <c r="I93" s="397"/>
      <c r="J93" s="396">
        <v>1680</v>
      </c>
      <c r="K93" s="396">
        <v>1680</v>
      </c>
      <c r="L93" s="395">
        <v>1680</v>
      </c>
      <c r="M93" s="396">
        <v>1680</v>
      </c>
      <c r="N93" s="396">
        <v>1680</v>
      </c>
      <c r="O93" s="396">
        <v>1680</v>
      </c>
      <c r="P93" s="397"/>
      <c r="Q93" s="396">
        <v>1680</v>
      </c>
      <c r="R93" s="396">
        <v>1680</v>
      </c>
      <c r="S93" s="395">
        <v>1680</v>
      </c>
      <c r="T93" s="396">
        <v>1680</v>
      </c>
      <c r="U93" s="396">
        <v>1680</v>
      </c>
      <c r="V93" s="396">
        <v>1680</v>
      </c>
      <c r="W93" s="397"/>
      <c r="X93" s="396">
        <v>1680</v>
      </c>
      <c r="Y93" s="396">
        <v>1680</v>
      </c>
      <c r="Z93" s="395">
        <v>1680</v>
      </c>
      <c r="AA93" s="396">
        <v>1680</v>
      </c>
      <c r="AB93" s="396">
        <v>1680</v>
      </c>
      <c r="AC93" s="396">
        <v>1680</v>
      </c>
      <c r="AD93" s="397"/>
      <c r="AE93" s="396">
        <v>1680</v>
      </c>
      <c r="AF93" s="396">
        <v>1680</v>
      </c>
      <c r="AG93" s="401">
        <v>1680</v>
      </c>
      <c r="AH93" s="402">
        <v>1680</v>
      </c>
      <c r="AI93" s="402">
        <v>1680</v>
      </c>
      <c r="AJ93" s="8"/>
    </row>
    <row r="94" spans="1:36" ht="15">
      <c r="A94" s="365"/>
      <c r="B94" s="403" t="s">
        <v>272</v>
      </c>
      <c r="C94" s="404">
        <v>33900</v>
      </c>
      <c r="D94" s="404">
        <v>1540.909090909091</v>
      </c>
      <c r="E94" s="405">
        <v>1500</v>
      </c>
      <c r="F94" s="406">
        <v>1668</v>
      </c>
      <c r="G94" s="406">
        <v>1920</v>
      </c>
      <c r="H94" s="406">
        <v>1698</v>
      </c>
      <c r="I94" s="407"/>
      <c r="J94" s="406">
        <v>1656</v>
      </c>
      <c r="K94" s="406">
        <v>1914</v>
      </c>
      <c r="L94" s="405">
        <v>1878</v>
      </c>
      <c r="M94" s="406">
        <v>1752</v>
      </c>
      <c r="N94" s="406">
        <v>1896</v>
      </c>
      <c r="O94" s="406">
        <v>1272</v>
      </c>
      <c r="P94" s="407"/>
      <c r="Q94" s="406">
        <v>1032</v>
      </c>
      <c r="R94" s="406">
        <v>1110</v>
      </c>
      <c r="S94" s="405">
        <v>786</v>
      </c>
      <c r="T94" s="406">
        <v>1566</v>
      </c>
      <c r="U94" s="406">
        <v>1674</v>
      </c>
      <c r="V94" s="406">
        <v>1236</v>
      </c>
      <c r="W94" s="407"/>
      <c r="X94" s="406">
        <v>1356</v>
      </c>
      <c r="Y94" s="406">
        <v>1584</v>
      </c>
      <c r="Z94" s="405">
        <v>1644</v>
      </c>
      <c r="AA94" s="406">
        <v>1656</v>
      </c>
      <c r="AB94" s="406">
        <v>1422</v>
      </c>
      <c r="AC94" s="406">
        <v>1680</v>
      </c>
      <c r="AD94" s="407"/>
      <c r="AE94" s="408"/>
      <c r="AF94" s="408"/>
      <c r="AG94" s="409"/>
      <c r="AH94" s="410"/>
      <c r="AI94" s="410"/>
      <c r="AJ94" s="8"/>
    </row>
    <row r="95" spans="1:36" ht="15">
      <c r="A95" s="365"/>
      <c r="B95" s="403" t="s">
        <v>273</v>
      </c>
      <c r="C95" s="411">
        <v>-3060</v>
      </c>
      <c r="D95" s="411">
        <v>-139.09090909090909</v>
      </c>
      <c r="E95" s="407">
        <v>-180</v>
      </c>
      <c r="F95" s="408">
        <v>-12</v>
      </c>
      <c r="G95" s="406">
        <v>240</v>
      </c>
      <c r="H95" s="406">
        <v>18</v>
      </c>
      <c r="I95" s="407"/>
      <c r="J95" s="408">
        <v>-24</v>
      </c>
      <c r="K95" s="406">
        <v>234</v>
      </c>
      <c r="L95" s="405">
        <v>198</v>
      </c>
      <c r="M95" s="406">
        <v>72</v>
      </c>
      <c r="N95" s="406">
        <v>216</v>
      </c>
      <c r="O95" s="408">
        <v>-408</v>
      </c>
      <c r="P95" s="407"/>
      <c r="Q95" s="408">
        <v>-648</v>
      </c>
      <c r="R95" s="408">
        <v>-570</v>
      </c>
      <c r="S95" s="407">
        <v>-894</v>
      </c>
      <c r="T95" s="408">
        <v>-114</v>
      </c>
      <c r="U95" s="408">
        <v>-6</v>
      </c>
      <c r="V95" s="408">
        <v>-444</v>
      </c>
      <c r="W95" s="407"/>
      <c r="X95" s="408">
        <v>-324</v>
      </c>
      <c r="Y95" s="408">
        <v>-96</v>
      </c>
      <c r="Z95" s="407">
        <v>-36</v>
      </c>
      <c r="AA95" s="408">
        <v>-24</v>
      </c>
      <c r="AB95" s="408">
        <v>-258</v>
      </c>
      <c r="AC95" s="406">
        <v>0</v>
      </c>
      <c r="AD95" s="407"/>
      <c r="AE95" s="408"/>
      <c r="AF95" s="408"/>
      <c r="AG95" s="409"/>
      <c r="AH95" s="410"/>
      <c r="AI95" s="410"/>
      <c r="AJ95" s="8"/>
    </row>
    <row r="96" spans="1:36" ht="15">
      <c r="A96" s="365"/>
      <c r="B96" s="403" t="s">
        <v>274</v>
      </c>
      <c r="C96" s="404">
        <v>176</v>
      </c>
      <c r="D96" s="404">
        <v>8</v>
      </c>
      <c r="E96" s="405">
        <v>8</v>
      </c>
      <c r="F96" s="406">
        <v>8</v>
      </c>
      <c r="G96" s="406">
        <v>8</v>
      </c>
      <c r="H96" s="406">
        <v>8</v>
      </c>
      <c r="I96" s="407"/>
      <c r="J96" s="406">
        <v>8</v>
      </c>
      <c r="K96" s="406">
        <v>8</v>
      </c>
      <c r="L96" s="405">
        <v>8</v>
      </c>
      <c r="M96" s="406">
        <v>8</v>
      </c>
      <c r="N96" s="406">
        <v>8</v>
      </c>
      <c r="O96" s="406">
        <v>8</v>
      </c>
      <c r="P96" s="407"/>
      <c r="Q96" s="406">
        <v>8</v>
      </c>
      <c r="R96" s="406">
        <v>8</v>
      </c>
      <c r="S96" s="405">
        <v>8</v>
      </c>
      <c r="T96" s="406">
        <v>8</v>
      </c>
      <c r="U96" s="406">
        <v>8</v>
      </c>
      <c r="V96" s="406">
        <v>8</v>
      </c>
      <c r="W96" s="407"/>
      <c r="X96" s="406">
        <v>8</v>
      </c>
      <c r="Y96" s="406">
        <v>8</v>
      </c>
      <c r="Z96" s="405">
        <v>8</v>
      </c>
      <c r="AA96" s="406">
        <v>8</v>
      </c>
      <c r="AB96" s="406">
        <v>8</v>
      </c>
      <c r="AC96" s="406">
        <v>8</v>
      </c>
      <c r="AD96" s="407"/>
      <c r="AE96" s="408"/>
      <c r="AF96" s="408"/>
      <c r="AG96" s="409"/>
      <c r="AH96" s="410"/>
      <c r="AI96" s="410"/>
      <c r="AJ96" s="8"/>
    </row>
    <row r="97" spans="1:36" ht="15">
      <c r="A97" s="365"/>
      <c r="B97" s="403" t="s">
        <v>275</v>
      </c>
      <c r="C97" s="404">
        <v>70</v>
      </c>
      <c r="D97" s="404">
        <v>70</v>
      </c>
      <c r="E97" s="405">
        <v>77</v>
      </c>
      <c r="F97" s="406">
        <v>75</v>
      </c>
      <c r="G97" s="406">
        <v>73</v>
      </c>
      <c r="H97" s="406">
        <v>75</v>
      </c>
      <c r="I97" s="407"/>
      <c r="J97" s="406">
        <v>72</v>
      </c>
      <c r="K97" s="406">
        <v>74</v>
      </c>
      <c r="L97" s="405">
        <v>74</v>
      </c>
      <c r="M97" s="406">
        <v>76</v>
      </c>
      <c r="N97" s="406">
        <v>75</v>
      </c>
      <c r="O97" s="406">
        <v>66</v>
      </c>
      <c r="P97" s="407"/>
      <c r="Q97" s="406">
        <v>65</v>
      </c>
      <c r="R97" s="406">
        <v>68</v>
      </c>
      <c r="S97" s="405">
        <v>66</v>
      </c>
      <c r="T97" s="406">
        <v>69</v>
      </c>
      <c r="U97" s="406">
        <v>68</v>
      </c>
      <c r="V97" s="406">
        <v>67</v>
      </c>
      <c r="W97" s="407"/>
      <c r="X97" s="406">
        <v>68</v>
      </c>
      <c r="Y97" s="406">
        <v>69</v>
      </c>
      <c r="Z97" s="405">
        <v>66</v>
      </c>
      <c r="AA97" s="406">
        <v>67</v>
      </c>
      <c r="AB97" s="406">
        <v>64</v>
      </c>
      <c r="AC97" s="406">
        <v>66</v>
      </c>
      <c r="AD97" s="407"/>
      <c r="AE97" s="408"/>
      <c r="AF97" s="408"/>
      <c r="AG97" s="409"/>
      <c r="AH97" s="410"/>
      <c r="AI97" s="410"/>
      <c r="AJ97" s="8"/>
    </row>
    <row r="98" spans="1:36" ht="15">
      <c r="A98" s="365"/>
      <c r="B98" s="403" t="s">
        <v>276</v>
      </c>
      <c r="C98" s="404">
        <v>192.61363636363637</v>
      </c>
      <c r="D98" s="404">
        <v>192.61363636363637</v>
      </c>
      <c r="E98" s="405">
        <v>187.5</v>
      </c>
      <c r="F98" s="406">
        <v>208.5</v>
      </c>
      <c r="G98" s="406">
        <v>240</v>
      </c>
      <c r="H98" s="406">
        <v>212.25</v>
      </c>
      <c r="I98" s="407"/>
      <c r="J98" s="406">
        <v>207</v>
      </c>
      <c r="K98" s="406">
        <v>239.25</v>
      </c>
      <c r="L98" s="405">
        <v>234.75</v>
      </c>
      <c r="M98" s="406">
        <v>219</v>
      </c>
      <c r="N98" s="406">
        <v>237</v>
      </c>
      <c r="O98" s="406">
        <v>159</v>
      </c>
      <c r="P98" s="407"/>
      <c r="Q98" s="406">
        <v>129</v>
      </c>
      <c r="R98" s="406">
        <v>138.75</v>
      </c>
      <c r="S98" s="405">
        <v>98.25</v>
      </c>
      <c r="T98" s="406">
        <v>195.75</v>
      </c>
      <c r="U98" s="406">
        <v>209.25</v>
      </c>
      <c r="V98" s="406">
        <v>154.5</v>
      </c>
      <c r="W98" s="407"/>
      <c r="X98" s="406">
        <v>169.5</v>
      </c>
      <c r="Y98" s="406">
        <v>198</v>
      </c>
      <c r="Z98" s="405">
        <v>205.5</v>
      </c>
      <c r="AA98" s="406">
        <v>207</v>
      </c>
      <c r="AB98" s="406">
        <v>177.75</v>
      </c>
      <c r="AC98" s="406">
        <v>210</v>
      </c>
      <c r="AD98" s="407"/>
      <c r="AE98" s="408"/>
      <c r="AF98" s="408"/>
      <c r="AG98" s="409"/>
      <c r="AH98" s="410"/>
      <c r="AI98" s="410"/>
      <c r="AJ98" s="8"/>
    </row>
    <row r="99" spans="1:36" ht="15">
      <c r="A99" s="366"/>
      <c r="B99" s="412" t="s">
        <v>277</v>
      </c>
      <c r="C99" s="413">
        <v>2.7515999999999998</v>
      </c>
      <c r="D99" s="413">
        <v>2.7515999999999998</v>
      </c>
      <c r="E99" s="414">
        <v>2.4350999999999998</v>
      </c>
      <c r="F99" s="413">
        <v>2.7800000000000002</v>
      </c>
      <c r="G99" s="413">
        <v>3.2877000000000001</v>
      </c>
      <c r="H99" s="413">
        <v>2.83</v>
      </c>
      <c r="I99" s="415"/>
      <c r="J99" s="413">
        <v>2.875</v>
      </c>
      <c r="K99" s="413">
        <v>3.2330999999999999</v>
      </c>
      <c r="L99" s="414">
        <v>3.1722999999999999</v>
      </c>
      <c r="M99" s="413">
        <v>2.8816000000000002</v>
      </c>
      <c r="N99" s="413">
        <v>3.16</v>
      </c>
      <c r="O99" s="413">
        <v>2.4091</v>
      </c>
      <c r="P99" s="415"/>
      <c r="Q99" s="413">
        <v>1.9845999999999999</v>
      </c>
      <c r="R99" s="413">
        <v>2.0404</v>
      </c>
      <c r="S99" s="414">
        <v>1.4885999999999999</v>
      </c>
      <c r="T99" s="413">
        <v>2.8369999999999997</v>
      </c>
      <c r="U99" s="413">
        <v>3.0771999999999999</v>
      </c>
      <c r="V99" s="413">
        <v>2.306</v>
      </c>
      <c r="W99" s="415"/>
      <c r="X99" s="413">
        <v>2.4925999999999999</v>
      </c>
      <c r="Y99" s="413">
        <v>2.8696000000000002</v>
      </c>
      <c r="Z99" s="414">
        <v>3.1135999999999999</v>
      </c>
      <c r="AA99" s="413">
        <v>3.0895999999999999</v>
      </c>
      <c r="AB99" s="413">
        <v>2.7772999999999999</v>
      </c>
      <c r="AC99" s="413">
        <v>3.1818</v>
      </c>
      <c r="AD99" s="415"/>
      <c r="AE99" s="416"/>
      <c r="AF99" s="416"/>
      <c r="AG99" s="417"/>
      <c r="AH99" s="418"/>
      <c r="AI99" s="418"/>
      <c r="AJ99" s="8"/>
    </row>
    <row r="100" spans="1:36" ht="15">
      <c r="A100" s="364" t="s">
        <v>285</v>
      </c>
      <c r="B100" s="393" t="s">
        <v>279</v>
      </c>
      <c r="C100" s="394">
        <v>38720</v>
      </c>
      <c r="D100" s="394">
        <v>1760</v>
      </c>
      <c r="E100" s="395">
        <v>1760</v>
      </c>
      <c r="F100" s="396">
        <v>1760</v>
      </c>
      <c r="G100" s="396">
        <v>1760</v>
      </c>
      <c r="H100" s="396">
        <v>1760</v>
      </c>
      <c r="I100" s="397"/>
      <c r="J100" s="396">
        <v>1760</v>
      </c>
      <c r="K100" s="396">
        <v>1760</v>
      </c>
      <c r="L100" s="395">
        <v>1760</v>
      </c>
      <c r="M100" s="396">
        <v>1760</v>
      </c>
      <c r="N100" s="396">
        <v>1760</v>
      </c>
      <c r="O100" s="396">
        <v>1760</v>
      </c>
      <c r="P100" s="397"/>
      <c r="Q100" s="396">
        <v>1760</v>
      </c>
      <c r="R100" s="396">
        <v>1760</v>
      </c>
      <c r="S100" s="395">
        <v>1760</v>
      </c>
      <c r="T100" s="396">
        <v>1760</v>
      </c>
      <c r="U100" s="396">
        <v>1760</v>
      </c>
      <c r="V100" s="396">
        <v>1760</v>
      </c>
      <c r="W100" s="397"/>
      <c r="X100" s="396">
        <v>1760</v>
      </c>
      <c r="Y100" s="396">
        <v>1760</v>
      </c>
      <c r="Z100" s="395">
        <v>1760</v>
      </c>
      <c r="AA100" s="396">
        <v>1760</v>
      </c>
      <c r="AB100" s="396">
        <v>1760</v>
      </c>
      <c r="AC100" s="396">
        <v>1760</v>
      </c>
      <c r="AD100" s="397"/>
      <c r="AE100" s="398"/>
      <c r="AF100" s="398"/>
      <c r="AG100" s="399"/>
      <c r="AH100" s="400"/>
      <c r="AI100" s="400"/>
      <c r="AJ100" s="8"/>
    </row>
    <row r="101" spans="1:36" ht="15">
      <c r="A101" s="365"/>
      <c r="B101" s="393" t="s">
        <v>271</v>
      </c>
      <c r="C101" s="394">
        <v>36540</v>
      </c>
      <c r="D101" s="394">
        <v>1660.909090909091</v>
      </c>
      <c r="E101" s="395">
        <v>1680</v>
      </c>
      <c r="F101" s="396">
        <v>1680</v>
      </c>
      <c r="G101" s="396">
        <v>1680</v>
      </c>
      <c r="H101" s="396">
        <v>1680</v>
      </c>
      <c r="I101" s="397"/>
      <c r="J101" s="396">
        <v>1680</v>
      </c>
      <c r="K101" s="396">
        <v>1680</v>
      </c>
      <c r="L101" s="395">
        <v>1680</v>
      </c>
      <c r="M101" s="396">
        <v>1680</v>
      </c>
      <c r="N101" s="396">
        <v>1680</v>
      </c>
      <c r="O101" s="396">
        <v>1260</v>
      </c>
      <c r="P101" s="397"/>
      <c r="Q101" s="396">
        <v>1680</v>
      </c>
      <c r="R101" s="396">
        <v>1680</v>
      </c>
      <c r="S101" s="395">
        <v>1680</v>
      </c>
      <c r="T101" s="396">
        <v>1680</v>
      </c>
      <c r="U101" s="396">
        <v>1680</v>
      </c>
      <c r="V101" s="396">
        <v>1680</v>
      </c>
      <c r="W101" s="397"/>
      <c r="X101" s="396">
        <v>1680</v>
      </c>
      <c r="Y101" s="396">
        <v>1680</v>
      </c>
      <c r="Z101" s="395">
        <v>1680</v>
      </c>
      <c r="AA101" s="396">
        <v>1680</v>
      </c>
      <c r="AB101" s="396">
        <v>1680</v>
      </c>
      <c r="AC101" s="396">
        <v>1680</v>
      </c>
      <c r="AD101" s="397"/>
      <c r="AE101" s="396">
        <v>1680</v>
      </c>
      <c r="AF101" s="396">
        <v>1680</v>
      </c>
      <c r="AG101" s="401">
        <v>1680</v>
      </c>
      <c r="AH101" s="402">
        <v>1680</v>
      </c>
      <c r="AI101" s="402">
        <v>1680</v>
      </c>
      <c r="AJ101" s="8"/>
    </row>
    <row r="102" spans="1:36" ht="15">
      <c r="A102" s="365"/>
      <c r="B102" s="403" t="s">
        <v>272</v>
      </c>
      <c r="C102" s="404">
        <v>33474</v>
      </c>
      <c r="D102" s="404">
        <v>1521.5454545454545</v>
      </c>
      <c r="E102" s="405">
        <v>1566</v>
      </c>
      <c r="F102" s="406">
        <v>1788</v>
      </c>
      <c r="G102" s="406">
        <v>1752</v>
      </c>
      <c r="H102" s="406">
        <v>1686</v>
      </c>
      <c r="I102" s="407"/>
      <c r="J102" s="406">
        <v>1644</v>
      </c>
      <c r="K102" s="406">
        <v>1758</v>
      </c>
      <c r="L102" s="405">
        <v>1812</v>
      </c>
      <c r="M102" s="406">
        <v>1734</v>
      </c>
      <c r="N102" s="406">
        <v>1770</v>
      </c>
      <c r="O102" s="406">
        <v>1500</v>
      </c>
      <c r="P102" s="407"/>
      <c r="Q102" s="406">
        <v>972</v>
      </c>
      <c r="R102" s="406">
        <v>1344</v>
      </c>
      <c r="S102" s="405">
        <v>1344</v>
      </c>
      <c r="T102" s="406">
        <v>1386</v>
      </c>
      <c r="U102" s="406">
        <v>1680</v>
      </c>
      <c r="V102" s="406">
        <v>534</v>
      </c>
      <c r="W102" s="407"/>
      <c r="X102" s="406">
        <v>1476</v>
      </c>
      <c r="Y102" s="406">
        <v>1320</v>
      </c>
      <c r="Z102" s="405">
        <v>1566</v>
      </c>
      <c r="AA102" s="406">
        <v>1578</v>
      </c>
      <c r="AB102" s="406">
        <v>1578</v>
      </c>
      <c r="AC102" s="406">
        <v>1686</v>
      </c>
      <c r="AD102" s="407"/>
      <c r="AE102" s="408"/>
      <c r="AF102" s="408"/>
      <c r="AG102" s="409"/>
      <c r="AH102" s="410"/>
      <c r="AI102" s="410"/>
      <c r="AJ102" s="8"/>
    </row>
    <row r="103" spans="1:36" ht="15">
      <c r="A103" s="365"/>
      <c r="B103" s="403" t="s">
        <v>273</v>
      </c>
      <c r="C103" s="411">
        <v>-3066</v>
      </c>
      <c r="D103" s="411">
        <v>-139.36363636363637</v>
      </c>
      <c r="E103" s="407">
        <v>-114</v>
      </c>
      <c r="F103" s="406">
        <v>108</v>
      </c>
      <c r="G103" s="406">
        <v>72</v>
      </c>
      <c r="H103" s="406">
        <v>6</v>
      </c>
      <c r="I103" s="407"/>
      <c r="J103" s="408">
        <v>-36</v>
      </c>
      <c r="K103" s="406">
        <v>78</v>
      </c>
      <c r="L103" s="405">
        <v>132</v>
      </c>
      <c r="M103" s="406">
        <v>54</v>
      </c>
      <c r="N103" s="406">
        <v>90</v>
      </c>
      <c r="O103" s="406">
        <v>240</v>
      </c>
      <c r="P103" s="407"/>
      <c r="Q103" s="408">
        <v>-708</v>
      </c>
      <c r="R103" s="408">
        <v>-336</v>
      </c>
      <c r="S103" s="407">
        <v>-336</v>
      </c>
      <c r="T103" s="408">
        <v>-294</v>
      </c>
      <c r="U103" s="406">
        <v>0</v>
      </c>
      <c r="V103" s="408">
        <v>-1146</v>
      </c>
      <c r="W103" s="407"/>
      <c r="X103" s="408">
        <v>-204</v>
      </c>
      <c r="Y103" s="408">
        <v>-360</v>
      </c>
      <c r="Z103" s="407">
        <v>-114</v>
      </c>
      <c r="AA103" s="408">
        <v>-102</v>
      </c>
      <c r="AB103" s="408">
        <v>-102</v>
      </c>
      <c r="AC103" s="406">
        <v>6</v>
      </c>
      <c r="AD103" s="407"/>
      <c r="AE103" s="408"/>
      <c r="AF103" s="408"/>
      <c r="AG103" s="409"/>
      <c r="AH103" s="410"/>
      <c r="AI103" s="410"/>
      <c r="AJ103" s="8"/>
    </row>
    <row r="104" spans="1:36" ht="15">
      <c r="A104" s="365"/>
      <c r="B104" s="403" t="s">
        <v>274</v>
      </c>
      <c r="C104" s="404">
        <v>176</v>
      </c>
      <c r="D104" s="404">
        <v>8</v>
      </c>
      <c r="E104" s="405">
        <v>8</v>
      </c>
      <c r="F104" s="406">
        <v>8</v>
      </c>
      <c r="G104" s="406">
        <v>8</v>
      </c>
      <c r="H104" s="406">
        <v>8</v>
      </c>
      <c r="I104" s="407"/>
      <c r="J104" s="406">
        <v>8</v>
      </c>
      <c r="K104" s="406">
        <v>8</v>
      </c>
      <c r="L104" s="405">
        <v>8</v>
      </c>
      <c r="M104" s="406">
        <v>8</v>
      </c>
      <c r="N104" s="406">
        <v>8</v>
      </c>
      <c r="O104" s="406">
        <v>8</v>
      </c>
      <c r="P104" s="407"/>
      <c r="Q104" s="406">
        <v>8</v>
      </c>
      <c r="R104" s="406">
        <v>8</v>
      </c>
      <c r="S104" s="405">
        <v>8</v>
      </c>
      <c r="T104" s="406">
        <v>8</v>
      </c>
      <c r="U104" s="406">
        <v>8</v>
      </c>
      <c r="V104" s="406">
        <v>8</v>
      </c>
      <c r="W104" s="407"/>
      <c r="X104" s="406">
        <v>8</v>
      </c>
      <c r="Y104" s="406">
        <v>8</v>
      </c>
      <c r="Z104" s="405">
        <v>8</v>
      </c>
      <c r="AA104" s="406">
        <v>8</v>
      </c>
      <c r="AB104" s="406">
        <v>8</v>
      </c>
      <c r="AC104" s="406">
        <v>8</v>
      </c>
      <c r="AD104" s="407"/>
      <c r="AE104" s="408"/>
      <c r="AF104" s="408"/>
      <c r="AG104" s="409"/>
      <c r="AH104" s="410"/>
      <c r="AI104" s="410"/>
      <c r="AJ104" s="8"/>
    </row>
    <row r="105" spans="1:36" ht="15">
      <c r="A105" s="365"/>
      <c r="B105" s="403" t="s">
        <v>275</v>
      </c>
      <c r="C105" s="404">
        <v>64</v>
      </c>
      <c r="D105" s="404">
        <v>64</v>
      </c>
      <c r="E105" s="405">
        <v>64</v>
      </c>
      <c r="F105" s="406">
        <v>68</v>
      </c>
      <c r="G105" s="406">
        <v>68</v>
      </c>
      <c r="H105" s="406">
        <v>68</v>
      </c>
      <c r="I105" s="407"/>
      <c r="J105" s="406">
        <v>65</v>
      </c>
      <c r="K105" s="406">
        <v>65</v>
      </c>
      <c r="L105" s="405">
        <v>65</v>
      </c>
      <c r="M105" s="406">
        <v>64</v>
      </c>
      <c r="N105" s="406">
        <v>67</v>
      </c>
      <c r="O105" s="406">
        <v>64</v>
      </c>
      <c r="P105" s="407"/>
      <c r="Q105" s="406">
        <v>64</v>
      </c>
      <c r="R105" s="406">
        <v>63</v>
      </c>
      <c r="S105" s="405">
        <v>64</v>
      </c>
      <c r="T105" s="406">
        <v>63</v>
      </c>
      <c r="U105" s="406">
        <v>66</v>
      </c>
      <c r="V105" s="406">
        <v>64</v>
      </c>
      <c r="W105" s="407"/>
      <c r="X105" s="406">
        <v>65</v>
      </c>
      <c r="Y105" s="406">
        <v>65</v>
      </c>
      <c r="Z105" s="405">
        <v>64</v>
      </c>
      <c r="AA105" s="406">
        <v>62</v>
      </c>
      <c r="AB105" s="406">
        <v>62</v>
      </c>
      <c r="AC105" s="406">
        <v>64</v>
      </c>
      <c r="AD105" s="407"/>
      <c r="AE105" s="408"/>
      <c r="AF105" s="408"/>
      <c r="AG105" s="409"/>
      <c r="AH105" s="410"/>
      <c r="AI105" s="410"/>
      <c r="AJ105" s="8"/>
    </row>
    <row r="106" spans="1:36" ht="15">
      <c r="A106" s="365"/>
      <c r="B106" s="403" t="s">
        <v>276</v>
      </c>
      <c r="C106" s="404">
        <v>190.19318181818181</v>
      </c>
      <c r="D106" s="404">
        <v>190.19318181818181</v>
      </c>
      <c r="E106" s="405">
        <v>195.75</v>
      </c>
      <c r="F106" s="406">
        <v>223.5</v>
      </c>
      <c r="G106" s="406">
        <v>219</v>
      </c>
      <c r="H106" s="406">
        <v>210.75</v>
      </c>
      <c r="I106" s="407"/>
      <c r="J106" s="406">
        <v>205.5</v>
      </c>
      <c r="K106" s="406">
        <v>219.75</v>
      </c>
      <c r="L106" s="405">
        <v>226.5</v>
      </c>
      <c r="M106" s="406">
        <v>216.75</v>
      </c>
      <c r="N106" s="406">
        <v>221.25</v>
      </c>
      <c r="O106" s="406">
        <v>187.5</v>
      </c>
      <c r="P106" s="407"/>
      <c r="Q106" s="406">
        <v>121.5</v>
      </c>
      <c r="R106" s="406">
        <v>168</v>
      </c>
      <c r="S106" s="405">
        <v>168</v>
      </c>
      <c r="T106" s="406">
        <v>173.25</v>
      </c>
      <c r="U106" s="406">
        <v>210</v>
      </c>
      <c r="V106" s="406">
        <v>66.75</v>
      </c>
      <c r="W106" s="407"/>
      <c r="X106" s="406">
        <v>184.5</v>
      </c>
      <c r="Y106" s="406">
        <v>165</v>
      </c>
      <c r="Z106" s="405">
        <v>195.75</v>
      </c>
      <c r="AA106" s="406">
        <v>197.25</v>
      </c>
      <c r="AB106" s="406">
        <v>197.25</v>
      </c>
      <c r="AC106" s="406">
        <v>210.75</v>
      </c>
      <c r="AD106" s="407"/>
      <c r="AE106" s="408"/>
      <c r="AF106" s="408"/>
      <c r="AG106" s="409"/>
      <c r="AH106" s="410"/>
      <c r="AI106" s="410"/>
      <c r="AJ106" s="8"/>
    </row>
    <row r="107" spans="1:36" ht="15">
      <c r="A107" s="366"/>
      <c r="B107" s="412" t="s">
        <v>277</v>
      </c>
      <c r="C107" s="413">
        <v>2.9718</v>
      </c>
      <c r="D107" s="413">
        <v>2.9718</v>
      </c>
      <c r="E107" s="414">
        <v>3.0586000000000002</v>
      </c>
      <c r="F107" s="413">
        <v>3.2867999999999999</v>
      </c>
      <c r="G107" s="413">
        <v>3.2206000000000001</v>
      </c>
      <c r="H107" s="413">
        <v>3.0992999999999999</v>
      </c>
      <c r="I107" s="415"/>
      <c r="J107" s="413">
        <v>3.1615000000000002</v>
      </c>
      <c r="K107" s="413">
        <v>3.3807999999999998</v>
      </c>
      <c r="L107" s="414">
        <v>3.4845999999999999</v>
      </c>
      <c r="M107" s="413">
        <v>3.3866999999999998</v>
      </c>
      <c r="N107" s="413">
        <v>3.3022</v>
      </c>
      <c r="O107" s="413">
        <v>2.9297</v>
      </c>
      <c r="P107" s="415"/>
      <c r="Q107" s="413">
        <v>1.8984000000000001</v>
      </c>
      <c r="R107" s="413">
        <v>2.6667000000000001</v>
      </c>
      <c r="S107" s="414">
        <v>2.625</v>
      </c>
      <c r="T107" s="413">
        <v>2.75</v>
      </c>
      <c r="U107" s="413">
        <v>3.1818</v>
      </c>
      <c r="V107" s="413">
        <v>1.0429999999999999</v>
      </c>
      <c r="W107" s="415"/>
      <c r="X107" s="413">
        <v>2.8384999999999998</v>
      </c>
      <c r="Y107" s="413">
        <v>2.5385</v>
      </c>
      <c r="Z107" s="414">
        <v>3.0586000000000002</v>
      </c>
      <c r="AA107" s="413">
        <v>3.1814999999999998</v>
      </c>
      <c r="AB107" s="413">
        <v>3.1814999999999998</v>
      </c>
      <c r="AC107" s="413">
        <v>3.2930000000000001</v>
      </c>
      <c r="AD107" s="415"/>
      <c r="AE107" s="416"/>
      <c r="AF107" s="416"/>
      <c r="AG107" s="417"/>
      <c r="AH107" s="418"/>
      <c r="AI107" s="418"/>
      <c r="AJ107" s="8"/>
    </row>
    <row r="108" spans="1:36" ht="15">
      <c r="A108" s="364" t="s">
        <v>286</v>
      </c>
      <c r="B108" s="393" t="s">
        <v>279</v>
      </c>
      <c r="C108" s="394">
        <v>32344</v>
      </c>
      <c r="D108" s="394">
        <v>1470.1818181818182</v>
      </c>
      <c r="E108" s="395">
        <v>1440</v>
      </c>
      <c r="F108" s="396">
        <v>1440</v>
      </c>
      <c r="G108" s="396">
        <v>1440</v>
      </c>
      <c r="H108" s="396">
        <v>1440</v>
      </c>
      <c r="I108" s="397"/>
      <c r="J108" s="396">
        <v>1440</v>
      </c>
      <c r="K108" s="396">
        <v>1440</v>
      </c>
      <c r="L108" s="395">
        <v>1440</v>
      </c>
      <c r="M108" s="396">
        <v>1440</v>
      </c>
      <c r="N108" s="396">
        <v>1440</v>
      </c>
      <c r="O108" s="396">
        <v>1440</v>
      </c>
      <c r="P108" s="397"/>
      <c r="Q108" s="396">
        <v>1544</v>
      </c>
      <c r="R108" s="396">
        <v>1760</v>
      </c>
      <c r="S108" s="395">
        <v>1760</v>
      </c>
      <c r="T108" s="396">
        <v>1600</v>
      </c>
      <c r="U108" s="396">
        <v>1600</v>
      </c>
      <c r="V108" s="396">
        <v>1760</v>
      </c>
      <c r="W108" s="397"/>
      <c r="X108" s="396">
        <v>1520</v>
      </c>
      <c r="Y108" s="396">
        <v>1280</v>
      </c>
      <c r="Z108" s="395">
        <v>1280</v>
      </c>
      <c r="AA108" s="396">
        <v>1280</v>
      </c>
      <c r="AB108" s="396">
        <v>1280</v>
      </c>
      <c r="AC108" s="396">
        <v>1280</v>
      </c>
      <c r="AD108" s="397"/>
      <c r="AE108" s="398"/>
      <c r="AF108" s="398"/>
      <c r="AG108" s="399"/>
      <c r="AH108" s="400"/>
      <c r="AI108" s="400"/>
      <c r="AJ108" s="8"/>
    </row>
    <row r="109" spans="1:36" ht="15">
      <c r="A109" s="365"/>
      <c r="B109" s="393" t="s">
        <v>271</v>
      </c>
      <c r="C109" s="394">
        <v>29560</v>
      </c>
      <c r="D109" s="394">
        <v>1343.6363636363637</v>
      </c>
      <c r="E109" s="395">
        <v>1360</v>
      </c>
      <c r="F109" s="396">
        <v>1360</v>
      </c>
      <c r="G109" s="396">
        <v>1360</v>
      </c>
      <c r="H109" s="396">
        <v>1360</v>
      </c>
      <c r="I109" s="397"/>
      <c r="J109" s="396">
        <v>1360</v>
      </c>
      <c r="K109" s="396">
        <v>1360</v>
      </c>
      <c r="L109" s="395">
        <v>1360</v>
      </c>
      <c r="M109" s="396">
        <v>1360</v>
      </c>
      <c r="N109" s="396">
        <v>1360</v>
      </c>
      <c r="O109" s="396">
        <v>1360</v>
      </c>
      <c r="P109" s="397"/>
      <c r="Q109" s="396">
        <v>1260</v>
      </c>
      <c r="R109" s="396">
        <v>1260</v>
      </c>
      <c r="S109" s="395">
        <v>1680</v>
      </c>
      <c r="T109" s="396">
        <v>1680</v>
      </c>
      <c r="U109" s="396">
        <v>1680</v>
      </c>
      <c r="V109" s="396">
        <v>1680</v>
      </c>
      <c r="W109" s="397"/>
      <c r="X109" s="396">
        <v>960</v>
      </c>
      <c r="Y109" s="396">
        <v>960</v>
      </c>
      <c r="Z109" s="395">
        <v>960</v>
      </c>
      <c r="AA109" s="396">
        <v>1280</v>
      </c>
      <c r="AB109" s="396">
        <v>1280</v>
      </c>
      <c r="AC109" s="396">
        <v>1280</v>
      </c>
      <c r="AD109" s="397"/>
      <c r="AE109" s="396">
        <v>960</v>
      </c>
      <c r="AF109" s="396">
        <v>960</v>
      </c>
      <c r="AG109" s="401">
        <v>1280</v>
      </c>
      <c r="AH109" s="402">
        <v>1280</v>
      </c>
      <c r="AI109" s="402">
        <v>1280</v>
      </c>
      <c r="AJ109" s="8"/>
    </row>
    <row r="110" spans="1:36" ht="15">
      <c r="A110" s="365"/>
      <c r="B110" s="403" t="s">
        <v>272</v>
      </c>
      <c r="C110" s="404">
        <v>30473</v>
      </c>
      <c r="D110" s="404">
        <v>1385.1363636363637</v>
      </c>
      <c r="E110" s="405">
        <v>1361</v>
      </c>
      <c r="F110" s="406">
        <v>1371</v>
      </c>
      <c r="G110" s="406">
        <v>1372</v>
      </c>
      <c r="H110" s="406">
        <v>1362</v>
      </c>
      <c r="I110" s="407"/>
      <c r="J110" s="406">
        <v>1445</v>
      </c>
      <c r="K110" s="406">
        <v>1371</v>
      </c>
      <c r="L110" s="405">
        <v>1363</v>
      </c>
      <c r="M110" s="406">
        <v>1365</v>
      </c>
      <c r="N110" s="406">
        <v>1529</v>
      </c>
      <c r="O110" s="406">
        <v>1365</v>
      </c>
      <c r="P110" s="407"/>
      <c r="Q110" s="406">
        <v>1615</v>
      </c>
      <c r="R110" s="406">
        <v>1260</v>
      </c>
      <c r="S110" s="405">
        <v>1692</v>
      </c>
      <c r="T110" s="406">
        <v>2120</v>
      </c>
      <c r="U110" s="406">
        <v>1416</v>
      </c>
      <c r="V110" s="406">
        <v>1824</v>
      </c>
      <c r="W110" s="407"/>
      <c r="X110" s="406">
        <v>1578</v>
      </c>
      <c r="Y110" s="406">
        <v>936</v>
      </c>
      <c r="Z110" s="405">
        <v>986</v>
      </c>
      <c r="AA110" s="406">
        <v>1182</v>
      </c>
      <c r="AB110" s="406">
        <v>1060</v>
      </c>
      <c r="AC110" s="406">
        <v>900</v>
      </c>
      <c r="AD110" s="407"/>
      <c r="AE110" s="408"/>
      <c r="AF110" s="408"/>
      <c r="AG110" s="409"/>
      <c r="AH110" s="410"/>
      <c r="AI110" s="410"/>
      <c r="AJ110" s="8"/>
    </row>
    <row r="111" spans="1:36" ht="15">
      <c r="A111" s="365"/>
      <c r="B111" s="403" t="s">
        <v>273</v>
      </c>
      <c r="C111" s="404">
        <v>913</v>
      </c>
      <c r="D111" s="404">
        <v>41.5</v>
      </c>
      <c r="E111" s="405">
        <v>1</v>
      </c>
      <c r="F111" s="406">
        <v>11</v>
      </c>
      <c r="G111" s="406">
        <v>12</v>
      </c>
      <c r="H111" s="406">
        <v>2</v>
      </c>
      <c r="I111" s="407"/>
      <c r="J111" s="406">
        <v>85</v>
      </c>
      <c r="K111" s="406">
        <v>11</v>
      </c>
      <c r="L111" s="405">
        <v>3</v>
      </c>
      <c r="M111" s="406">
        <v>5</v>
      </c>
      <c r="N111" s="406">
        <v>169</v>
      </c>
      <c r="O111" s="406">
        <v>5</v>
      </c>
      <c r="P111" s="407"/>
      <c r="Q111" s="406">
        <v>355</v>
      </c>
      <c r="R111" s="406">
        <v>0</v>
      </c>
      <c r="S111" s="405">
        <v>12</v>
      </c>
      <c r="T111" s="406">
        <v>440</v>
      </c>
      <c r="U111" s="408">
        <v>-264</v>
      </c>
      <c r="V111" s="406">
        <v>144</v>
      </c>
      <c r="W111" s="407"/>
      <c r="X111" s="406">
        <v>618</v>
      </c>
      <c r="Y111" s="408">
        <v>-24</v>
      </c>
      <c r="Z111" s="405">
        <v>26</v>
      </c>
      <c r="AA111" s="408">
        <v>-98</v>
      </c>
      <c r="AB111" s="408">
        <v>-220</v>
      </c>
      <c r="AC111" s="408">
        <v>-380</v>
      </c>
      <c r="AD111" s="407"/>
      <c r="AE111" s="408"/>
      <c r="AF111" s="408"/>
      <c r="AG111" s="409"/>
      <c r="AH111" s="410"/>
      <c r="AI111" s="410"/>
      <c r="AJ111" s="8"/>
    </row>
    <row r="112" spans="1:36" ht="15">
      <c r="A112" s="365"/>
      <c r="B112" s="403" t="s">
        <v>274</v>
      </c>
      <c r="C112" s="404">
        <v>176</v>
      </c>
      <c r="D112" s="404">
        <v>8</v>
      </c>
      <c r="E112" s="405">
        <v>8</v>
      </c>
      <c r="F112" s="406">
        <v>8</v>
      </c>
      <c r="G112" s="406">
        <v>8</v>
      </c>
      <c r="H112" s="406">
        <v>8</v>
      </c>
      <c r="I112" s="407"/>
      <c r="J112" s="406">
        <v>8</v>
      </c>
      <c r="K112" s="406">
        <v>8</v>
      </c>
      <c r="L112" s="405">
        <v>8</v>
      </c>
      <c r="M112" s="406">
        <v>8</v>
      </c>
      <c r="N112" s="406">
        <v>8</v>
      </c>
      <c r="O112" s="406">
        <v>8</v>
      </c>
      <c r="P112" s="407"/>
      <c r="Q112" s="406">
        <v>8</v>
      </c>
      <c r="R112" s="406">
        <v>8</v>
      </c>
      <c r="S112" s="405">
        <v>8</v>
      </c>
      <c r="T112" s="406">
        <v>8</v>
      </c>
      <c r="U112" s="406">
        <v>8</v>
      </c>
      <c r="V112" s="406">
        <v>8</v>
      </c>
      <c r="W112" s="407"/>
      <c r="X112" s="406">
        <v>8</v>
      </c>
      <c r="Y112" s="406">
        <v>8</v>
      </c>
      <c r="Z112" s="405">
        <v>8</v>
      </c>
      <c r="AA112" s="406">
        <v>8</v>
      </c>
      <c r="AB112" s="406">
        <v>8</v>
      </c>
      <c r="AC112" s="406">
        <v>8</v>
      </c>
      <c r="AD112" s="407"/>
      <c r="AE112" s="408"/>
      <c r="AF112" s="408"/>
      <c r="AG112" s="409"/>
      <c r="AH112" s="410"/>
      <c r="AI112" s="410"/>
      <c r="AJ112" s="8"/>
    </row>
    <row r="113" spans="1:36" ht="15">
      <c r="A113" s="365"/>
      <c r="B113" s="403" t="s">
        <v>275</v>
      </c>
      <c r="C113" s="404">
        <v>90</v>
      </c>
      <c r="D113" s="404">
        <v>90</v>
      </c>
      <c r="E113" s="405">
        <v>92</v>
      </c>
      <c r="F113" s="406">
        <v>92</v>
      </c>
      <c r="G113" s="406">
        <v>91</v>
      </c>
      <c r="H113" s="406">
        <v>89</v>
      </c>
      <c r="I113" s="407"/>
      <c r="J113" s="406">
        <v>85</v>
      </c>
      <c r="K113" s="406">
        <v>89</v>
      </c>
      <c r="L113" s="405">
        <v>91</v>
      </c>
      <c r="M113" s="406">
        <v>91</v>
      </c>
      <c r="N113" s="406">
        <v>92</v>
      </c>
      <c r="O113" s="406">
        <v>93</v>
      </c>
      <c r="P113" s="407"/>
      <c r="Q113" s="406">
        <v>89</v>
      </c>
      <c r="R113" s="406">
        <v>91</v>
      </c>
      <c r="S113" s="405">
        <v>91</v>
      </c>
      <c r="T113" s="406">
        <v>92</v>
      </c>
      <c r="U113" s="406">
        <v>90</v>
      </c>
      <c r="V113" s="406">
        <v>90</v>
      </c>
      <c r="W113" s="407"/>
      <c r="X113" s="406">
        <v>86</v>
      </c>
      <c r="Y113" s="406">
        <v>92</v>
      </c>
      <c r="Z113" s="405">
        <v>91</v>
      </c>
      <c r="AA113" s="406">
        <v>91</v>
      </c>
      <c r="AB113" s="406">
        <v>92</v>
      </c>
      <c r="AC113" s="406">
        <v>90</v>
      </c>
      <c r="AD113" s="407"/>
      <c r="AE113" s="408"/>
      <c r="AF113" s="408"/>
      <c r="AG113" s="409"/>
      <c r="AH113" s="410"/>
      <c r="AI113" s="410"/>
      <c r="AJ113" s="8"/>
    </row>
    <row r="114" spans="1:36" ht="15">
      <c r="A114" s="365"/>
      <c r="B114" s="403" t="s">
        <v>276</v>
      </c>
      <c r="C114" s="404">
        <v>173.14204545454547</v>
      </c>
      <c r="D114" s="404">
        <v>173.14204545454547</v>
      </c>
      <c r="E114" s="405">
        <v>170.125</v>
      </c>
      <c r="F114" s="406">
        <v>171.375</v>
      </c>
      <c r="G114" s="406">
        <v>171.5</v>
      </c>
      <c r="H114" s="406">
        <v>170.25</v>
      </c>
      <c r="I114" s="407"/>
      <c r="J114" s="406">
        <v>180.625</v>
      </c>
      <c r="K114" s="406">
        <v>171.375</v>
      </c>
      <c r="L114" s="405">
        <v>170.375</v>
      </c>
      <c r="M114" s="406">
        <v>170.625</v>
      </c>
      <c r="N114" s="406">
        <v>191.125</v>
      </c>
      <c r="O114" s="406">
        <v>170.625</v>
      </c>
      <c r="P114" s="407"/>
      <c r="Q114" s="406">
        <v>201.875</v>
      </c>
      <c r="R114" s="406">
        <v>157.5</v>
      </c>
      <c r="S114" s="405">
        <v>211.5</v>
      </c>
      <c r="T114" s="406">
        <v>265</v>
      </c>
      <c r="U114" s="406">
        <v>177</v>
      </c>
      <c r="V114" s="406">
        <v>228</v>
      </c>
      <c r="W114" s="407"/>
      <c r="X114" s="406">
        <v>197.25</v>
      </c>
      <c r="Y114" s="406">
        <v>117</v>
      </c>
      <c r="Z114" s="405">
        <v>123.25</v>
      </c>
      <c r="AA114" s="406">
        <v>147.75</v>
      </c>
      <c r="AB114" s="406">
        <v>132.5</v>
      </c>
      <c r="AC114" s="406">
        <v>112.5</v>
      </c>
      <c r="AD114" s="407"/>
      <c r="AE114" s="408"/>
      <c r="AF114" s="408"/>
      <c r="AG114" s="409"/>
      <c r="AH114" s="410"/>
      <c r="AI114" s="410"/>
      <c r="AJ114" s="8"/>
    </row>
    <row r="115" spans="1:36" ht="15">
      <c r="A115" s="366"/>
      <c r="B115" s="412" t="s">
        <v>277</v>
      </c>
      <c r="C115" s="413">
        <v>1.9238</v>
      </c>
      <c r="D115" s="413">
        <v>1.9238</v>
      </c>
      <c r="E115" s="414">
        <v>1.8492</v>
      </c>
      <c r="F115" s="413">
        <v>1.8628</v>
      </c>
      <c r="G115" s="413">
        <v>1.8846000000000001</v>
      </c>
      <c r="H115" s="413">
        <v>1.9129</v>
      </c>
      <c r="I115" s="415"/>
      <c r="J115" s="413">
        <v>2.125</v>
      </c>
      <c r="K115" s="413">
        <v>1.9256</v>
      </c>
      <c r="L115" s="414">
        <v>1.8723000000000001</v>
      </c>
      <c r="M115" s="413">
        <v>1.875</v>
      </c>
      <c r="N115" s="413">
        <v>2.0773999999999999</v>
      </c>
      <c r="O115" s="413">
        <v>1.8347</v>
      </c>
      <c r="P115" s="415"/>
      <c r="Q115" s="413">
        <v>2.2683</v>
      </c>
      <c r="R115" s="413">
        <v>1.7307999999999999</v>
      </c>
      <c r="S115" s="414">
        <v>2.3241999999999998</v>
      </c>
      <c r="T115" s="413">
        <v>2.8803999999999998</v>
      </c>
      <c r="U115" s="413">
        <v>1.9666999999999999</v>
      </c>
      <c r="V115" s="413">
        <v>2.5333000000000001</v>
      </c>
      <c r="W115" s="415"/>
      <c r="X115" s="413">
        <v>2.2936000000000001</v>
      </c>
      <c r="Y115" s="413">
        <v>1.2717000000000001</v>
      </c>
      <c r="Z115" s="414">
        <v>1.3544</v>
      </c>
      <c r="AA115" s="413">
        <v>1.6236000000000002</v>
      </c>
      <c r="AB115" s="413">
        <v>1.4401999999999999</v>
      </c>
      <c r="AC115" s="413">
        <v>1.25</v>
      </c>
      <c r="AD115" s="415"/>
      <c r="AE115" s="416"/>
      <c r="AF115" s="416"/>
      <c r="AG115" s="417"/>
      <c r="AH115" s="418"/>
      <c r="AI115" s="418"/>
      <c r="AJ115" s="8"/>
    </row>
    <row r="116" spans="1:36" ht="15">
      <c r="A116" s="364" t="s">
        <v>287</v>
      </c>
      <c r="B116" s="393" t="s">
        <v>279</v>
      </c>
      <c r="C116" s="394">
        <v>33760</v>
      </c>
      <c r="D116" s="394">
        <v>1534.5454545454545</v>
      </c>
      <c r="E116" s="395">
        <v>1760</v>
      </c>
      <c r="F116" s="396">
        <v>1760</v>
      </c>
      <c r="G116" s="396">
        <v>1760</v>
      </c>
      <c r="H116" s="396">
        <v>1760</v>
      </c>
      <c r="I116" s="397"/>
      <c r="J116" s="396">
        <v>1760</v>
      </c>
      <c r="K116" s="396">
        <v>1760</v>
      </c>
      <c r="L116" s="395">
        <v>1760</v>
      </c>
      <c r="M116" s="396">
        <v>1760</v>
      </c>
      <c r="N116" s="396">
        <v>1760</v>
      </c>
      <c r="O116" s="396">
        <v>1760</v>
      </c>
      <c r="P116" s="397"/>
      <c r="Q116" s="396">
        <v>1760</v>
      </c>
      <c r="R116" s="396">
        <v>1600</v>
      </c>
      <c r="S116" s="395">
        <v>1280</v>
      </c>
      <c r="T116" s="396">
        <v>1280</v>
      </c>
      <c r="U116" s="396">
        <v>1280</v>
      </c>
      <c r="V116" s="396">
        <v>1280</v>
      </c>
      <c r="W116" s="397"/>
      <c r="X116" s="396">
        <v>1280</v>
      </c>
      <c r="Y116" s="396">
        <v>1280</v>
      </c>
      <c r="Z116" s="395">
        <v>1280</v>
      </c>
      <c r="AA116" s="396">
        <v>1280</v>
      </c>
      <c r="AB116" s="396">
        <v>1280</v>
      </c>
      <c r="AC116" s="396">
        <v>1280</v>
      </c>
      <c r="AD116" s="397"/>
      <c r="AE116" s="398"/>
      <c r="AF116" s="398"/>
      <c r="AG116" s="399"/>
      <c r="AH116" s="400"/>
      <c r="AI116" s="400"/>
      <c r="AJ116" s="8"/>
    </row>
    <row r="117" spans="1:36" ht="15">
      <c r="A117" s="365"/>
      <c r="B117" s="393" t="s">
        <v>259</v>
      </c>
      <c r="C117" s="394">
        <v>31120</v>
      </c>
      <c r="D117" s="394">
        <v>1414.5454545454545</v>
      </c>
      <c r="E117" s="395">
        <v>1680</v>
      </c>
      <c r="F117" s="396">
        <v>1680</v>
      </c>
      <c r="G117" s="396">
        <v>1680</v>
      </c>
      <c r="H117" s="396">
        <v>1680</v>
      </c>
      <c r="I117" s="397"/>
      <c r="J117" s="396">
        <v>1680</v>
      </c>
      <c r="K117" s="396">
        <v>1680</v>
      </c>
      <c r="L117" s="395">
        <v>1680</v>
      </c>
      <c r="M117" s="396">
        <v>1680</v>
      </c>
      <c r="N117" s="396">
        <v>1680</v>
      </c>
      <c r="O117" s="396">
        <v>1680</v>
      </c>
      <c r="P117" s="397"/>
      <c r="Q117" s="396">
        <v>1680</v>
      </c>
      <c r="R117" s="396">
        <v>960</v>
      </c>
      <c r="S117" s="395">
        <v>960</v>
      </c>
      <c r="T117" s="396">
        <v>960</v>
      </c>
      <c r="U117" s="396">
        <v>1200</v>
      </c>
      <c r="V117" s="396">
        <v>1200</v>
      </c>
      <c r="W117" s="397"/>
      <c r="X117" s="396">
        <v>1280</v>
      </c>
      <c r="Y117" s="396">
        <v>1280</v>
      </c>
      <c r="Z117" s="395">
        <v>1280</v>
      </c>
      <c r="AA117" s="396">
        <v>1280</v>
      </c>
      <c r="AB117" s="396">
        <v>1280</v>
      </c>
      <c r="AC117" s="396">
        <v>960</v>
      </c>
      <c r="AD117" s="397"/>
      <c r="AE117" s="396">
        <v>960</v>
      </c>
      <c r="AF117" s="396">
        <v>1280</v>
      </c>
      <c r="AG117" s="401">
        <v>1280</v>
      </c>
      <c r="AH117" s="402">
        <v>1280</v>
      </c>
      <c r="AI117" s="402">
        <v>1280</v>
      </c>
      <c r="AJ117" s="8"/>
    </row>
    <row r="118" spans="1:36" ht="15">
      <c r="A118" s="365"/>
      <c r="B118" s="403" t="s">
        <v>260</v>
      </c>
      <c r="C118" s="404">
        <v>31272</v>
      </c>
      <c r="D118" s="404">
        <v>1421.4545454545455</v>
      </c>
      <c r="E118" s="405">
        <v>1686</v>
      </c>
      <c r="F118" s="406">
        <v>1680</v>
      </c>
      <c r="G118" s="406">
        <v>1686</v>
      </c>
      <c r="H118" s="406">
        <v>1692</v>
      </c>
      <c r="I118" s="407"/>
      <c r="J118" s="406">
        <v>1686</v>
      </c>
      <c r="K118" s="406">
        <v>1686</v>
      </c>
      <c r="L118" s="405">
        <v>1680</v>
      </c>
      <c r="M118" s="406">
        <v>1764</v>
      </c>
      <c r="N118" s="406">
        <v>1686</v>
      </c>
      <c r="O118" s="406">
        <v>1698</v>
      </c>
      <c r="P118" s="407"/>
      <c r="Q118" s="406">
        <v>1662</v>
      </c>
      <c r="R118" s="406">
        <v>984</v>
      </c>
      <c r="S118" s="405">
        <v>501</v>
      </c>
      <c r="T118" s="406">
        <v>1249</v>
      </c>
      <c r="U118" s="406">
        <v>960</v>
      </c>
      <c r="V118" s="406">
        <v>816</v>
      </c>
      <c r="W118" s="407"/>
      <c r="X118" s="406">
        <v>2222</v>
      </c>
      <c r="Y118" s="406">
        <v>1266</v>
      </c>
      <c r="Z118" s="405">
        <v>1284</v>
      </c>
      <c r="AA118" s="406">
        <v>1272</v>
      </c>
      <c r="AB118" s="406">
        <v>1320</v>
      </c>
      <c r="AC118" s="406">
        <v>792</v>
      </c>
      <c r="AD118" s="407"/>
      <c r="AE118" s="408"/>
      <c r="AF118" s="408"/>
      <c r="AG118" s="409"/>
      <c r="AH118" s="410"/>
      <c r="AI118" s="410"/>
      <c r="AJ118" s="8"/>
    </row>
    <row r="119" spans="1:36" ht="15">
      <c r="A119" s="365"/>
      <c r="B119" s="403" t="s">
        <v>261</v>
      </c>
      <c r="C119" s="404">
        <v>152</v>
      </c>
      <c r="D119" s="404">
        <v>6.9090909090909092</v>
      </c>
      <c r="E119" s="405">
        <v>6</v>
      </c>
      <c r="F119" s="406">
        <v>0</v>
      </c>
      <c r="G119" s="406">
        <v>6</v>
      </c>
      <c r="H119" s="406">
        <v>12</v>
      </c>
      <c r="I119" s="407"/>
      <c r="J119" s="406">
        <v>6</v>
      </c>
      <c r="K119" s="406">
        <v>6</v>
      </c>
      <c r="L119" s="405">
        <v>0</v>
      </c>
      <c r="M119" s="406">
        <v>84</v>
      </c>
      <c r="N119" s="406">
        <v>6</v>
      </c>
      <c r="O119" s="406">
        <v>18</v>
      </c>
      <c r="P119" s="407"/>
      <c r="Q119" s="408">
        <v>-18</v>
      </c>
      <c r="R119" s="406">
        <v>24</v>
      </c>
      <c r="S119" s="407">
        <v>-459</v>
      </c>
      <c r="T119" s="406">
        <v>289</v>
      </c>
      <c r="U119" s="408">
        <v>-240</v>
      </c>
      <c r="V119" s="408">
        <v>-384</v>
      </c>
      <c r="W119" s="407"/>
      <c r="X119" s="406">
        <v>942</v>
      </c>
      <c r="Y119" s="408">
        <v>-14</v>
      </c>
      <c r="Z119" s="405">
        <v>4</v>
      </c>
      <c r="AA119" s="408">
        <v>-8</v>
      </c>
      <c r="AB119" s="406">
        <v>40</v>
      </c>
      <c r="AC119" s="408">
        <v>-168</v>
      </c>
      <c r="AD119" s="407"/>
      <c r="AE119" s="408"/>
      <c r="AF119" s="408"/>
      <c r="AG119" s="409"/>
      <c r="AH119" s="410"/>
      <c r="AI119" s="410"/>
      <c r="AJ119" s="8"/>
    </row>
    <row r="120" spans="1:36" ht="15">
      <c r="A120" s="365"/>
      <c r="B120" s="403" t="s">
        <v>262</v>
      </c>
      <c r="C120" s="404">
        <v>176</v>
      </c>
      <c r="D120" s="404">
        <v>8</v>
      </c>
      <c r="E120" s="405">
        <v>8</v>
      </c>
      <c r="F120" s="406">
        <v>8</v>
      </c>
      <c r="G120" s="406">
        <v>8</v>
      </c>
      <c r="H120" s="406">
        <v>8</v>
      </c>
      <c r="I120" s="407"/>
      <c r="J120" s="406">
        <v>8</v>
      </c>
      <c r="K120" s="406">
        <v>8</v>
      </c>
      <c r="L120" s="405">
        <v>8</v>
      </c>
      <c r="M120" s="406">
        <v>8</v>
      </c>
      <c r="N120" s="406">
        <v>8</v>
      </c>
      <c r="O120" s="406">
        <v>8</v>
      </c>
      <c r="P120" s="407"/>
      <c r="Q120" s="406">
        <v>8</v>
      </c>
      <c r="R120" s="406">
        <v>8</v>
      </c>
      <c r="S120" s="405">
        <v>8</v>
      </c>
      <c r="T120" s="406">
        <v>8</v>
      </c>
      <c r="U120" s="406">
        <v>8</v>
      </c>
      <c r="V120" s="406">
        <v>8</v>
      </c>
      <c r="W120" s="407"/>
      <c r="X120" s="406">
        <v>8</v>
      </c>
      <c r="Y120" s="406">
        <v>8</v>
      </c>
      <c r="Z120" s="405">
        <v>8</v>
      </c>
      <c r="AA120" s="406">
        <v>8</v>
      </c>
      <c r="AB120" s="406">
        <v>8</v>
      </c>
      <c r="AC120" s="406">
        <v>8</v>
      </c>
      <c r="AD120" s="407"/>
      <c r="AE120" s="408"/>
      <c r="AF120" s="408"/>
      <c r="AG120" s="409"/>
      <c r="AH120" s="410"/>
      <c r="AI120" s="410"/>
      <c r="AJ120" s="8"/>
    </row>
    <row r="121" spans="1:36" ht="15">
      <c r="A121" s="365"/>
      <c r="B121" s="403" t="s">
        <v>263</v>
      </c>
      <c r="C121" s="404">
        <v>94</v>
      </c>
      <c r="D121" s="404">
        <v>94</v>
      </c>
      <c r="E121" s="405">
        <v>92</v>
      </c>
      <c r="F121" s="406">
        <v>95</v>
      </c>
      <c r="G121" s="406">
        <v>92</v>
      </c>
      <c r="H121" s="406">
        <v>92</v>
      </c>
      <c r="I121" s="407"/>
      <c r="J121" s="406">
        <v>92</v>
      </c>
      <c r="K121" s="406">
        <v>93</v>
      </c>
      <c r="L121" s="405">
        <v>93</v>
      </c>
      <c r="M121" s="406">
        <v>93</v>
      </c>
      <c r="N121" s="406">
        <v>95</v>
      </c>
      <c r="O121" s="406">
        <v>96</v>
      </c>
      <c r="P121" s="407"/>
      <c r="Q121" s="406">
        <v>95</v>
      </c>
      <c r="R121" s="406">
        <v>95</v>
      </c>
      <c r="S121" s="405">
        <v>97</v>
      </c>
      <c r="T121" s="406">
        <v>95</v>
      </c>
      <c r="U121" s="406">
        <v>94</v>
      </c>
      <c r="V121" s="406">
        <v>95</v>
      </c>
      <c r="W121" s="407"/>
      <c r="X121" s="406">
        <v>99</v>
      </c>
      <c r="Y121" s="406">
        <v>97</v>
      </c>
      <c r="Z121" s="405">
        <v>96</v>
      </c>
      <c r="AA121" s="406">
        <v>96</v>
      </c>
      <c r="AB121" s="406">
        <v>95</v>
      </c>
      <c r="AC121" s="406">
        <v>92</v>
      </c>
      <c r="AD121" s="407"/>
      <c r="AE121" s="408"/>
      <c r="AF121" s="408"/>
      <c r="AG121" s="409"/>
      <c r="AH121" s="410"/>
      <c r="AI121" s="410"/>
      <c r="AJ121" s="8"/>
    </row>
    <row r="122" spans="1:36" ht="15">
      <c r="A122" s="365"/>
      <c r="B122" s="403" t="s">
        <v>264</v>
      </c>
      <c r="C122" s="404">
        <v>177.68181818181819</v>
      </c>
      <c r="D122" s="404">
        <v>177.68181818181819</v>
      </c>
      <c r="E122" s="405">
        <v>210.75</v>
      </c>
      <c r="F122" s="406">
        <v>210</v>
      </c>
      <c r="G122" s="406">
        <v>210.75</v>
      </c>
      <c r="H122" s="406">
        <v>211.5</v>
      </c>
      <c r="I122" s="407"/>
      <c r="J122" s="406">
        <v>210.75</v>
      </c>
      <c r="K122" s="406">
        <v>210.75</v>
      </c>
      <c r="L122" s="405">
        <v>210</v>
      </c>
      <c r="M122" s="406">
        <v>220.5</v>
      </c>
      <c r="N122" s="406">
        <v>210.75</v>
      </c>
      <c r="O122" s="406">
        <v>212.25</v>
      </c>
      <c r="P122" s="407"/>
      <c r="Q122" s="406">
        <v>207.75</v>
      </c>
      <c r="R122" s="406">
        <v>123</v>
      </c>
      <c r="S122" s="405">
        <v>62.625</v>
      </c>
      <c r="T122" s="406">
        <v>156.125</v>
      </c>
      <c r="U122" s="406">
        <v>120</v>
      </c>
      <c r="V122" s="406">
        <v>102</v>
      </c>
      <c r="W122" s="407"/>
      <c r="X122" s="406">
        <v>277.75</v>
      </c>
      <c r="Y122" s="406">
        <v>158.25</v>
      </c>
      <c r="Z122" s="405">
        <v>160.5</v>
      </c>
      <c r="AA122" s="406">
        <v>159</v>
      </c>
      <c r="AB122" s="406">
        <v>165</v>
      </c>
      <c r="AC122" s="406">
        <v>99</v>
      </c>
      <c r="AD122" s="407"/>
      <c r="AE122" s="408"/>
      <c r="AF122" s="408"/>
      <c r="AG122" s="409"/>
      <c r="AH122" s="410"/>
      <c r="AI122" s="410"/>
      <c r="AJ122" s="8"/>
    </row>
    <row r="123" spans="1:36" ht="15">
      <c r="A123" s="366"/>
      <c r="B123" s="412" t="s">
        <v>265</v>
      </c>
      <c r="C123" s="413">
        <v>1.8902000000000001</v>
      </c>
      <c r="D123" s="413">
        <v>1.8902000000000001</v>
      </c>
      <c r="E123" s="414">
        <v>2.2907999999999999</v>
      </c>
      <c r="F123" s="413">
        <v>2.2105000000000001</v>
      </c>
      <c r="G123" s="413">
        <v>2.2907999999999999</v>
      </c>
      <c r="H123" s="413">
        <v>2.2989000000000002</v>
      </c>
      <c r="I123" s="415"/>
      <c r="J123" s="413">
        <v>2.2907999999999999</v>
      </c>
      <c r="K123" s="413">
        <v>2.2660999999999998</v>
      </c>
      <c r="L123" s="414">
        <v>2.2580999999999998</v>
      </c>
      <c r="M123" s="413">
        <v>2.371</v>
      </c>
      <c r="N123" s="413">
        <v>2.2183999999999999</v>
      </c>
      <c r="O123" s="413">
        <v>2.2109000000000001</v>
      </c>
      <c r="P123" s="415"/>
      <c r="Q123" s="413">
        <v>2.1867999999999999</v>
      </c>
      <c r="R123" s="413">
        <v>1.2947</v>
      </c>
      <c r="S123" s="414">
        <v>0.64559999999999995</v>
      </c>
      <c r="T123" s="413">
        <v>1.6434</v>
      </c>
      <c r="U123" s="413">
        <v>1.2766</v>
      </c>
      <c r="V123" s="413">
        <v>1.0737000000000001</v>
      </c>
      <c r="W123" s="415"/>
      <c r="X123" s="413">
        <v>2.8056000000000001</v>
      </c>
      <c r="Y123" s="413">
        <v>1.6314</v>
      </c>
      <c r="Z123" s="414">
        <v>1.6718999999999999</v>
      </c>
      <c r="AA123" s="413">
        <v>1.6562999999999999</v>
      </c>
      <c r="AB123" s="413">
        <v>1.7368000000000001</v>
      </c>
      <c r="AC123" s="413">
        <v>1.0761000000000001</v>
      </c>
      <c r="AD123" s="415"/>
      <c r="AE123" s="416"/>
      <c r="AF123" s="416"/>
      <c r="AG123" s="417"/>
      <c r="AH123" s="418"/>
      <c r="AI123" s="418"/>
      <c r="AJ123" s="8"/>
    </row>
    <row r="124" spans="1:36" ht="15">
      <c r="A124" s="364" t="s">
        <v>288</v>
      </c>
      <c r="B124" s="393" t="s">
        <v>258</v>
      </c>
      <c r="C124" s="394">
        <v>37704</v>
      </c>
      <c r="D124" s="394">
        <v>1713.8181818181818</v>
      </c>
      <c r="E124" s="395">
        <v>1760</v>
      </c>
      <c r="F124" s="396">
        <v>1760</v>
      </c>
      <c r="G124" s="396">
        <v>1760</v>
      </c>
      <c r="H124" s="396">
        <v>1760</v>
      </c>
      <c r="I124" s="397"/>
      <c r="J124" s="396">
        <v>1760</v>
      </c>
      <c r="K124" s="396">
        <v>1760</v>
      </c>
      <c r="L124" s="395">
        <v>1760</v>
      </c>
      <c r="M124" s="396">
        <v>1760</v>
      </c>
      <c r="N124" s="396">
        <v>1760</v>
      </c>
      <c r="O124" s="396">
        <v>1760</v>
      </c>
      <c r="P124" s="397"/>
      <c r="Q124" s="396">
        <v>1760</v>
      </c>
      <c r="R124" s="396">
        <v>1760</v>
      </c>
      <c r="S124" s="395">
        <v>1760</v>
      </c>
      <c r="T124" s="396">
        <v>1760</v>
      </c>
      <c r="U124" s="396">
        <v>1760</v>
      </c>
      <c r="V124" s="396">
        <v>1760</v>
      </c>
      <c r="W124" s="397"/>
      <c r="X124" s="396">
        <v>1760</v>
      </c>
      <c r="Y124" s="396">
        <v>1760</v>
      </c>
      <c r="Z124" s="395">
        <v>1600</v>
      </c>
      <c r="AA124" s="396">
        <v>1440</v>
      </c>
      <c r="AB124" s="396">
        <v>1384</v>
      </c>
      <c r="AC124" s="396">
        <v>1600</v>
      </c>
      <c r="AD124" s="397"/>
      <c r="AE124" s="398"/>
      <c r="AF124" s="398"/>
      <c r="AG124" s="399"/>
      <c r="AH124" s="400"/>
      <c r="AI124" s="400"/>
      <c r="AJ124" s="8"/>
    </row>
    <row r="125" spans="1:36" ht="15">
      <c r="A125" s="365"/>
      <c r="B125" s="393" t="s">
        <v>259</v>
      </c>
      <c r="C125" s="394">
        <v>30500</v>
      </c>
      <c r="D125" s="394">
        <v>1386.3636363636363</v>
      </c>
      <c r="E125" s="395">
        <v>1520</v>
      </c>
      <c r="F125" s="396">
        <v>1520</v>
      </c>
      <c r="G125" s="396">
        <v>1520</v>
      </c>
      <c r="H125" s="396">
        <v>1520</v>
      </c>
      <c r="I125" s="397"/>
      <c r="J125" s="396">
        <v>1520</v>
      </c>
      <c r="K125" s="396">
        <v>1520</v>
      </c>
      <c r="L125" s="395">
        <v>1520</v>
      </c>
      <c r="M125" s="396">
        <v>1520</v>
      </c>
      <c r="N125" s="396">
        <v>1520</v>
      </c>
      <c r="O125" s="396">
        <v>1520</v>
      </c>
      <c r="P125" s="397"/>
      <c r="Q125" s="396">
        <v>1520</v>
      </c>
      <c r="R125" s="396">
        <v>1140</v>
      </c>
      <c r="S125" s="395">
        <v>1140</v>
      </c>
      <c r="T125" s="396">
        <v>1520</v>
      </c>
      <c r="U125" s="396">
        <v>1520</v>
      </c>
      <c r="V125" s="396">
        <v>1520</v>
      </c>
      <c r="W125" s="397"/>
      <c r="X125" s="396">
        <v>1520</v>
      </c>
      <c r="Y125" s="396">
        <v>1520</v>
      </c>
      <c r="Z125" s="395">
        <v>900</v>
      </c>
      <c r="AA125" s="396">
        <v>900</v>
      </c>
      <c r="AB125" s="396">
        <v>900</v>
      </c>
      <c r="AC125" s="396">
        <v>1200</v>
      </c>
      <c r="AD125" s="397"/>
      <c r="AE125" s="396">
        <v>1200</v>
      </c>
      <c r="AF125" s="396">
        <v>1200</v>
      </c>
      <c r="AG125" s="401">
        <v>1200</v>
      </c>
      <c r="AH125" s="402">
        <v>1200</v>
      </c>
      <c r="AI125" s="402">
        <v>1200</v>
      </c>
      <c r="AJ125" s="8"/>
    </row>
    <row r="126" spans="1:36" ht="15">
      <c r="A126" s="365"/>
      <c r="B126" s="403" t="s">
        <v>260</v>
      </c>
      <c r="C126" s="404">
        <v>30544</v>
      </c>
      <c r="D126" s="404">
        <v>1388.3636363636363</v>
      </c>
      <c r="E126" s="405">
        <v>1524</v>
      </c>
      <c r="F126" s="406">
        <v>1524</v>
      </c>
      <c r="G126" s="406">
        <v>1524</v>
      </c>
      <c r="H126" s="406">
        <v>1776</v>
      </c>
      <c r="I126" s="407"/>
      <c r="J126" s="406">
        <v>1524</v>
      </c>
      <c r="K126" s="406">
        <v>1524</v>
      </c>
      <c r="L126" s="405">
        <v>1524</v>
      </c>
      <c r="M126" s="406">
        <v>1524</v>
      </c>
      <c r="N126" s="406">
        <v>1530</v>
      </c>
      <c r="O126" s="406">
        <v>1530</v>
      </c>
      <c r="P126" s="407"/>
      <c r="Q126" s="406">
        <v>1554</v>
      </c>
      <c r="R126" s="406">
        <v>1144</v>
      </c>
      <c r="S126" s="405">
        <v>1116</v>
      </c>
      <c r="T126" s="406">
        <v>1350</v>
      </c>
      <c r="U126" s="406">
        <v>972</v>
      </c>
      <c r="V126" s="406">
        <v>1068</v>
      </c>
      <c r="W126" s="407"/>
      <c r="X126" s="406">
        <v>1170</v>
      </c>
      <c r="Y126" s="406">
        <v>1722</v>
      </c>
      <c r="Z126" s="405">
        <v>960</v>
      </c>
      <c r="AA126" s="406">
        <v>1098</v>
      </c>
      <c r="AB126" s="406">
        <v>1536</v>
      </c>
      <c r="AC126" s="406">
        <v>1350</v>
      </c>
      <c r="AD126" s="407"/>
      <c r="AE126" s="408"/>
      <c r="AF126" s="408"/>
      <c r="AG126" s="409"/>
      <c r="AH126" s="410"/>
      <c r="AI126" s="410"/>
      <c r="AJ126" s="8"/>
    </row>
    <row r="127" spans="1:36" ht="15">
      <c r="A127" s="365"/>
      <c r="B127" s="403" t="s">
        <v>261</v>
      </c>
      <c r="C127" s="404">
        <v>44</v>
      </c>
      <c r="D127" s="404">
        <v>2</v>
      </c>
      <c r="E127" s="405">
        <v>4</v>
      </c>
      <c r="F127" s="406">
        <v>4</v>
      </c>
      <c r="G127" s="406">
        <v>4</v>
      </c>
      <c r="H127" s="406">
        <v>256</v>
      </c>
      <c r="I127" s="407"/>
      <c r="J127" s="406">
        <v>4</v>
      </c>
      <c r="K127" s="406">
        <v>4</v>
      </c>
      <c r="L127" s="405">
        <v>4</v>
      </c>
      <c r="M127" s="406">
        <v>4</v>
      </c>
      <c r="N127" s="406">
        <v>10</v>
      </c>
      <c r="O127" s="406">
        <v>10</v>
      </c>
      <c r="P127" s="407"/>
      <c r="Q127" s="406">
        <v>34</v>
      </c>
      <c r="R127" s="406">
        <v>4</v>
      </c>
      <c r="S127" s="407">
        <v>-24</v>
      </c>
      <c r="T127" s="408">
        <v>-170</v>
      </c>
      <c r="U127" s="408">
        <v>-548</v>
      </c>
      <c r="V127" s="408">
        <v>-452</v>
      </c>
      <c r="W127" s="407"/>
      <c r="X127" s="408">
        <v>-350</v>
      </c>
      <c r="Y127" s="406">
        <v>202</v>
      </c>
      <c r="Z127" s="405">
        <v>60</v>
      </c>
      <c r="AA127" s="406">
        <v>198</v>
      </c>
      <c r="AB127" s="406">
        <v>636</v>
      </c>
      <c r="AC127" s="406">
        <v>150</v>
      </c>
      <c r="AD127" s="407"/>
      <c r="AE127" s="408"/>
      <c r="AF127" s="408"/>
      <c r="AG127" s="409"/>
      <c r="AH127" s="410"/>
      <c r="AI127" s="410"/>
      <c r="AJ127" s="8"/>
    </row>
    <row r="128" spans="1:36" ht="15">
      <c r="A128" s="365"/>
      <c r="B128" s="403" t="s">
        <v>262</v>
      </c>
      <c r="C128" s="404">
        <v>176</v>
      </c>
      <c r="D128" s="404">
        <v>8</v>
      </c>
      <c r="E128" s="405">
        <v>8</v>
      </c>
      <c r="F128" s="406">
        <v>8</v>
      </c>
      <c r="G128" s="406">
        <v>8</v>
      </c>
      <c r="H128" s="406">
        <v>8</v>
      </c>
      <c r="I128" s="407"/>
      <c r="J128" s="406">
        <v>8</v>
      </c>
      <c r="K128" s="406">
        <v>8</v>
      </c>
      <c r="L128" s="405">
        <v>8</v>
      </c>
      <c r="M128" s="406">
        <v>8</v>
      </c>
      <c r="N128" s="406">
        <v>8</v>
      </c>
      <c r="O128" s="406">
        <v>8</v>
      </c>
      <c r="P128" s="407"/>
      <c r="Q128" s="406">
        <v>8</v>
      </c>
      <c r="R128" s="406">
        <v>8</v>
      </c>
      <c r="S128" s="405">
        <v>8</v>
      </c>
      <c r="T128" s="406">
        <v>8</v>
      </c>
      <c r="U128" s="406">
        <v>8</v>
      </c>
      <c r="V128" s="406">
        <v>8</v>
      </c>
      <c r="W128" s="407"/>
      <c r="X128" s="406">
        <v>8</v>
      </c>
      <c r="Y128" s="406">
        <v>8</v>
      </c>
      <c r="Z128" s="405">
        <v>8</v>
      </c>
      <c r="AA128" s="406">
        <v>8</v>
      </c>
      <c r="AB128" s="406">
        <v>8</v>
      </c>
      <c r="AC128" s="406">
        <v>8</v>
      </c>
      <c r="AD128" s="407"/>
      <c r="AE128" s="408"/>
      <c r="AF128" s="408"/>
      <c r="AG128" s="409"/>
      <c r="AH128" s="410"/>
      <c r="AI128" s="410"/>
      <c r="AJ128" s="8"/>
    </row>
    <row r="129" spans="1:36" ht="15">
      <c r="A129" s="365"/>
      <c r="B129" s="403" t="s">
        <v>263</v>
      </c>
      <c r="C129" s="404">
        <v>82</v>
      </c>
      <c r="D129" s="404">
        <v>82</v>
      </c>
      <c r="E129" s="405">
        <v>85</v>
      </c>
      <c r="F129" s="406">
        <v>82</v>
      </c>
      <c r="G129" s="406">
        <v>85</v>
      </c>
      <c r="H129" s="406">
        <v>83</v>
      </c>
      <c r="I129" s="407"/>
      <c r="J129" s="406">
        <v>81</v>
      </c>
      <c r="K129" s="406">
        <v>81</v>
      </c>
      <c r="L129" s="405">
        <v>81</v>
      </c>
      <c r="M129" s="406">
        <v>83</v>
      </c>
      <c r="N129" s="406">
        <v>84</v>
      </c>
      <c r="O129" s="406">
        <v>83</v>
      </c>
      <c r="P129" s="407"/>
      <c r="Q129" s="406">
        <v>82</v>
      </c>
      <c r="R129" s="406">
        <v>82</v>
      </c>
      <c r="S129" s="405">
        <v>82</v>
      </c>
      <c r="T129" s="406">
        <v>84</v>
      </c>
      <c r="U129" s="406">
        <v>84</v>
      </c>
      <c r="V129" s="406">
        <v>84</v>
      </c>
      <c r="W129" s="407"/>
      <c r="X129" s="406">
        <v>82</v>
      </c>
      <c r="Y129" s="406">
        <v>83</v>
      </c>
      <c r="Z129" s="405">
        <v>84</v>
      </c>
      <c r="AA129" s="406">
        <v>81</v>
      </c>
      <c r="AB129" s="406">
        <v>82</v>
      </c>
      <c r="AC129" s="406">
        <v>80</v>
      </c>
      <c r="AD129" s="407"/>
      <c r="AE129" s="408"/>
      <c r="AF129" s="408"/>
      <c r="AG129" s="409"/>
      <c r="AH129" s="410"/>
      <c r="AI129" s="410"/>
      <c r="AJ129" s="8"/>
    </row>
    <row r="130" spans="1:36" ht="15">
      <c r="A130" s="365"/>
      <c r="B130" s="403" t="s">
        <v>264</v>
      </c>
      <c r="C130" s="404">
        <v>173.54545454545453</v>
      </c>
      <c r="D130" s="404">
        <v>173.54545454545453</v>
      </c>
      <c r="E130" s="405">
        <v>190.5</v>
      </c>
      <c r="F130" s="406">
        <v>190.5</v>
      </c>
      <c r="G130" s="406">
        <v>190.5</v>
      </c>
      <c r="H130" s="406">
        <v>222</v>
      </c>
      <c r="I130" s="407"/>
      <c r="J130" s="406">
        <v>190.5</v>
      </c>
      <c r="K130" s="406">
        <v>190.5</v>
      </c>
      <c r="L130" s="405">
        <v>190.5</v>
      </c>
      <c r="M130" s="406">
        <v>190.5</v>
      </c>
      <c r="N130" s="406">
        <v>191.25</v>
      </c>
      <c r="O130" s="406">
        <v>191.25</v>
      </c>
      <c r="P130" s="407"/>
      <c r="Q130" s="406">
        <v>194.25</v>
      </c>
      <c r="R130" s="406">
        <v>143</v>
      </c>
      <c r="S130" s="405">
        <v>139.5</v>
      </c>
      <c r="T130" s="406">
        <v>168.75</v>
      </c>
      <c r="U130" s="406">
        <v>121.5</v>
      </c>
      <c r="V130" s="406">
        <v>133.5</v>
      </c>
      <c r="W130" s="407"/>
      <c r="X130" s="406">
        <v>146.25</v>
      </c>
      <c r="Y130" s="406">
        <v>215.25</v>
      </c>
      <c r="Z130" s="405">
        <v>120</v>
      </c>
      <c r="AA130" s="406">
        <v>137.25</v>
      </c>
      <c r="AB130" s="406">
        <v>192</v>
      </c>
      <c r="AC130" s="406">
        <v>168.75</v>
      </c>
      <c r="AD130" s="407"/>
      <c r="AE130" s="408"/>
      <c r="AF130" s="408"/>
      <c r="AG130" s="409"/>
      <c r="AH130" s="410"/>
      <c r="AI130" s="410"/>
      <c r="AJ130" s="8"/>
    </row>
    <row r="131" spans="1:36" ht="15">
      <c r="A131" s="366"/>
      <c r="B131" s="412" t="s">
        <v>265</v>
      </c>
      <c r="C131" s="413">
        <v>2.1164000000000001</v>
      </c>
      <c r="D131" s="413">
        <v>2.1164000000000001</v>
      </c>
      <c r="E131" s="414">
        <v>2.2412000000000001</v>
      </c>
      <c r="F131" s="413">
        <v>2.3231999999999999</v>
      </c>
      <c r="G131" s="413">
        <v>2.2412000000000001</v>
      </c>
      <c r="H131" s="413">
        <v>2.6747000000000001</v>
      </c>
      <c r="I131" s="415"/>
      <c r="J131" s="413">
        <v>2.3519000000000001</v>
      </c>
      <c r="K131" s="413">
        <v>2.3519000000000001</v>
      </c>
      <c r="L131" s="414">
        <v>2.3519000000000001</v>
      </c>
      <c r="M131" s="413">
        <v>2.2951999999999999</v>
      </c>
      <c r="N131" s="413">
        <v>2.2768000000000002</v>
      </c>
      <c r="O131" s="413">
        <v>2.3041999999999998</v>
      </c>
      <c r="P131" s="415"/>
      <c r="Q131" s="413">
        <v>2.3689</v>
      </c>
      <c r="R131" s="413">
        <v>1.7439</v>
      </c>
      <c r="S131" s="414">
        <v>1.7012</v>
      </c>
      <c r="T131" s="413">
        <v>2.0089000000000001</v>
      </c>
      <c r="U131" s="413">
        <v>1.4464000000000001</v>
      </c>
      <c r="V131" s="413">
        <v>1.5893000000000002</v>
      </c>
      <c r="W131" s="415"/>
      <c r="X131" s="413">
        <v>1.7835000000000001</v>
      </c>
      <c r="Y131" s="413">
        <v>2.5933999999999999</v>
      </c>
      <c r="Z131" s="414">
        <v>1.4285999999999999</v>
      </c>
      <c r="AA131" s="413">
        <v>1.6943999999999999</v>
      </c>
      <c r="AB131" s="413">
        <v>2.3414999999999999</v>
      </c>
      <c r="AC131" s="413">
        <v>2.1093999999999999</v>
      </c>
      <c r="AD131" s="415"/>
      <c r="AE131" s="416"/>
      <c r="AF131" s="416"/>
      <c r="AG131" s="417"/>
      <c r="AH131" s="418"/>
      <c r="AI131" s="418"/>
      <c r="AJ131" s="8"/>
    </row>
    <row r="132" spans="1:36" ht="15">
      <c r="A132" s="364" t="s">
        <v>289</v>
      </c>
      <c r="B132" s="393" t="s">
        <v>258</v>
      </c>
      <c r="C132" s="394">
        <v>38720</v>
      </c>
      <c r="D132" s="394">
        <v>1760</v>
      </c>
      <c r="E132" s="395">
        <v>1760</v>
      </c>
      <c r="F132" s="396">
        <v>1760</v>
      </c>
      <c r="G132" s="396">
        <v>1760</v>
      </c>
      <c r="H132" s="396">
        <v>1760</v>
      </c>
      <c r="I132" s="397"/>
      <c r="J132" s="396">
        <v>1760</v>
      </c>
      <c r="K132" s="396">
        <v>1760</v>
      </c>
      <c r="L132" s="395">
        <v>1760</v>
      </c>
      <c r="M132" s="396">
        <v>1760</v>
      </c>
      <c r="N132" s="396">
        <v>1760</v>
      </c>
      <c r="O132" s="396">
        <v>1760</v>
      </c>
      <c r="P132" s="397"/>
      <c r="Q132" s="396">
        <v>1760</v>
      </c>
      <c r="R132" s="396">
        <v>1760</v>
      </c>
      <c r="S132" s="395">
        <v>1760</v>
      </c>
      <c r="T132" s="396">
        <v>1760</v>
      </c>
      <c r="U132" s="396">
        <v>1760</v>
      </c>
      <c r="V132" s="396">
        <v>1760</v>
      </c>
      <c r="W132" s="397"/>
      <c r="X132" s="396">
        <v>1760</v>
      </c>
      <c r="Y132" s="396">
        <v>1760</v>
      </c>
      <c r="Z132" s="395">
        <v>1760</v>
      </c>
      <c r="AA132" s="396">
        <v>1760</v>
      </c>
      <c r="AB132" s="396">
        <v>1760</v>
      </c>
      <c r="AC132" s="396">
        <v>1760</v>
      </c>
      <c r="AD132" s="397"/>
      <c r="AE132" s="398"/>
      <c r="AF132" s="398"/>
      <c r="AG132" s="399"/>
      <c r="AH132" s="400"/>
      <c r="AI132" s="400"/>
      <c r="AJ132" s="8"/>
    </row>
    <row r="133" spans="1:36" ht="15">
      <c r="A133" s="365"/>
      <c r="B133" s="393" t="s">
        <v>259</v>
      </c>
      <c r="C133" s="394">
        <v>30960</v>
      </c>
      <c r="D133" s="394">
        <v>1407.2727272727273</v>
      </c>
      <c r="E133" s="395">
        <v>1440</v>
      </c>
      <c r="F133" s="396">
        <v>1440</v>
      </c>
      <c r="G133" s="396">
        <v>1440</v>
      </c>
      <c r="H133" s="396">
        <v>1440</v>
      </c>
      <c r="I133" s="397"/>
      <c r="J133" s="396">
        <v>1440</v>
      </c>
      <c r="K133" s="396">
        <v>1440</v>
      </c>
      <c r="L133" s="395">
        <v>1440</v>
      </c>
      <c r="M133" s="396">
        <v>1440</v>
      </c>
      <c r="N133" s="396">
        <v>1440</v>
      </c>
      <c r="O133" s="396">
        <v>1440</v>
      </c>
      <c r="P133" s="397"/>
      <c r="Q133" s="396">
        <v>1440</v>
      </c>
      <c r="R133" s="396">
        <v>1440</v>
      </c>
      <c r="S133" s="395">
        <v>1440</v>
      </c>
      <c r="T133" s="396">
        <v>1440</v>
      </c>
      <c r="U133" s="396">
        <v>1080</v>
      </c>
      <c r="V133" s="396">
        <v>1080</v>
      </c>
      <c r="W133" s="397"/>
      <c r="X133" s="396">
        <v>1440</v>
      </c>
      <c r="Y133" s="396">
        <v>1440</v>
      </c>
      <c r="Z133" s="395">
        <v>1440</v>
      </c>
      <c r="AA133" s="396">
        <v>1440</v>
      </c>
      <c r="AB133" s="396">
        <v>1440</v>
      </c>
      <c r="AC133" s="396">
        <v>1440</v>
      </c>
      <c r="AD133" s="397"/>
      <c r="AE133" s="396">
        <v>1440</v>
      </c>
      <c r="AF133" s="396">
        <v>1440</v>
      </c>
      <c r="AG133" s="401">
        <v>1440</v>
      </c>
      <c r="AH133" s="402">
        <v>1440</v>
      </c>
      <c r="AI133" s="402">
        <v>1440</v>
      </c>
      <c r="AJ133" s="8"/>
    </row>
    <row r="134" spans="1:36" ht="15">
      <c r="A134" s="365"/>
      <c r="B134" s="403" t="s">
        <v>260</v>
      </c>
      <c r="C134" s="404">
        <v>31042</v>
      </c>
      <c r="D134" s="404">
        <v>1411</v>
      </c>
      <c r="E134" s="405">
        <v>1440</v>
      </c>
      <c r="F134" s="406">
        <v>1446</v>
      </c>
      <c r="G134" s="406">
        <v>1464</v>
      </c>
      <c r="H134" s="406">
        <v>1566</v>
      </c>
      <c r="I134" s="407"/>
      <c r="J134" s="406">
        <v>1488</v>
      </c>
      <c r="K134" s="406">
        <v>1446</v>
      </c>
      <c r="L134" s="405">
        <v>1488</v>
      </c>
      <c r="M134" s="406">
        <v>1446</v>
      </c>
      <c r="N134" s="406">
        <v>1440</v>
      </c>
      <c r="O134" s="406">
        <v>1446</v>
      </c>
      <c r="P134" s="407"/>
      <c r="Q134" s="406">
        <v>1482</v>
      </c>
      <c r="R134" s="406">
        <v>1442</v>
      </c>
      <c r="S134" s="405">
        <v>1188</v>
      </c>
      <c r="T134" s="406">
        <v>1494</v>
      </c>
      <c r="U134" s="406">
        <v>958</v>
      </c>
      <c r="V134" s="406">
        <v>1406</v>
      </c>
      <c r="W134" s="407"/>
      <c r="X134" s="406">
        <v>1368</v>
      </c>
      <c r="Y134" s="406">
        <v>1519</v>
      </c>
      <c r="Z134" s="405">
        <v>1470</v>
      </c>
      <c r="AA134" s="406">
        <v>1447</v>
      </c>
      <c r="AB134" s="406">
        <v>1470</v>
      </c>
      <c r="AC134" s="406">
        <v>1128</v>
      </c>
      <c r="AD134" s="407"/>
      <c r="AE134" s="408"/>
      <c r="AF134" s="408"/>
      <c r="AG134" s="409"/>
      <c r="AH134" s="410"/>
      <c r="AI134" s="410"/>
      <c r="AJ134" s="8"/>
    </row>
    <row r="135" spans="1:36" ht="15">
      <c r="A135" s="365"/>
      <c r="B135" s="403" t="s">
        <v>261</v>
      </c>
      <c r="C135" s="404">
        <v>82</v>
      </c>
      <c r="D135" s="404">
        <v>3.7272727272727271</v>
      </c>
      <c r="E135" s="405">
        <v>0</v>
      </c>
      <c r="F135" s="406">
        <v>6</v>
      </c>
      <c r="G135" s="406">
        <v>24</v>
      </c>
      <c r="H135" s="406">
        <v>126</v>
      </c>
      <c r="I135" s="407"/>
      <c r="J135" s="406">
        <v>48</v>
      </c>
      <c r="K135" s="406">
        <v>6</v>
      </c>
      <c r="L135" s="405">
        <v>48</v>
      </c>
      <c r="M135" s="406">
        <v>6</v>
      </c>
      <c r="N135" s="406">
        <v>0</v>
      </c>
      <c r="O135" s="406">
        <v>6</v>
      </c>
      <c r="P135" s="407"/>
      <c r="Q135" s="406">
        <v>42</v>
      </c>
      <c r="R135" s="406">
        <v>2</v>
      </c>
      <c r="S135" s="407">
        <v>-252</v>
      </c>
      <c r="T135" s="406">
        <v>54</v>
      </c>
      <c r="U135" s="408">
        <v>-122</v>
      </c>
      <c r="V135" s="406">
        <v>326</v>
      </c>
      <c r="W135" s="407"/>
      <c r="X135" s="408">
        <v>-72</v>
      </c>
      <c r="Y135" s="406">
        <v>79</v>
      </c>
      <c r="Z135" s="405">
        <v>30</v>
      </c>
      <c r="AA135" s="406">
        <v>7</v>
      </c>
      <c r="AB135" s="406">
        <v>30</v>
      </c>
      <c r="AC135" s="408">
        <v>-312</v>
      </c>
      <c r="AD135" s="407"/>
      <c r="AE135" s="408"/>
      <c r="AF135" s="408"/>
      <c r="AG135" s="409"/>
      <c r="AH135" s="410"/>
      <c r="AI135" s="410"/>
      <c r="AJ135" s="8"/>
    </row>
    <row r="136" spans="1:36" ht="15">
      <c r="A136" s="365"/>
      <c r="B136" s="403" t="s">
        <v>262</v>
      </c>
      <c r="C136" s="404">
        <v>176</v>
      </c>
      <c r="D136" s="404">
        <v>8</v>
      </c>
      <c r="E136" s="405">
        <v>8</v>
      </c>
      <c r="F136" s="406">
        <v>8</v>
      </c>
      <c r="G136" s="406">
        <v>8</v>
      </c>
      <c r="H136" s="406">
        <v>8</v>
      </c>
      <c r="I136" s="407"/>
      <c r="J136" s="406">
        <v>8</v>
      </c>
      <c r="K136" s="406">
        <v>8</v>
      </c>
      <c r="L136" s="405">
        <v>8</v>
      </c>
      <c r="M136" s="406">
        <v>8</v>
      </c>
      <c r="N136" s="406">
        <v>8</v>
      </c>
      <c r="O136" s="406">
        <v>8</v>
      </c>
      <c r="P136" s="407"/>
      <c r="Q136" s="406">
        <v>8</v>
      </c>
      <c r="R136" s="406">
        <v>8</v>
      </c>
      <c r="S136" s="405">
        <v>8</v>
      </c>
      <c r="T136" s="406">
        <v>8</v>
      </c>
      <c r="U136" s="406">
        <v>8</v>
      </c>
      <c r="V136" s="406">
        <v>8</v>
      </c>
      <c r="W136" s="407"/>
      <c r="X136" s="406">
        <v>8</v>
      </c>
      <c r="Y136" s="406">
        <v>8</v>
      </c>
      <c r="Z136" s="405">
        <v>8</v>
      </c>
      <c r="AA136" s="406">
        <v>8</v>
      </c>
      <c r="AB136" s="406">
        <v>8</v>
      </c>
      <c r="AC136" s="406">
        <v>8</v>
      </c>
      <c r="AD136" s="407"/>
      <c r="AE136" s="408"/>
      <c r="AF136" s="408"/>
      <c r="AG136" s="409"/>
      <c r="AH136" s="410"/>
      <c r="AI136" s="410"/>
      <c r="AJ136" s="8"/>
    </row>
    <row r="137" spans="1:36" ht="15">
      <c r="A137" s="365"/>
      <c r="B137" s="403" t="s">
        <v>263</v>
      </c>
      <c r="C137" s="404">
        <v>91</v>
      </c>
      <c r="D137" s="404">
        <v>91</v>
      </c>
      <c r="E137" s="405">
        <v>94</v>
      </c>
      <c r="F137" s="406">
        <v>93</v>
      </c>
      <c r="G137" s="406">
        <v>93</v>
      </c>
      <c r="H137" s="406">
        <v>93</v>
      </c>
      <c r="I137" s="407"/>
      <c r="J137" s="406">
        <v>89</v>
      </c>
      <c r="K137" s="406">
        <v>92</v>
      </c>
      <c r="L137" s="405">
        <v>92</v>
      </c>
      <c r="M137" s="406">
        <v>92</v>
      </c>
      <c r="N137" s="406">
        <v>89</v>
      </c>
      <c r="O137" s="406">
        <v>88</v>
      </c>
      <c r="P137" s="407"/>
      <c r="Q137" s="406">
        <v>92</v>
      </c>
      <c r="R137" s="406">
        <v>92</v>
      </c>
      <c r="S137" s="405">
        <v>92</v>
      </c>
      <c r="T137" s="406">
        <v>91</v>
      </c>
      <c r="U137" s="406">
        <v>94</v>
      </c>
      <c r="V137" s="406">
        <v>94</v>
      </c>
      <c r="W137" s="407"/>
      <c r="X137" s="406">
        <v>91</v>
      </c>
      <c r="Y137" s="406">
        <v>91</v>
      </c>
      <c r="Z137" s="405">
        <v>93</v>
      </c>
      <c r="AA137" s="406">
        <v>92</v>
      </c>
      <c r="AB137" s="406">
        <v>93</v>
      </c>
      <c r="AC137" s="406">
        <v>92</v>
      </c>
      <c r="AD137" s="407"/>
      <c r="AE137" s="408"/>
      <c r="AF137" s="408"/>
      <c r="AG137" s="409"/>
      <c r="AH137" s="410"/>
      <c r="AI137" s="410"/>
      <c r="AJ137" s="8"/>
    </row>
    <row r="138" spans="1:36" ht="15">
      <c r="A138" s="365"/>
      <c r="B138" s="403" t="s">
        <v>264</v>
      </c>
      <c r="C138" s="404">
        <v>176.375</v>
      </c>
      <c r="D138" s="404">
        <v>176.375</v>
      </c>
      <c r="E138" s="405">
        <v>180</v>
      </c>
      <c r="F138" s="406">
        <v>180.75</v>
      </c>
      <c r="G138" s="406">
        <v>183</v>
      </c>
      <c r="H138" s="406">
        <v>195.75</v>
      </c>
      <c r="I138" s="407"/>
      <c r="J138" s="406">
        <v>186</v>
      </c>
      <c r="K138" s="406">
        <v>180.75</v>
      </c>
      <c r="L138" s="405">
        <v>186</v>
      </c>
      <c r="M138" s="406">
        <v>180.75</v>
      </c>
      <c r="N138" s="406">
        <v>180</v>
      </c>
      <c r="O138" s="406">
        <v>180.75</v>
      </c>
      <c r="P138" s="407"/>
      <c r="Q138" s="406">
        <v>185.25</v>
      </c>
      <c r="R138" s="406">
        <v>180.25</v>
      </c>
      <c r="S138" s="405">
        <v>148.5</v>
      </c>
      <c r="T138" s="406">
        <v>186.75</v>
      </c>
      <c r="U138" s="406">
        <v>119.75</v>
      </c>
      <c r="V138" s="406">
        <v>175.75</v>
      </c>
      <c r="W138" s="407"/>
      <c r="X138" s="406">
        <v>171</v>
      </c>
      <c r="Y138" s="406">
        <v>189.875</v>
      </c>
      <c r="Z138" s="405">
        <v>183.75</v>
      </c>
      <c r="AA138" s="406">
        <v>180.875</v>
      </c>
      <c r="AB138" s="406">
        <v>183.75</v>
      </c>
      <c r="AC138" s="406">
        <v>141</v>
      </c>
      <c r="AD138" s="407"/>
      <c r="AE138" s="408"/>
      <c r="AF138" s="408"/>
      <c r="AG138" s="409"/>
      <c r="AH138" s="410"/>
      <c r="AI138" s="410"/>
      <c r="AJ138" s="8"/>
    </row>
    <row r="139" spans="1:36" ht="15">
      <c r="A139" s="366"/>
      <c r="B139" s="412" t="s">
        <v>265</v>
      </c>
      <c r="C139" s="413">
        <v>1.9382000000000001</v>
      </c>
      <c r="D139" s="413">
        <v>1.9382000000000001</v>
      </c>
      <c r="E139" s="414">
        <v>1.9149</v>
      </c>
      <c r="F139" s="413">
        <v>1.9435</v>
      </c>
      <c r="G139" s="413">
        <v>1.9677</v>
      </c>
      <c r="H139" s="413">
        <v>2.1048</v>
      </c>
      <c r="I139" s="415"/>
      <c r="J139" s="413">
        <v>2.0899000000000001</v>
      </c>
      <c r="K139" s="413">
        <v>1.9647000000000001</v>
      </c>
      <c r="L139" s="414">
        <v>2.0217000000000001</v>
      </c>
      <c r="M139" s="413">
        <v>1.9647000000000001</v>
      </c>
      <c r="N139" s="413">
        <v>2.0225</v>
      </c>
      <c r="O139" s="413">
        <v>2.0539999999999998</v>
      </c>
      <c r="P139" s="415"/>
      <c r="Q139" s="413">
        <v>2.0135999999999998</v>
      </c>
      <c r="R139" s="413">
        <v>1.9592000000000001</v>
      </c>
      <c r="S139" s="414">
        <v>1.6141000000000001</v>
      </c>
      <c r="T139" s="413">
        <v>2.0522</v>
      </c>
      <c r="U139" s="413">
        <v>1.2739</v>
      </c>
      <c r="V139" s="413">
        <v>1.8696999999999999</v>
      </c>
      <c r="W139" s="415"/>
      <c r="X139" s="413">
        <v>1.8791</v>
      </c>
      <c r="Y139" s="413">
        <v>2.0865</v>
      </c>
      <c r="Z139" s="414">
        <v>1.9758</v>
      </c>
      <c r="AA139" s="413">
        <v>1.966</v>
      </c>
      <c r="AB139" s="413">
        <v>1.9758</v>
      </c>
      <c r="AC139" s="413">
        <v>1.5326</v>
      </c>
      <c r="AD139" s="415"/>
      <c r="AE139" s="416"/>
      <c r="AF139" s="416"/>
      <c r="AG139" s="417"/>
      <c r="AH139" s="418"/>
      <c r="AI139" s="418"/>
      <c r="AJ139" s="8"/>
    </row>
    <row r="140" spans="1:36" ht="15">
      <c r="A140" s="364" t="s">
        <v>290</v>
      </c>
      <c r="B140" s="393" t="s">
        <v>45</v>
      </c>
      <c r="C140" s="394">
        <v>34800</v>
      </c>
      <c r="D140" s="394">
        <v>1581.8181818181818</v>
      </c>
      <c r="E140" s="395">
        <v>1760</v>
      </c>
      <c r="F140" s="396">
        <v>1760</v>
      </c>
      <c r="G140" s="396">
        <v>1760</v>
      </c>
      <c r="H140" s="396">
        <v>1760</v>
      </c>
      <c r="I140" s="397"/>
      <c r="J140" s="396">
        <v>1760</v>
      </c>
      <c r="K140" s="396">
        <v>1760</v>
      </c>
      <c r="L140" s="395">
        <v>1760</v>
      </c>
      <c r="M140" s="396">
        <v>1760</v>
      </c>
      <c r="N140" s="396">
        <v>1760</v>
      </c>
      <c r="O140" s="396">
        <v>1760</v>
      </c>
      <c r="P140" s="397"/>
      <c r="Q140" s="396">
        <v>1760</v>
      </c>
      <c r="R140" s="396">
        <v>1760</v>
      </c>
      <c r="S140" s="395">
        <v>1760</v>
      </c>
      <c r="T140" s="396">
        <v>1520</v>
      </c>
      <c r="U140" s="396">
        <v>1280</v>
      </c>
      <c r="V140" s="396">
        <v>1440</v>
      </c>
      <c r="W140" s="397"/>
      <c r="X140" s="396">
        <v>1280</v>
      </c>
      <c r="Y140" s="396">
        <v>1280</v>
      </c>
      <c r="Z140" s="395">
        <v>1280</v>
      </c>
      <c r="AA140" s="396">
        <v>1280</v>
      </c>
      <c r="AB140" s="396">
        <v>1280</v>
      </c>
      <c r="AC140" s="396">
        <v>1280</v>
      </c>
      <c r="AD140" s="397"/>
      <c r="AE140" s="398"/>
      <c r="AF140" s="398"/>
      <c r="AG140" s="399"/>
      <c r="AH140" s="400"/>
      <c r="AI140" s="400"/>
      <c r="AJ140" s="8"/>
    </row>
    <row r="141" spans="1:36" ht="15">
      <c r="A141" s="365"/>
      <c r="B141" s="393" t="s">
        <v>259</v>
      </c>
      <c r="C141" s="394">
        <v>31880</v>
      </c>
      <c r="D141" s="394">
        <v>1449.090909090909</v>
      </c>
      <c r="E141" s="395">
        <v>1680</v>
      </c>
      <c r="F141" s="396">
        <v>1680</v>
      </c>
      <c r="G141" s="396">
        <v>1680</v>
      </c>
      <c r="H141" s="396">
        <v>1680</v>
      </c>
      <c r="I141" s="397"/>
      <c r="J141" s="396">
        <v>1680</v>
      </c>
      <c r="K141" s="396">
        <v>1680</v>
      </c>
      <c r="L141" s="395">
        <v>1680</v>
      </c>
      <c r="M141" s="396">
        <v>1680</v>
      </c>
      <c r="N141" s="396">
        <v>1680</v>
      </c>
      <c r="O141" s="396">
        <v>1680</v>
      </c>
      <c r="P141" s="397"/>
      <c r="Q141" s="396">
        <v>1680</v>
      </c>
      <c r="R141" s="396">
        <v>1680</v>
      </c>
      <c r="S141" s="395">
        <v>1680</v>
      </c>
      <c r="T141" s="396">
        <v>900</v>
      </c>
      <c r="U141" s="396">
        <v>900</v>
      </c>
      <c r="V141" s="396">
        <v>1120</v>
      </c>
      <c r="W141" s="397"/>
      <c r="X141" s="396">
        <v>1120</v>
      </c>
      <c r="Y141" s="396">
        <v>1200</v>
      </c>
      <c r="Z141" s="395">
        <v>1200</v>
      </c>
      <c r="AA141" s="396">
        <v>1200</v>
      </c>
      <c r="AB141" s="396">
        <v>1200</v>
      </c>
      <c r="AC141" s="396">
        <v>1200</v>
      </c>
      <c r="AD141" s="397"/>
      <c r="AE141" s="396">
        <v>1200</v>
      </c>
      <c r="AF141" s="396">
        <v>1200</v>
      </c>
      <c r="AG141" s="401">
        <v>1200</v>
      </c>
      <c r="AH141" s="402">
        <v>1200</v>
      </c>
      <c r="AI141" s="402">
        <v>1200</v>
      </c>
      <c r="AJ141" s="8"/>
    </row>
    <row r="142" spans="1:36" ht="15">
      <c r="A142" s="365"/>
      <c r="B142" s="403" t="s">
        <v>260</v>
      </c>
      <c r="C142" s="404">
        <v>30578</v>
      </c>
      <c r="D142" s="404">
        <v>1389.909090909091</v>
      </c>
      <c r="E142" s="405">
        <v>1680</v>
      </c>
      <c r="F142" s="406">
        <v>1680</v>
      </c>
      <c r="G142" s="406">
        <v>1680</v>
      </c>
      <c r="H142" s="406">
        <v>1680</v>
      </c>
      <c r="I142" s="407"/>
      <c r="J142" s="406">
        <v>1680</v>
      </c>
      <c r="K142" s="406">
        <v>1680</v>
      </c>
      <c r="L142" s="405">
        <v>1680</v>
      </c>
      <c r="M142" s="406">
        <v>1682</v>
      </c>
      <c r="N142" s="406">
        <v>1680</v>
      </c>
      <c r="O142" s="406">
        <v>1680</v>
      </c>
      <c r="P142" s="407"/>
      <c r="Q142" s="406">
        <v>1680</v>
      </c>
      <c r="R142" s="406">
        <v>1680</v>
      </c>
      <c r="S142" s="405">
        <v>1680</v>
      </c>
      <c r="T142" s="406">
        <v>618</v>
      </c>
      <c r="U142" s="406">
        <v>900</v>
      </c>
      <c r="V142" s="406">
        <v>1122</v>
      </c>
      <c r="W142" s="407"/>
      <c r="X142" s="406">
        <v>846</v>
      </c>
      <c r="Y142" s="406">
        <v>864</v>
      </c>
      <c r="Z142" s="405">
        <v>948</v>
      </c>
      <c r="AA142" s="406">
        <v>1092</v>
      </c>
      <c r="AB142" s="406">
        <v>1200</v>
      </c>
      <c r="AC142" s="406">
        <v>1146</v>
      </c>
      <c r="AD142" s="407"/>
      <c r="AE142" s="408"/>
      <c r="AF142" s="408"/>
      <c r="AG142" s="409"/>
      <c r="AH142" s="410"/>
      <c r="AI142" s="410"/>
      <c r="AJ142" s="8"/>
    </row>
    <row r="143" spans="1:36" ht="15">
      <c r="A143" s="365"/>
      <c r="B143" s="403" t="s">
        <v>48</v>
      </c>
      <c r="C143" s="411">
        <v>-1302</v>
      </c>
      <c r="D143" s="411">
        <v>-59.18181818181818</v>
      </c>
      <c r="E143" s="405">
        <v>0</v>
      </c>
      <c r="F143" s="406">
        <v>0</v>
      </c>
      <c r="G143" s="406">
        <v>0</v>
      </c>
      <c r="H143" s="406">
        <v>0</v>
      </c>
      <c r="I143" s="407"/>
      <c r="J143" s="406">
        <v>0</v>
      </c>
      <c r="K143" s="406">
        <v>0</v>
      </c>
      <c r="L143" s="405">
        <v>0</v>
      </c>
      <c r="M143" s="406">
        <v>2</v>
      </c>
      <c r="N143" s="406">
        <v>0</v>
      </c>
      <c r="O143" s="406">
        <v>0</v>
      </c>
      <c r="P143" s="407"/>
      <c r="Q143" s="406">
        <v>0</v>
      </c>
      <c r="R143" s="406">
        <v>0</v>
      </c>
      <c r="S143" s="405">
        <v>0</v>
      </c>
      <c r="T143" s="408">
        <v>-282</v>
      </c>
      <c r="U143" s="406">
        <v>0</v>
      </c>
      <c r="V143" s="406">
        <v>2</v>
      </c>
      <c r="W143" s="407"/>
      <c r="X143" s="408">
        <v>-274</v>
      </c>
      <c r="Y143" s="408">
        <v>-336</v>
      </c>
      <c r="Z143" s="407">
        <v>-252</v>
      </c>
      <c r="AA143" s="408">
        <v>-108</v>
      </c>
      <c r="AB143" s="406">
        <v>0</v>
      </c>
      <c r="AC143" s="408">
        <v>-54</v>
      </c>
      <c r="AD143" s="407"/>
      <c r="AE143" s="408"/>
      <c r="AF143" s="408"/>
      <c r="AG143" s="409"/>
      <c r="AH143" s="410"/>
      <c r="AI143" s="410"/>
      <c r="AJ143" s="8"/>
    </row>
    <row r="144" spans="1:36" ht="15">
      <c r="A144" s="365"/>
      <c r="B144" s="403" t="s">
        <v>291</v>
      </c>
      <c r="C144" s="404">
        <v>176</v>
      </c>
      <c r="D144" s="404">
        <v>8</v>
      </c>
      <c r="E144" s="405">
        <v>8</v>
      </c>
      <c r="F144" s="406">
        <v>8</v>
      </c>
      <c r="G144" s="406">
        <v>8</v>
      </c>
      <c r="H144" s="406">
        <v>8</v>
      </c>
      <c r="I144" s="407"/>
      <c r="J144" s="406">
        <v>8</v>
      </c>
      <c r="K144" s="406">
        <v>8</v>
      </c>
      <c r="L144" s="405">
        <v>8</v>
      </c>
      <c r="M144" s="406">
        <v>8</v>
      </c>
      <c r="N144" s="406">
        <v>8</v>
      </c>
      <c r="O144" s="406">
        <v>8</v>
      </c>
      <c r="P144" s="407"/>
      <c r="Q144" s="406">
        <v>8</v>
      </c>
      <c r="R144" s="406">
        <v>8</v>
      </c>
      <c r="S144" s="405">
        <v>8</v>
      </c>
      <c r="T144" s="406">
        <v>8</v>
      </c>
      <c r="U144" s="406">
        <v>8</v>
      </c>
      <c r="V144" s="406">
        <v>8</v>
      </c>
      <c r="W144" s="407"/>
      <c r="X144" s="406">
        <v>8</v>
      </c>
      <c r="Y144" s="406">
        <v>8</v>
      </c>
      <c r="Z144" s="405">
        <v>8</v>
      </c>
      <c r="AA144" s="406">
        <v>8</v>
      </c>
      <c r="AB144" s="406">
        <v>8</v>
      </c>
      <c r="AC144" s="406">
        <v>8</v>
      </c>
      <c r="AD144" s="407"/>
      <c r="AE144" s="408"/>
      <c r="AF144" s="408"/>
      <c r="AG144" s="409"/>
      <c r="AH144" s="410"/>
      <c r="AI144" s="410"/>
      <c r="AJ144" s="8"/>
    </row>
    <row r="145" spans="1:36" ht="15">
      <c r="A145" s="365"/>
      <c r="B145" s="403" t="s">
        <v>50</v>
      </c>
      <c r="C145" s="404">
        <v>111</v>
      </c>
      <c r="D145" s="404">
        <v>111</v>
      </c>
      <c r="E145" s="405">
        <v>112</v>
      </c>
      <c r="F145" s="406">
        <v>112</v>
      </c>
      <c r="G145" s="406">
        <v>113</v>
      </c>
      <c r="H145" s="406">
        <v>111</v>
      </c>
      <c r="I145" s="407"/>
      <c r="J145" s="406">
        <v>105</v>
      </c>
      <c r="K145" s="406">
        <v>110</v>
      </c>
      <c r="L145" s="405">
        <v>112</v>
      </c>
      <c r="M145" s="406">
        <v>112</v>
      </c>
      <c r="N145" s="406">
        <v>111</v>
      </c>
      <c r="O145" s="406">
        <v>110</v>
      </c>
      <c r="P145" s="407"/>
      <c r="Q145" s="406">
        <v>110</v>
      </c>
      <c r="R145" s="406">
        <v>110</v>
      </c>
      <c r="S145" s="405">
        <v>108</v>
      </c>
      <c r="T145" s="406">
        <v>112</v>
      </c>
      <c r="U145" s="406">
        <v>113</v>
      </c>
      <c r="V145" s="406">
        <v>111</v>
      </c>
      <c r="W145" s="407"/>
      <c r="X145" s="406">
        <v>109</v>
      </c>
      <c r="Y145" s="406">
        <v>111</v>
      </c>
      <c r="Z145" s="405">
        <v>113</v>
      </c>
      <c r="AA145" s="406">
        <v>113</v>
      </c>
      <c r="AB145" s="406">
        <v>113</v>
      </c>
      <c r="AC145" s="406">
        <v>114</v>
      </c>
      <c r="AD145" s="407"/>
      <c r="AE145" s="408"/>
      <c r="AF145" s="408"/>
      <c r="AG145" s="409"/>
      <c r="AH145" s="410"/>
      <c r="AI145" s="410"/>
      <c r="AJ145" s="8"/>
    </row>
    <row r="146" spans="1:36" ht="15">
      <c r="A146" s="365"/>
      <c r="B146" s="403" t="s">
        <v>51</v>
      </c>
      <c r="C146" s="404">
        <v>173.73863636363637</v>
      </c>
      <c r="D146" s="404">
        <v>173.73863636363637</v>
      </c>
      <c r="E146" s="405">
        <v>210</v>
      </c>
      <c r="F146" s="406">
        <v>210</v>
      </c>
      <c r="G146" s="406">
        <v>210</v>
      </c>
      <c r="H146" s="406">
        <v>210</v>
      </c>
      <c r="I146" s="407"/>
      <c r="J146" s="406">
        <v>210</v>
      </c>
      <c r="K146" s="406">
        <v>210</v>
      </c>
      <c r="L146" s="405">
        <v>210</v>
      </c>
      <c r="M146" s="406">
        <v>210.25</v>
      </c>
      <c r="N146" s="406">
        <v>210</v>
      </c>
      <c r="O146" s="406">
        <v>210</v>
      </c>
      <c r="P146" s="407"/>
      <c r="Q146" s="406">
        <v>210</v>
      </c>
      <c r="R146" s="406">
        <v>210</v>
      </c>
      <c r="S146" s="405">
        <v>210</v>
      </c>
      <c r="T146" s="406">
        <v>77.25</v>
      </c>
      <c r="U146" s="406">
        <v>112.5</v>
      </c>
      <c r="V146" s="406">
        <v>140.25</v>
      </c>
      <c r="W146" s="407"/>
      <c r="X146" s="406">
        <v>105.75</v>
      </c>
      <c r="Y146" s="406">
        <v>108</v>
      </c>
      <c r="Z146" s="405">
        <v>118.5</v>
      </c>
      <c r="AA146" s="406">
        <v>136.5</v>
      </c>
      <c r="AB146" s="406">
        <v>150</v>
      </c>
      <c r="AC146" s="406">
        <v>143.25</v>
      </c>
      <c r="AD146" s="407"/>
      <c r="AE146" s="408"/>
      <c r="AF146" s="408"/>
      <c r="AG146" s="409"/>
      <c r="AH146" s="410"/>
      <c r="AI146" s="410"/>
      <c r="AJ146" s="8"/>
    </row>
    <row r="147" spans="1:36" ht="15">
      <c r="A147" s="366"/>
      <c r="B147" s="412" t="s">
        <v>52</v>
      </c>
      <c r="C147" s="413">
        <v>1.5651999999999999</v>
      </c>
      <c r="D147" s="413">
        <v>1.5651999999999999</v>
      </c>
      <c r="E147" s="414">
        <v>1.875</v>
      </c>
      <c r="F147" s="413">
        <v>1.875</v>
      </c>
      <c r="G147" s="413">
        <v>1.8584000000000001</v>
      </c>
      <c r="H147" s="413">
        <v>1.8919000000000001</v>
      </c>
      <c r="I147" s="415"/>
      <c r="J147" s="413">
        <v>2</v>
      </c>
      <c r="K147" s="413">
        <v>1.9091</v>
      </c>
      <c r="L147" s="414">
        <v>1.875</v>
      </c>
      <c r="M147" s="413">
        <v>1.8772</v>
      </c>
      <c r="N147" s="413">
        <v>1.8919000000000001</v>
      </c>
      <c r="O147" s="413">
        <v>1.9091</v>
      </c>
      <c r="P147" s="415"/>
      <c r="Q147" s="413">
        <v>1.9091</v>
      </c>
      <c r="R147" s="413">
        <v>1.9091</v>
      </c>
      <c r="S147" s="414">
        <v>1.9443999999999999</v>
      </c>
      <c r="T147" s="413">
        <v>0.68969999999999998</v>
      </c>
      <c r="U147" s="413">
        <v>0.99560000000000004</v>
      </c>
      <c r="V147" s="413">
        <v>1.2635000000000001</v>
      </c>
      <c r="W147" s="415"/>
      <c r="X147" s="413">
        <v>0.97019999999999995</v>
      </c>
      <c r="Y147" s="413">
        <v>0.97299999999999998</v>
      </c>
      <c r="Z147" s="414">
        <v>1.0487</v>
      </c>
      <c r="AA147" s="413">
        <v>1.208</v>
      </c>
      <c r="AB147" s="413">
        <v>1.3273999999999999</v>
      </c>
      <c r="AC147" s="413">
        <v>1.2565999999999999</v>
      </c>
      <c r="AD147" s="415"/>
      <c r="AE147" s="416"/>
      <c r="AF147" s="416"/>
      <c r="AG147" s="417"/>
      <c r="AH147" s="418"/>
      <c r="AI147" s="418"/>
      <c r="AJ147" s="8"/>
    </row>
    <row r="148" spans="1:36" ht="15">
      <c r="A148" s="364" t="s">
        <v>292</v>
      </c>
      <c r="B148" s="393" t="s">
        <v>293</v>
      </c>
      <c r="C148" s="394">
        <v>33320</v>
      </c>
      <c r="D148" s="394">
        <v>1514.5454545454545</v>
      </c>
      <c r="E148" s="395">
        <v>1760</v>
      </c>
      <c r="F148" s="396">
        <v>1760</v>
      </c>
      <c r="G148" s="396">
        <v>1760</v>
      </c>
      <c r="H148" s="396">
        <v>1760</v>
      </c>
      <c r="I148" s="397"/>
      <c r="J148" s="396">
        <v>1760</v>
      </c>
      <c r="K148" s="396">
        <v>1760</v>
      </c>
      <c r="L148" s="395">
        <v>1760</v>
      </c>
      <c r="M148" s="396">
        <v>1760</v>
      </c>
      <c r="N148" s="396">
        <v>1760</v>
      </c>
      <c r="O148" s="396">
        <v>1760</v>
      </c>
      <c r="P148" s="397"/>
      <c r="Q148" s="396">
        <v>1640</v>
      </c>
      <c r="R148" s="396">
        <v>1280</v>
      </c>
      <c r="S148" s="395">
        <v>1280</v>
      </c>
      <c r="T148" s="396">
        <v>1280</v>
      </c>
      <c r="U148" s="396">
        <v>1280</v>
      </c>
      <c r="V148" s="396">
        <v>1280</v>
      </c>
      <c r="W148" s="397"/>
      <c r="X148" s="396">
        <v>1280</v>
      </c>
      <c r="Y148" s="396">
        <v>1280</v>
      </c>
      <c r="Z148" s="395">
        <v>1280</v>
      </c>
      <c r="AA148" s="396">
        <v>1280</v>
      </c>
      <c r="AB148" s="396">
        <v>1280</v>
      </c>
      <c r="AC148" s="396">
        <v>1280</v>
      </c>
      <c r="AD148" s="397"/>
      <c r="AE148" s="398"/>
      <c r="AF148" s="398"/>
      <c r="AG148" s="399"/>
      <c r="AH148" s="400"/>
      <c r="AI148" s="400"/>
      <c r="AJ148" s="8"/>
    </row>
    <row r="149" spans="1:36" ht="15">
      <c r="A149" s="365"/>
      <c r="B149" s="393" t="s">
        <v>294</v>
      </c>
      <c r="C149" s="394">
        <v>31800</v>
      </c>
      <c r="D149" s="394">
        <v>1445.4545454545455</v>
      </c>
      <c r="E149" s="395">
        <v>1680</v>
      </c>
      <c r="F149" s="396">
        <v>1680</v>
      </c>
      <c r="G149" s="396">
        <v>1680</v>
      </c>
      <c r="H149" s="396">
        <v>1680</v>
      </c>
      <c r="I149" s="397"/>
      <c r="J149" s="396">
        <v>1680</v>
      </c>
      <c r="K149" s="396">
        <v>1680</v>
      </c>
      <c r="L149" s="395">
        <v>1680</v>
      </c>
      <c r="M149" s="396">
        <v>1680</v>
      </c>
      <c r="N149" s="396">
        <v>1680</v>
      </c>
      <c r="O149" s="396">
        <v>1680</v>
      </c>
      <c r="P149" s="397"/>
      <c r="Q149" s="396">
        <v>1680</v>
      </c>
      <c r="R149" s="396">
        <v>1680</v>
      </c>
      <c r="S149" s="395">
        <v>1680</v>
      </c>
      <c r="T149" s="396">
        <v>900</v>
      </c>
      <c r="U149" s="396">
        <v>900</v>
      </c>
      <c r="V149" s="396">
        <v>1120</v>
      </c>
      <c r="W149" s="397"/>
      <c r="X149" s="396">
        <v>1120</v>
      </c>
      <c r="Y149" s="396">
        <v>1120</v>
      </c>
      <c r="Z149" s="395">
        <v>1200</v>
      </c>
      <c r="AA149" s="396">
        <v>1200</v>
      </c>
      <c r="AB149" s="396">
        <v>1200</v>
      </c>
      <c r="AC149" s="396">
        <v>1200</v>
      </c>
      <c r="AD149" s="397"/>
      <c r="AE149" s="396">
        <v>1200</v>
      </c>
      <c r="AF149" s="396">
        <v>1200</v>
      </c>
      <c r="AG149" s="401">
        <v>1200</v>
      </c>
      <c r="AH149" s="402">
        <v>1200</v>
      </c>
      <c r="AI149" s="402">
        <v>1200</v>
      </c>
      <c r="AJ149" s="8"/>
    </row>
    <row r="150" spans="1:36" ht="15">
      <c r="A150" s="365"/>
      <c r="B150" s="403" t="s">
        <v>295</v>
      </c>
      <c r="C150" s="404">
        <v>28827</v>
      </c>
      <c r="D150" s="404">
        <v>1310.3181818181818</v>
      </c>
      <c r="E150" s="405">
        <v>1680</v>
      </c>
      <c r="F150" s="406">
        <v>1680</v>
      </c>
      <c r="G150" s="406">
        <v>1680</v>
      </c>
      <c r="H150" s="406">
        <v>1680</v>
      </c>
      <c r="I150" s="407"/>
      <c r="J150" s="406">
        <v>1680</v>
      </c>
      <c r="K150" s="406">
        <v>1722</v>
      </c>
      <c r="L150" s="405">
        <v>1680</v>
      </c>
      <c r="M150" s="406">
        <v>1680</v>
      </c>
      <c r="N150" s="406">
        <v>1680</v>
      </c>
      <c r="O150" s="406">
        <v>1680</v>
      </c>
      <c r="P150" s="407"/>
      <c r="Q150" s="406">
        <v>1680</v>
      </c>
      <c r="R150" s="406">
        <v>810</v>
      </c>
      <c r="S150" s="405">
        <v>720</v>
      </c>
      <c r="T150" s="406">
        <v>810</v>
      </c>
      <c r="U150" s="406">
        <v>726</v>
      </c>
      <c r="V150" s="406">
        <v>905</v>
      </c>
      <c r="W150" s="407"/>
      <c r="X150" s="406">
        <v>1002</v>
      </c>
      <c r="Y150" s="406">
        <v>934</v>
      </c>
      <c r="Z150" s="405">
        <v>954</v>
      </c>
      <c r="AA150" s="406">
        <v>1200</v>
      </c>
      <c r="AB150" s="406">
        <v>1140</v>
      </c>
      <c r="AC150" s="406">
        <v>1104</v>
      </c>
      <c r="AD150" s="407"/>
      <c r="AE150" s="408"/>
      <c r="AF150" s="408"/>
      <c r="AG150" s="409"/>
      <c r="AH150" s="410"/>
      <c r="AI150" s="410"/>
      <c r="AJ150" s="8"/>
    </row>
    <row r="151" spans="1:36" ht="15">
      <c r="A151" s="365"/>
      <c r="B151" s="403" t="s">
        <v>296</v>
      </c>
      <c r="C151" s="411">
        <v>-2973</v>
      </c>
      <c r="D151" s="411">
        <v>-135.13636363636363</v>
      </c>
      <c r="E151" s="405">
        <v>0</v>
      </c>
      <c r="F151" s="406">
        <v>0</v>
      </c>
      <c r="G151" s="406">
        <v>0</v>
      </c>
      <c r="H151" s="406">
        <v>0</v>
      </c>
      <c r="I151" s="407"/>
      <c r="J151" s="406">
        <v>0</v>
      </c>
      <c r="K151" s="406">
        <v>42</v>
      </c>
      <c r="L151" s="405">
        <v>0</v>
      </c>
      <c r="M151" s="406">
        <v>0</v>
      </c>
      <c r="N151" s="406">
        <v>0</v>
      </c>
      <c r="O151" s="406">
        <v>0</v>
      </c>
      <c r="P151" s="407"/>
      <c r="Q151" s="406">
        <v>0</v>
      </c>
      <c r="R151" s="408">
        <v>-870</v>
      </c>
      <c r="S151" s="407">
        <v>-960</v>
      </c>
      <c r="T151" s="408">
        <v>-90</v>
      </c>
      <c r="U151" s="408">
        <v>-174</v>
      </c>
      <c r="V151" s="408">
        <v>-215</v>
      </c>
      <c r="W151" s="407"/>
      <c r="X151" s="408">
        <v>-118</v>
      </c>
      <c r="Y151" s="408">
        <v>-186</v>
      </c>
      <c r="Z151" s="407">
        <v>-246</v>
      </c>
      <c r="AA151" s="406">
        <v>0</v>
      </c>
      <c r="AB151" s="408">
        <v>-60</v>
      </c>
      <c r="AC151" s="408">
        <v>-96</v>
      </c>
      <c r="AD151" s="407"/>
      <c r="AE151" s="408"/>
      <c r="AF151" s="408"/>
      <c r="AG151" s="409"/>
      <c r="AH151" s="410"/>
      <c r="AI151" s="410"/>
      <c r="AJ151" s="8"/>
    </row>
    <row r="152" spans="1:36" ht="15">
      <c r="A152" s="365"/>
      <c r="B152" s="403" t="s">
        <v>297</v>
      </c>
      <c r="C152" s="404">
        <v>176</v>
      </c>
      <c r="D152" s="404">
        <v>8</v>
      </c>
      <c r="E152" s="405">
        <v>8</v>
      </c>
      <c r="F152" s="406">
        <v>8</v>
      </c>
      <c r="G152" s="406">
        <v>8</v>
      </c>
      <c r="H152" s="406">
        <v>8</v>
      </c>
      <c r="I152" s="407"/>
      <c r="J152" s="406">
        <v>8</v>
      </c>
      <c r="K152" s="406">
        <v>8</v>
      </c>
      <c r="L152" s="405">
        <v>8</v>
      </c>
      <c r="M152" s="406">
        <v>8</v>
      </c>
      <c r="N152" s="406">
        <v>8</v>
      </c>
      <c r="O152" s="406">
        <v>8</v>
      </c>
      <c r="P152" s="407"/>
      <c r="Q152" s="406">
        <v>8</v>
      </c>
      <c r="R152" s="406">
        <v>8</v>
      </c>
      <c r="S152" s="405">
        <v>8</v>
      </c>
      <c r="T152" s="406">
        <v>8</v>
      </c>
      <c r="U152" s="406">
        <v>8</v>
      </c>
      <c r="V152" s="406">
        <v>8</v>
      </c>
      <c r="W152" s="407"/>
      <c r="X152" s="406">
        <v>8</v>
      </c>
      <c r="Y152" s="406">
        <v>8</v>
      </c>
      <c r="Z152" s="405">
        <v>8</v>
      </c>
      <c r="AA152" s="406">
        <v>8</v>
      </c>
      <c r="AB152" s="406">
        <v>8</v>
      </c>
      <c r="AC152" s="406">
        <v>8</v>
      </c>
      <c r="AD152" s="407"/>
      <c r="AE152" s="408"/>
      <c r="AF152" s="408"/>
      <c r="AG152" s="409"/>
      <c r="AH152" s="410"/>
      <c r="AI152" s="410"/>
      <c r="AJ152" s="8"/>
    </row>
    <row r="153" spans="1:36" ht="15">
      <c r="A153" s="365"/>
      <c r="B153" s="403" t="s">
        <v>298</v>
      </c>
      <c r="C153" s="404">
        <v>113</v>
      </c>
      <c r="D153" s="404">
        <v>113</v>
      </c>
      <c r="E153" s="405">
        <v>116</v>
      </c>
      <c r="F153" s="406">
        <v>118</v>
      </c>
      <c r="G153" s="406">
        <v>115</v>
      </c>
      <c r="H153" s="406">
        <v>115</v>
      </c>
      <c r="I153" s="407"/>
      <c r="J153" s="406">
        <v>113</v>
      </c>
      <c r="K153" s="406">
        <v>114</v>
      </c>
      <c r="L153" s="405">
        <v>116</v>
      </c>
      <c r="M153" s="406">
        <v>113</v>
      </c>
      <c r="N153" s="406">
        <v>114</v>
      </c>
      <c r="O153" s="406">
        <v>112</v>
      </c>
      <c r="P153" s="407"/>
      <c r="Q153" s="406">
        <v>107</v>
      </c>
      <c r="R153" s="406">
        <v>110</v>
      </c>
      <c r="S153" s="405">
        <v>114</v>
      </c>
      <c r="T153" s="406">
        <v>112</v>
      </c>
      <c r="U153" s="406">
        <v>113</v>
      </c>
      <c r="V153" s="406">
        <v>112</v>
      </c>
      <c r="W153" s="407"/>
      <c r="X153" s="406">
        <v>111</v>
      </c>
      <c r="Y153" s="406">
        <v>111</v>
      </c>
      <c r="Z153" s="405">
        <v>115</v>
      </c>
      <c r="AA153" s="406">
        <v>116</v>
      </c>
      <c r="AB153" s="406">
        <v>116</v>
      </c>
      <c r="AC153" s="406">
        <v>115</v>
      </c>
      <c r="AD153" s="407"/>
      <c r="AE153" s="408"/>
      <c r="AF153" s="408"/>
      <c r="AG153" s="409"/>
      <c r="AH153" s="410"/>
      <c r="AI153" s="410"/>
      <c r="AJ153" s="8"/>
    </row>
    <row r="154" spans="1:36" ht="15">
      <c r="A154" s="365"/>
      <c r="B154" s="403" t="s">
        <v>264</v>
      </c>
      <c r="C154" s="404">
        <v>163.78977272727272</v>
      </c>
      <c r="D154" s="404">
        <v>163.78977272727272</v>
      </c>
      <c r="E154" s="405">
        <v>210</v>
      </c>
      <c r="F154" s="406">
        <v>210</v>
      </c>
      <c r="G154" s="406">
        <v>210</v>
      </c>
      <c r="H154" s="406">
        <v>210</v>
      </c>
      <c r="I154" s="407"/>
      <c r="J154" s="406">
        <v>210</v>
      </c>
      <c r="K154" s="406">
        <v>215.25</v>
      </c>
      <c r="L154" s="405">
        <v>210</v>
      </c>
      <c r="M154" s="406">
        <v>210</v>
      </c>
      <c r="N154" s="406">
        <v>210</v>
      </c>
      <c r="O154" s="406">
        <v>210</v>
      </c>
      <c r="P154" s="407"/>
      <c r="Q154" s="406">
        <v>210</v>
      </c>
      <c r="R154" s="406">
        <v>101.25</v>
      </c>
      <c r="S154" s="405">
        <v>90</v>
      </c>
      <c r="T154" s="406">
        <v>101.25</v>
      </c>
      <c r="U154" s="406">
        <v>90.75</v>
      </c>
      <c r="V154" s="406">
        <v>113.125</v>
      </c>
      <c r="W154" s="407"/>
      <c r="X154" s="406">
        <v>125.25</v>
      </c>
      <c r="Y154" s="406">
        <v>116.75</v>
      </c>
      <c r="Z154" s="405">
        <v>119.25</v>
      </c>
      <c r="AA154" s="406">
        <v>150</v>
      </c>
      <c r="AB154" s="406">
        <v>142.5</v>
      </c>
      <c r="AC154" s="406">
        <v>138</v>
      </c>
      <c r="AD154" s="407"/>
      <c r="AE154" s="408"/>
      <c r="AF154" s="408"/>
      <c r="AG154" s="409"/>
      <c r="AH154" s="410"/>
      <c r="AI154" s="410"/>
      <c r="AJ154" s="8"/>
    </row>
    <row r="155" spans="1:36" ht="15">
      <c r="A155" s="366"/>
      <c r="B155" s="412" t="s">
        <v>265</v>
      </c>
      <c r="C155" s="413">
        <v>1.4495</v>
      </c>
      <c r="D155" s="413">
        <v>1.4495</v>
      </c>
      <c r="E155" s="414">
        <v>1.8103</v>
      </c>
      <c r="F155" s="413">
        <v>1.7797000000000001</v>
      </c>
      <c r="G155" s="413">
        <v>1.8260999999999998</v>
      </c>
      <c r="H155" s="413">
        <v>1.8260999999999998</v>
      </c>
      <c r="I155" s="415"/>
      <c r="J155" s="413">
        <v>1.8584000000000001</v>
      </c>
      <c r="K155" s="413">
        <v>1.8881999999999999</v>
      </c>
      <c r="L155" s="414">
        <v>1.8103</v>
      </c>
      <c r="M155" s="413">
        <v>1.8584000000000001</v>
      </c>
      <c r="N155" s="413">
        <v>1.8420999999999998</v>
      </c>
      <c r="O155" s="413">
        <v>1.875</v>
      </c>
      <c r="P155" s="415"/>
      <c r="Q155" s="413">
        <v>1.9626000000000001</v>
      </c>
      <c r="R155" s="413">
        <v>0.92049999999999998</v>
      </c>
      <c r="S155" s="414">
        <v>0.78949999999999998</v>
      </c>
      <c r="T155" s="413">
        <v>0.90400000000000003</v>
      </c>
      <c r="U155" s="413">
        <v>0.80310000000000004</v>
      </c>
      <c r="V155" s="413">
        <v>1.01</v>
      </c>
      <c r="W155" s="415"/>
      <c r="X155" s="413">
        <v>1.1284000000000001</v>
      </c>
      <c r="Y155" s="413">
        <v>1.0518000000000001</v>
      </c>
      <c r="Z155" s="414">
        <v>1.0369999999999999</v>
      </c>
      <c r="AA155" s="413">
        <v>1.2930999999999999</v>
      </c>
      <c r="AB155" s="413">
        <v>1.2283999999999999</v>
      </c>
      <c r="AC155" s="413">
        <v>1.2</v>
      </c>
      <c r="AD155" s="415"/>
      <c r="AE155" s="416"/>
      <c r="AF155" s="416"/>
      <c r="AG155" s="417"/>
      <c r="AH155" s="418"/>
      <c r="AI155" s="418"/>
      <c r="AJ155" s="8"/>
    </row>
    <row r="156" spans="1:36" ht="15">
      <c r="A156" s="364" t="s">
        <v>299</v>
      </c>
      <c r="B156" s="393" t="s">
        <v>258</v>
      </c>
      <c r="C156" s="394">
        <v>34576</v>
      </c>
      <c r="D156" s="394">
        <v>1571.6363636363637</v>
      </c>
      <c r="E156" s="395">
        <v>1600</v>
      </c>
      <c r="F156" s="396">
        <v>1760</v>
      </c>
      <c r="G156" s="396">
        <v>1760</v>
      </c>
      <c r="H156" s="396">
        <v>1760</v>
      </c>
      <c r="I156" s="397"/>
      <c r="J156" s="396">
        <v>1760</v>
      </c>
      <c r="K156" s="396">
        <v>1760</v>
      </c>
      <c r="L156" s="395">
        <v>1760</v>
      </c>
      <c r="M156" s="396">
        <v>1760</v>
      </c>
      <c r="N156" s="396">
        <v>1760</v>
      </c>
      <c r="O156" s="396">
        <v>1760</v>
      </c>
      <c r="P156" s="397"/>
      <c r="Q156" s="396">
        <v>1760</v>
      </c>
      <c r="R156" s="396">
        <v>1760</v>
      </c>
      <c r="S156" s="395">
        <v>1760</v>
      </c>
      <c r="T156" s="396">
        <v>1520</v>
      </c>
      <c r="U156" s="396">
        <v>1280</v>
      </c>
      <c r="V156" s="396">
        <v>1376</v>
      </c>
      <c r="W156" s="397"/>
      <c r="X156" s="396">
        <v>1280</v>
      </c>
      <c r="Y156" s="396">
        <v>1280</v>
      </c>
      <c r="Z156" s="395">
        <v>1280</v>
      </c>
      <c r="AA156" s="396">
        <v>1280</v>
      </c>
      <c r="AB156" s="396">
        <v>1280</v>
      </c>
      <c r="AC156" s="396">
        <v>1280</v>
      </c>
      <c r="AD156" s="397"/>
      <c r="AE156" s="398"/>
      <c r="AF156" s="398"/>
      <c r="AG156" s="399"/>
      <c r="AH156" s="400"/>
      <c r="AI156" s="400"/>
      <c r="AJ156" s="8"/>
    </row>
    <row r="157" spans="1:36" ht="15">
      <c r="A157" s="365"/>
      <c r="B157" s="393" t="s">
        <v>259</v>
      </c>
      <c r="C157" s="394">
        <v>31800</v>
      </c>
      <c r="D157" s="394">
        <v>1445.4545454545455</v>
      </c>
      <c r="E157" s="395">
        <v>1680</v>
      </c>
      <c r="F157" s="396">
        <v>1680</v>
      </c>
      <c r="G157" s="396">
        <v>1680</v>
      </c>
      <c r="H157" s="396">
        <v>1680</v>
      </c>
      <c r="I157" s="397"/>
      <c r="J157" s="396">
        <v>1680</v>
      </c>
      <c r="K157" s="396">
        <v>1680</v>
      </c>
      <c r="L157" s="395">
        <v>1680</v>
      </c>
      <c r="M157" s="396">
        <v>1680</v>
      </c>
      <c r="N157" s="396">
        <v>1680</v>
      </c>
      <c r="O157" s="396">
        <v>1680</v>
      </c>
      <c r="P157" s="397"/>
      <c r="Q157" s="396">
        <v>1680</v>
      </c>
      <c r="R157" s="396">
        <v>1680</v>
      </c>
      <c r="S157" s="395">
        <v>1680</v>
      </c>
      <c r="T157" s="396">
        <v>900</v>
      </c>
      <c r="U157" s="396">
        <v>900</v>
      </c>
      <c r="V157" s="396">
        <v>1120</v>
      </c>
      <c r="W157" s="397"/>
      <c r="X157" s="396">
        <v>1120</v>
      </c>
      <c r="Y157" s="396">
        <v>1120</v>
      </c>
      <c r="Z157" s="395">
        <v>1200</v>
      </c>
      <c r="AA157" s="396">
        <v>1200</v>
      </c>
      <c r="AB157" s="396">
        <v>1200</v>
      </c>
      <c r="AC157" s="396">
        <v>1200</v>
      </c>
      <c r="AD157" s="397"/>
      <c r="AE157" s="396">
        <v>1200</v>
      </c>
      <c r="AF157" s="396">
        <v>1200</v>
      </c>
      <c r="AG157" s="401">
        <v>1200</v>
      </c>
      <c r="AH157" s="402">
        <v>1200</v>
      </c>
      <c r="AI157" s="402">
        <v>1200</v>
      </c>
      <c r="AJ157" s="8"/>
    </row>
    <row r="158" spans="1:36" ht="15">
      <c r="A158" s="365"/>
      <c r="B158" s="403" t="s">
        <v>260</v>
      </c>
      <c r="C158" s="404">
        <v>30018</v>
      </c>
      <c r="D158" s="404">
        <v>1364.4545454545455</v>
      </c>
      <c r="E158" s="405">
        <v>1680</v>
      </c>
      <c r="F158" s="406">
        <v>1680</v>
      </c>
      <c r="G158" s="406">
        <v>1680</v>
      </c>
      <c r="H158" s="406">
        <v>1680</v>
      </c>
      <c r="I158" s="407"/>
      <c r="J158" s="406">
        <v>1680</v>
      </c>
      <c r="K158" s="406">
        <v>1680</v>
      </c>
      <c r="L158" s="405">
        <v>1680</v>
      </c>
      <c r="M158" s="406">
        <v>1680</v>
      </c>
      <c r="N158" s="406">
        <v>1686</v>
      </c>
      <c r="O158" s="406">
        <v>1680</v>
      </c>
      <c r="P158" s="407"/>
      <c r="Q158" s="406">
        <v>1680</v>
      </c>
      <c r="R158" s="406">
        <v>1302</v>
      </c>
      <c r="S158" s="405">
        <v>1230</v>
      </c>
      <c r="T158" s="406">
        <v>768</v>
      </c>
      <c r="U158" s="406">
        <v>870</v>
      </c>
      <c r="V158" s="406">
        <v>882</v>
      </c>
      <c r="W158" s="407"/>
      <c r="X158" s="406">
        <v>828</v>
      </c>
      <c r="Y158" s="406">
        <v>900</v>
      </c>
      <c r="Z158" s="405">
        <v>1152</v>
      </c>
      <c r="AA158" s="406">
        <v>1200</v>
      </c>
      <c r="AB158" s="406">
        <v>1200</v>
      </c>
      <c r="AC158" s="406">
        <v>1200</v>
      </c>
      <c r="AD158" s="407"/>
      <c r="AE158" s="408"/>
      <c r="AF158" s="408"/>
      <c r="AG158" s="409"/>
      <c r="AH158" s="410"/>
      <c r="AI158" s="410"/>
      <c r="AJ158" s="8"/>
    </row>
    <row r="159" spans="1:36" ht="15">
      <c r="A159" s="365"/>
      <c r="B159" s="403" t="s">
        <v>261</v>
      </c>
      <c r="C159" s="411">
        <v>-1782</v>
      </c>
      <c r="D159" s="411">
        <v>-81</v>
      </c>
      <c r="E159" s="405">
        <v>0</v>
      </c>
      <c r="F159" s="406">
        <v>0</v>
      </c>
      <c r="G159" s="406">
        <v>0</v>
      </c>
      <c r="H159" s="406">
        <v>0</v>
      </c>
      <c r="I159" s="407"/>
      <c r="J159" s="406">
        <v>0</v>
      </c>
      <c r="K159" s="406">
        <v>0</v>
      </c>
      <c r="L159" s="405">
        <v>0</v>
      </c>
      <c r="M159" s="406">
        <v>0</v>
      </c>
      <c r="N159" s="406">
        <v>6</v>
      </c>
      <c r="O159" s="406">
        <v>0</v>
      </c>
      <c r="P159" s="407"/>
      <c r="Q159" s="406">
        <v>0</v>
      </c>
      <c r="R159" s="408">
        <v>-378</v>
      </c>
      <c r="S159" s="407">
        <v>-450</v>
      </c>
      <c r="T159" s="408">
        <v>-132</v>
      </c>
      <c r="U159" s="408">
        <v>-30</v>
      </c>
      <c r="V159" s="408">
        <v>-238</v>
      </c>
      <c r="W159" s="407"/>
      <c r="X159" s="408">
        <v>-292</v>
      </c>
      <c r="Y159" s="408">
        <v>-220</v>
      </c>
      <c r="Z159" s="407">
        <v>-48</v>
      </c>
      <c r="AA159" s="406">
        <v>0</v>
      </c>
      <c r="AB159" s="406">
        <v>0</v>
      </c>
      <c r="AC159" s="406">
        <v>0</v>
      </c>
      <c r="AD159" s="407"/>
      <c r="AE159" s="408"/>
      <c r="AF159" s="408"/>
      <c r="AG159" s="409"/>
      <c r="AH159" s="410"/>
      <c r="AI159" s="410"/>
      <c r="AJ159" s="8"/>
    </row>
    <row r="160" spans="1:36" ht="15">
      <c r="A160" s="365"/>
      <c r="B160" s="403" t="s">
        <v>49</v>
      </c>
      <c r="C160" s="404">
        <v>176</v>
      </c>
      <c r="D160" s="404">
        <v>8</v>
      </c>
      <c r="E160" s="405">
        <v>8</v>
      </c>
      <c r="F160" s="406">
        <v>8</v>
      </c>
      <c r="G160" s="406">
        <v>8</v>
      </c>
      <c r="H160" s="406">
        <v>8</v>
      </c>
      <c r="I160" s="407"/>
      <c r="J160" s="406">
        <v>8</v>
      </c>
      <c r="K160" s="406">
        <v>8</v>
      </c>
      <c r="L160" s="405">
        <v>8</v>
      </c>
      <c r="M160" s="406">
        <v>8</v>
      </c>
      <c r="N160" s="406">
        <v>8</v>
      </c>
      <c r="O160" s="406">
        <v>8</v>
      </c>
      <c r="P160" s="407"/>
      <c r="Q160" s="406">
        <v>8</v>
      </c>
      <c r="R160" s="406">
        <v>8</v>
      </c>
      <c r="S160" s="405">
        <v>8</v>
      </c>
      <c r="T160" s="406">
        <v>8</v>
      </c>
      <c r="U160" s="406">
        <v>8</v>
      </c>
      <c r="V160" s="406">
        <v>8</v>
      </c>
      <c r="W160" s="407"/>
      <c r="X160" s="406">
        <v>8</v>
      </c>
      <c r="Y160" s="406">
        <v>8</v>
      </c>
      <c r="Z160" s="405">
        <v>8</v>
      </c>
      <c r="AA160" s="406">
        <v>8</v>
      </c>
      <c r="AB160" s="406">
        <v>8</v>
      </c>
      <c r="AC160" s="406">
        <v>8</v>
      </c>
      <c r="AD160" s="407"/>
      <c r="AE160" s="408"/>
      <c r="AF160" s="408"/>
      <c r="AG160" s="409"/>
      <c r="AH160" s="410"/>
      <c r="AI160" s="410"/>
      <c r="AJ160" s="8"/>
    </row>
    <row r="161" spans="1:36" ht="15">
      <c r="A161" s="365"/>
      <c r="B161" s="403" t="s">
        <v>50</v>
      </c>
      <c r="C161" s="404">
        <v>125</v>
      </c>
      <c r="D161" s="404">
        <v>125</v>
      </c>
      <c r="E161" s="405">
        <v>126</v>
      </c>
      <c r="F161" s="406">
        <v>126</v>
      </c>
      <c r="G161" s="406">
        <v>128</v>
      </c>
      <c r="H161" s="406">
        <v>125</v>
      </c>
      <c r="I161" s="407"/>
      <c r="J161" s="406">
        <v>117</v>
      </c>
      <c r="K161" s="406">
        <v>126</v>
      </c>
      <c r="L161" s="405">
        <v>127</v>
      </c>
      <c r="M161" s="406">
        <v>127</v>
      </c>
      <c r="N161" s="406">
        <v>127</v>
      </c>
      <c r="O161" s="406">
        <v>129</v>
      </c>
      <c r="P161" s="407"/>
      <c r="Q161" s="406">
        <v>122</v>
      </c>
      <c r="R161" s="406">
        <v>127</v>
      </c>
      <c r="S161" s="405">
        <v>127</v>
      </c>
      <c r="T161" s="406">
        <v>128</v>
      </c>
      <c r="U161" s="406">
        <v>126</v>
      </c>
      <c r="V161" s="406">
        <v>126</v>
      </c>
      <c r="W161" s="407"/>
      <c r="X161" s="406">
        <v>125</v>
      </c>
      <c r="Y161" s="406">
        <v>126</v>
      </c>
      <c r="Z161" s="405">
        <v>127</v>
      </c>
      <c r="AA161" s="406">
        <v>129</v>
      </c>
      <c r="AB161" s="406">
        <v>125</v>
      </c>
      <c r="AC161" s="406">
        <v>122</v>
      </c>
      <c r="AD161" s="407"/>
      <c r="AE161" s="408"/>
      <c r="AF161" s="408"/>
      <c r="AG161" s="409"/>
      <c r="AH161" s="410"/>
      <c r="AI161" s="410"/>
      <c r="AJ161" s="8"/>
    </row>
    <row r="162" spans="1:36" ht="15">
      <c r="A162" s="365"/>
      <c r="B162" s="403" t="s">
        <v>51</v>
      </c>
      <c r="C162" s="404">
        <v>170.55681818181819</v>
      </c>
      <c r="D162" s="404">
        <v>170.55681818181819</v>
      </c>
      <c r="E162" s="405">
        <v>210</v>
      </c>
      <c r="F162" s="406">
        <v>210</v>
      </c>
      <c r="G162" s="406">
        <v>210</v>
      </c>
      <c r="H162" s="406">
        <v>210</v>
      </c>
      <c r="I162" s="407"/>
      <c r="J162" s="406">
        <v>210</v>
      </c>
      <c r="K162" s="406">
        <v>210</v>
      </c>
      <c r="L162" s="405">
        <v>210</v>
      </c>
      <c r="M162" s="406">
        <v>210</v>
      </c>
      <c r="N162" s="406">
        <v>210.75</v>
      </c>
      <c r="O162" s="406">
        <v>210</v>
      </c>
      <c r="P162" s="407"/>
      <c r="Q162" s="406">
        <v>210</v>
      </c>
      <c r="R162" s="406">
        <v>162.75</v>
      </c>
      <c r="S162" s="405">
        <v>153.75</v>
      </c>
      <c r="T162" s="406">
        <v>96</v>
      </c>
      <c r="U162" s="406">
        <v>108.75</v>
      </c>
      <c r="V162" s="406">
        <v>110.25</v>
      </c>
      <c r="W162" s="407"/>
      <c r="X162" s="406">
        <v>103.5</v>
      </c>
      <c r="Y162" s="406">
        <v>112.5</v>
      </c>
      <c r="Z162" s="405">
        <v>144</v>
      </c>
      <c r="AA162" s="406">
        <v>150</v>
      </c>
      <c r="AB162" s="406">
        <v>150</v>
      </c>
      <c r="AC162" s="406">
        <v>150</v>
      </c>
      <c r="AD162" s="407"/>
      <c r="AE162" s="408"/>
      <c r="AF162" s="408"/>
      <c r="AG162" s="409"/>
      <c r="AH162" s="410"/>
      <c r="AI162" s="410"/>
      <c r="AJ162" s="8"/>
    </row>
    <row r="163" spans="1:36" ht="15">
      <c r="A163" s="366"/>
      <c r="B163" s="412" t="s">
        <v>52</v>
      </c>
      <c r="C163" s="413">
        <v>1.3645</v>
      </c>
      <c r="D163" s="413">
        <v>1.3645</v>
      </c>
      <c r="E163" s="414">
        <v>1.6667000000000001</v>
      </c>
      <c r="F163" s="413">
        <v>1.6667000000000001</v>
      </c>
      <c r="G163" s="413">
        <v>1.6406000000000001</v>
      </c>
      <c r="H163" s="413">
        <v>1.6800000000000002</v>
      </c>
      <c r="I163" s="415"/>
      <c r="J163" s="413">
        <v>1.7949000000000002</v>
      </c>
      <c r="K163" s="413">
        <v>1.6667000000000001</v>
      </c>
      <c r="L163" s="414">
        <v>1.6535</v>
      </c>
      <c r="M163" s="413">
        <v>1.6535</v>
      </c>
      <c r="N163" s="413">
        <v>1.6594</v>
      </c>
      <c r="O163" s="413">
        <v>1.6278999999999999</v>
      </c>
      <c r="P163" s="415"/>
      <c r="Q163" s="413">
        <v>1.7213000000000001</v>
      </c>
      <c r="R163" s="413">
        <v>1.2814999999999999</v>
      </c>
      <c r="S163" s="414">
        <v>1.2105999999999999</v>
      </c>
      <c r="T163" s="413">
        <v>0.75</v>
      </c>
      <c r="U163" s="413">
        <v>0.86309999999999998</v>
      </c>
      <c r="V163" s="413">
        <v>0.875</v>
      </c>
      <c r="W163" s="415"/>
      <c r="X163" s="413">
        <v>0.82799999999999996</v>
      </c>
      <c r="Y163" s="413">
        <v>0.89290000000000003</v>
      </c>
      <c r="Z163" s="414">
        <v>1.1338999999999999</v>
      </c>
      <c r="AA163" s="413">
        <v>1.1628000000000001</v>
      </c>
      <c r="AB163" s="413">
        <v>1.2</v>
      </c>
      <c r="AC163" s="413">
        <v>1.2295</v>
      </c>
      <c r="AD163" s="415"/>
      <c r="AE163" s="416"/>
      <c r="AF163" s="416"/>
      <c r="AG163" s="417"/>
      <c r="AH163" s="418"/>
      <c r="AI163" s="418"/>
      <c r="AJ163" s="8"/>
    </row>
    <row r="164" spans="1:36" ht="15">
      <c r="A164" s="364" t="s">
        <v>300</v>
      </c>
      <c r="B164" s="393" t="s">
        <v>45</v>
      </c>
      <c r="C164" s="394">
        <v>36080</v>
      </c>
      <c r="D164" s="394">
        <v>1640</v>
      </c>
      <c r="E164" s="395">
        <v>1760</v>
      </c>
      <c r="F164" s="396">
        <v>1760</v>
      </c>
      <c r="G164" s="396">
        <v>1760</v>
      </c>
      <c r="H164" s="396">
        <v>1760</v>
      </c>
      <c r="I164" s="397"/>
      <c r="J164" s="396">
        <v>1760</v>
      </c>
      <c r="K164" s="396">
        <v>1760</v>
      </c>
      <c r="L164" s="395">
        <v>1760</v>
      </c>
      <c r="M164" s="396">
        <v>1760</v>
      </c>
      <c r="N164" s="396">
        <v>1760</v>
      </c>
      <c r="O164" s="396">
        <v>1760</v>
      </c>
      <c r="P164" s="397"/>
      <c r="Q164" s="396">
        <v>1760</v>
      </c>
      <c r="R164" s="396">
        <v>1760</v>
      </c>
      <c r="S164" s="395">
        <v>1760</v>
      </c>
      <c r="T164" s="396">
        <v>1760</v>
      </c>
      <c r="U164" s="396">
        <v>1520</v>
      </c>
      <c r="V164" s="396">
        <v>1760</v>
      </c>
      <c r="W164" s="397"/>
      <c r="X164" s="396">
        <v>1520</v>
      </c>
      <c r="Y164" s="396">
        <v>1520</v>
      </c>
      <c r="Z164" s="395">
        <v>1280</v>
      </c>
      <c r="AA164" s="396">
        <v>1280</v>
      </c>
      <c r="AB164" s="396">
        <v>1280</v>
      </c>
      <c r="AC164" s="396">
        <v>1280</v>
      </c>
      <c r="AD164" s="397"/>
      <c r="AE164" s="398"/>
      <c r="AF164" s="398"/>
      <c r="AG164" s="399"/>
      <c r="AH164" s="400"/>
      <c r="AI164" s="400"/>
      <c r="AJ164" s="8"/>
    </row>
    <row r="165" spans="1:36" ht="15">
      <c r="A165" s="365"/>
      <c r="B165" s="393" t="s">
        <v>46</v>
      </c>
      <c r="C165" s="394">
        <v>31880</v>
      </c>
      <c r="D165" s="394">
        <v>1449.090909090909</v>
      </c>
      <c r="E165" s="395">
        <v>1680</v>
      </c>
      <c r="F165" s="396">
        <v>1680</v>
      </c>
      <c r="G165" s="396">
        <v>1680</v>
      </c>
      <c r="H165" s="396">
        <v>1680</v>
      </c>
      <c r="I165" s="397"/>
      <c r="J165" s="396">
        <v>1680</v>
      </c>
      <c r="K165" s="396">
        <v>1680</v>
      </c>
      <c r="L165" s="395">
        <v>1680</v>
      </c>
      <c r="M165" s="396">
        <v>1680</v>
      </c>
      <c r="N165" s="396">
        <v>1680</v>
      </c>
      <c r="O165" s="396">
        <v>1680</v>
      </c>
      <c r="P165" s="397"/>
      <c r="Q165" s="396">
        <v>1680</v>
      </c>
      <c r="R165" s="396">
        <v>1680</v>
      </c>
      <c r="S165" s="395">
        <v>1680</v>
      </c>
      <c r="T165" s="396">
        <v>900</v>
      </c>
      <c r="U165" s="396">
        <v>900</v>
      </c>
      <c r="V165" s="396">
        <v>1120</v>
      </c>
      <c r="W165" s="397"/>
      <c r="X165" s="396">
        <v>1120</v>
      </c>
      <c r="Y165" s="396">
        <v>1200</v>
      </c>
      <c r="Z165" s="395">
        <v>1200</v>
      </c>
      <c r="AA165" s="396">
        <v>1200</v>
      </c>
      <c r="AB165" s="396">
        <v>1200</v>
      </c>
      <c r="AC165" s="396">
        <v>1200</v>
      </c>
      <c r="AD165" s="397"/>
      <c r="AE165" s="396">
        <v>1200</v>
      </c>
      <c r="AF165" s="396">
        <v>1200</v>
      </c>
      <c r="AG165" s="401">
        <v>1200</v>
      </c>
      <c r="AH165" s="402">
        <v>1200</v>
      </c>
      <c r="AI165" s="402">
        <v>1200</v>
      </c>
      <c r="AJ165" s="8"/>
    </row>
    <row r="166" spans="1:36" ht="15">
      <c r="A166" s="365"/>
      <c r="B166" s="403" t="s">
        <v>47</v>
      </c>
      <c r="C166" s="404">
        <v>31968</v>
      </c>
      <c r="D166" s="404">
        <v>1453.090909090909</v>
      </c>
      <c r="E166" s="405">
        <v>1680</v>
      </c>
      <c r="F166" s="406">
        <v>1686</v>
      </c>
      <c r="G166" s="406">
        <v>1680</v>
      </c>
      <c r="H166" s="406">
        <v>1680</v>
      </c>
      <c r="I166" s="407"/>
      <c r="J166" s="406">
        <v>1680</v>
      </c>
      <c r="K166" s="406">
        <v>1680</v>
      </c>
      <c r="L166" s="405">
        <v>1680</v>
      </c>
      <c r="M166" s="406">
        <v>1680</v>
      </c>
      <c r="N166" s="406">
        <v>1680</v>
      </c>
      <c r="O166" s="406">
        <v>1686</v>
      </c>
      <c r="P166" s="407"/>
      <c r="Q166" s="406">
        <v>1680</v>
      </c>
      <c r="R166" s="406">
        <v>1680</v>
      </c>
      <c r="S166" s="405">
        <v>1680</v>
      </c>
      <c r="T166" s="406">
        <v>1038</v>
      </c>
      <c r="U166" s="406">
        <v>1650</v>
      </c>
      <c r="V166" s="406">
        <v>1596</v>
      </c>
      <c r="W166" s="407"/>
      <c r="X166" s="406">
        <v>912</v>
      </c>
      <c r="Y166" s="406">
        <v>834</v>
      </c>
      <c r="Z166" s="405">
        <v>900</v>
      </c>
      <c r="AA166" s="406">
        <v>1020</v>
      </c>
      <c r="AB166" s="406">
        <v>1062</v>
      </c>
      <c r="AC166" s="406">
        <v>1104</v>
      </c>
      <c r="AD166" s="407"/>
      <c r="AE166" s="408"/>
      <c r="AF166" s="408"/>
      <c r="AG166" s="409"/>
      <c r="AH166" s="410"/>
      <c r="AI166" s="410"/>
      <c r="AJ166" s="8"/>
    </row>
    <row r="167" spans="1:36" ht="15">
      <c r="A167" s="365"/>
      <c r="B167" s="403" t="s">
        <v>48</v>
      </c>
      <c r="C167" s="404">
        <v>88</v>
      </c>
      <c r="D167" s="404">
        <v>4</v>
      </c>
      <c r="E167" s="405">
        <v>0</v>
      </c>
      <c r="F167" s="406">
        <v>6</v>
      </c>
      <c r="G167" s="406">
        <v>0</v>
      </c>
      <c r="H167" s="406">
        <v>0</v>
      </c>
      <c r="I167" s="407"/>
      <c r="J167" s="406">
        <v>0</v>
      </c>
      <c r="K167" s="406">
        <v>0</v>
      </c>
      <c r="L167" s="405">
        <v>0</v>
      </c>
      <c r="M167" s="406">
        <v>0</v>
      </c>
      <c r="N167" s="406">
        <v>0</v>
      </c>
      <c r="O167" s="406">
        <v>6</v>
      </c>
      <c r="P167" s="407"/>
      <c r="Q167" s="406">
        <v>0</v>
      </c>
      <c r="R167" s="406">
        <v>0</v>
      </c>
      <c r="S167" s="405">
        <v>0</v>
      </c>
      <c r="T167" s="406">
        <v>138</v>
      </c>
      <c r="U167" s="406">
        <v>750</v>
      </c>
      <c r="V167" s="406">
        <v>476</v>
      </c>
      <c r="W167" s="407"/>
      <c r="X167" s="408">
        <v>-208</v>
      </c>
      <c r="Y167" s="408">
        <v>-366</v>
      </c>
      <c r="Z167" s="407">
        <v>-300</v>
      </c>
      <c r="AA167" s="408">
        <v>-180</v>
      </c>
      <c r="AB167" s="408">
        <v>-138</v>
      </c>
      <c r="AC167" s="408">
        <v>-96</v>
      </c>
      <c r="AD167" s="407"/>
      <c r="AE167" s="408"/>
      <c r="AF167" s="408"/>
      <c r="AG167" s="409"/>
      <c r="AH167" s="410"/>
      <c r="AI167" s="410"/>
      <c r="AJ167" s="8"/>
    </row>
    <row r="168" spans="1:36" ht="15">
      <c r="A168" s="365"/>
      <c r="B168" s="403" t="s">
        <v>49</v>
      </c>
      <c r="C168" s="404">
        <v>176</v>
      </c>
      <c r="D168" s="404">
        <v>8</v>
      </c>
      <c r="E168" s="405">
        <v>8</v>
      </c>
      <c r="F168" s="406">
        <v>8</v>
      </c>
      <c r="G168" s="406">
        <v>8</v>
      </c>
      <c r="H168" s="406">
        <v>8</v>
      </c>
      <c r="I168" s="407"/>
      <c r="J168" s="406">
        <v>8</v>
      </c>
      <c r="K168" s="406">
        <v>8</v>
      </c>
      <c r="L168" s="405">
        <v>8</v>
      </c>
      <c r="M168" s="406">
        <v>8</v>
      </c>
      <c r="N168" s="406">
        <v>8</v>
      </c>
      <c r="O168" s="406">
        <v>8</v>
      </c>
      <c r="P168" s="407"/>
      <c r="Q168" s="406">
        <v>8</v>
      </c>
      <c r="R168" s="406">
        <v>8</v>
      </c>
      <c r="S168" s="405">
        <v>8</v>
      </c>
      <c r="T168" s="406">
        <v>8</v>
      </c>
      <c r="U168" s="406">
        <v>8</v>
      </c>
      <c r="V168" s="406">
        <v>8</v>
      </c>
      <c r="W168" s="407"/>
      <c r="X168" s="406">
        <v>8</v>
      </c>
      <c r="Y168" s="406">
        <v>8</v>
      </c>
      <c r="Z168" s="405">
        <v>8</v>
      </c>
      <c r="AA168" s="406">
        <v>8</v>
      </c>
      <c r="AB168" s="406">
        <v>8</v>
      </c>
      <c r="AC168" s="406">
        <v>8</v>
      </c>
      <c r="AD168" s="407"/>
      <c r="AE168" s="408"/>
      <c r="AF168" s="408"/>
      <c r="AG168" s="409"/>
      <c r="AH168" s="410"/>
      <c r="AI168" s="410"/>
      <c r="AJ168" s="8"/>
    </row>
    <row r="169" spans="1:36" ht="15">
      <c r="A169" s="365"/>
      <c r="B169" s="403" t="s">
        <v>50</v>
      </c>
      <c r="C169" s="404">
        <v>91</v>
      </c>
      <c r="D169" s="404">
        <v>91</v>
      </c>
      <c r="E169" s="405">
        <v>95</v>
      </c>
      <c r="F169" s="406">
        <v>96</v>
      </c>
      <c r="G169" s="406">
        <v>97</v>
      </c>
      <c r="H169" s="406">
        <v>93</v>
      </c>
      <c r="I169" s="407"/>
      <c r="J169" s="406">
        <v>89</v>
      </c>
      <c r="K169" s="406">
        <v>94</v>
      </c>
      <c r="L169" s="405">
        <v>96</v>
      </c>
      <c r="M169" s="406">
        <v>95</v>
      </c>
      <c r="N169" s="406">
        <v>96</v>
      </c>
      <c r="O169" s="406">
        <v>91</v>
      </c>
      <c r="P169" s="407"/>
      <c r="Q169" s="406">
        <v>88</v>
      </c>
      <c r="R169" s="406">
        <v>90</v>
      </c>
      <c r="S169" s="405">
        <v>88</v>
      </c>
      <c r="T169" s="406">
        <v>89</v>
      </c>
      <c r="U169" s="406">
        <v>90</v>
      </c>
      <c r="V169" s="406">
        <v>90</v>
      </c>
      <c r="W169" s="407"/>
      <c r="X169" s="406">
        <v>88</v>
      </c>
      <c r="Y169" s="406">
        <v>91</v>
      </c>
      <c r="Z169" s="405">
        <v>91</v>
      </c>
      <c r="AA169" s="406">
        <v>91</v>
      </c>
      <c r="AB169" s="406">
        <v>92</v>
      </c>
      <c r="AC169" s="406">
        <v>90</v>
      </c>
      <c r="AD169" s="407"/>
      <c r="AE169" s="408"/>
      <c r="AF169" s="408"/>
      <c r="AG169" s="409"/>
      <c r="AH169" s="410"/>
      <c r="AI169" s="410"/>
      <c r="AJ169" s="8"/>
    </row>
    <row r="170" spans="1:36" ht="15">
      <c r="A170" s="365"/>
      <c r="B170" s="403" t="s">
        <v>51</v>
      </c>
      <c r="C170" s="404">
        <v>181.63636363636363</v>
      </c>
      <c r="D170" s="404">
        <v>181.63636363636363</v>
      </c>
      <c r="E170" s="405">
        <v>210</v>
      </c>
      <c r="F170" s="406">
        <v>210.75</v>
      </c>
      <c r="G170" s="406">
        <v>210</v>
      </c>
      <c r="H170" s="406">
        <v>210</v>
      </c>
      <c r="I170" s="407"/>
      <c r="J170" s="406">
        <v>210</v>
      </c>
      <c r="K170" s="406">
        <v>210</v>
      </c>
      <c r="L170" s="405">
        <v>210</v>
      </c>
      <c r="M170" s="406">
        <v>210</v>
      </c>
      <c r="N170" s="406">
        <v>210</v>
      </c>
      <c r="O170" s="406">
        <v>210.75</v>
      </c>
      <c r="P170" s="407"/>
      <c r="Q170" s="406">
        <v>210</v>
      </c>
      <c r="R170" s="406">
        <v>210</v>
      </c>
      <c r="S170" s="405">
        <v>210</v>
      </c>
      <c r="T170" s="406">
        <v>129.75</v>
      </c>
      <c r="U170" s="406">
        <v>206.25</v>
      </c>
      <c r="V170" s="406">
        <v>199.5</v>
      </c>
      <c r="W170" s="407"/>
      <c r="X170" s="406">
        <v>114</v>
      </c>
      <c r="Y170" s="406">
        <v>104.25</v>
      </c>
      <c r="Z170" s="405">
        <v>112.5</v>
      </c>
      <c r="AA170" s="406">
        <v>127.5</v>
      </c>
      <c r="AB170" s="406">
        <v>132.75</v>
      </c>
      <c r="AC170" s="406">
        <v>138</v>
      </c>
      <c r="AD170" s="407"/>
      <c r="AE170" s="408"/>
      <c r="AF170" s="408"/>
      <c r="AG170" s="409"/>
      <c r="AH170" s="410"/>
      <c r="AI170" s="410"/>
      <c r="AJ170" s="8"/>
    </row>
    <row r="171" spans="1:36" ht="15">
      <c r="A171" s="366"/>
      <c r="B171" s="412" t="s">
        <v>52</v>
      </c>
      <c r="C171" s="413">
        <v>1.996</v>
      </c>
      <c r="D171" s="413">
        <v>1.996</v>
      </c>
      <c r="E171" s="414">
        <v>2.2105000000000001</v>
      </c>
      <c r="F171" s="413">
        <v>2.1953</v>
      </c>
      <c r="G171" s="413">
        <v>2.1648999999999998</v>
      </c>
      <c r="H171" s="413">
        <v>2.2580999999999998</v>
      </c>
      <c r="I171" s="415"/>
      <c r="J171" s="413">
        <v>2.3595999999999999</v>
      </c>
      <c r="K171" s="413">
        <v>2.234</v>
      </c>
      <c r="L171" s="414">
        <v>2.1875</v>
      </c>
      <c r="M171" s="413">
        <v>2.2105000000000001</v>
      </c>
      <c r="N171" s="413">
        <v>2.1875</v>
      </c>
      <c r="O171" s="413">
        <v>2.3159000000000001</v>
      </c>
      <c r="P171" s="415"/>
      <c r="Q171" s="413">
        <v>2.3864000000000001</v>
      </c>
      <c r="R171" s="413">
        <v>2.3332999999999999</v>
      </c>
      <c r="S171" s="414">
        <v>2.3864000000000001</v>
      </c>
      <c r="T171" s="413">
        <v>1.4579</v>
      </c>
      <c r="U171" s="413">
        <v>2.2917000000000001</v>
      </c>
      <c r="V171" s="413">
        <v>2.2166999999999999</v>
      </c>
      <c r="W171" s="415"/>
      <c r="X171" s="413">
        <v>1.2955000000000001</v>
      </c>
      <c r="Y171" s="413">
        <v>1.1456</v>
      </c>
      <c r="Z171" s="414">
        <v>1.2363</v>
      </c>
      <c r="AA171" s="413">
        <v>1.4011</v>
      </c>
      <c r="AB171" s="413">
        <v>1.4429000000000001</v>
      </c>
      <c r="AC171" s="413">
        <v>1.5333000000000001</v>
      </c>
      <c r="AD171" s="415"/>
      <c r="AE171" s="416"/>
      <c r="AF171" s="416"/>
      <c r="AG171" s="417"/>
      <c r="AH171" s="418"/>
      <c r="AI171" s="418"/>
      <c r="AJ171" s="8"/>
    </row>
    <row r="172" spans="1:36" ht="15">
      <c r="A172" s="364" t="s">
        <v>301</v>
      </c>
      <c r="B172" s="393" t="s">
        <v>45</v>
      </c>
      <c r="C172" s="394">
        <v>49048</v>
      </c>
      <c r="D172" s="394">
        <v>2229.4545454545455</v>
      </c>
      <c r="E172" s="395">
        <v>2480</v>
      </c>
      <c r="F172" s="396">
        <v>2480</v>
      </c>
      <c r="G172" s="396">
        <v>2480</v>
      </c>
      <c r="H172" s="396">
        <v>2480</v>
      </c>
      <c r="I172" s="397"/>
      <c r="J172" s="396">
        <v>2480</v>
      </c>
      <c r="K172" s="396">
        <v>2480</v>
      </c>
      <c r="L172" s="395">
        <v>2480</v>
      </c>
      <c r="M172" s="396">
        <v>2480</v>
      </c>
      <c r="N172" s="396">
        <v>2480</v>
      </c>
      <c r="O172" s="396">
        <v>2480</v>
      </c>
      <c r="P172" s="397"/>
      <c r="Q172" s="396">
        <v>2480</v>
      </c>
      <c r="R172" s="396">
        <v>2480</v>
      </c>
      <c r="S172" s="395">
        <v>2480</v>
      </c>
      <c r="T172" s="396">
        <v>2480</v>
      </c>
      <c r="U172" s="396">
        <v>2480</v>
      </c>
      <c r="V172" s="396">
        <v>2480</v>
      </c>
      <c r="W172" s="397"/>
      <c r="X172" s="396">
        <v>1960</v>
      </c>
      <c r="Y172" s="396">
        <v>1648</v>
      </c>
      <c r="Z172" s="395">
        <v>1440</v>
      </c>
      <c r="AA172" s="396">
        <v>1440</v>
      </c>
      <c r="AB172" s="396">
        <v>1440</v>
      </c>
      <c r="AC172" s="396">
        <v>1440</v>
      </c>
      <c r="AD172" s="397"/>
      <c r="AE172" s="398"/>
      <c r="AF172" s="398"/>
      <c r="AG172" s="399"/>
      <c r="AH172" s="400"/>
      <c r="AI172" s="400"/>
      <c r="AJ172" s="8"/>
    </row>
    <row r="173" spans="1:36" ht="15">
      <c r="A173" s="365"/>
      <c r="B173" s="393" t="s">
        <v>46</v>
      </c>
      <c r="C173" s="394">
        <v>45880</v>
      </c>
      <c r="D173" s="394">
        <v>2085.4545454545455</v>
      </c>
      <c r="E173" s="395">
        <v>2400</v>
      </c>
      <c r="F173" s="396">
        <v>2400</v>
      </c>
      <c r="G173" s="396">
        <v>2400</v>
      </c>
      <c r="H173" s="396">
        <v>2400</v>
      </c>
      <c r="I173" s="397"/>
      <c r="J173" s="396">
        <v>2400</v>
      </c>
      <c r="K173" s="396">
        <v>2400</v>
      </c>
      <c r="L173" s="395">
        <v>2400</v>
      </c>
      <c r="M173" s="396">
        <v>2400</v>
      </c>
      <c r="N173" s="396">
        <v>2400</v>
      </c>
      <c r="O173" s="396">
        <v>2400</v>
      </c>
      <c r="P173" s="397"/>
      <c r="Q173" s="396">
        <v>2400</v>
      </c>
      <c r="R173" s="396">
        <v>2400</v>
      </c>
      <c r="S173" s="395">
        <v>2400</v>
      </c>
      <c r="T173" s="396">
        <v>2400</v>
      </c>
      <c r="U173" s="396">
        <v>2400</v>
      </c>
      <c r="V173" s="396">
        <v>2400</v>
      </c>
      <c r="W173" s="397"/>
      <c r="X173" s="396">
        <v>1020</v>
      </c>
      <c r="Y173" s="396">
        <v>1020</v>
      </c>
      <c r="Z173" s="395">
        <v>1360</v>
      </c>
      <c r="AA173" s="396">
        <v>1360</v>
      </c>
      <c r="AB173" s="396">
        <v>1360</v>
      </c>
      <c r="AC173" s="396">
        <v>1360</v>
      </c>
      <c r="AD173" s="397"/>
      <c r="AE173" s="396">
        <v>1360</v>
      </c>
      <c r="AF173" s="396">
        <v>1360</v>
      </c>
      <c r="AG173" s="401">
        <v>1360</v>
      </c>
      <c r="AH173" s="402">
        <v>1360</v>
      </c>
      <c r="AI173" s="402">
        <v>1360</v>
      </c>
      <c r="AJ173" s="8"/>
    </row>
    <row r="174" spans="1:36" ht="15">
      <c r="A174" s="365"/>
      <c r="B174" s="403" t="s">
        <v>47</v>
      </c>
      <c r="C174" s="404">
        <v>46296</v>
      </c>
      <c r="D174" s="404">
        <v>2104.3636363636365</v>
      </c>
      <c r="E174" s="405">
        <v>2004</v>
      </c>
      <c r="F174" s="406">
        <v>2502</v>
      </c>
      <c r="G174" s="406">
        <v>2502</v>
      </c>
      <c r="H174" s="406">
        <v>2604</v>
      </c>
      <c r="I174" s="407"/>
      <c r="J174" s="406">
        <v>4050</v>
      </c>
      <c r="K174" s="406">
        <v>3162</v>
      </c>
      <c r="L174" s="405">
        <v>2412</v>
      </c>
      <c r="M174" s="406">
        <v>2400</v>
      </c>
      <c r="N174" s="406">
        <v>2400</v>
      </c>
      <c r="O174" s="406">
        <v>2400</v>
      </c>
      <c r="P174" s="407"/>
      <c r="Q174" s="406">
        <v>2412</v>
      </c>
      <c r="R174" s="406">
        <v>1704</v>
      </c>
      <c r="S174" s="405">
        <v>2004</v>
      </c>
      <c r="T174" s="406">
        <v>1812</v>
      </c>
      <c r="U174" s="406">
        <v>2400</v>
      </c>
      <c r="V174" s="406">
        <v>2400</v>
      </c>
      <c r="W174" s="407"/>
      <c r="X174" s="406">
        <v>1020</v>
      </c>
      <c r="Y174" s="406">
        <v>1020</v>
      </c>
      <c r="Z174" s="405">
        <v>1362</v>
      </c>
      <c r="AA174" s="406">
        <v>1362</v>
      </c>
      <c r="AB174" s="406">
        <v>1362</v>
      </c>
      <c r="AC174" s="406">
        <v>1002</v>
      </c>
      <c r="AD174" s="407"/>
      <c r="AE174" s="408"/>
      <c r="AF174" s="408"/>
      <c r="AG174" s="409"/>
      <c r="AH174" s="410"/>
      <c r="AI174" s="410"/>
      <c r="AJ174" s="8"/>
    </row>
    <row r="175" spans="1:36" ht="15">
      <c r="A175" s="365"/>
      <c r="B175" s="403" t="s">
        <v>48</v>
      </c>
      <c r="C175" s="404">
        <v>416</v>
      </c>
      <c r="D175" s="404">
        <v>18.90909090909091</v>
      </c>
      <c r="E175" s="407">
        <v>-396</v>
      </c>
      <c r="F175" s="406">
        <v>102</v>
      </c>
      <c r="G175" s="406">
        <v>102</v>
      </c>
      <c r="H175" s="406">
        <v>204</v>
      </c>
      <c r="I175" s="407"/>
      <c r="J175" s="406">
        <v>1650</v>
      </c>
      <c r="K175" s="406">
        <v>762</v>
      </c>
      <c r="L175" s="405">
        <v>12</v>
      </c>
      <c r="M175" s="406">
        <v>0</v>
      </c>
      <c r="N175" s="406">
        <v>0</v>
      </c>
      <c r="O175" s="406">
        <v>0</v>
      </c>
      <c r="P175" s="407"/>
      <c r="Q175" s="406">
        <v>12</v>
      </c>
      <c r="R175" s="408">
        <v>-696</v>
      </c>
      <c r="S175" s="407">
        <v>-396</v>
      </c>
      <c r="T175" s="408">
        <v>-588</v>
      </c>
      <c r="U175" s="406">
        <v>0</v>
      </c>
      <c r="V175" s="406">
        <v>0</v>
      </c>
      <c r="W175" s="407"/>
      <c r="X175" s="406">
        <v>0</v>
      </c>
      <c r="Y175" s="406">
        <v>0</v>
      </c>
      <c r="Z175" s="405">
        <v>2</v>
      </c>
      <c r="AA175" s="406">
        <v>2</v>
      </c>
      <c r="AB175" s="406">
        <v>2</v>
      </c>
      <c r="AC175" s="408">
        <v>-358</v>
      </c>
      <c r="AD175" s="407"/>
      <c r="AE175" s="408"/>
      <c r="AF175" s="408"/>
      <c r="AG175" s="409"/>
      <c r="AH175" s="410"/>
      <c r="AI175" s="410"/>
      <c r="AJ175" s="8"/>
    </row>
    <row r="176" spans="1:36" ht="15">
      <c r="A176" s="365"/>
      <c r="B176" s="403" t="s">
        <v>49</v>
      </c>
      <c r="C176" s="404">
        <v>176</v>
      </c>
      <c r="D176" s="404">
        <v>8</v>
      </c>
      <c r="E176" s="405">
        <v>8</v>
      </c>
      <c r="F176" s="406">
        <v>8</v>
      </c>
      <c r="G176" s="406">
        <v>8</v>
      </c>
      <c r="H176" s="406">
        <v>8</v>
      </c>
      <c r="I176" s="407"/>
      <c r="J176" s="406">
        <v>8</v>
      </c>
      <c r="K176" s="406">
        <v>8</v>
      </c>
      <c r="L176" s="405">
        <v>8</v>
      </c>
      <c r="M176" s="406">
        <v>8</v>
      </c>
      <c r="N176" s="406">
        <v>8</v>
      </c>
      <c r="O176" s="406">
        <v>8</v>
      </c>
      <c r="P176" s="407"/>
      <c r="Q176" s="406">
        <v>8</v>
      </c>
      <c r="R176" s="406">
        <v>8</v>
      </c>
      <c r="S176" s="405">
        <v>8</v>
      </c>
      <c r="T176" s="406">
        <v>8</v>
      </c>
      <c r="U176" s="406">
        <v>8</v>
      </c>
      <c r="V176" s="406">
        <v>8</v>
      </c>
      <c r="W176" s="407"/>
      <c r="X176" s="406">
        <v>8</v>
      </c>
      <c r="Y176" s="406">
        <v>8</v>
      </c>
      <c r="Z176" s="405">
        <v>8</v>
      </c>
      <c r="AA176" s="406">
        <v>8</v>
      </c>
      <c r="AB176" s="406">
        <v>8</v>
      </c>
      <c r="AC176" s="406">
        <v>8</v>
      </c>
      <c r="AD176" s="407"/>
      <c r="AE176" s="408"/>
      <c r="AF176" s="408"/>
      <c r="AG176" s="409"/>
      <c r="AH176" s="410"/>
      <c r="AI176" s="410"/>
      <c r="AJ176" s="8"/>
    </row>
    <row r="177" spans="1:36" ht="15">
      <c r="A177" s="365"/>
      <c r="B177" s="403" t="s">
        <v>50</v>
      </c>
      <c r="C177" s="404">
        <v>135</v>
      </c>
      <c r="D177" s="404">
        <v>135</v>
      </c>
      <c r="E177" s="405">
        <v>138</v>
      </c>
      <c r="F177" s="406">
        <v>137</v>
      </c>
      <c r="G177" s="406">
        <v>137</v>
      </c>
      <c r="H177" s="406">
        <v>139</v>
      </c>
      <c r="I177" s="407"/>
      <c r="J177" s="406">
        <v>134</v>
      </c>
      <c r="K177" s="406">
        <v>136</v>
      </c>
      <c r="L177" s="405">
        <v>136</v>
      </c>
      <c r="M177" s="406">
        <v>136</v>
      </c>
      <c r="N177" s="406">
        <v>136</v>
      </c>
      <c r="O177" s="406">
        <v>134</v>
      </c>
      <c r="P177" s="407"/>
      <c r="Q177" s="406">
        <v>132</v>
      </c>
      <c r="R177" s="406">
        <v>134</v>
      </c>
      <c r="S177" s="405">
        <v>135</v>
      </c>
      <c r="T177" s="406">
        <v>131</v>
      </c>
      <c r="U177" s="406">
        <v>137</v>
      </c>
      <c r="V177" s="406">
        <v>133</v>
      </c>
      <c r="W177" s="407"/>
      <c r="X177" s="406">
        <v>134</v>
      </c>
      <c r="Y177" s="406">
        <v>135</v>
      </c>
      <c r="Z177" s="405">
        <v>135</v>
      </c>
      <c r="AA177" s="406">
        <v>134</v>
      </c>
      <c r="AB177" s="406">
        <v>134</v>
      </c>
      <c r="AC177" s="406">
        <v>133</v>
      </c>
      <c r="AD177" s="407"/>
      <c r="AE177" s="408"/>
      <c r="AF177" s="408"/>
      <c r="AG177" s="409"/>
      <c r="AH177" s="410"/>
      <c r="AI177" s="410"/>
      <c r="AJ177" s="8"/>
    </row>
    <row r="178" spans="1:36" ht="15">
      <c r="A178" s="365"/>
      <c r="B178" s="403" t="s">
        <v>51</v>
      </c>
      <c r="C178" s="404">
        <v>263.04545454545456</v>
      </c>
      <c r="D178" s="404">
        <v>263.04545454545456</v>
      </c>
      <c r="E178" s="405">
        <v>250.5</v>
      </c>
      <c r="F178" s="406">
        <v>312.75</v>
      </c>
      <c r="G178" s="406">
        <v>312.75</v>
      </c>
      <c r="H178" s="406">
        <v>325.5</v>
      </c>
      <c r="I178" s="407"/>
      <c r="J178" s="406">
        <v>506.25</v>
      </c>
      <c r="K178" s="406">
        <v>395.25</v>
      </c>
      <c r="L178" s="405">
        <v>301.5</v>
      </c>
      <c r="M178" s="406">
        <v>300</v>
      </c>
      <c r="N178" s="406">
        <v>300</v>
      </c>
      <c r="O178" s="406">
        <v>300</v>
      </c>
      <c r="P178" s="407"/>
      <c r="Q178" s="406">
        <v>301.5</v>
      </c>
      <c r="R178" s="406">
        <v>213</v>
      </c>
      <c r="S178" s="405">
        <v>250.5</v>
      </c>
      <c r="T178" s="406">
        <v>226.5</v>
      </c>
      <c r="U178" s="406">
        <v>300</v>
      </c>
      <c r="V178" s="406">
        <v>300</v>
      </c>
      <c r="W178" s="407"/>
      <c r="X178" s="406">
        <v>127.5</v>
      </c>
      <c r="Y178" s="406">
        <v>127.5</v>
      </c>
      <c r="Z178" s="405">
        <v>170.25</v>
      </c>
      <c r="AA178" s="406">
        <v>170.25</v>
      </c>
      <c r="AB178" s="406">
        <v>170.25</v>
      </c>
      <c r="AC178" s="406">
        <v>125.25</v>
      </c>
      <c r="AD178" s="407"/>
      <c r="AE178" s="408"/>
      <c r="AF178" s="408"/>
      <c r="AG178" s="409"/>
      <c r="AH178" s="410"/>
      <c r="AI178" s="410"/>
      <c r="AJ178" s="8"/>
    </row>
    <row r="179" spans="1:36" ht="15">
      <c r="A179" s="366"/>
      <c r="B179" s="412" t="s">
        <v>52</v>
      </c>
      <c r="C179" s="413">
        <v>1.9485000000000001</v>
      </c>
      <c r="D179" s="413">
        <v>1.9485000000000001</v>
      </c>
      <c r="E179" s="414">
        <v>1.8151999999999999</v>
      </c>
      <c r="F179" s="413">
        <v>2.2827999999999999</v>
      </c>
      <c r="G179" s="413">
        <v>2.2827999999999999</v>
      </c>
      <c r="H179" s="413">
        <v>2.3416999999999999</v>
      </c>
      <c r="I179" s="415"/>
      <c r="J179" s="413">
        <v>3.778</v>
      </c>
      <c r="K179" s="413">
        <v>2.9062999999999999</v>
      </c>
      <c r="L179" s="414">
        <v>2.2168999999999999</v>
      </c>
      <c r="M179" s="413">
        <v>2.2059000000000002</v>
      </c>
      <c r="N179" s="413">
        <v>2.2059000000000002</v>
      </c>
      <c r="O179" s="413">
        <v>2.2387999999999999</v>
      </c>
      <c r="P179" s="415"/>
      <c r="Q179" s="413">
        <v>2.2841</v>
      </c>
      <c r="R179" s="413">
        <v>1.5895999999999999</v>
      </c>
      <c r="S179" s="414">
        <v>1.8555999999999999</v>
      </c>
      <c r="T179" s="413">
        <v>1.7290000000000001</v>
      </c>
      <c r="U179" s="413">
        <v>2.1898</v>
      </c>
      <c r="V179" s="413">
        <v>2.2555999999999998</v>
      </c>
      <c r="W179" s="415"/>
      <c r="X179" s="413">
        <v>0.95150000000000001</v>
      </c>
      <c r="Y179" s="413">
        <v>0.94440000000000002</v>
      </c>
      <c r="Z179" s="414">
        <v>1.2610999999999999</v>
      </c>
      <c r="AA179" s="413">
        <v>1.2705</v>
      </c>
      <c r="AB179" s="413">
        <v>1.2705</v>
      </c>
      <c r="AC179" s="413">
        <v>0.94169999999999998</v>
      </c>
      <c r="AD179" s="415"/>
      <c r="AE179" s="416"/>
      <c r="AF179" s="416"/>
      <c r="AG179" s="417"/>
      <c r="AH179" s="418"/>
      <c r="AI179" s="418"/>
      <c r="AJ179" s="8"/>
    </row>
  </sheetData>
  <mergeCells count="24">
    <mergeCell ref="A172:A179"/>
    <mergeCell ref="A132:A139"/>
    <mergeCell ref="A140:A147"/>
    <mergeCell ref="A148:A155"/>
    <mergeCell ref="A156:A163"/>
    <mergeCell ref="A164:A171"/>
    <mergeCell ref="A92:A99"/>
    <mergeCell ref="A100:A107"/>
    <mergeCell ref="A108:A115"/>
    <mergeCell ref="A116:A123"/>
    <mergeCell ref="A124:A131"/>
    <mergeCell ref="A52:A59"/>
    <mergeCell ref="A60:A67"/>
    <mergeCell ref="A68:A75"/>
    <mergeCell ref="A76:A83"/>
    <mergeCell ref="A84:A91"/>
    <mergeCell ref="A12:A19"/>
    <mergeCell ref="A20:A27"/>
    <mergeCell ref="A28:A35"/>
    <mergeCell ref="A36:A43"/>
    <mergeCell ref="A44:A51"/>
    <mergeCell ref="A1:B1"/>
    <mergeCell ref="A2:AE2"/>
    <mergeCell ref="A4:A11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4" fitToHeight="2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47"/>
  <sheetViews>
    <sheetView workbookViewId="0">
      <selection sqref="A1:B1"/>
    </sheetView>
  </sheetViews>
  <sheetFormatPr defaultRowHeight="15.75"/>
  <cols>
    <col min="1" max="1" width="10.42578125" style="73" customWidth="1"/>
    <col min="4" max="4" width="7.7109375" style="71" customWidth="1"/>
    <col min="5" max="5" width="4.7109375" style="70" customWidth="1"/>
    <col min="6" max="8" width="4.7109375" customWidth="1"/>
    <col min="9" max="9" width="4.7109375" style="70" customWidth="1"/>
    <col min="10" max="11" width="4.7109375" customWidth="1"/>
    <col min="12" max="12" width="4.7109375" style="70" customWidth="1"/>
    <col min="13" max="15" width="4.7109375" customWidth="1"/>
    <col min="16" max="16" width="4.7109375" style="70" customWidth="1"/>
    <col min="17" max="18" width="4.7109375" customWidth="1"/>
    <col min="19" max="19" width="4.7109375" style="70" customWidth="1"/>
    <col min="20" max="22" width="4.7109375" customWidth="1"/>
    <col min="23" max="23" width="4.7109375" style="70" customWidth="1"/>
    <col min="24" max="25" width="4.7109375" customWidth="1"/>
    <col min="26" max="26" width="4.7109375" style="70" customWidth="1"/>
    <col min="27" max="29" width="4.7109375" customWidth="1"/>
    <col min="30" max="30" width="4.7109375" style="70" customWidth="1"/>
    <col min="31" max="32" width="4.7109375" customWidth="1"/>
    <col min="33" max="33" width="4.7109375" style="70" customWidth="1"/>
    <col min="34" max="35" width="4.7109375" customWidth="1"/>
  </cols>
  <sheetData>
    <row r="1" spans="1:36" ht="29.25" customHeight="1">
      <c r="A1" s="344" t="s">
        <v>4</v>
      </c>
      <c r="B1" s="345"/>
    </row>
    <row r="2" spans="1:36" s="8" customFormat="1" ht="30">
      <c r="A2" s="363" t="s">
        <v>95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G2" s="74"/>
    </row>
    <row r="3" spans="1:36" s="8" customFormat="1" ht="16.5">
      <c r="A3" s="72" t="s">
        <v>138</v>
      </c>
      <c r="B3" s="193" t="s">
        <v>43</v>
      </c>
      <c r="C3" s="194" t="s">
        <v>44</v>
      </c>
      <c r="D3" s="195" t="s">
        <v>97</v>
      </c>
      <c r="E3" s="196">
        <v>1</v>
      </c>
      <c r="F3" s="193">
        <v>2</v>
      </c>
      <c r="G3" s="193">
        <v>3</v>
      </c>
      <c r="H3" s="193">
        <v>4</v>
      </c>
      <c r="I3" s="197">
        <v>5</v>
      </c>
      <c r="J3" s="193">
        <v>6</v>
      </c>
      <c r="K3" s="193">
        <v>7</v>
      </c>
      <c r="L3" s="196">
        <v>8</v>
      </c>
      <c r="M3" s="193">
        <v>9</v>
      </c>
      <c r="N3" s="193">
        <v>10</v>
      </c>
      <c r="O3" s="193">
        <v>11</v>
      </c>
      <c r="P3" s="197">
        <v>12</v>
      </c>
      <c r="Q3" s="193">
        <v>13</v>
      </c>
      <c r="R3" s="193">
        <v>14</v>
      </c>
      <c r="S3" s="196">
        <v>15</v>
      </c>
      <c r="T3" s="193">
        <v>16</v>
      </c>
      <c r="U3" s="193">
        <v>17</v>
      </c>
      <c r="V3" s="193">
        <v>18</v>
      </c>
      <c r="W3" s="197">
        <v>19</v>
      </c>
      <c r="X3" s="193">
        <v>20</v>
      </c>
      <c r="Y3" s="193">
        <v>21</v>
      </c>
      <c r="Z3" s="196">
        <v>22</v>
      </c>
      <c r="AA3" s="193">
        <v>23</v>
      </c>
      <c r="AB3" s="193">
        <v>24</v>
      </c>
      <c r="AC3" s="193">
        <v>25</v>
      </c>
      <c r="AD3" s="197">
        <v>26</v>
      </c>
      <c r="AE3" s="193">
        <v>27</v>
      </c>
      <c r="AF3" s="193">
        <v>28</v>
      </c>
      <c r="AG3" s="198">
        <v>29</v>
      </c>
      <c r="AH3" s="199">
        <v>30</v>
      </c>
      <c r="AI3" s="199">
        <v>31</v>
      </c>
    </row>
    <row r="4" spans="1:36" s="8" customFormat="1" ht="15" customHeight="1">
      <c r="A4" s="364" t="s">
        <v>44</v>
      </c>
      <c r="B4" s="200" t="s">
        <v>139</v>
      </c>
      <c r="C4" s="201">
        <v>606112</v>
      </c>
      <c r="D4" s="201">
        <v>28862.476190476194</v>
      </c>
      <c r="E4" s="202">
        <v>30080</v>
      </c>
      <c r="F4" s="203">
        <v>30304</v>
      </c>
      <c r="G4" s="203">
        <v>30096</v>
      </c>
      <c r="H4" s="203">
        <v>29920</v>
      </c>
      <c r="I4" s="204"/>
      <c r="J4" s="203">
        <v>29760</v>
      </c>
      <c r="K4" s="203">
        <v>30080</v>
      </c>
      <c r="L4" s="202">
        <v>29792</v>
      </c>
      <c r="M4" s="203">
        <v>29256</v>
      </c>
      <c r="N4" s="203">
        <v>29440</v>
      </c>
      <c r="O4" s="203">
        <v>29480</v>
      </c>
      <c r="P4" s="204"/>
      <c r="Q4" s="203">
        <v>29048</v>
      </c>
      <c r="R4" s="203">
        <v>28960</v>
      </c>
      <c r="S4" s="202">
        <v>28464</v>
      </c>
      <c r="T4" s="203">
        <v>27792</v>
      </c>
      <c r="U4" s="203">
        <v>27960</v>
      </c>
      <c r="V4" s="203">
        <v>28240</v>
      </c>
      <c r="W4" s="204"/>
      <c r="X4" s="203">
        <v>27712</v>
      </c>
      <c r="Y4" s="203">
        <v>27560</v>
      </c>
      <c r="Z4" s="202">
        <v>27760</v>
      </c>
      <c r="AA4" s="203">
        <v>27400</v>
      </c>
      <c r="AB4" s="203">
        <v>27008</v>
      </c>
      <c r="AC4" s="205"/>
      <c r="AD4" s="204"/>
      <c r="AE4" s="205"/>
      <c r="AF4" s="205"/>
      <c r="AG4" s="206"/>
      <c r="AH4" s="207"/>
      <c r="AI4" s="207"/>
    </row>
    <row r="5" spans="1:36" s="8" customFormat="1" ht="15" customHeight="1">
      <c r="A5" s="365"/>
      <c r="B5" s="200" t="s">
        <v>140</v>
      </c>
      <c r="C5" s="201">
        <v>561740</v>
      </c>
      <c r="D5" s="201">
        <v>26749.523809523809</v>
      </c>
      <c r="E5" s="202">
        <v>27860</v>
      </c>
      <c r="F5" s="203">
        <v>26750</v>
      </c>
      <c r="G5" s="203">
        <v>27790</v>
      </c>
      <c r="H5" s="203">
        <v>28520</v>
      </c>
      <c r="I5" s="204"/>
      <c r="J5" s="203">
        <v>28520</v>
      </c>
      <c r="K5" s="203">
        <v>28520</v>
      </c>
      <c r="L5" s="202">
        <v>28520</v>
      </c>
      <c r="M5" s="203">
        <v>28000</v>
      </c>
      <c r="N5" s="203">
        <v>28440</v>
      </c>
      <c r="O5" s="203">
        <v>27200</v>
      </c>
      <c r="P5" s="204"/>
      <c r="Q5" s="203">
        <v>26300</v>
      </c>
      <c r="R5" s="203">
        <v>27000</v>
      </c>
      <c r="S5" s="202">
        <v>24620</v>
      </c>
      <c r="T5" s="203">
        <v>25380</v>
      </c>
      <c r="U5" s="203">
        <v>26520</v>
      </c>
      <c r="V5" s="203">
        <v>26020</v>
      </c>
      <c r="W5" s="204"/>
      <c r="X5" s="203">
        <v>25360</v>
      </c>
      <c r="Y5" s="203">
        <v>24340</v>
      </c>
      <c r="Z5" s="202">
        <v>24870</v>
      </c>
      <c r="AA5" s="203">
        <v>25210</v>
      </c>
      <c r="AB5" s="203">
        <v>26000</v>
      </c>
      <c r="AC5" s="203">
        <v>25440</v>
      </c>
      <c r="AD5" s="204"/>
      <c r="AE5" s="203">
        <v>25840</v>
      </c>
      <c r="AF5" s="203">
        <v>24990</v>
      </c>
      <c r="AG5" s="208">
        <v>24470</v>
      </c>
      <c r="AH5" s="209">
        <v>24480</v>
      </c>
      <c r="AI5" s="209">
        <v>24640</v>
      </c>
    </row>
    <row r="6" spans="1:36" s="8" customFormat="1" ht="15" customHeight="1">
      <c r="A6" s="365"/>
      <c r="B6" s="210" t="s">
        <v>141</v>
      </c>
      <c r="C6" s="211">
        <v>556851</v>
      </c>
      <c r="D6" s="211">
        <v>26516.714285714286</v>
      </c>
      <c r="E6" s="212">
        <v>27944</v>
      </c>
      <c r="F6" s="213">
        <v>26847</v>
      </c>
      <c r="G6" s="213">
        <v>27609</v>
      </c>
      <c r="H6" s="213">
        <v>28137</v>
      </c>
      <c r="I6" s="214"/>
      <c r="J6" s="213">
        <v>27914</v>
      </c>
      <c r="K6" s="213">
        <v>28814</v>
      </c>
      <c r="L6" s="212">
        <v>28372</v>
      </c>
      <c r="M6" s="213">
        <v>27156</v>
      </c>
      <c r="N6" s="213">
        <v>27192</v>
      </c>
      <c r="O6" s="213">
        <v>27366</v>
      </c>
      <c r="P6" s="214"/>
      <c r="Q6" s="213">
        <v>26456</v>
      </c>
      <c r="R6" s="213">
        <v>25775</v>
      </c>
      <c r="S6" s="212">
        <v>23601</v>
      </c>
      <c r="T6" s="213">
        <v>25014</v>
      </c>
      <c r="U6" s="213">
        <v>26889</v>
      </c>
      <c r="V6" s="213">
        <v>26397</v>
      </c>
      <c r="W6" s="214"/>
      <c r="X6" s="213">
        <v>25146</v>
      </c>
      <c r="Y6" s="213">
        <v>24342</v>
      </c>
      <c r="Z6" s="212">
        <v>24718</v>
      </c>
      <c r="AA6" s="213">
        <v>25296</v>
      </c>
      <c r="AB6" s="213">
        <v>25866</v>
      </c>
      <c r="AC6" s="215"/>
      <c r="AD6" s="214"/>
      <c r="AE6" s="215"/>
      <c r="AF6" s="215"/>
      <c r="AG6" s="216"/>
      <c r="AH6" s="217"/>
      <c r="AI6" s="217"/>
    </row>
    <row r="7" spans="1:36" s="8" customFormat="1" ht="15" customHeight="1">
      <c r="A7" s="365"/>
      <c r="B7" s="210" t="s">
        <v>142</v>
      </c>
      <c r="C7" s="218">
        <v>-4889</v>
      </c>
      <c r="D7" s="218">
        <v>-232.80952380952382</v>
      </c>
      <c r="E7" s="212">
        <v>84</v>
      </c>
      <c r="F7" s="213">
        <v>97</v>
      </c>
      <c r="G7" s="215">
        <v>-181</v>
      </c>
      <c r="H7" s="215">
        <v>-383</v>
      </c>
      <c r="I7" s="214"/>
      <c r="J7" s="215">
        <v>-606</v>
      </c>
      <c r="K7" s="213">
        <v>294</v>
      </c>
      <c r="L7" s="214">
        <v>-148</v>
      </c>
      <c r="M7" s="215">
        <v>-844</v>
      </c>
      <c r="N7" s="215">
        <v>-1248</v>
      </c>
      <c r="O7" s="213">
        <v>166</v>
      </c>
      <c r="P7" s="214"/>
      <c r="Q7" s="213">
        <v>156</v>
      </c>
      <c r="R7" s="215">
        <v>-1225</v>
      </c>
      <c r="S7" s="214">
        <v>-1019</v>
      </c>
      <c r="T7" s="215">
        <v>-366</v>
      </c>
      <c r="U7" s="213">
        <v>369</v>
      </c>
      <c r="V7" s="213">
        <v>377</v>
      </c>
      <c r="W7" s="214"/>
      <c r="X7" s="215">
        <v>-214</v>
      </c>
      <c r="Y7" s="213">
        <v>2</v>
      </c>
      <c r="Z7" s="214">
        <v>-152</v>
      </c>
      <c r="AA7" s="213">
        <v>86</v>
      </c>
      <c r="AB7" s="215">
        <v>-134</v>
      </c>
      <c r="AC7" s="215"/>
      <c r="AD7" s="214"/>
      <c r="AE7" s="215"/>
      <c r="AF7" s="215"/>
      <c r="AG7" s="216"/>
      <c r="AH7" s="217"/>
      <c r="AI7" s="217"/>
    </row>
    <row r="8" spans="1:36" s="8" customFormat="1" ht="15" customHeight="1">
      <c r="A8" s="365"/>
      <c r="B8" s="210" t="s">
        <v>143</v>
      </c>
      <c r="C8" s="211">
        <v>168</v>
      </c>
      <c r="D8" s="211">
        <v>8</v>
      </c>
      <c r="E8" s="212">
        <v>8</v>
      </c>
      <c r="F8" s="213">
        <v>8</v>
      </c>
      <c r="G8" s="213">
        <v>8</v>
      </c>
      <c r="H8" s="213">
        <v>8</v>
      </c>
      <c r="I8" s="214"/>
      <c r="J8" s="213">
        <v>8</v>
      </c>
      <c r="K8" s="213">
        <v>8</v>
      </c>
      <c r="L8" s="212">
        <v>8</v>
      </c>
      <c r="M8" s="213">
        <v>8</v>
      </c>
      <c r="N8" s="213">
        <v>8</v>
      </c>
      <c r="O8" s="213">
        <v>8</v>
      </c>
      <c r="P8" s="214"/>
      <c r="Q8" s="213">
        <v>8</v>
      </c>
      <c r="R8" s="213">
        <v>8</v>
      </c>
      <c r="S8" s="212">
        <v>8</v>
      </c>
      <c r="T8" s="213">
        <v>8</v>
      </c>
      <c r="U8" s="213">
        <v>8</v>
      </c>
      <c r="V8" s="213">
        <v>8</v>
      </c>
      <c r="W8" s="214"/>
      <c r="X8" s="213">
        <v>8</v>
      </c>
      <c r="Y8" s="213">
        <v>8</v>
      </c>
      <c r="Z8" s="212">
        <v>8</v>
      </c>
      <c r="AA8" s="213">
        <v>8</v>
      </c>
      <c r="AB8" s="213">
        <v>8</v>
      </c>
      <c r="AC8" s="215"/>
      <c r="AD8" s="214"/>
      <c r="AE8" s="215"/>
      <c r="AF8" s="215"/>
      <c r="AG8" s="216"/>
      <c r="AH8" s="217"/>
      <c r="AI8" s="217"/>
    </row>
    <row r="9" spans="1:36" s="8" customFormat="1" ht="15" customHeight="1">
      <c r="A9" s="365"/>
      <c r="B9" s="210" t="s">
        <v>144</v>
      </c>
      <c r="C9" s="211">
        <v>1673</v>
      </c>
      <c r="D9" s="211">
        <v>1673</v>
      </c>
      <c r="E9" s="212">
        <v>1687</v>
      </c>
      <c r="F9" s="213">
        <v>1690</v>
      </c>
      <c r="G9" s="213">
        <v>1670</v>
      </c>
      <c r="H9" s="213">
        <v>1660</v>
      </c>
      <c r="I9" s="214"/>
      <c r="J9" s="213">
        <v>1632</v>
      </c>
      <c r="K9" s="213">
        <v>1655</v>
      </c>
      <c r="L9" s="212">
        <v>1661</v>
      </c>
      <c r="M9" s="213">
        <v>1665</v>
      </c>
      <c r="N9" s="213">
        <v>1679</v>
      </c>
      <c r="O9" s="213">
        <v>1687</v>
      </c>
      <c r="P9" s="214"/>
      <c r="Q9" s="213">
        <v>1679</v>
      </c>
      <c r="R9" s="213">
        <v>1715</v>
      </c>
      <c r="S9" s="212">
        <v>1711</v>
      </c>
      <c r="T9" s="213">
        <v>1698</v>
      </c>
      <c r="U9" s="213">
        <v>1694</v>
      </c>
      <c r="V9" s="213">
        <v>1678</v>
      </c>
      <c r="W9" s="214"/>
      <c r="X9" s="213">
        <v>1693</v>
      </c>
      <c r="Y9" s="213">
        <v>1692</v>
      </c>
      <c r="Z9" s="212">
        <v>1709</v>
      </c>
      <c r="AA9" s="213">
        <v>1702</v>
      </c>
      <c r="AB9" s="213">
        <v>1688</v>
      </c>
      <c r="AC9" s="215"/>
      <c r="AD9" s="214"/>
      <c r="AE9" s="215"/>
      <c r="AF9" s="215"/>
      <c r="AG9" s="216"/>
      <c r="AH9" s="217"/>
      <c r="AI9" s="217"/>
    </row>
    <row r="10" spans="1:36" s="8" customFormat="1" ht="15" customHeight="1">
      <c r="A10" s="365"/>
      <c r="B10" s="210" t="s">
        <v>145</v>
      </c>
      <c r="C10" s="211">
        <v>3314.5892857142858</v>
      </c>
      <c r="D10" s="211">
        <v>3314.5892857142858</v>
      </c>
      <c r="E10" s="212">
        <v>3493</v>
      </c>
      <c r="F10" s="213">
        <v>3355.875</v>
      </c>
      <c r="G10" s="213">
        <v>3451.125</v>
      </c>
      <c r="H10" s="213">
        <v>3517.125</v>
      </c>
      <c r="I10" s="214"/>
      <c r="J10" s="213">
        <v>3489.25</v>
      </c>
      <c r="K10" s="213">
        <v>3601.75</v>
      </c>
      <c r="L10" s="212">
        <v>3546.5</v>
      </c>
      <c r="M10" s="213">
        <v>3394.5</v>
      </c>
      <c r="N10" s="213">
        <v>3399</v>
      </c>
      <c r="O10" s="213">
        <v>3420.75</v>
      </c>
      <c r="P10" s="214"/>
      <c r="Q10" s="213">
        <v>3307</v>
      </c>
      <c r="R10" s="213">
        <v>3221.875</v>
      </c>
      <c r="S10" s="212">
        <v>2950.125</v>
      </c>
      <c r="T10" s="213">
        <v>3126.75</v>
      </c>
      <c r="U10" s="213">
        <v>3361.125</v>
      </c>
      <c r="V10" s="213">
        <v>3299.625</v>
      </c>
      <c r="W10" s="214"/>
      <c r="X10" s="213">
        <v>3143.25</v>
      </c>
      <c r="Y10" s="213">
        <v>3042.75</v>
      </c>
      <c r="Z10" s="212">
        <v>3089.75</v>
      </c>
      <c r="AA10" s="213">
        <v>3162</v>
      </c>
      <c r="AB10" s="213">
        <v>3233.25</v>
      </c>
      <c r="AC10" s="215"/>
      <c r="AD10" s="214"/>
      <c r="AE10" s="215"/>
      <c r="AF10" s="215"/>
      <c r="AG10" s="216"/>
      <c r="AH10" s="217"/>
      <c r="AI10" s="217"/>
    </row>
    <row r="11" spans="1:36" s="8" customFormat="1" ht="15" customHeight="1">
      <c r="A11" s="366"/>
      <c r="B11" s="219" t="s">
        <v>146</v>
      </c>
      <c r="C11" s="220">
        <v>1.9812249167449407</v>
      </c>
      <c r="D11" s="220">
        <v>1.9812249167449407</v>
      </c>
      <c r="E11" s="221">
        <v>2.0705394190871371</v>
      </c>
      <c r="F11" s="220">
        <v>1.985724852071006</v>
      </c>
      <c r="G11" s="220">
        <v>2.0665419161676648</v>
      </c>
      <c r="H11" s="220">
        <v>2.1187499999999999</v>
      </c>
      <c r="I11" s="222"/>
      <c r="J11" s="220">
        <v>2.1380208333333335</v>
      </c>
      <c r="K11" s="220">
        <v>2.1762839879154079</v>
      </c>
      <c r="L11" s="221">
        <v>2.1351595424443106</v>
      </c>
      <c r="M11" s="220">
        <v>2.0387387387387386</v>
      </c>
      <c r="N11" s="220">
        <v>2.0244192972007147</v>
      </c>
      <c r="O11" s="220">
        <v>2.0277119146413751</v>
      </c>
      <c r="P11" s="222"/>
      <c r="Q11" s="220">
        <v>1.9696247766527695</v>
      </c>
      <c r="R11" s="220">
        <v>1.8786443148688046</v>
      </c>
      <c r="S11" s="221">
        <v>1.7242109877264757</v>
      </c>
      <c r="T11" s="220">
        <v>1.8414310954063604</v>
      </c>
      <c r="U11" s="220">
        <v>1.9841351829988194</v>
      </c>
      <c r="V11" s="220">
        <v>1.9664034564958284</v>
      </c>
      <c r="W11" s="222"/>
      <c r="X11" s="220">
        <v>1.8566154754873005</v>
      </c>
      <c r="Y11" s="220">
        <v>1.7983156028368794</v>
      </c>
      <c r="Z11" s="221">
        <v>1.8079286132241077</v>
      </c>
      <c r="AA11" s="220">
        <v>1.8578143360752057</v>
      </c>
      <c r="AB11" s="220">
        <v>1.9154324644549763</v>
      </c>
      <c r="AC11" s="223"/>
      <c r="AD11" s="222"/>
      <c r="AE11" s="223"/>
      <c r="AF11" s="223"/>
      <c r="AG11" s="224"/>
      <c r="AH11" s="225"/>
      <c r="AI11" s="225"/>
    </row>
    <row r="12" spans="1:36" ht="15">
      <c r="A12" s="364" t="s">
        <v>147</v>
      </c>
      <c r="B12" s="200" t="s">
        <v>139</v>
      </c>
      <c r="C12" s="201">
        <v>36344</v>
      </c>
      <c r="D12" s="201">
        <v>1730.6666666666667</v>
      </c>
      <c r="E12" s="202">
        <v>1760</v>
      </c>
      <c r="F12" s="203">
        <v>1760</v>
      </c>
      <c r="G12" s="203">
        <v>1760</v>
      </c>
      <c r="H12" s="203">
        <v>1760</v>
      </c>
      <c r="I12" s="204"/>
      <c r="J12" s="203">
        <v>1760</v>
      </c>
      <c r="K12" s="203">
        <v>1760</v>
      </c>
      <c r="L12" s="202">
        <v>1760</v>
      </c>
      <c r="M12" s="203">
        <v>1760</v>
      </c>
      <c r="N12" s="203">
        <v>1760</v>
      </c>
      <c r="O12" s="203">
        <v>1760</v>
      </c>
      <c r="P12" s="204"/>
      <c r="Q12" s="203">
        <v>1760</v>
      </c>
      <c r="R12" s="203">
        <v>1760</v>
      </c>
      <c r="S12" s="202">
        <v>1760</v>
      </c>
      <c r="T12" s="203">
        <v>1704</v>
      </c>
      <c r="U12" s="203">
        <v>1680</v>
      </c>
      <c r="V12" s="203">
        <v>1680</v>
      </c>
      <c r="W12" s="204"/>
      <c r="X12" s="203">
        <v>1680</v>
      </c>
      <c r="Y12" s="203">
        <v>1680</v>
      </c>
      <c r="Z12" s="202">
        <v>1680</v>
      </c>
      <c r="AA12" s="203">
        <v>1680</v>
      </c>
      <c r="AB12" s="203">
        <v>1680</v>
      </c>
      <c r="AC12" s="205"/>
      <c r="AD12" s="204"/>
      <c r="AE12" s="205"/>
      <c r="AF12" s="205"/>
      <c r="AG12" s="206"/>
      <c r="AH12" s="207"/>
      <c r="AI12" s="207"/>
      <c r="AJ12" s="8"/>
    </row>
    <row r="13" spans="1:36" ht="15">
      <c r="A13" s="365"/>
      <c r="B13" s="200" t="s">
        <v>140</v>
      </c>
      <c r="C13" s="201">
        <v>30920</v>
      </c>
      <c r="D13" s="201">
        <v>1472.3809523809523</v>
      </c>
      <c r="E13" s="202">
        <v>1520</v>
      </c>
      <c r="F13" s="203">
        <v>1520</v>
      </c>
      <c r="G13" s="203">
        <v>1520</v>
      </c>
      <c r="H13" s="203">
        <v>1520</v>
      </c>
      <c r="I13" s="204"/>
      <c r="J13" s="203">
        <v>1520</v>
      </c>
      <c r="K13" s="203">
        <v>1520</v>
      </c>
      <c r="L13" s="202">
        <v>1520</v>
      </c>
      <c r="M13" s="203">
        <v>1520</v>
      </c>
      <c r="N13" s="203">
        <v>1520</v>
      </c>
      <c r="O13" s="203">
        <v>1520</v>
      </c>
      <c r="P13" s="204"/>
      <c r="Q13" s="203">
        <v>1520</v>
      </c>
      <c r="R13" s="203">
        <v>1520</v>
      </c>
      <c r="S13" s="202">
        <v>1520</v>
      </c>
      <c r="T13" s="203">
        <v>1080</v>
      </c>
      <c r="U13" s="203">
        <v>1440</v>
      </c>
      <c r="V13" s="203">
        <v>1440</v>
      </c>
      <c r="W13" s="204"/>
      <c r="X13" s="203">
        <v>1440</v>
      </c>
      <c r="Y13" s="203">
        <v>1440</v>
      </c>
      <c r="Z13" s="202">
        <v>1440</v>
      </c>
      <c r="AA13" s="203">
        <v>1440</v>
      </c>
      <c r="AB13" s="203">
        <v>1440</v>
      </c>
      <c r="AC13" s="203">
        <v>1440</v>
      </c>
      <c r="AD13" s="204"/>
      <c r="AE13" s="203">
        <v>1440</v>
      </c>
      <c r="AF13" s="203">
        <v>1440</v>
      </c>
      <c r="AG13" s="208">
        <v>1440</v>
      </c>
      <c r="AH13" s="209">
        <v>1440</v>
      </c>
      <c r="AI13" s="209">
        <v>1440</v>
      </c>
      <c r="AJ13" s="8"/>
    </row>
    <row r="14" spans="1:36" ht="15">
      <c r="A14" s="365"/>
      <c r="B14" s="210" t="s">
        <v>141</v>
      </c>
      <c r="C14" s="211">
        <v>31872</v>
      </c>
      <c r="D14" s="211">
        <v>1517.7142857142858</v>
      </c>
      <c r="E14" s="212">
        <v>1458</v>
      </c>
      <c r="F14" s="213">
        <v>1728</v>
      </c>
      <c r="G14" s="213">
        <v>1512</v>
      </c>
      <c r="H14" s="213">
        <v>1416</v>
      </c>
      <c r="I14" s="214"/>
      <c r="J14" s="213">
        <v>1620</v>
      </c>
      <c r="K14" s="213">
        <v>1548</v>
      </c>
      <c r="L14" s="212">
        <v>1494</v>
      </c>
      <c r="M14" s="213">
        <v>1398</v>
      </c>
      <c r="N14" s="213">
        <v>1500</v>
      </c>
      <c r="O14" s="213">
        <v>1548</v>
      </c>
      <c r="P14" s="214"/>
      <c r="Q14" s="213">
        <v>1680</v>
      </c>
      <c r="R14" s="213">
        <v>1392</v>
      </c>
      <c r="S14" s="212">
        <v>1560</v>
      </c>
      <c r="T14" s="213">
        <v>1224</v>
      </c>
      <c r="U14" s="213">
        <v>1620</v>
      </c>
      <c r="V14" s="213">
        <v>1446</v>
      </c>
      <c r="W14" s="214"/>
      <c r="X14" s="213">
        <v>1470</v>
      </c>
      <c r="Y14" s="213">
        <v>1524</v>
      </c>
      <c r="Z14" s="212">
        <v>1548</v>
      </c>
      <c r="AA14" s="213">
        <v>1596</v>
      </c>
      <c r="AB14" s="213">
        <v>1590</v>
      </c>
      <c r="AC14" s="215"/>
      <c r="AD14" s="214"/>
      <c r="AE14" s="215"/>
      <c r="AF14" s="215"/>
      <c r="AG14" s="216"/>
      <c r="AH14" s="217"/>
      <c r="AI14" s="217"/>
      <c r="AJ14" s="8"/>
    </row>
    <row r="15" spans="1:36" ht="15">
      <c r="A15" s="365"/>
      <c r="B15" s="210" t="s">
        <v>142</v>
      </c>
      <c r="C15" s="211">
        <v>952</v>
      </c>
      <c r="D15" s="211">
        <v>45.333333333333336</v>
      </c>
      <c r="E15" s="214">
        <v>-62</v>
      </c>
      <c r="F15" s="213">
        <v>208</v>
      </c>
      <c r="G15" s="215">
        <v>-8</v>
      </c>
      <c r="H15" s="215">
        <v>-104</v>
      </c>
      <c r="I15" s="214"/>
      <c r="J15" s="213">
        <v>100</v>
      </c>
      <c r="K15" s="213">
        <v>28</v>
      </c>
      <c r="L15" s="214">
        <v>-26</v>
      </c>
      <c r="M15" s="215">
        <v>-122</v>
      </c>
      <c r="N15" s="215">
        <v>-20</v>
      </c>
      <c r="O15" s="213">
        <v>28</v>
      </c>
      <c r="P15" s="214"/>
      <c r="Q15" s="213">
        <v>160</v>
      </c>
      <c r="R15" s="215">
        <v>-128</v>
      </c>
      <c r="S15" s="212">
        <v>40</v>
      </c>
      <c r="T15" s="213">
        <v>144</v>
      </c>
      <c r="U15" s="213">
        <v>180</v>
      </c>
      <c r="V15" s="213">
        <v>6</v>
      </c>
      <c r="W15" s="214"/>
      <c r="X15" s="213">
        <v>30</v>
      </c>
      <c r="Y15" s="213">
        <v>84</v>
      </c>
      <c r="Z15" s="212">
        <v>108</v>
      </c>
      <c r="AA15" s="213">
        <v>156</v>
      </c>
      <c r="AB15" s="213">
        <v>150</v>
      </c>
      <c r="AC15" s="215"/>
      <c r="AD15" s="214"/>
      <c r="AE15" s="215"/>
      <c r="AF15" s="215"/>
      <c r="AG15" s="216"/>
      <c r="AH15" s="217"/>
      <c r="AI15" s="217"/>
      <c r="AJ15" s="8"/>
    </row>
    <row r="16" spans="1:36" ht="15">
      <c r="A16" s="365"/>
      <c r="B16" s="210" t="s">
        <v>143</v>
      </c>
      <c r="C16" s="211">
        <v>168</v>
      </c>
      <c r="D16" s="211">
        <v>8</v>
      </c>
      <c r="E16" s="212">
        <v>8</v>
      </c>
      <c r="F16" s="213">
        <v>8</v>
      </c>
      <c r="G16" s="213">
        <v>8</v>
      </c>
      <c r="H16" s="213">
        <v>8</v>
      </c>
      <c r="I16" s="214"/>
      <c r="J16" s="213">
        <v>8</v>
      </c>
      <c r="K16" s="213">
        <v>8</v>
      </c>
      <c r="L16" s="212">
        <v>8</v>
      </c>
      <c r="M16" s="213">
        <v>8</v>
      </c>
      <c r="N16" s="213">
        <v>8</v>
      </c>
      <c r="O16" s="213">
        <v>8</v>
      </c>
      <c r="P16" s="214"/>
      <c r="Q16" s="213">
        <v>8</v>
      </c>
      <c r="R16" s="213">
        <v>8</v>
      </c>
      <c r="S16" s="212">
        <v>8</v>
      </c>
      <c r="T16" s="213">
        <v>8</v>
      </c>
      <c r="U16" s="213">
        <v>8</v>
      </c>
      <c r="V16" s="213">
        <v>8</v>
      </c>
      <c r="W16" s="214"/>
      <c r="X16" s="213">
        <v>8</v>
      </c>
      <c r="Y16" s="213">
        <v>8</v>
      </c>
      <c r="Z16" s="212">
        <v>8</v>
      </c>
      <c r="AA16" s="213">
        <v>8</v>
      </c>
      <c r="AB16" s="213">
        <v>8</v>
      </c>
      <c r="AC16" s="215"/>
      <c r="AD16" s="214"/>
      <c r="AE16" s="215"/>
      <c r="AF16" s="215"/>
      <c r="AG16" s="216"/>
      <c r="AH16" s="217"/>
      <c r="AI16" s="217"/>
      <c r="AJ16" s="8"/>
    </row>
    <row r="17" spans="1:36" ht="15">
      <c r="A17" s="365"/>
      <c r="B17" s="210" t="s">
        <v>144</v>
      </c>
      <c r="C17" s="211">
        <v>73</v>
      </c>
      <c r="D17" s="211">
        <v>73</v>
      </c>
      <c r="E17" s="212">
        <v>77</v>
      </c>
      <c r="F17" s="213">
        <v>76</v>
      </c>
      <c r="G17" s="213">
        <v>75</v>
      </c>
      <c r="H17" s="213">
        <v>74</v>
      </c>
      <c r="I17" s="214"/>
      <c r="J17" s="213">
        <v>72</v>
      </c>
      <c r="K17" s="213">
        <v>74</v>
      </c>
      <c r="L17" s="212">
        <v>72</v>
      </c>
      <c r="M17" s="213">
        <v>71</v>
      </c>
      <c r="N17" s="213">
        <v>73</v>
      </c>
      <c r="O17" s="213">
        <v>70</v>
      </c>
      <c r="P17" s="214"/>
      <c r="Q17" s="213">
        <v>73</v>
      </c>
      <c r="R17" s="213">
        <v>75</v>
      </c>
      <c r="S17" s="212">
        <v>75</v>
      </c>
      <c r="T17" s="213">
        <v>75</v>
      </c>
      <c r="U17" s="213">
        <v>72</v>
      </c>
      <c r="V17" s="213">
        <v>74</v>
      </c>
      <c r="W17" s="214"/>
      <c r="X17" s="213">
        <v>74</v>
      </c>
      <c r="Y17" s="213">
        <v>75</v>
      </c>
      <c r="Z17" s="212">
        <v>74</v>
      </c>
      <c r="AA17" s="213">
        <v>75</v>
      </c>
      <c r="AB17" s="213">
        <v>74</v>
      </c>
      <c r="AC17" s="215"/>
      <c r="AD17" s="214"/>
      <c r="AE17" s="215"/>
      <c r="AF17" s="215"/>
      <c r="AG17" s="216"/>
      <c r="AH17" s="217"/>
      <c r="AI17" s="217"/>
      <c r="AJ17" s="8"/>
    </row>
    <row r="18" spans="1:36" ht="15">
      <c r="A18" s="365"/>
      <c r="B18" s="210" t="s">
        <v>145</v>
      </c>
      <c r="C18" s="211">
        <v>189.71428571428572</v>
      </c>
      <c r="D18" s="211">
        <v>189.71428571428572</v>
      </c>
      <c r="E18" s="212">
        <v>182.25</v>
      </c>
      <c r="F18" s="213">
        <v>216</v>
      </c>
      <c r="G18" s="213">
        <v>189</v>
      </c>
      <c r="H18" s="213">
        <v>177</v>
      </c>
      <c r="I18" s="214"/>
      <c r="J18" s="213">
        <v>202.5</v>
      </c>
      <c r="K18" s="213">
        <v>193.5</v>
      </c>
      <c r="L18" s="212">
        <v>186.75</v>
      </c>
      <c r="M18" s="213">
        <v>174.75</v>
      </c>
      <c r="N18" s="213">
        <v>187.5</v>
      </c>
      <c r="O18" s="213">
        <v>193.5</v>
      </c>
      <c r="P18" s="214"/>
      <c r="Q18" s="213">
        <v>210</v>
      </c>
      <c r="R18" s="213">
        <v>174</v>
      </c>
      <c r="S18" s="212">
        <v>195</v>
      </c>
      <c r="T18" s="213">
        <v>153</v>
      </c>
      <c r="U18" s="213">
        <v>202.5</v>
      </c>
      <c r="V18" s="213">
        <v>180.75</v>
      </c>
      <c r="W18" s="214"/>
      <c r="X18" s="213">
        <v>183.75</v>
      </c>
      <c r="Y18" s="213">
        <v>190.5</v>
      </c>
      <c r="Z18" s="212">
        <v>193.5</v>
      </c>
      <c r="AA18" s="213">
        <v>199.5</v>
      </c>
      <c r="AB18" s="213">
        <v>198.75</v>
      </c>
      <c r="AC18" s="215"/>
      <c r="AD18" s="214"/>
      <c r="AE18" s="215"/>
      <c r="AF18" s="215"/>
      <c r="AG18" s="216"/>
      <c r="AH18" s="217"/>
      <c r="AI18" s="217"/>
      <c r="AJ18" s="8"/>
    </row>
    <row r="19" spans="1:36" ht="15">
      <c r="A19" s="366"/>
      <c r="B19" s="219" t="s">
        <v>146</v>
      </c>
      <c r="C19" s="220">
        <v>2.5987999999999998</v>
      </c>
      <c r="D19" s="220">
        <v>2.5987999999999998</v>
      </c>
      <c r="E19" s="221">
        <v>2.3669000000000002</v>
      </c>
      <c r="F19" s="220">
        <v>2.8420999999999998</v>
      </c>
      <c r="G19" s="220">
        <v>2.52</v>
      </c>
      <c r="H19" s="220">
        <v>2.3919000000000001</v>
      </c>
      <c r="I19" s="222"/>
      <c r="J19" s="220">
        <v>2.8125</v>
      </c>
      <c r="K19" s="220">
        <v>2.6149</v>
      </c>
      <c r="L19" s="221">
        <v>2.5937999999999999</v>
      </c>
      <c r="M19" s="220">
        <v>2.4613</v>
      </c>
      <c r="N19" s="220">
        <v>2.5685000000000002</v>
      </c>
      <c r="O19" s="220">
        <v>2.7643</v>
      </c>
      <c r="P19" s="222"/>
      <c r="Q19" s="220">
        <v>2.8767</v>
      </c>
      <c r="R19" s="220">
        <v>2.3199999999999998</v>
      </c>
      <c r="S19" s="221">
        <v>2.6</v>
      </c>
      <c r="T19" s="220">
        <v>2.04</v>
      </c>
      <c r="U19" s="220">
        <v>2.8125</v>
      </c>
      <c r="V19" s="220">
        <v>2.4426000000000001</v>
      </c>
      <c r="W19" s="222"/>
      <c r="X19" s="220">
        <v>2.4830999999999999</v>
      </c>
      <c r="Y19" s="220">
        <v>2.54</v>
      </c>
      <c r="Z19" s="221">
        <v>2.6149</v>
      </c>
      <c r="AA19" s="220">
        <v>2.66</v>
      </c>
      <c r="AB19" s="220">
        <v>2.6858</v>
      </c>
      <c r="AC19" s="223"/>
      <c r="AD19" s="222"/>
      <c r="AE19" s="223"/>
      <c r="AF19" s="223"/>
      <c r="AG19" s="224"/>
      <c r="AH19" s="225"/>
      <c r="AI19" s="225"/>
      <c r="AJ19" s="8"/>
    </row>
    <row r="20" spans="1:36" ht="15">
      <c r="A20" s="364" t="s">
        <v>148</v>
      </c>
      <c r="B20" s="200" t="s">
        <v>139</v>
      </c>
      <c r="C20" s="201">
        <v>36960</v>
      </c>
      <c r="D20" s="201">
        <v>1760</v>
      </c>
      <c r="E20" s="202">
        <v>1760</v>
      </c>
      <c r="F20" s="203">
        <v>1760</v>
      </c>
      <c r="G20" s="203">
        <v>1760</v>
      </c>
      <c r="H20" s="203">
        <v>1760</v>
      </c>
      <c r="I20" s="204"/>
      <c r="J20" s="203">
        <v>1760</v>
      </c>
      <c r="K20" s="203">
        <v>1760</v>
      </c>
      <c r="L20" s="202">
        <v>1760</v>
      </c>
      <c r="M20" s="203">
        <v>1760</v>
      </c>
      <c r="N20" s="203">
        <v>1760</v>
      </c>
      <c r="O20" s="203">
        <v>1760</v>
      </c>
      <c r="P20" s="204"/>
      <c r="Q20" s="203">
        <v>1760</v>
      </c>
      <c r="R20" s="203">
        <v>1760</v>
      </c>
      <c r="S20" s="202">
        <v>1760</v>
      </c>
      <c r="T20" s="203">
        <v>1760</v>
      </c>
      <c r="U20" s="203">
        <v>1760</v>
      </c>
      <c r="V20" s="203">
        <v>1760</v>
      </c>
      <c r="W20" s="204"/>
      <c r="X20" s="203">
        <v>1760</v>
      </c>
      <c r="Y20" s="203">
        <v>1760</v>
      </c>
      <c r="Z20" s="202">
        <v>1760</v>
      </c>
      <c r="AA20" s="203">
        <v>1760</v>
      </c>
      <c r="AB20" s="203">
        <v>1760</v>
      </c>
      <c r="AC20" s="205"/>
      <c r="AD20" s="204"/>
      <c r="AE20" s="205"/>
      <c r="AF20" s="205"/>
      <c r="AG20" s="206"/>
      <c r="AH20" s="207"/>
      <c r="AI20" s="207"/>
      <c r="AJ20" s="8"/>
    </row>
    <row r="21" spans="1:36" ht="15">
      <c r="A21" s="365"/>
      <c r="B21" s="200" t="s">
        <v>140</v>
      </c>
      <c r="C21" s="201">
        <v>34860</v>
      </c>
      <c r="D21" s="201">
        <v>1660</v>
      </c>
      <c r="E21" s="202">
        <v>1680</v>
      </c>
      <c r="F21" s="203">
        <v>1680</v>
      </c>
      <c r="G21" s="203">
        <v>1680</v>
      </c>
      <c r="H21" s="203">
        <v>1680</v>
      </c>
      <c r="I21" s="204"/>
      <c r="J21" s="203">
        <v>1680</v>
      </c>
      <c r="K21" s="203">
        <v>1680</v>
      </c>
      <c r="L21" s="202">
        <v>1680</v>
      </c>
      <c r="M21" s="203">
        <v>1680</v>
      </c>
      <c r="N21" s="203">
        <v>1680</v>
      </c>
      <c r="O21" s="203">
        <v>1260</v>
      </c>
      <c r="P21" s="204"/>
      <c r="Q21" s="203">
        <v>1680</v>
      </c>
      <c r="R21" s="203">
        <v>1680</v>
      </c>
      <c r="S21" s="202">
        <v>1680</v>
      </c>
      <c r="T21" s="203">
        <v>1680</v>
      </c>
      <c r="U21" s="203">
        <v>1680</v>
      </c>
      <c r="V21" s="203">
        <v>1680</v>
      </c>
      <c r="W21" s="204"/>
      <c r="X21" s="203">
        <v>1680</v>
      </c>
      <c r="Y21" s="203">
        <v>1680</v>
      </c>
      <c r="Z21" s="202">
        <v>1680</v>
      </c>
      <c r="AA21" s="203">
        <v>1680</v>
      </c>
      <c r="AB21" s="203">
        <v>1680</v>
      </c>
      <c r="AC21" s="203">
        <v>1680</v>
      </c>
      <c r="AD21" s="204"/>
      <c r="AE21" s="203">
        <v>1680</v>
      </c>
      <c r="AF21" s="203">
        <v>1680</v>
      </c>
      <c r="AG21" s="208">
        <v>1680</v>
      </c>
      <c r="AH21" s="209">
        <v>1680</v>
      </c>
      <c r="AI21" s="209">
        <v>1680</v>
      </c>
      <c r="AJ21" s="8"/>
    </row>
    <row r="22" spans="1:36" ht="15">
      <c r="A22" s="365"/>
      <c r="B22" s="210" t="s">
        <v>141</v>
      </c>
      <c r="C22" s="211">
        <v>33812</v>
      </c>
      <c r="D22" s="211">
        <v>1610.0952380952381</v>
      </c>
      <c r="E22" s="212">
        <v>1752</v>
      </c>
      <c r="F22" s="213">
        <v>1632</v>
      </c>
      <c r="G22" s="213">
        <v>1320</v>
      </c>
      <c r="H22" s="213">
        <v>1518</v>
      </c>
      <c r="I22" s="214"/>
      <c r="J22" s="213">
        <v>1542</v>
      </c>
      <c r="K22" s="213">
        <v>1698</v>
      </c>
      <c r="L22" s="212">
        <v>1530</v>
      </c>
      <c r="M22" s="213">
        <v>1656</v>
      </c>
      <c r="N22" s="213">
        <v>1608</v>
      </c>
      <c r="O22" s="213">
        <v>1440</v>
      </c>
      <c r="P22" s="214"/>
      <c r="Q22" s="213">
        <v>1596</v>
      </c>
      <c r="R22" s="213">
        <v>1580</v>
      </c>
      <c r="S22" s="212">
        <v>1560</v>
      </c>
      <c r="T22" s="213">
        <v>1512</v>
      </c>
      <c r="U22" s="213">
        <v>1728</v>
      </c>
      <c r="V22" s="213">
        <v>1728</v>
      </c>
      <c r="W22" s="214"/>
      <c r="X22" s="213">
        <v>1518</v>
      </c>
      <c r="Y22" s="213">
        <v>1722</v>
      </c>
      <c r="Z22" s="212">
        <v>1734</v>
      </c>
      <c r="AA22" s="213">
        <v>1722</v>
      </c>
      <c r="AB22" s="213">
        <v>1716</v>
      </c>
      <c r="AC22" s="215"/>
      <c r="AD22" s="214"/>
      <c r="AE22" s="215"/>
      <c r="AF22" s="215"/>
      <c r="AG22" s="216"/>
      <c r="AH22" s="217"/>
      <c r="AI22" s="217"/>
      <c r="AJ22" s="8"/>
    </row>
    <row r="23" spans="1:36" ht="15">
      <c r="A23" s="365"/>
      <c r="B23" s="210" t="s">
        <v>142</v>
      </c>
      <c r="C23" s="218">
        <v>-1048</v>
      </c>
      <c r="D23" s="218">
        <v>-49.904761904761905</v>
      </c>
      <c r="E23" s="212">
        <v>72</v>
      </c>
      <c r="F23" s="215">
        <v>-48</v>
      </c>
      <c r="G23" s="215">
        <v>-360</v>
      </c>
      <c r="H23" s="215">
        <v>-162</v>
      </c>
      <c r="I23" s="214"/>
      <c r="J23" s="215">
        <v>-138</v>
      </c>
      <c r="K23" s="213">
        <v>18</v>
      </c>
      <c r="L23" s="214">
        <v>-150</v>
      </c>
      <c r="M23" s="215">
        <v>-24</v>
      </c>
      <c r="N23" s="215">
        <v>-72</v>
      </c>
      <c r="O23" s="213">
        <v>180</v>
      </c>
      <c r="P23" s="214"/>
      <c r="Q23" s="215">
        <v>-84</v>
      </c>
      <c r="R23" s="215">
        <v>-100</v>
      </c>
      <c r="S23" s="214">
        <v>-120</v>
      </c>
      <c r="T23" s="215">
        <v>-168</v>
      </c>
      <c r="U23" s="213">
        <v>48</v>
      </c>
      <c r="V23" s="213">
        <v>48</v>
      </c>
      <c r="W23" s="214"/>
      <c r="X23" s="215">
        <v>-162</v>
      </c>
      <c r="Y23" s="213">
        <v>42</v>
      </c>
      <c r="Z23" s="212">
        <v>54</v>
      </c>
      <c r="AA23" s="213">
        <v>42</v>
      </c>
      <c r="AB23" s="213">
        <v>36</v>
      </c>
      <c r="AC23" s="215"/>
      <c r="AD23" s="214"/>
      <c r="AE23" s="215"/>
      <c r="AF23" s="215"/>
      <c r="AG23" s="216"/>
      <c r="AH23" s="217"/>
      <c r="AI23" s="217"/>
      <c r="AJ23" s="8"/>
    </row>
    <row r="24" spans="1:36" ht="15">
      <c r="A24" s="365"/>
      <c r="B24" s="210" t="s">
        <v>143</v>
      </c>
      <c r="C24" s="211">
        <v>168</v>
      </c>
      <c r="D24" s="211">
        <v>8</v>
      </c>
      <c r="E24" s="212">
        <v>8</v>
      </c>
      <c r="F24" s="213">
        <v>8</v>
      </c>
      <c r="G24" s="213">
        <v>8</v>
      </c>
      <c r="H24" s="213">
        <v>8</v>
      </c>
      <c r="I24" s="214"/>
      <c r="J24" s="213">
        <v>8</v>
      </c>
      <c r="K24" s="213">
        <v>8</v>
      </c>
      <c r="L24" s="212">
        <v>8</v>
      </c>
      <c r="M24" s="213">
        <v>8</v>
      </c>
      <c r="N24" s="213">
        <v>8</v>
      </c>
      <c r="O24" s="213">
        <v>8</v>
      </c>
      <c r="P24" s="214"/>
      <c r="Q24" s="213">
        <v>8</v>
      </c>
      <c r="R24" s="213">
        <v>8</v>
      </c>
      <c r="S24" s="212">
        <v>8</v>
      </c>
      <c r="T24" s="213">
        <v>8</v>
      </c>
      <c r="U24" s="213">
        <v>8</v>
      </c>
      <c r="V24" s="213">
        <v>8</v>
      </c>
      <c r="W24" s="214"/>
      <c r="X24" s="213">
        <v>8</v>
      </c>
      <c r="Y24" s="213">
        <v>8</v>
      </c>
      <c r="Z24" s="212">
        <v>8</v>
      </c>
      <c r="AA24" s="213">
        <v>8</v>
      </c>
      <c r="AB24" s="213">
        <v>8</v>
      </c>
      <c r="AC24" s="215"/>
      <c r="AD24" s="214"/>
      <c r="AE24" s="215"/>
      <c r="AF24" s="215"/>
      <c r="AG24" s="216"/>
      <c r="AH24" s="217"/>
      <c r="AI24" s="217"/>
      <c r="AJ24" s="8"/>
    </row>
    <row r="25" spans="1:36" ht="15">
      <c r="A25" s="365"/>
      <c r="B25" s="210" t="s">
        <v>144</v>
      </c>
      <c r="C25" s="211">
        <v>89</v>
      </c>
      <c r="D25" s="211">
        <v>89</v>
      </c>
      <c r="E25" s="212">
        <v>91</v>
      </c>
      <c r="F25" s="213">
        <v>90</v>
      </c>
      <c r="G25" s="213">
        <v>91</v>
      </c>
      <c r="H25" s="213">
        <v>92</v>
      </c>
      <c r="I25" s="214"/>
      <c r="J25" s="213">
        <v>86</v>
      </c>
      <c r="K25" s="213">
        <v>91</v>
      </c>
      <c r="L25" s="212">
        <v>90</v>
      </c>
      <c r="M25" s="213">
        <v>89</v>
      </c>
      <c r="N25" s="213">
        <v>92</v>
      </c>
      <c r="O25" s="213">
        <v>88</v>
      </c>
      <c r="P25" s="214"/>
      <c r="Q25" s="213">
        <v>87</v>
      </c>
      <c r="R25" s="213">
        <v>89</v>
      </c>
      <c r="S25" s="212">
        <v>89</v>
      </c>
      <c r="T25" s="213">
        <v>88</v>
      </c>
      <c r="U25" s="213">
        <v>89</v>
      </c>
      <c r="V25" s="213">
        <v>88</v>
      </c>
      <c r="W25" s="214"/>
      <c r="X25" s="213">
        <v>89</v>
      </c>
      <c r="Y25" s="213">
        <v>90</v>
      </c>
      <c r="Z25" s="212">
        <v>88</v>
      </c>
      <c r="AA25" s="213">
        <v>88</v>
      </c>
      <c r="AB25" s="213">
        <v>88</v>
      </c>
      <c r="AC25" s="215"/>
      <c r="AD25" s="214"/>
      <c r="AE25" s="215"/>
      <c r="AF25" s="215"/>
      <c r="AG25" s="216"/>
      <c r="AH25" s="217"/>
      <c r="AI25" s="217"/>
      <c r="AJ25" s="8"/>
    </row>
    <row r="26" spans="1:36" ht="15">
      <c r="A26" s="365"/>
      <c r="B26" s="210" t="s">
        <v>145</v>
      </c>
      <c r="C26" s="211">
        <v>201.26190476190476</v>
      </c>
      <c r="D26" s="211">
        <v>201.26190476190476</v>
      </c>
      <c r="E26" s="212">
        <v>219</v>
      </c>
      <c r="F26" s="213">
        <v>204</v>
      </c>
      <c r="G26" s="213">
        <v>165</v>
      </c>
      <c r="H26" s="213">
        <v>189.75</v>
      </c>
      <c r="I26" s="214"/>
      <c r="J26" s="213">
        <v>192.75</v>
      </c>
      <c r="K26" s="213">
        <v>212.25</v>
      </c>
      <c r="L26" s="212">
        <v>191.25</v>
      </c>
      <c r="M26" s="213">
        <v>207</v>
      </c>
      <c r="N26" s="213">
        <v>201</v>
      </c>
      <c r="O26" s="213">
        <v>180</v>
      </c>
      <c r="P26" s="214"/>
      <c r="Q26" s="213">
        <v>199.5</v>
      </c>
      <c r="R26" s="213">
        <v>197.5</v>
      </c>
      <c r="S26" s="212">
        <v>195</v>
      </c>
      <c r="T26" s="213">
        <v>189</v>
      </c>
      <c r="U26" s="213">
        <v>216</v>
      </c>
      <c r="V26" s="213">
        <v>216</v>
      </c>
      <c r="W26" s="214"/>
      <c r="X26" s="213">
        <v>189.75</v>
      </c>
      <c r="Y26" s="213">
        <v>215.25</v>
      </c>
      <c r="Z26" s="212">
        <v>216.75</v>
      </c>
      <c r="AA26" s="213">
        <v>215.25</v>
      </c>
      <c r="AB26" s="213">
        <v>214.5</v>
      </c>
      <c r="AC26" s="215"/>
      <c r="AD26" s="214"/>
      <c r="AE26" s="215"/>
      <c r="AF26" s="215"/>
      <c r="AG26" s="216"/>
      <c r="AH26" s="217"/>
      <c r="AI26" s="217"/>
      <c r="AJ26" s="8"/>
    </row>
    <row r="27" spans="1:36" ht="15">
      <c r="A27" s="366"/>
      <c r="B27" s="219" t="s">
        <v>146</v>
      </c>
      <c r="C27" s="220">
        <v>2.2614000000000001</v>
      </c>
      <c r="D27" s="220">
        <v>2.2614000000000001</v>
      </c>
      <c r="E27" s="221">
        <v>2.4066000000000001</v>
      </c>
      <c r="F27" s="220">
        <v>2.2667000000000002</v>
      </c>
      <c r="G27" s="220">
        <v>1.8132000000000001</v>
      </c>
      <c r="H27" s="220">
        <v>2.0625</v>
      </c>
      <c r="I27" s="222"/>
      <c r="J27" s="220">
        <v>2.2412999999999998</v>
      </c>
      <c r="K27" s="220">
        <v>2.3323999999999998</v>
      </c>
      <c r="L27" s="221">
        <v>2.125</v>
      </c>
      <c r="M27" s="220">
        <v>2.3258000000000001</v>
      </c>
      <c r="N27" s="220">
        <v>2.1848000000000001</v>
      </c>
      <c r="O27" s="220">
        <v>2.0455000000000001</v>
      </c>
      <c r="P27" s="222"/>
      <c r="Q27" s="220">
        <v>2.2930999999999999</v>
      </c>
      <c r="R27" s="220">
        <v>2.2191000000000001</v>
      </c>
      <c r="S27" s="221">
        <v>2.1909999999999998</v>
      </c>
      <c r="T27" s="220">
        <v>2.1476999999999999</v>
      </c>
      <c r="U27" s="220">
        <v>2.427</v>
      </c>
      <c r="V27" s="220">
        <v>2.4544999999999999</v>
      </c>
      <c r="W27" s="222"/>
      <c r="X27" s="220">
        <v>2.1320000000000001</v>
      </c>
      <c r="Y27" s="220">
        <v>2.3917000000000002</v>
      </c>
      <c r="Z27" s="221">
        <v>2.4630999999999998</v>
      </c>
      <c r="AA27" s="220">
        <v>2.4460000000000002</v>
      </c>
      <c r="AB27" s="220">
        <v>2.4375</v>
      </c>
      <c r="AC27" s="223"/>
      <c r="AD27" s="222"/>
      <c r="AE27" s="223"/>
      <c r="AF27" s="223"/>
      <c r="AG27" s="224"/>
      <c r="AH27" s="225"/>
      <c r="AI27" s="225"/>
      <c r="AJ27" s="8"/>
    </row>
    <row r="28" spans="1:36" ht="15">
      <c r="A28" s="364" t="s">
        <v>149</v>
      </c>
      <c r="B28" s="200" t="s">
        <v>139</v>
      </c>
      <c r="C28" s="201">
        <v>36608</v>
      </c>
      <c r="D28" s="201">
        <v>1743.2380952380952</v>
      </c>
      <c r="E28" s="202">
        <v>1760</v>
      </c>
      <c r="F28" s="203">
        <v>1760</v>
      </c>
      <c r="G28" s="203">
        <v>1760</v>
      </c>
      <c r="H28" s="203">
        <v>1760</v>
      </c>
      <c r="I28" s="204"/>
      <c r="J28" s="203">
        <v>1760</v>
      </c>
      <c r="K28" s="203">
        <v>1760</v>
      </c>
      <c r="L28" s="202">
        <v>1760</v>
      </c>
      <c r="M28" s="203">
        <v>1760</v>
      </c>
      <c r="N28" s="203">
        <v>1760</v>
      </c>
      <c r="O28" s="203">
        <v>1760</v>
      </c>
      <c r="P28" s="204"/>
      <c r="Q28" s="203">
        <v>1760</v>
      </c>
      <c r="R28" s="203">
        <v>1760</v>
      </c>
      <c r="S28" s="202">
        <v>1520</v>
      </c>
      <c r="T28" s="203">
        <v>1688</v>
      </c>
      <c r="U28" s="203">
        <v>1720</v>
      </c>
      <c r="V28" s="203">
        <v>1760</v>
      </c>
      <c r="W28" s="204"/>
      <c r="X28" s="203">
        <v>1760</v>
      </c>
      <c r="Y28" s="203">
        <v>1760</v>
      </c>
      <c r="Z28" s="202">
        <v>1760</v>
      </c>
      <c r="AA28" s="203">
        <v>1760</v>
      </c>
      <c r="AB28" s="203">
        <v>1760</v>
      </c>
      <c r="AC28" s="205"/>
      <c r="AD28" s="204"/>
      <c r="AE28" s="205"/>
      <c r="AF28" s="205"/>
      <c r="AG28" s="206"/>
      <c r="AH28" s="207"/>
      <c r="AI28" s="207"/>
      <c r="AJ28" s="8"/>
    </row>
    <row r="29" spans="1:36" ht="15">
      <c r="A29" s="365"/>
      <c r="B29" s="200" t="s">
        <v>140</v>
      </c>
      <c r="C29" s="201">
        <v>34020</v>
      </c>
      <c r="D29" s="201">
        <v>1620</v>
      </c>
      <c r="E29" s="202">
        <v>1680</v>
      </c>
      <c r="F29" s="203">
        <v>1680</v>
      </c>
      <c r="G29" s="203">
        <v>1680</v>
      </c>
      <c r="H29" s="203">
        <v>1680</v>
      </c>
      <c r="I29" s="204"/>
      <c r="J29" s="203">
        <v>1680</v>
      </c>
      <c r="K29" s="203">
        <v>1680</v>
      </c>
      <c r="L29" s="202">
        <v>1680</v>
      </c>
      <c r="M29" s="203">
        <v>1680</v>
      </c>
      <c r="N29" s="203">
        <v>1680</v>
      </c>
      <c r="O29" s="203">
        <v>1680</v>
      </c>
      <c r="P29" s="204"/>
      <c r="Q29" s="203">
        <v>1080</v>
      </c>
      <c r="R29" s="203">
        <v>1440</v>
      </c>
      <c r="S29" s="202">
        <v>1260</v>
      </c>
      <c r="T29" s="203">
        <v>1680</v>
      </c>
      <c r="U29" s="203">
        <v>1680</v>
      </c>
      <c r="V29" s="203">
        <v>1680</v>
      </c>
      <c r="W29" s="204"/>
      <c r="X29" s="203">
        <v>1680</v>
      </c>
      <c r="Y29" s="203">
        <v>1680</v>
      </c>
      <c r="Z29" s="202">
        <v>1680</v>
      </c>
      <c r="AA29" s="203">
        <v>1680</v>
      </c>
      <c r="AB29" s="203">
        <v>1680</v>
      </c>
      <c r="AC29" s="203">
        <v>1680</v>
      </c>
      <c r="AD29" s="204"/>
      <c r="AE29" s="203">
        <v>1680</v>
      </c>
      <c r="AF29" s="203">
        <v>1680</v>
      </c>
      <c r="AG29" s="208">
        <v>1680</v>
      </c>
      <c r="AH29" s="209">
        <v>1680</v>
      </c>
      <c r="AI29" s="209">
        <v>1680</v>
      </c>
      <c r="AJ29" s="8"/>
    </row>
    <row r="30" spans="1:36" ht="15">
      <c r="A30" s="365"/>
      <c r="B30" s="210" t="s">
        <v>141</v>
      </c>
      <c r="C30" s="211">
        <v>33944</v>
      </c>
      <c r="D30" s="211">
        <v>1616.3809523809523</v>
      </c>
      <c r="E30" s="212">
        <v>1776</v>
      </c>
      <c r="F30" s="213">
        <v>1572</v>
      </c>
      <c r="G30" s="213">
        <v>1644</v>
      </c>
      <c r="H30" s="213">
        <v>1812</v>
      </c>
      <c r="I30" s="214"/>
      <c r="J30" s="213">
        <v>1728</v>
      </c>
      <c r="K30" s="213">
        <v>1728</v>
      </c>
      <c r="L30" s="212">
        <v>1530</v>
      </c>
      <c r="M30" s="213">
        <v>1842</v>
      </c>
      <c r="N30" s="213">
        <v>1704</v>
      </c>
      <c r="O30" s="213">
        <v>1686</v>
      </c>
      <c r="P30" s="214"/>
      <c r="Q30" s="213">
        <v>1382</v>
      </c>
      <c r="R30" s="213">
        <v>1350</v>
      </c>
      <c r="S30" s="212">
        <v>990</v>
      </c>
      <c r="T30" s="213">
        <v>1506</v>
      </c>
      <c r="U30" s="213">
        <v>1554</v>
      </c>
      <c r="V30" s="213">
        <v>1716</v>
      </c>
      <c r="W30" s="214"/>
      <c r="X30" s="213">
        <v>1518</v>
      </c>
      <c r="Y30" s="213">
        <v>1722</v>
      </c>
      <c r="Z30" s="212">
        <v>1728</v>
      </c>
      <c r="AA30" s="213">
        <v>1728</v>
      </c>
      <c r="AB30" s="213">
        <v>1728</v>
      </c>
      <c r="AC30" s="215"/>
      <c r="AD30" s="214"/>
      <c r="AE30" s="215"/>
      <c r="AF30" s="215"/>
      <c r="AG30" s="216"/>
      <c r="AH30" s="217"/>
      <c r="AI30" s="217"/>
      <c r="AJ30" s="8"/>
    </row>
    <row r="31" spans="1:36" ht="15">
      <c r="A31" s="365"/>
      <c r="B31" s="210" t="s">
        <v>142</v>
      </c>
      <c r="C31" s="218">
        <v>-76</v>
      </c>
      <c r="D31" s="218">
        <v>-3.6190476190476191</v>
      </c>
      <c r="E31" s="212">
        <v>96</v>
      </c>
      <c r="F31" s="215">
        <v>-108</v>
      </c>
      <c r="G31" s="215">
        <v>-36</v>
      </c>
      <c r="H31" s="213">
        <v>132</v>
      </c>
      <c r="I31" s="214"/>
      <c r="J31" s="213">
        <v>48</v>
      </c>
      <c r="K31" s="213">
        <v>48</v>
      </c>
      <c r="L31" s="214">
        <v>-150</v>
      </c>
      <c r="M31" s="213">
        <v>162</v>
      </c>
      <c r="N31" s="213">
        <v>24</v>
      </c>
      <c r="O31" s="213">
        <v>6</v>
      </c>
      <c r="P31" s="214"/>
      <c r="Q31" s="213">
        <v>302</v>
      </c>
      <c r="R31" s="215">
        <v>-90</v>
      </c>
      <c r="S31" s="214">
        <v>-270</v>
      </c>
      <c r="T31" s="215">
        <v>-174</v>
      </c>
      <c r="U31" s="215">
        <v>-126</v>
      </c>
      <c r="V31" s="213">
        <v>36</v>
      </c>
      <c r="W31" s="214"/>
      <c r="X31" s="215">
        <v>-162</v>
      </c>
      <c r="Y31" s="213">
        <v>42</v>
      </c>
      <c r="Z31" s="212">
        <v>48</v>
      </c>
      <c r="AA31" s="213">
        <v>48</v>
      </c>
      <c r="AB31" s="213">
        <v>48</v>
      </c>
      <c r="AC31" s="215"/>
      <c r="AD31" s="214"/>
      <c r="AE31" s="215"/>
      <c r="AF31" s="215"/>
      <c r="AG31" s="216"/>
      <c r="AH31" s="217"/>
      <c r="AI31" s="217"/>
      <c r="AJ31" s="8"/>
    </row>
    <row r="32" spans="1:36" ht="15">
      <c r="A32" s="365"/>
      <c r="B32" s="210" t="s">
        <v>143</v>
      </c>
      <c r="C32" s="211">
        <v>168</v>
      </c>
      <c r="D32" s="211">
        <v>8</v>
      </c>
      <c r="E32" s="212">
        <v>8</v>
      </c>
      <c r="F32" s="213">
        <v>8</v>
      </c>
      <c r="G32" s="213">
        <v>8</v>
      </c>
      <c r="H32" s="213">
        <v>8</v>
      </c>
      <c r="I32" s="214"/>
      <c r="J32" s="213">
        <v>8</v>
      </c>
      <c r="K32" s="213">
        <v>8</v>
      </c>
      <c r="L32" s="212">
        <v>8</v>
      </c>
      <c r="M32" s="213">
        <v>8</v>
      </c>
      <c r="N32" s="213">
        <v>8</v>
      </c>
      <c r="O32" s="213">
        <v>8</v>
      </c>
      <c r="P32" s="214"/>
      <c r="Q32" s="213">
        <v>8</v>
      </c>
      <c r="R32" s="213">
        <v>8</v>
      </c>
      <c r="S32" s="212">
        <v>8</v>
      </c>
      <c r="T32" s="213">
        <v>8</v>
      </c>
      <c r="U32" s="213">
        <v>8</v>
      </c>
      <c r="V32" s="213">
        <v>8</v>
      </c>
      <c r="W32" s="214"/>
      <c r="X32" s="213">
        <v>8</v>
      </c>
      <c r="Y32" s="213">
        <v>8</v>
      </c>
      <c r="Z32" s="212">
        <v>8</v>
      </c>
      <c r="AA32" s="213">
        <v>8</v>
      </c>
      <c r="AB32" s="213">
        <v>8</v>
      </c>
      <c r="AC32" s="215"/>
      <c r="AD32" s="214"/>
      <c r="AE32" s="215"/>
      <c r="AF32" s="215"/>
      <c r="AG32" s="216"/>
      <c r="AH32" s="217"/>
      <c r="AI32" s="217"/>
      <c r="AJ32" s="8"/>
    </row>
    <row r="33" spans="1:36" ht="15">
      <c r="A33" s="365"/>
      <c r="B33" s="210" t="s">
        <v>144</v>
      </c>
      <c r="C33" s="211">
        <v>86</v>
      </c>
      <c r="D33" s="211">
        <v>86</v>
      </c>
      <c r="E33" s="212">
        <v>91</v>
      </c>
      <c r="F33" s="213">
        <v>92</v>
      </c>
      <c r="G33" s="213">
        <v>86</v>
      </c>
      <c r="H33" s="213">
        <v>87</v>
      </c>
      <c r="I33" s="214"/>
      <c r="J33" s="213">
        <v>88</v>
      </c>
      <c r="K33" s="213">
        <v>88</v>
      </c>
      <c r="L33" s="212">
        <v>89</v>
      </c>
      <c r="M33" s="213">
        <v>86</v>
      </c>
      <c r="N33" s="213">
        <v>88</v>
      </c>
      <c r="O33" s="213">
        <v>86</v>
      </c>
      <c r="P33" s="214"/>
      <c r="Q33" s="213">
        <v>85</v>
      </c>
      <c r="R33" s="213">
        <v>88</v>
      </c>
      <c r="S33" s="212">
        <v>85</v>
      </c>
      <c r="T33" s="213">
        <v>88</v>
      </c>
      <c r="U33" s="213">
        <v>86</v>
      </c>
      <c r="V33" s="213">
        <v>85</v>
      </c>
      <c r="W33" s="214"/>
      <c r="X33" s="213">
        <v>88</v>
      </c>
      <c r="Y33" s="213">
        <v>86</v>
      </c>
      <c r="Z33" s="212">
        <v>84</v>
      </c>
      <c r="AA33" s="213">
        <v>84</v>
      </c>
      <c r="AB33" s="213">
        <v>83</v>
      </c>
      <c r="AC33" s="215"/>
      <c r="AD33" s="214"/>
      <c r="AE33" s="215"/>
      <c r="AF33" s="215"/>
      <c r="AG33" s="216"/>
      <c r="AH33" s="217"/>
      <c r="AI33" s="217"/>
      <c r="AJ33" s="8"/>
    </row>
    <row r="34" spans="1:36" ht="15">
      <c r="A34" s="365"/>
      <c r="B34" s="210" t="s">
        <v>145</v>
      </c>
      <c r="C34" s="211">
        <v>202.04761904761904</v>
      </c>
      <c r="D34" s="211">
        <v>202.04761904761904</v>
      </c>
      <c r="E34" s="212">
        <v>222</v>
      </c>
      <c r="F34" s="213">
        <v>196.5</v>
      </c>
      <c r="G34" s="213">
        <v>205.5</v>
      </c>
      <c r="H34" s="213">
        <v>226.5</v>
      </c>
      <c r="I34" s="214"/>
      <c r="J34" s="213">
        <v>216</v>
      </c>
      <c r="K34" s="213">
        <v>216</v>
      </c>
      <c r="L34" s="212">
        <v>191.25</v>
      </c>
      <c r="M34" s="213">
        <v>230.25</v>
      </c>
      <c r="N34" s="213">
        <v>213</v>
      </c>
      <c r="O34" s="213">
        <v>210.75</v>
      </c>
      <c r="P34" s="214"/>
      <c r="Q34" s="213">
        <v>172.75</v>
      </c>
      <c r="R34" s="213">
        <v>168.75</v>
      </c>
      <c r="S34" s="212">
        <v>123.75</v>
      </c>
      <c r="T34" s="213">
        <v>188.25</v>
      </c>
      <c r="U34" s="213">
        <v>194.25</v>
      </c>
      <c r="V34" s="213">
        <v>214.5</v>
      </c>
      <c r="W34" s="214"/>
      <c r="X34" s="213">
        <v>189.75</v>
      </c>
      <c r="Y34" s="213">
        <v>215.25</v>
      </c>
      <c r="Z34" s="212">
        <v>216</v>
      </c>
      <c r="AA34" s="213">
        <v>216</v>
      </c>
      <c r="AB34" s="213">
        <v>216</v>
      </c>
      <c r="AC34" s="215"/>
      <c r="AD34" s="214"/>
      <c r="AE34" s="215"/>
      <c r="AF34" s="215"/>
      <c r="AG34" s="216"/>
      <c r="AH34" s="217"/>
      <c r="AI34" s="217"/>
      <c r="AJ34" s="8"/>
    </row>
    <row r="35" spans="1:36" ht="15">
      <c r="A35" s="366"/>
      <c r="B35" s="219" t="s">
        <v>146</v>
      </c>
      <c r="C35" s="220">
        <v>2.3494000000000002</v>
      </c>
      <c r="D35" s="220">
        <v>2.3494000000000002</v>
      </c>
      <c r="E35" s="221">
        <v>2.4396</v>
      </c>
      <c r="F35" s="220">
        <v>2.1358999999999999</v>
      </c>
      <c r="G35" s="220">
        <v>2.3895</v>
      </c>
      <c r="H35" s="220">
        <v>2.6034000000000002</v>
      </c>
      <c r="I35" s="222"/>
      <c r="J35" s="220">
        <v>2.4544999999999999</v>
      </c>
      <c r="K35" s="220">
        <v>2.4544999999999999</v>
      </c>
      <c r="L35" s="221">
        <v>2.1488999999999998</v>
      </c>
      <c r="M35" s="220">
        <v>2.6772999999999998</v>
      </c>
      <c r="N35" s="220">
        <v>2.4205000000000001</v>
      </c>
      <c r="O35" s="220">
        <v>2.4506000000000001</v>
      </c>
      <c r="P35" s="222"/>
      <c r="Q35" s="220">
        <v>2.0324</v>
      </c>
      <c r="R35" s="220">
        <v>1.9176</v>
      </c>
      <c r="S35" s="221">
        <v>1.4559</v>
      </c>
      <c r="T35" s="220">
        <v>2.1391999999999998</v>
      </c>
      <c r="U35" s="220">
        <v>2.2587000000000002</v>
      </c>
      <c r="V35" s="220">
        <v>2.5234999999999999</v>
      </c>
      <c r="W35" s="222"/>
      <c r="X35" s="220">
        <v>2.1562999999999999</v>
      </c>
      <c r="Y35" s="220">
        <v>2.5028999999999999</v>
      </c>
      <c r="Z35" s="221">
        <v>2.5714000000000001</v>
      </c>
      <c r="AA35" s="220">
        <v>2.5714000000000001</v>
      </c>
      <c r="AB35" s="220">
        <v>2.6024000000000003</v>
      </c>
      <c r="AC35" s="223"/>
      <c r="AD35" s="222"/>
      <c r="AE35" s="223"/>
      <c r="AF35" s="223"/>
      <c r="AG35" s="224"/>
      <c r="AH35" s="225"/>
      <c r="AI35" s="225"/>
      <c r="AJ35" s="8"/>
    </row>
    <row r="36" spans="1:36" ht="15">
      <c r="A36" s="364" t="s">
        <v>150</v>
      </c>
      <c r="B36" s="200" t="s">
        <v>139</v>
      </c>
      <c r="C36" s="201">
        <v>28056</v>
      </c>
      <c r="D36" s="201">
        <v>1336</v>
      </c>
      <c r="E36" s="202">
        <v>1760</v>
      </c>
      <c r="F36" s="203">
        <v>1640</v>
      </c>
      <c r="G36" s="203">
        <v>1376</v>
      </c>
      <c r="H36" s="203">
        <v>1280</v>
      </c>
      <c r="I36" s="204"/>
      <c r="J36" s="203">
        <v>1280</v>
      </c>
      <c r="K36" s="203">
        <v>1520</v>
      </c>
      <c r="L36" s="202">
        <v>1280</v>
      </c>
      <c r="M36" s="203">
        <v>1280</v>
      </c>
      <c r="N36" s="203">
        <v>1280</v>
      </c>
      <c r="O36" s="203">
        <v>1280</v>
      </c>
      <c r="P36" s="204"/>
      <c r="Q36" s="203">
        <v>1280</v>
      </c>
      <c r="R36" s="203">
        <v>1280</v>
      </c>
      <c r="S36" s="202">
        <v>1280</v>
      </c>
      <c r="T36" s="203">
        <v>1280</v>
      </c>
      <c r="U36" s="203">
        <v>1280</v>
      </c>
      <c r="V36" s="203">
        <v>1280</v>
      </c>
      <c r="W36" s="204"/>
      <c r="X36" s="203">
        <v>1280</v>
      </c>
      <c r="Y36" s="203">
        <v>1280</v>
      </c>
      <c r="Z36" s="202">
        <v>1280</v>
      </c>
      <c r="AA36" s="203">
        <v>1280</v>
      </c>
      <c r="AB36" s="203">
        <v>1280</v>
      </c>
      <c r="AC36" s="205"/>
      <c r="AD36" s="204"/>
      <c r="AE36" s="205"/>
      <c r="AF36" s="205"/>
      <c r="AG36" s="206"/>
      <c r="AH36" s="207"/>
      <c r="AI36" s="207"/>
      <c r="AJ36" s="8"/>
    </row>
    <row r="37" spans="1:36" ht="15">
      <c r="A37" s="365"/>
      <c r="B37" s="200" t="s">
        <v>140</v>
      </c>
      <c r="C37" s="201">
        <v>25860</v>
      </c>
      <c r="D37" s="201">
        <v>1231.4285714285713</v>
      </c>
      <c r="E37" s="202">
        <v>1680</v>
      </c>
      <c r="F37" s="203">
        <v>930</v>
      </c>
      <c r="G37" s="203">
        <v>930</v>
      </c>
      <c r="H37" s="203">
        <v>1240</v>
      </c>
      <c r="I37" s="204"/>
      <c r="J37" s="203">
        <v>1240</v>
      </c>
      <c r="K37" s="203">
        <v>1240</v>
      </c>
      <c r="L37" s="202">
        <v>1240</v>
      </c>
      <c r="M37" s="203">
        <v>1240</v>
      </c>
      <c r="N37" s="203">
        <v>1240</v>
      </c>
      <c r="O37" s="203">
        <v>1240</v>
      </c>
      <c r="P37" s="204"/>
      <c r="Q37" s="203">
        <v>1240</v>
      </c>
      <c r="R37" s="203">
        <v>1240</v>
      </c>
      <c r="S37" s="202">
        <v>1240</v>
      </c>
      <c r="T37" s="203">
        <v>1240</v>
      </c>
      <c r="U37" s="203">
        <v>1240</v>
      </c>
      <c r="V37" s="203">
        <v>1240</v>
      </c>
      <c r="W37" s="204"/>
      <c r="X37" s="203">
        <v>1240</v>
      </c>
      <c r="Y37" s="203">
        <v>1240</v>
      </c>
      <c r="Z37" s="202">
        <v>1240</v>
      </c>
      <c r="AA37" s="203">
        <v>1240</v>
      </c>
      <c r="AB37" s="203">
        <v>1240</v>
      </c>
      <c r="AC37" s="203">
        <v>1240</v>
      </c>
      <c r="AD37" s="204"/>
      <c r="AE37" s="203">
        <v>1240</v>
      </c>
      <c r="AF37" s="203">
        <v>1240</v>
      </c>
      <c r="AG37" s="208">
        <v>1240</v>
      </c>
      <c r="AH37" s="209">
        <v>1240</v>
      </c>
      <c r="AI37" s="209">
        <v>1240</v>
      </c>
      <c r="AJ37" s="8"/>
    </row>
    <row r="38" spans="1:36" ht="15">
      <c r="A38" s="365"/>
      <c r="B38" s="210" t="s">
        <v>141</v>
      </c>
      <c r="C38" s="211">
        <v>26359</v>
      </c>
      <c r="D38" s="211">
        <v>1255.1904761904761</v>
      </c>
      <c r="E38" s="212">
        <v>1656</v>
      </c>
      <c r="F38" s="213">
        <v>1059</v>
      </c>
      <c r="G38" s="213">
        <v>1059</v>
      </c>
      <c r="H38" s="213">
        <v>1061</v>
      </c>
      <c r="I38" s="214"/>
      <c r="J38" s="213">
        <v>1130</v>
      </c>
      <c r="K38" s="213">
        <v>1292</v>
      </c>
      <c r="L38" s="212">
        <v>1272</v>
      </c>
      <c r="M38" s="213">
        <v>960</v>
      </c>
      <c r="N38" s="213">
        <v>1092</v>
      </c>
      <c r="O38" s="213">
        <v>1260</v>
      </c>
      <c r="P38" s="214"/>
      <c r="Q38" s="213">
        <v>1176</v>
      </c>
      <c r="R38" s="213">
        <v>1245</v>
      </c>
      <c r="S38" s="212">
        <v>909</v>
      </c>
      <c r="T38" s="213">
        <v>1302</v>
      </c>
      <c r="U38" s="213">
        <v>1410</v>
      </c>
      <c r="V38" s="213">
        <v>1542</v>
      </c>
      <c r="W38" s="214"/>
      <c r="X38" s="213">
        <v>1212</v>
      </c>
      <c r="Y38" s="213">
        <v>1260</v>
      </c>
      <c r="Z38" s="212">
        <v>1474</v>
      </c>
      <c r="AA38" s="213">
        <v>1344</v>
      </c>
      <c r="AB38" s="213">
        <v>1644</v>
      </c>
      <c r="AC38" s="215"/>
      <c r="AD38" s="214"/>
      <c r="AE38" s="215"/>
      <c r="AF38" s="215"/>
      <c r="AG38" s="216"/>
      <c r="AH38" s="217"/>
      <c r="AI38" s="217"/>
      <c r="AJ38" s="8"/>
    </row>
    <row r="39" spans="1:36" ht="15">
      <c r="A39" s="365"/>
      <c r="B39" s="210" t="s">
        <v>142</v>
      </c>
      <c r="C39" s="211">
        <v>499</v>
      </c>
      <c r="D39" s="211">
        <v>23.761904761904763</v>
      </c>
      <c r="E39" s="214">
        <v>-24</v>
      </c>
      <c r="F39" s="213">
        <v>129</v>
      </c>
      <c r="G39" s="213">
        <v>129</v>
      </c>
      <c r="H39" s="215">
        <v>-179</v>
      </c>
      <c r="I39" s="214"/>
      <c r="J39" s="215">
        <v>-110</v>
      </c>
      <c r="K39" s="213">
        <v>52</v>
      </c>
      <c r="L39" s="212">
        <v>32</v>
      </c>
      <c r="M39" s="215">
        <v>-280</v>
      </c>
      <c r="N39" s="215">
        <v>-148</v>
      </c>
      <c r="O39" s="213">
        <v>20</v>
      </c>
      <c r="P39" s="214"/>
      <c r="Q39" s="215">
        <v>-64</v>
      </c>
      <c r="R39" s="213">
        <v>5</v>
      </c>
      <c r="S39" s="214">
        <v>-331</v>
      </c>
      <c r="T39" s="213">
        <v>62</v>
      </c>
      <c r="U39" s="213">
        <v>170</v>
      </c>
      <c r="V39" s="213">
        <v>302</v>
      </c>
      <c r="W39" s="214"/>
      <c r="X39" s="215">
        <v>-28</v>
      </c>
      <c r="Y39" s="213">
        <v>20</v>
      </c>
      <c r="Z39" s="212">
        <v>234</v>
      </c>
      <c r="AA39" s="213">
        <v>104</v>
      </c>
      <c r="AB39" s="213">
        <v>404</v>
      </c>
      <c r="AC39" s="215"/>
      <c r="AD39" s="214"/>
      <c r="AE39" s="215"/>
      <c r="AF39" s="215"/>
      <c r="AG39" s="216"/>
      <c r="AH39" s="217"/>
      <c r="AI39" s="217"/>
      <c r="AJ39" s="8"/>
    </row>
    <row r="40" spans="1:36" ht="15">
      <c r="A40" s="365"/>
      <c r="B40" s="210" t="s">
        <v>143</v>
      </c>
      <c r="C40" s="211">
        <v>168</v>
      </c>
      <c r="D40" s="211">
        <v>8</v>
      </c>
      <c r="E40" s="212">
        <v>8</v>
      </c>
      <c r="F40" s="213">
        <v>8</v>
      </c>
      <c r="G40" s="213">
        <v>8</v>
      </c>
      <c r="H40" s="213">
        <v>8</v>
      </c>
      <c r="I40" s="214"/>
      <c r="J40" s="213">
        <v>8</v>
      </c>
      <c r="K40" s="213">
        <v>8</v>
      </c>
      <c r="L40" s="212">
        <v>8</v>
      </c>
      <c r="M40" s="213">
        <v>8</v>
      </c>
      <c r="N40" s="213">
        <v>8</v>
      </c>
      <c r="O40" s="213">
        <v>8</v>
      </c>
      <c r="P40" s="214"/>
      <c r="Q40" s="213">
        <v>8</v>
      </c>
      <c r="R40" s="213">
        <v>8</v>
      </c>
      <c r="S40" s="212">
        <v>8</v>
      </c>
      <c r="T40" s="213">
        <v>8</v>
      </c>
      <c r="U40" s="213">
        <v>8</v>
      </c>
      <c r="V40" s="213">
        <v>8</v>
      </c>
      <c r="W40" s="214"/>
      <c r="X40" s="213">
        <v>8</v>
      </c>
      <c r="Y40" s="213">
        <v>8</v>
      </c>
      <c r="Z40" s="212">
        <v>8</v>
      </c>
      <c r="AA40" s="213">
        <v>8</v>
      </c>
      <c r="AB40" s="213">
        <v>8</v>
      </c>
      <c r="AC40" s="215"/>
      <c r="AD40" s="214"/>
      <c r="AE40" s="215"/>
      <c r="AF40" s="215"/>
      <c r="AG40" s="216"/>
      <c r="AH40" s="217"/>
      <c r="AI40" s="217"/>
      <c r="AJ40" s="8"/>
    </row>
    <row r="41" spans="1:36" ht="15">
      <c r="A41" s="365"/>
      <c r="B41" s="210" t="s">
        <v>144</v>
      </c>
      <c r="C41" s="211">
        <v>86</v>
      </c>
      <c r="D41" s="211">
        <v>86</v>
      </c>
      <c r="E41" s="212">
        <v>87</v>
      </c>
      <c r="F41" s="213">
        <v>86</v>
      </c>
      <c r="G41" s="213">
        <v>85</v>
      </c>
      <c r="H41" s="213">
        <v>84</v>
      </c>
      <c r="I41" s="214"/>
      <c r="J41" s="213">
        <v>85</v>
      </c>
      <c r="K41" s="213">
        <v>86</v>
      </c>
      <c r="L41" s="212">
        <v>87</v>
      </c>
      <c r="M41" s="213">
        <v>86</v>
      </c>
      <c r="N41" s="213">
        <v>90</v>
      </c>
      <c r="O41" s="213">
        <v>87</v>
      </c>
      <c r="P41" s="214"/>
      <c r="Q41" s="213">
        <v>85</v>
      </c>
      <c r="R41" s="213">
        <v>88</v>
      </c>
      <c r="S41" s="212">
        <v>86</v>
      </c>
      <c r="T41" s="213">
        <v>87</v>
      </c>
      <c r="U41" s="213">
        <v>86</v>
      </c>
      <c r="V41" s="213">
        <v>86</v>
      </c>
      <c r="W41" s="214"/>
      <c r="X41" s="213">
        <v>86</v>
      </c>
      <c r="Y41" s="213">
        <v>88</v>
      </c>
      <c r="Z41" s="212">
        <v>89</v>
      </c>
      <c r="AA41" s="213">
        <v>86</v>
      </c>
      <c r="AB41" s="213">
        <v>86</v>
      </c>
      <c r="AC41" s="215"/>
      <c r="AD41" s="214"/>
      <c r="AE41" s="215"/>
      <c r="AF41" s="215"/>
      <c r="AG41" s="216"/>
      <c r="AH41" s="217"/>
      <c r="AI41" s="217"/>
      <c r="AJ41" s="8"/>
    </row>
    <row r="42" spans="1:36" ht="15">
      <c r="A42" s="365"/>
      <c r="B42" s="210" t="s">
        <v>145</v>
      </c>
      <c r="C42" s="211">
        <v>156.89880952380952</v>
      </c>
      <c r="D42" s="211">
        <v>156.89880952380952</v>
      </c>
      <c r="E42" s="212">
        <v>207</v>
      </c>
      <c r="F42" s="213">
        <v>132.375</v>
      </c>
      <c r="G42" s="213">
        <v>132.375</v>
      </c>
      <c r="H42" s="213">
        <v>132.625</v>
      </c>
      <c r="I42" s="214"/>
      <c r="J42" s="213">
        <v>141.25</v>
      </c>
      <c r="K42" s="213">
        <v>161.5</v>
      </c>
      <c r="L42" s="212">
        <v>159</v>
      </c>
      <c r="M42" s="213">
        <v>120</v>
      </c>
      <c r="N42" s="213">
        <v>136.5</v>
      </c>
      <c r="O42" s="213">
        <v>157.5</v>
      </c>
      <c r="P42" s="214"/>
      <c r="Q42" s="213">
        <v>147</v>
      </c>
      <c r="R42" s="213">
        <v>155.625</v>
      </c>
      <c r="S42" s="212">
        <v>113.625</v>
      </c>
      <c r="T42" s="213">
        <v>162.75</v>
      </c>
      <c r="U42" s="213">
        <v>176.25</v>
      </c>
      <c r="V42" s="213">
        <v>192.75</v>
      </c>
      <c r="W42" s="214"/>
      <c r="X42" s="213">
        <v>151.5</v>
      </c>
      <c r="Y42" s="213">
        <v>157.5</v>
      </c>
      <c r="Z42" s="212">
        <v>184.25</v>
      </c>
      <c r="AA42" s="213">
        <v>168</v>
      </c>
      <c r="AB42" s="213">
        <v>205.5</v>
      </c>
      <c r="AC42" s="215"/>
      <c r="AD42" s="214"/>
      <c r="AE42" s="215"/>
      <c r="AF42" s="215"/>
      <c r="AG42" s="216"/>
      <c r="AH42" s="217"/>
      <c r="AI42" s="217"/>
      <c r="AJ42" s="8"/>
    </row>
    <row r="43" spans="1:36" ht="15">
      <c r="A43" s="366"/>
      <c r="B43" s="219" t="s">
        <v>146</v>
      </c>
      <c r="C43" s="220">
        <v>1.8244</v>
      </c>
      <c r="D43" s="220">
        <v>1.8244</v>
      </c>
      <c r="E43" s="221">
        <v>2.3793000000000002</v>
      </c>
      <c r="F43" s="220">
        <v>1.5392000000000001</v>
      </c>
      <c r="G43" s="220">
        <v>1.5573999999999999</v>
      </c>
      <c r="H43" s="220">
        <v>1.5789</v>
      </c>
      <c r="I43" s="222"/>
      <c r="J43" s="220">
        <v>1.6617999999999999</v>
      </c>
      <c r="K43" s="220">
        <v>1.8778999999999999</v>
      </c>
      <c r="L43" s="221">
        <v>1.8275999999999999</v>
      </c>
      <c r="M43" s="220">
        <v>1.3953</v>
      </c>
      <c r="N43" s="220">
        <v>1.5167000000000002</v>
      </c>
      <c r="O43" s="220">
        <v>1.8103</v>
      </c>
      <c r="P43" s="222"/>
      <c r="Q43" s="220">
        <v>1.7294</v>
      </c>
      <c r="R43" s="220">
        <v>1.7685</v>
      </c>
      <c r="S43" s="221">
        <v>1.3211999999999999</v>
      </c>
      <c r="T43" s="220">
        <v>1.8707</v>
      </c>
      <c r="U43" s="220">
        <v>2.0493999999999999</v>
      </c>
      <c r="V43" s="220">
        <v>2.2412999999999998</v>
      </c>
      <c r="W43" s="222"/>
      <c r="X43" s="220">
        <v>1.7616000000000001</v>
      </c>
      <c r="Y43" s="220">
        <v>1.7898000000000001</v>
      </c>
      <c r="Z43" s="221">
        <v>2.0701999999999998</v>
      </c>
      <c r="AA43" s="220">
        <v>1.9535</v>
      </c>
      <c r="AB43" s="220">
        <v>2.3895</v>
      </c>
      <c r="AC43" s="223"/>
      <c r="AD43" s="222"/>
      <c r="AE43" s="223"/>
      <c r="AF43" s="223"/>
      <c r="AG43" s="224"/>
      <c r="AH43" s="225"/>
      <c r="AI43" s="225"/>
      <c r="AJ43" s="8"/>
    </row>
    <row r="44" spans="1:36" ht="15">
      <c r="A44" s="364" t="s">
        <v>151</v>
      </c>
      <c r="B44" s="200" t="s">
        <v>139</v>
      </c>
      <c r="C44" s="201">
        <v>36960</v>
      </c>
      <c r="D44" s="201">
        <v>1760</v>
      </c>
      <c r="E44" s="202">
        <v>1760</v>
      </c>
      <c r="F44" s="203">
        <v>1760</v>
      </c>
      <c r="G44" s="203">
        <v>1760</v>
      </c>
      <c r="H44" s="203">
        <v>1760</v>
      </c>
      <c r="I44" s="204"/>
      <c r="J44" s="203">
        <v>1760</v>
      </c>
      <c r="K44" s="203">
        <v>1760</v>
      </c>
      <c r="L44" s="202">
        <v>1760</v>
      </c>
      <c r="M44" s="203">
        <v>1760</v>
      </c>
      <c r="N44" s="203">
        <v>1760</v>
      </c>
      <c r="O44" s="203">
        <v>1760</v>
      </c>
      <c r="P44" s="204"/>
      <c r="Q44" s="203">
        <v>1760</v>
      </c>
      <c r="R44" s="203">
        <v>1760</v>
      </c>
      <c r="S44" s="202">
        <v>1760</v>
      </c>
      <c r="T44" s="203">
        <v>1760</v>
      </c>
      <c r="U44" s="203">
        <v>1760</v>
      </c>
      <c r="V44" s="203">
        <v>1760</v>
      </c>
      <c r="W44" s="204"/>
      <c r="X44" s="203">
        <v>1760</v>
      </c>
      <c r="Y44" s="203">
        <v>1760</v>
      </c>
      <c r="Z44" s="202">
        <v>1760</v>
      </c>
      <c r="AA44" s="203">
        <v>1760</v>
      </c>
      <c r="AB44" s="203">
        <v>1760</v>
      </c>
      <c r="AC44" s="205"/>
      <c r="AD44" s="204"/>
      <c r="AE44" s="205"/>
      <c r="AF44" s="205"/>
      <c r="AG44" s="206"/>
      <c r="AH44" s="207"/>
      <c r="AI44" s="207"/>
      <c r="AJ44" s="8"/>
    </row>
    <row r="45" spans="1:36" ht="15">
      <c r="A45" s="365"/>
      <c r="B45" s="200" t="s">
        <v>140</v>
      </c>
      <c r="C45" s="201">
        <v>35280</v>
      </c>
      <c r="D45" s="201">
        <v>1680</v>
      </c>
      <c r="E45" s="202">
        <v>1680</v>
      </c>
      <c r="F45" s="203">
        <v>1680</v>
      </c>
      <c r="G45" s="203">
        <v>1680</v>
      </c>
      <c r="H45" s="203">
        <v>1680</v>
      </c>
      <c r="I45" s="204"/>
      <c r="J45" s="203">
        <v>1680</v>
      </c>
      <c r="K45" s="203">
        <v>1680</v>
      </c>
      <c r="L45" s="202">
        <v>1680</v>
      </c>
      <c r="M45" s="203">
        <v>1680</v>
      </c>
      <c r="N45" s="203">
        <v>1680</v>
      </c>
      <c r="O45" s="203">
        <v>1680</v>
      </c>
      <c r="P45" s="204"/>
      <c r="Q45" s="203">
        <v>1680</v>
      </c>
      <c r="R45" s="203">
        <v>1680</v>
      </c>
      <c r="S45" s="202">
        <v>1680</v>
      </c>
      <c r="T45" s="203">
        <v>1680</v>
      </c>
      <c r="U45" s="203">
        <v>1680</v>
      </c>
      <c r="V45" s="203">
        <v>1680</v>
      </c>
      <c r="W45" s="204"/>
      <c r="X45" s="203">
        <v>1680</v>
      </c>
      <c r="Y45" s="203">
        <v>1680</v>
      </c>
      <c r="Z45" s="202">
        <v>1680</v>
      </c>
      <c r="AA45" s="203">
        <v>1680</v>
      </c>
      <c r="AB45" s="203">
        <v>1680</v>
      </c>
      <c r="AC45" s="203">
        <v>1680</v>
      </c>
      <c r="AD45" s="204"/>
      <c r="AE45" s="203">
        <v>1680</v>
      </c>
      <c r="AF45" s="203">
        <v>1680</v>
      </c>
      <c r="AG45" s="208">
        <v>1680</v>
      </c>
      <c r="AH45" s="209">
        <v>1680</v>
      </c>
      <c r="AI45" s="209">
        <v>1680</v>
      </c>
      <c r="AJ45" s="8"/>
    </row>
    <row r="46" spans="1:36" ht="15">
      <c r="A46" s="365"/>
      <c r="B46" s="210" t="s">
        <v>141</v>
      </c>
      <c r="C46" s="211">
        <v>34266</v>
      </c>
      <c r="D46" s="211">
        <v>1631.7142857142858</v>
      </c>
      <c r="E46" s="212">
        <v>1548</v>
      </c>
      <c r="F46" s="213">
        <v>1506</v>
      </c>
      <c r="G46" s="213">
        <v>1728</v>
      </c>
      <c r="H46" s="213">
        <v>1614</v>
      </c>
      <c r="I46" s="214"/>
      <c r="J46" s="213">
        <v>1626</v>
      </c>
      <c r="K46" s="213">
        <v>1728</v>
      </c>
      <c r="L46" s="212">
        <v>1740</v>
      </c>
      <c r="M46" s="213">
        <v>1632</v>
      </c>
      <c r="N46" s="213">
        <v>1596</v>
      </c>
      <c r="O46" s="213">
        <v>1548</v>
      </c>
      <c r="P46" s="214"/>
      <c r="Q46" s="213">
        <v>1332</v>
      </c>
      <c r="R46" s="213">
        <v>1392</v>
      </c>
      <c r="S46" s="212">
        <v>1596</v>
      </c>
      <c r="T46" s="213">
        <v>1512</v>
      </c>
      <c r="U46" s="213">
        <v>1728</v>
      </c>
      <c r="V46" s="213">
        <v>1728</v>
      </c>
      <c r="W46" s="214"/>
      <c r="X46" s="213">
        <v>1728</v>
      </c>
      <c r="Y46" s="213">
        <v>1692</v>
      </c>
      <c r="Z46" s="212">
        <v>1548</v>
      </c>
      <c r="AA46" s="213">
        <v>1944</v>
      </c>
      <c r="AB46" s="213">
        <v>1800</v>
      </c>
      <c r="AC46" s="215"/>
      <c r="AD46" s="214"/>
      <c r="AE46" s="215"/>
      <c r="AF46" s="215"/>
      <c r="AG46" s="216"/>
      <c r="AH46" s="217"/>
      <c r="AI46" s="217"/>
      <c r="AJ46" s="8"/>
    </row>
    <row r="47" spans="1:36" ht="15">
      <c r="A47" s="365"/>
      <c r="B47" s="210" t="s">
        <v>142</v>
      </c>
      <c r="C47" s="218">
        <v>-1014</v>
      </c>
      <c r="D47" s="218">
        <v>-48.285714285714285</v>
      </c>
      <c r="E47" s="214">
        <v>-132</v>
      </c>
      <c r="F47" s="215">
        <v>-174</v>
      </c>
      <c r="G47" s="213">
        <v>48</v>
      </c>
      <c r="H47" s="215">
        <v>-66</v>
      </c>
      <c r="I47" s="214"/>
      <c r="J47" s="215">
        <v>-54</v>
      </c>
      <c r="K47" s="213">
        <v>48</v>
      </c>
      <c r="L47" s="212">
        <v>60</v>
      </c>
      <c r="M47" s="215">
        <v>-48</v>
      </c>
      <c r="N47" s="215">
        <v>-84</v>
      </c>
      <c r="O47" s="215">
        <v>-132</v>
      </c>
      <c r="P47" s="214"/>
      <c r="Q47" s="215">
        <v>-348</v>
      </c>
      <c r="R47" s="215">
        <v>-288</v>
      </c>
      <c r="S47" s="214">
        <v>-84</v>
      </c>
      <c r="T47" s="215">
        <v>-168</v>
      </c>
      <c r="U47" s="213">
        <v>48</v>
      </c>
      <c r="V47" s="213">
        <v>48</v>
      </c>
      <c r="W47" s="214"/>
      <c r="X47" s="213">
        <v>48</v>
      </c>
      <c r="Y47" s="213">
        <v>12</v>
      </c>
      <c r="Z47" s="214">
        <v>-132</v>
      </c>
      <c r="AA47" s="213">
        <v>264</v>
      </c>
      <c r="AB47" s="213">
        <v>120</v>
      </c>
      <c r="AC47" s="215"/>
      <c r="AD47" s="214"/>
      <c r="AE47" s="215"/>
      <c r="AF47" s="215"/>
      <c r="AG47" s="216"/>
      <c r="AH47" s="217"/>
      <c r="AI47" s="217"/>
      <c r="AJ47" s="8"/>
    </row>
    <row r="48" spans="1:36" ht="15">
      <c r="A48" s="365"/>
      <c r="B48" s="210" t="s">
        <v>143</v>
      </c>
      <c r="C48" s="211">
        <v>168</v>
      </c>
      <c r="D48" s="211">
        <v>8</v>
      </c>
      <c r="E48" s="212">
        <v>8</v>
      </c>
      <c r="F48" s="213">
        <v>8</v>
      </c>
      <c r="G48" s="213">
        <v>8</v>
      </c>
      <c r="H48" s="213">
        <v>8</v>
      </c>
      <c r="I48" s="214"/>
      <c r="J48" s="213">
        <v>8</v>
      </c>
      <c r="K48" s="213">
        <v>8</v>
      </c>
      <c r="L48" s="212">
        <v>8</v>
      </c>
      <c r="M48" s="213">
        <v>8</v>
      </c>
      <c r="N48" s="213">
        <v>8</v>
      </c>
      <c r="O48" s="213">
        <v>8</v>
      </c>
      <c r="P48" s="214"/>
      <c r="Q48" s="213">
        <v>8</v>
      </c>
      <c r="R48" s="213">
        <v>8</v>
      </c>
      <c r="S48" s="212">
        <v>8</v>
      </c>
      <c r="T48" s="213">
        <v>8</v>
      </c>
      <c r="U48" s="213">
        <v>8</v>
      </c>
      <c r="V48" s="213">
        <v>8</v>
      </c>
      <c r="W48" s="214"/>
      <c r="X48" s="213">
        <v>8</v>
      </c>
      <c r="Y48" s="213">
        <v>8</v>
      </c>
      <c r="Z48" s="212">
        <v>8</v>
      </c>
      <c r="AA48" s="213">
        <v>8</v>
      </c>
      <c r="AB48" s="213">
        <v>8</v>
      </c>
      <c r="AC48" s="215"/>
      <c r="AD48" s="214"/>
      <c r="AE48" s="215"/>
      <c r="AF48" s="215"/>
      <c r="AG48" s="216"/>
      <c r="AH48" s="217"/>
      <c r="AI48" s="217"/>
      <c r="AJ48" s="8"/>
    </row>
    <row r="49" spans="1:36" ht="15">
      <c r="A49" s="365"/>
      <c r="B49" s="210" t="s">
        <v>144</v>
      </c>
      <c r="C49" s="211">
        <v>73</v>
      </c>
      <c r="D49" s="211">
        <v>73</v>
      </c>
      <c r="E49" s="212">
        <v>75</v>
      </c>
      <c r="F49" s="213">
        <v>74</v>
      </c>
      <c r="G49" s="213">
        <v>74</v>
      </c>
      <c r="H49" s="213">
        <v>74</v>
      </c>
      <c r="I49" s="214"/>
      <c r="J49" s="213">
        <v>71</v>
      </c>
      <c r="K49" s="213">
        <v>72</v>
      </c>
      <c r="L49" s="212">
        <v>70</v>
      </c>
      <c r="M49" s="213">
        <v>74</v>
      </c>
      <c r="N49" s="213">
        <v>74</v>
      </c>
      <c r="O49" s="213">
        <v>73</v>
      </c>
      <c r="P49" s="214"/>
      <c r="Q49" s="213">
        <v>76</v>
      </c>
      <c r="R49" s="213">
        <v>76</v>
      </c>
      <c r="S49" s="212">
        <v>77</v>
      </c>
      <c r="T49" s="213">
        <v>74</v>
      </c>
      <c r="U49" s="213">
        <v>74</v>
      </c>
      <c r="V49" s="213">
        <v>69</v>
      </c>
      <c r="W49" s="214"/>
      <c r="X49" s="213">
        <v>75</v>
      </c>
      <c r="Y49" s="213">
        <v>75</v>
      </c>
      <c r="Z49" s="212">
        <v>75</v>
      </c>
      <c r="AA49" s="213">
        <v>73</v>
      </c>
      <c r="AB49" s="213">
        <v>74</v>
      </c>
      <c r="AC49" s="215"/>
      <c r="AD49" s="214"/>
      <c r="AE49" s="215"/>
      <c r="AF49" s="215"/>
      <c r="AG49" s="216"/>
      <c r="AH49" s="217"/>
      <c r="AI49" s="217"/>
      <c r="AJ49" s="8"/>
    </row>
    <row r="50" spans="1:36" ht="15">
      <c r="A50" s="365"/>
      <c r="B50" s="210" t="s">
        <v>145</v>
      </c>
      <c r="C50" s="211">
        <v>203.96428571428572</v>
      </c>
      <c r="D50" s="211">
        <v>203.96428571428572</v>
      </c>
      <c r="E50" s="212">
        <v>193.5</v>
      </c>
      <c r="F50" s="213">
        <v>188.25</v>
      </c>
      <c r="G50" s="213">
        <v>216</v>
      </c>
      <c r="H50" s="213">
        <v>201.75</v>
      </c>
      <c r="I50" s="214"/>
      <c r="J50" s="213">
        <v>203.25</v>
      </c>
      <c r="K50" s="213">
        <v>216</v>
      </c>
      <c r="L50" s="212">
        <v>217.5</v>
      </c>
      <c r="M50" s="213">
        <v>204</v>
      </c>
      <c r="N50" s="213">
        <v>199.5</v>
      </c>
      <c r="O50" s="213">
        <v>193.5</v>
      </c>
      <c r="P50" s="214"/>
      <c r="Q50" s="213">
        <v>166.5</v>
      </c>
      <c r="R50" s="213">
        <v>174</v>
      </c>
      <c r="S50" s="212">
        <v>199.5</v>
      </c>
      <c r="T50" s="213">
        <v>189</v>
      </c>
      <c r="U50" s="213">
        <v>216</v>
      </c>
      <c r="V50" s="213">
        <v>216</v>
      </c>
      <c r="W50" s="214"/>
      <c r="X50" s="213">
        <v>216</v>
      </c>
      <c r="Y50" s="213">
        <v>211.5</v>
      </c>
      <c r="Z50" s="212">
        <v>193.5</v>
      </c>
      <c r="AA50" s="213">
        <v>243</v>
      </c>
      <c r="AB50" s="213">
        <v>225</v>
      </c>
      <c r="AC50" s="215"/>
      <c r="AD50" s="214"/>
      <c r="AE50" s="215"/>
      <c r="AF50" s="215"/>
      <c r="AG50" s="216"/>
      <c r="AH50" s="217"/>
      <c r="AI50" s="217"/>
      <c r="AJ50" s="8"/>
    </row>
    <row r="51" spans="1:36" ht="15">
      <c r="A51" s="366"/>
      <c r="B51" s="219" t="s">
        <v>146</v>
      </c>
      <c r="C51" s="220">
        <v>2.794</v>
      </c>
      <c r="D51" s="220">
        <v>2.794</v>
      </c>
      <c r="E51" s="221">
        <v>2.58</v>
      </c>
      <c r="F51" s="220">
        <v>2.5438999999999998</v>
      </c>
      <c r="G51" s="220">
        <v>2.9188999999999998</v>
      </c>
      <c r="H51" s="220">
        <v>2.7263999999999999</v>
      </c>
      <c r="I51" s="222"/>
      <c r="J51" s="220">
        <v>2.8627000000000002</v>
      </c>
      <c r="K51" s="220">
        <v>3</v>
      </c>
      <c r="L51" s="221">
        <v>3.1071</v>
      </c>
      <c r="M51" s="220">
        <v>2.7568000000000001</v>
      </c>
      <c r="N51" s="220">
        <v>2.6959</v>
      </c>
      <c r="O51" s="220">
        <v>2.6507000000000001</v>
      </c>
      <c r="P51" s="222"/>
      <c r="Q51" s="220">
        <v>2.1907999999999999</v>
      </c>
      <c r="R51" s="220">
        <v>2.2894999999999999</v>
      </c>
      <c r="S51" s="221">
        <v>2.5909</v>
      </c>
      <c r="T51" s="220">
        <v>2.5541</v>
      </c>
      <c r="U51" s="220">
        <v>2.9188999999999998</v>
      </c>
      <c r="V51" s="220">
        <v>3.1303999999999998</v>
      </c>
      <c r="W51" s="222"/>
      <c r="X51" s="220">
        <v>2.88</v>
      </c>
      <c r="Y51" s="220">
        <v>2.82</v>
      </c>
      <c r="Z51" s="221">
        <v>2.58</v>
      </c>
      <c r="AA51" s="220">
        <v>3.3288000000000002</v>
      </c>
      <c r="AB51" s="220">
        <v>3.0405000000000002</v>
      </c>
      <c r="AC51" s="223"/>
      <c r="AD51" s="222"/>
      <c r="AE51" s="223"/>
      <c r="AF51" s="223"/>
      <c r="AG51" s="224"/>
      <c r="AH51" s="225"/>
      <c r="AI51" s="225"/>
      <c r="AJ51" s="8"/>
    </row>
    <row r="52" spans="1:36" ht="15">
      <c r="A52" s="364" t="s">
        <v>152</v>
      </c>
      <c r="B52" s="200" t="s">
        <v>139</v>
      </c>
      <c r="C52" s="201">
        <v>38768</v>
      </c>
      <c r="D52" s="201">
        <v>1846.0952380952381</v>
      </c>
      <c r="E52" s="202">
        <v>1760</v>
      </c>
      <c r="F52" s="203">
        <v>1864</v>
      </c>
      <c r="G52" s="203">
        <v>1920</v>
      </c>
      <c r="H52" s="203">
        <v>1920</v>
      </c>
      <c r="I52" s="204"/>
      <c r="J52" s="203">
        <v>1920</v>
      </c>
      <c r="K52" s="203">
        <v>1920</v>
      </c>
      <c r="L52" s="202">
        <v>1920</v>
      </c>
      <c r="M52" s="203">
        <v>1920</v>
      </c>
      <c r="N52" s="203">
        <v>1920</v>
      </c>
      <c r="O52" s="203">
        <v>1920</v>
      </c>
      <c r="P52" s="204"/>
      <c r="Q52" s="203">
        <v>1920</v>
      </c>
      <c r="R52" s="203">
        <v>1920</v>
      </c>
      <c r="S52" s="202">
        <v>1864</v>
      </c>
      <c r="T52" s="203">
        <v>1760</v>
      </c>
      <c r="U52" s="203">
        <v>1760</v>
      </c>
      <c r="V52" s="203">
        <v>1760</v>
      </c>
      <c r="W52" s="204"/>
      <c r="X52" s="203">
        <v>1760</v>
      </c>
      <c r="Y52" s="203">
        <v>1760</v>
      </c>
      <c r="Z52" s="202">
        <v>1760</v>
      </c>
      <c r="AA52" s="203">
        <v>1760</v>
      </c>
      <c r="AB52" s="203">
        <v>1760</v>
      </c>
      <c r="AC52" s="205"/>
      <c r="AD52" s="204"/>
      <c r="AE52" s="205"/>
      <c r="AF52" s="205"/>
      <c r="AG52" s="206"/>
      <c r="AH52" s="207"/>
      <c r="AI52" s="207"/>
      <c r="AJ52" s="8"/>
    </row>
    <row r="53" spans="1:36" ht="15">
      <c r="A53" s="365"/>
      <c r="B53" s="200" t="s">
        <v>140</v>
      </c>
      <c r="C53" s="201">
        <v>35740</v>
      </c>
      <c r="D53" s="201">
        <v>1701.9047619047619</v>
      </c>
      <c r="E53" s="202">
        <v>1680</v>
      </c>
      <c r="F53" s="203">
        <v>1380</v>
      </c>
      <c r="G53" s="203">
        <v>1840</v>
      </c>
      <c r="H53" s="203">
        <v>1840</v>
      </c>
      <c r="I53" s="204"/>
      <c r="J53" s="203">
        <v>1840</v>
      </c>
      <c r="K53" s="203">
        <v>1840</v>
      </c>
      <c r="L53" s="202">
        <v>1840</v>
      </c>
      <c r="M53" s="203">
        <v>1840</v>
      </c>
      <c r="N53" s="203">
        <v>1840</v>
      </c>
      <c r="O53" s="203">
        <v>1840</v>
      </c>
      <c r="P53" s="204"/>
      <c r="Q53" s="203">
        <v>1840</v>
      </c>
      <c r="R53" s="203">
        <v>1840</v>
      </c>
      <c r="S53" s="202">
        <v>1260</v>
      </c>
      <c r="T53" s="203">
        <v>1260</v>
      </c>
      <c r="U53" s="203">
        <v>1680</v>
      </c>
      <c r="V53" s="203">
        <v>1680</v>
      </c>
      <c r="W53" s="204"/>
      <c r="X53" s="203">
        <v>1680</v>
      </c>
      <c r="Y53" s="203">
        <v>1680</v>
      </c>
      <c r="Z53" s="202">
        <v>1680</v>
      </c>
      <c r="AA53" s="203">
        <v>1680</v>
      </c>
      <c r="AB53" s="203">
        <v>1680</v>
      </c>
      <c r="AC53" s="203">
        <v>1680</v>
      </c>
      <c r="AD53" s="204"/>
      <c r="AE53" s="203">
        <v>1680</v>
      </c>
      <c r="AF53" s="203">
        <v>1680</v>
      </c>
      <c r="AG53" s="208">
        <v>1680</v>
      </c>
      <c r="AH53" s="209">
        <v>1680</v>
      </c>
      <c r="AI53" s="209">
        <v>1680</v>
      </c>
      <c r="AJ53" s="8"/>
    </row>
    <row r="54" spans="1:36" ht="15">
      <c r="A54" s="365"/>
      <c r="B54" s="210" t="s">
        <v>141</v>
      </c>
      <c r="C54" s="211">
        <v>35780</v>
      </c>
      <c r="D54" s="211">
        <v>1703.8095238095239</v>
      </c>
      <c r="E54" s="212">
        <v>1680</v>
      </c>
      <c r="F54" s="213">
        <v>1380</v>
      </c>
      <c r="G54" s="213">
        <v>1842</v>
      </c>
      <c r="H54" s="213">
        <v>1842</v>
      </c>
      <c r="I54" s="214"/>
      <c r="J54" s="213">
        <v>1842</v>
      </c>
      <c r="K54" s="213">
        <v>1844</v>
      </c>
      <c r="L54" s="212">
        <v>1842</v>
      </c>
      <c r="M54" s="213">
        <v>1842</v>
      </c>
      <c r="N54" s="213">
        <v>1848</v>
      </c>
      <c r="O54" s="213">
        <v>1842</v>
      </c>
      <c r="P54" s="214"/>
      <c r="Q54" s="213">
        <v>1842</v>
      </c>
      <c r="R54" s="213">
        <v>1842</v>
      </c>
      <c r="S54" s="212">
        <v>1260</v>
      </c>
      <c r="T54" s="213">
        <v>1266</v>
      </c>
      <c r="U54" s="213">
        <v>1680</v>
      </c>
      <c r="V54" s="213">
        <v>1686</v>
      </c>
      <c r="W54" s="214"/>
      <c r="X54" s="213">
        <v>1680</v>
      </c>
      <c r="Y54" s="213">
        <v>1680</v>
      </c>
      <c r="Z54" s="212">
        <v>1680</v>
      </c>
      <c r="AA54" s="213">
        <v>1680</v>
      </c>
      <c r="AB54" s="213">
        <v>1680</v>
      </c>
      <c r="AC54" s="215"/>
      <c r="AD54" s="214"/>
      <c r="AE54" s="215"/>
      <c r="AF54" s="215"/>
      <c r="AG54" s="216"/>
      <c r="AH54" s="217"/>
      <c r="AI54" s="217"/>
      <c r="AJ54" s="8"/>
    </row>
    <row r="55" spans="1:36" ht="15">
      <c r="A55" s="365"/>
      <c r="B55" s="210" t="s">
        <v>142</v>
      </c>
      <c r="C55" s="211">
        <v>40</v>
      </c>
      <c r="D55" s="211">
        <v>1.9047619047619047</v>
      </c>
      <c r="E55" s="212">
        <v>0</v>
      </c>
      <c r="F55" s="213">
        <v>0</v>
      </c>
      <c r="G55" s="213">
        <v>2</v>
      </c>
      <c r="H55" s="213">
        <v>2</v>
      </c>
      <c r="I55" s="214"/>
      <c r="J55" s="213">
        <v>2</v>
      </c>
      <c r="K55" s="213">
        <v>4</v>
      </c>
      <c r="L55" s="212">
        <v>2</v>
      </c>
      <c r="M55" s="213">
        <v>2</v>
      </c>
      <c r="N55" s="213">
        <v>8</v>
      </c>
      <c r="O55" s="213">
        <v>2</v>
      </c>
      <c r="P55" s="214"/>
      <c r="Q55" s="213">
        <v>2</v>
      </c>
      <c r="R55" s="213">
        <v>2</v>
      </c>
      <c r="S55" s="212">
        <v>0</v>
      </c>
      <c r="T55" s="213">
        <v>6</v>
      </c>
      <c r="U55" s="213">
        <v>0</v>
      </c>
      <c r="V55" s="213">
        <v>6</v>
      </c>
      <c r="W55" s="214"/>
      <c r="X55" s="213">
        <v>0</v>
      </c>
      <c r="Y55" s="213">
        <v>0</v>
      </c>
      <c r="Z55" s="212">
        <v>0</v>
      </c>
      <c r="AA55" s="213">
        <v>0</v>
      </c>
      <c r="AB55" s="213">
        <v>0</v>
      </c>
      <c r="AC55" s="215"/>
      <c r="AD55" s="214"/>
      <c r="AE55" s="215"/>
      <c r="AF55" s="215"/>
      <c r="AG55" s="216"/>
      <c r="AH55" s="217"/>
      <c r="AI55" s="217"/>
      <c r="AJ55" s="8"/>
    </row>
    <row r="56" spans="1:36" ht="15">
      <c r="A56" s="365"/>
      <c r="B56" s="210" t="s">
        <v>143</v>
      </c>
      <c r="C56" s="211">
        <v>168</v>
      </c>
      <c r="D56" s="211">
        <v>8</v>
      </c>
      <c r="E56" s="212">
        <v>8</v>
      </c>
      <c r="F56" s="213">
        <v>8</v>
      </c>
      <c r="G56" s="213">
        <v>8</v>
      </c>
      <c r="H56" s="213">
        <v>8</v>
      </c>
      <c r="I56" s="214"/>
      <c r="J56" s="213">
        <v>8</v>
      </c>
      <c r="K56" s="213">
        <v>8</v>
      </c>
      <c r="L56" s="212">
        <v>8</v>
      </c>
      <c r="M56" s="213">
        <v>8</v>
      </c>
      <c r="N56" s="213">
        <v>8</v>
      </c>
      <c r="O56" s="213">
        <v>8</v>
      </c>
      <c r="P56" s="214"/>
      <c r="Q56" s="213">
        <v>8</v>
      </c>
      <c r="R56" s="213">
        <v>8</v>
      </c>
      <c r="S56" s="212">
        <v>8</v>
      </c>
      <c r="T56" s="213">
        <v>8</v>
      </c>
      <c r="U56" s="213">
        <v>8</v>
      </c>
      <c r="V56" s="213">
        <v>8</v>
      </c>
      <c r="W56" s="214"/>
      <c r="X56" s="213">
        <v>8</v>
      </c>
      <c r="Y56" s="213">
        <v>8</v>
      </c>
      <c r="Z56" s="212">
        <v>8</v>
      </c>
      <c r="AA56" s="213">
        <v>8</v>
      </c>
      <c r="AB56" s="213">
        <v>8</v>
      </c>
      <c r="AC56" s="215"/>
      <c r="AD56" s="214"/>
      <c r="AE56" s="215"/>
      <c r="AF56" s="215"/>
      <c r="AG56" s="216"/>
      <c r="AH56" s="217"/>
      <c r="AI56" s="217"/>
      <c r="AJ56" s="8"/>
    </row>
    <row r="57" spans="1:36" ht="15">
      <c r="A57" s="365"/>
      <c r="B57" s="210" t="s">
        <v>144</v>
      </c>
      <c r="C57" s="211">
        <v>96</v>
      </c>
      <c r="D57" s="211">
        <v>96</v>
      </c>
      <c r="E57" s="212">
        <v>97</v>
      </c>
      <c r="F57" s="213">
        <v>100</v>
      </c>
      <c r="G57" s="213">
        <v>97</v>
      </c>
      <c r="H57" s="213">
        <v>96</v>
      </c>
      <c r="I57" s="214"/>
      <c r="J57" s="213">
        <v>90</v>
      </c>
      <c r="K57" s="213">
        <v>95</v>
      </c>
      <c r="L57" s="212">
        <v>97</v>
      </c>
      <c r="M57" s="213">
        <v>96</v>
      </c>
      <c r="N57" s="213">
        <v>99</v>
      </c>
      <c r="O57" s="213">
        <v>94</v>
      </c>
      <c r="P57" s="214"/>
      <c r="Q57" s="213">
        <v>96</v>
      </c>
      <c r="R57" s="213">
        <v>99</v>
      </c>
      <c r="S57" s="212">
        <v>97</v>
      </c>
      <c r="T57" s="213">
        <v>96</v>
      </c>
      <c r="U57" s="213">
        <v>97</v>
      </c>
      <c r="V57" s="213">
        <v>94</v>
      </c>
      <c r="W57" s="214"/>
      <c r="X57" s="213">
        <v>99</v>
      </c>
      <c r="Y57" s="213">
        <v>98</v>
      </c>
      <c r="Z57" s="212">
        <v>100</v>
      </c>
      <c r="AA57" s="213">
        <v>97</v>
      </c>
      <c r="AB57" s="213">
        <v>96</v>
      </c>
      <c r="AC57" s="215"/>
      <c r="AD57" s="214"/>
      <c r="AE57" s="215"/>
      <c r="AF57" s="215"/>
      <c r="AG57" s="216"/>
      <c r="AH57" s="217"/>
      <c r="AI57" s="217"/>
      <c r="AJ57" s="8"/>
    </row>
    <row r="58" spans="1:36" ht="15">
      <c r="A58" s="365"/>
      <c r="B58" s="210" t="s">
        <v>145</v>
      </c>
      <c r="C58" s="211">
        <v>212.97619047619048</v>
      </c>
      <c r="D58" s="211">
        <v>212.97619047619048</v>
      </c>
      <c r="E58" s="212">
        <v>210</v>
      </c>
      <c r="F58" s="213">
        <v>172.5</v>
      </c>
      <c r="G58" s="213">
        <v>230.25</v>
      </c>
      <c r="H58" s="213">
        <v>230.25</v>
      </c>
      <c r="I58" s="214"/>
      <c r="J58" s="213">
        <v>230.25</v>
      </c>
      <c r="K58" s="213">
        <v>230.5</v>
      </c>
      <c r="L58" s="212">
        <v>230.25</v>
      </c>
      <c r="M58" s="213">
        <v>230.25</v>
      </c>
      <c r="N58" s="213">
        <v>231</v>
      </c>
      <c r="O58" s="213">
        <v>230.25</v>
      </c>
      <c r="P58" s="214"/>
      <c r="Q58" s="213">
        <v>230.25</v>
      </c>
      <c r="R58" s="213">
        <v>230.25</v>
      </c>
      <c r="S58" s="212">
        <v>157.5</v>
      </c>
      <c r="T58" s="213">
        <v>158.25</v>
      </c>
      <c r="U58" s="213">
        <v>210</v>
      </c>
      <c r="V58" s="213">
        <v>210.75</v>
      </c>
      <c r="W58" s="214"/>
      <c r="X58" s="213">
        <v>210</v>
      </c>
      <c r="Y58" s="213">
        <v>210</v>
      </c>
      <c r="Z58" s="212">
        <v>210</v>
      </c>
      <c r="AA58" s="213">
        <v>210</v>
      </c>
      <c r="AB58" s="213">
        <v>210</v>
      </c>
      <c r="AC58" s="215"/>
      <c r="AD58" s="214"/>
      <c r="AE58" s="215"/>
      <c r="AF58" s="215"/>
      <c r="AG58" s="216"/>
      <c r="AH58" s="217"/>
      <c r="AI58" s="217"/>
      <c r="AJ58" s="8"/>
    </row>
    <row r="59" spans="1:36" ht="15">
      <c r="A59" s="366"/>
      <c r="B59" s="219" t="s">
        <v>146</v>
      </c>
      <c r="C59" s="220">
        <v>2.2185000000000001</v>
      </c>
      <c r="D59" s="220">
        <v>2.2185000000000001</v>
      </c>
      <c r="E59" s="221">
        <v>2.1648999999999998</v>
      </c>
      <c r="F59" s="220">
        <v>1.7250000000000001</v>
      </c>
      <c r="G59" s="220">
        <v>2.3736999999999999</v>
      </c>
      <c r="H59" s="220">
        <v>2.3984000000000001</v>
      </c>
      <c r="I59" s="222"/>
      <c r="J59" s="220">
        <v>2.5583</v>
      </c>
      <c r="K59" s="220">
        <v>2.4262999999999999</v>
      </c>
      <c r="L59" s="221">
        <v>2.3736999999999999</v>
      </c>
      <c r="M59" s="220">
        <v>2.3984000000000001</v>
      </c>
      <c r="N59" s="220">
        <v>2.3332999999999999</v>
      </c>
      <c r="O59" s="220">
        <v>2.4495</v>
      </c>
      <c r="P59" s="222"/>
      <c r="Q59" s="220">
        <v>2.3984000000000001</v>
      </c>
      <c r="R59" s="220">
        <v>2.3258000000000001</v>
      </c>
      <c r="S59" s="221">
        <v>1.6236999999999999</v>
      </c>
      <c r="T59" s="220">
        <v>1.6484000000000001</v>
      </c>
      <c r="U59" s="220">
        <v>2.1648999999999998</v>
      </c>
      <c r="V59" s="220">
        <v>2.242</v>
      </c>
      <c r="W59" s="222"/>
      <c r="X59" s="220">
        <v>2.1212</v>
      </c>
      <c r="Y59" s="220">
        <v>2.1429</v>
      </c>
      <c r="Z59" s="221">
        <v>2.1</v>
      </c>
      <c r="AA59" s="220">
        <v>2.1648999999999998</v>
      </c>
      <c r="AB59" s="220">
        <v>2.1875</v>
      </c>
      <c r="AC59" s="223"/>
      <c r="AD59" s="222"/>
      <c r="AE59" s="223"/>
      <c r="AF59" s="223"/>
      <c r="AG59" s="224"/>
      <c r="AH59" s="225"/>
      <c r="AI59" s="225"/>
      <c r="AJ59" s="8"/>
    </row>
    <row r="60" spans="1:36" ht="15">
      <c r="A60" s="364" t="s">
        <v>153</v>
      </c>
      <c r="B60" s="200" t="s">
        <v>139</v>
      </c>
      <c r="C60" s="201">
        <v>32032</v>
      </c>
      <c r="D60" s="201">
        <v>1525.3333333333333</v>
      </c>
      <c r="E60" s="202">
        <v>1920</v>
      </c>
      <c r="F60" s="203">
        <v>1920</v>
      </c>
      <c r="G60" s="203">
        <v>1920</v>
      </c>
      <c r="H60" s="203">
        <v>1920</v>
      </c>
      <c r="I60" s="204"/>
      <c r="J60" s="203">
        <v>1920</v>
      </c>
      <c r="K60" s="203">
        <v>1920</v>
      </c>
      <c r="L60" s="202">
        <v>1792</v>
      </c>
      <c r="M60" s="203">
        <v>1280</v>
      </c>
      <c r="N60" s="203">
        <v>1600</v>
      </c>
      <c r="O60" s="203">
        <v>1600</v>
      </c>
      <c r="P60" s="204"/>
      <c r="Q60" s="203">
        <v>1280</v>
      </c>
      <c r="R60" s="203">
        <v>1280</v>
      </c>
      <c r="S60" s="202">
        <v>1280</v>
      </c>
      <c r="T60" s="203">
        <v>1280</v>
      </c>
      <c r="U60" s="203">
        <v>1280</v>
      </c>
      <c r="V60" s="203">
        <v>1280</v>
      </c>
      <c r="W60" s="204"/>
      <c r="X60" s="203">
        <v>1440</v>
      </c>
      <c r="Y60" s="203">
        <v>1280</v>
      </c>
      <c r="Z60" s="202">
        <v>1280</v>
      </c>
      <c r="AA60" s="203">
        <v>1280</v>
      </c>
      <c r="AB60" s="203">
        <v>1280</v>
      </c>
      <c r="AC60" s="205"/>
      <c r="AD60" s="204"/>
      <c r="AE60" s="205"/>
      <c r="AF60" s="205"/>
      <c r="AG60" s="206"/>
      <c r="AH60" s="207"/>
      <c r="AI60" s="207"/>
      <c r="AJ60" s="8"/>
    </row>
    <row r="61" spans="1:36" ht="15">
      <c r="A61" s="365"/>
      <c r="B61" s="200" t="s">
        <v>140</v>
      </c>
      <c r="C61" s="201">
        <v>31340</v>
      </c>
      <c r="D61" s="201">
        <v>1492.3809523809523</v>
      </c>
      <c r="E61" s="202">
        <v>1440</v>
      </c>
      <c r="F61" s="203">
        <v>1380</v>
      </c>
      <c r="G61" s="203">
        <v>1840</v>
      </c>
      <c r="H61" s="203">
        <v>1840</v>
      </c>
      <c r="I61" s="204"/>
      <c r="J61" s="203">
        <v>1840</v>
      </c>
      <c r="K61" s="203">
        <v>1840</v>
      </c>
      <c r="L61" s="202">
        <v>1840</v>
      </c>
      <c r="M61" s="203">
        <v>1840</v>
      </c>
      <c r="N61" s="203">
        <v>1840</v>
      </c>
      <c r="O61" s="203">
        <v>1020</v>
      </c>
      <c r="P61" s="204"/>
      <c r="Q61" s="203">
        <v>1020</v>
      </c>
      <c r="R61" s="203">
        <v>1360</v>
      </c>
      <c r="S61" s="202">
        <v>1360</v>
      </c>
      <c r="T61" s="203">
        <v>1360</v>
      </c>
      <c r="U61" s="203">
        <v>1360</v>
      </c>
      <c r="V61" s="203">
        <v>1360</v>
      </c>
      <c r="W61" s="204"/>
      <c r="X61" s="203">
        <v>1360</v>
      </c>
      <c r="Y61" s="203">
        <v>1360</v>
      </c>
      <c r="Z61" s="202">
        <v>1360</v>
      </c>
      <c r="AA61" s="203">
        <v>1360</v>
      </c>
      <c r="AB61" s="203">
        <v>1360</v>
      </c>
      <c r="AC61" s="203">
        <v>1360</v>
      </c>
      <c r="AD61" s="204"/>
      <c r="AE61" s="203">
        <v>1360</v>
      </c>
      <c r="AF61" s="203">
        <v>1360</v>
      </c>
      <c r="AG61" s="208">
        <v>1360</v>
      </c>
      <c r="AH61" s="209">
        <v>1360</v>
      </c>
      <c r="AI61" s="209">
        <v>1360</v>
      </c>
      <c r="AJ61" s="8"/>
    </row>
    <row r="62" spans="1:36" ht="15">
      <c r="A62" s="365"/>
      <c r="B62" s="210" t="s">
        <v>141</v>
      </c>
      <c r="C62" s="211">
        <v>28746</v>
      </c>
      <c r="D62" s="211">
        <v>1368.8571428571429</v>
      </c>
      <c r="E62" s="212">
        <v>1440</v>
      </c>
      <c r="F62" s="213">
        <v>1380</v>
      </c>
      <c r="G62" s="213">
        <v>1842</v>
      </c>
      <c r="H62" s="213">
        <v>1840</v>
      </c>
      <c r="I62" s="214"/>
      <c r="J62" s="213">
        <v>1844</v>
      </c>
      <c r="K62" s="213">
        <v>1836</v>
      </c>
      <c r="L62" s="212">
        <v>1842</v>
      </c>
      <c r="M62" s="213">
        <v>1284</v>
      </c>
      <c r="N62" s="213">
        <v>900</v>
      </c>
      <c r="O62" s="213">
        <v>1020</v>
      </c>
      <c r="P62" s="214"/>
      <c r="Q62" s="213">
        <v>1020</v>
      </c>
      <c r="R62" s="213">
        <v>1152</v>
      </c>
      <c r="S62" s="212">
        <v>1362</v>
      </c>
      <c r="T62" s="213">
        <v>1368</v>
      </c>
      <c r="U62" s="213">
        <v>1362</v>
      </c>
      <c r="V62" s="213">
        <v>1362</v>
      </c>
      <c r="W62" s="214"/>
      <c r="X62" s="213">
        <v>1362</v>
      </c>
      <c r="Y62" s="213">
        <v>1230</v>
      </c>
      <c r="Z62" s="212">
        <v>1140</v>
      </c>
      <c r="AA62" s="213">
        <v>1200</v>
      </c>
      <c r="AB62" s="213">
        <v>960</v>
      </c>
      <c r="AC62" s="215"/>
      <c r="AD62" s="214"/>
      <c r="AE62" s="215"/>
      <c r="AF62" s="215"/>
      <c r="AG62" s="216"/>
      <c r="AH62" s="217"/>
      <c r="AI62" s="217"/>
      <c r="AJ62" s="8"/>
    </row>
    <row r="63" spans="1:36" ht="15">
      <c r="A63" s="365"/>
      <c r="B63" s="210" t="s">
        <v>142</v>
      </c>
      <c r="C63" s="218">
        <v>-2594</v>
      </c>
      <c r="D63" s="218">
        <v>-123.52380952380952</v>
      </c>
      <c r="E63" s="212">
        <v>0</v>
      </c>
      <c r="F63" s="213">
        <v>0</v>
      </c>
      <c r="G63" s="213">
        <v>2</v>
      </c>
      <c r="H63" s="213">
        <v>0</v>
      </c>
      <c r="I63" s="214"/>
      <c r="J63" s="213">
        <v>4</v>
      </c>
      <c r="K63" s="215">
        <v>-4</v>
      </c>
      <c r="L63" s="212">
        <v>2</v>
      </c>
      <c r="M63" s="215">
        <v>-556</v>
      </c>
      <c r="N63" s="215">
        <v>-940</v>
      </c>
      <c r="O63" s="213">
        <v>0</v>
      </c>
      <c r="P63" s="214"/>
      <c r="Q63" s="213">
        <v>0</v>
      </c>
      <c r="R63" s="215">
        <v>-208</v>
      </c>
      <c r="S63" s="212">
        <v>2</v>
      </c>
      <c r="T63" s="213">
        <v>8</v>
      </c>
      <c r="U63" s="213">
        <v>2</v>
      </c>
      <c r="V63" s="213">
        <v>2</v>
      </c>
      <c r="W63" s="214"/>
      <c r="X63" s="213">
        <v>2</v>
      </c>
      <c r="Y63" s="215">
        <v>-130</v>
      </c>
      <c r="Z63" s="214">
        <v>-220</v>
      </c>
      <c r="AA63" s="215">
        <v>-160</v>
      </c>
      <c r="AB63" s="215">
        <v>-400</v>
      </c>
      <c r="AC63" s="215"/>
      <c r="AD63" s="214"/>
      <c r="AE63" s="215"/>
      <c r="AF63" s="215"/>
      <c r="AG63" s="216"/>
      <c r="AH63" s="217"/>
      <c r="AI63" s="217"/>
      <c r="AJ63" s="8"/>
    </row>
    <row r="64" spans="1:36" ht="15">
      <c r="A64" s="365"/>
      <c r="B64" s="210" t="s">
        <v>143</v>
      </c>
      <c r="C64" s="211">
        <v>168</v>
      </c>
      <c r="D64" s="211">
        <v>8</v>
      </c>
      <c r="E64" s="212">
        <v>8</v>
      </c>
      <c r="F64" s="213">
        <v>8</v>
      </c>
      <c r="G64" s="213">
        <v>8</v>
      </c>
      <c r="H64" s="213">
        <v>8</v>
      </c>
      <c r="I64" s="214"/>
      <c r="J64" s="213">
        <v>8</v>
      </c>
      <c r="K64" s="213">
        <v>8</v>
      </c>
      <c r="L64" s="212">
        <v>8</v>
      </c>
      <c r="M64" s="213">
        <v>8</v>
      </c>
      <c r="N64" s="213">
        <v>8</v>
      </c>
      <c r="O64" s="213">
        <v>8</v>
      </c>
      <c r="P64" s="214"/>
      <c r="Q64" s="213">
        <v>8</v>
      </c>
      <c r="R64" s="213">
        <v>8</v>
      </c>
      <c r="S64" s="212">
        <v>8</v>
      </c>
      <c r="T64" s="213">
        <v>8</v>
      </c>
      <c r="U64" s="213">
        <v>8</v>
      </c>
      <c r="V64" s="213">
        <v>8</v>
      </c>
      <c r="W64" s="214"/>
      <c r="X64" s="213">
        <v>8</v>
      </c>
      <c r="Y64" s="213">
        <v>8</v>
      </c>
      <c r="Z64" s="212">
        <v>8</v>
      </c>
      <c r="AA64" s="213">
        <v>8</v>
      </c>
      <c r="AB64" s="213">
        <v>8</v>
      </c>
      <c r="AC64" s="215"/>
      <c r="AD64" s="214"/>
      <c r="AE64" s="215"/>
      <c r="AF64" s="215"/>
      <c r="AG64" s="216"/>
      <c r="AH64" s="217"/>
      <c r="AI64" s="217"/>
      <c r="AJ64" s="8"/>
    </row>
    <row r="65" spans="1:36" ht="15">
      <c r="A65" s="365"/>
      <c r="B65" s="210" t="s">
        <v>144</v>
      </c>
      <c r="C65" s="211">
        <v>127</v>
      </c>
      <c r="D65" s="211">
        <v>127</v>
      </c>
      <c r="E65" s="212">
        <v>128</v>
      </c>
      <c r="F65" s="213">
        <v>130</v>
      </c>
      <c r="G65" s="213">
        <v>128</v>
      </c>
      <c r="H65" s="213">
        <v>124</v>
      </c>
      <c r="I65" s="214"/>
      <c r="J65" s="213">
        <v>126</v>
      </c>
      <c r="K65" s="213">
        <v>128</v>
      </c>
      <c r="L65" s="212">
        <v>126</v>
      </c>
      <c r="M65" s="213">
        <v>129</v>
      </c>
      <c r="N65" s="213">
        <v>127</v>
      </c>
      <c r="O65" s="213">
        <v>126</v>
      </c>
      <c r="P65" s="214"/>
      <c r="Q65" s="213">
        <v>122</v>
      </c>
      <c r="R65" s="213">
        <v>127</v>
      </c>
      <c r="S65" s="212">
        <v>128</v>
      </c>
      <c r="T65" s="213">
        <v>127</v>
      </c>
      <c r="U65" s="213">
        <v>127</v>
      </c>
      <c r="V65" s="213">
        <v>128</v>
      </c>
      <c r="W65" s="214"/>
      <c r="X65" s="213">
        <v>128</v>
      </c>
      <c r="Y65" s="213">
        <v>126</v>
      </c>
      <c r="Z65" s="212">
        <v>129</v>
      </c>
      <c r="AA65" s="213">
        <v>131</v>
      </c>
      <c r="AB65" s="213">
        <v>128</v>
      </c>
      <c r="AC65" s="215"/>
      <c r="AD65" s="214"/>
      <c r="AE65" s="215"/>
      <c r="AF65" s="215"/>
      <c r="AG65" s="216"/>
      <c r="AH65" s="217"/>
      <c r="AI65" s="217"/>
      <c r="AJ65" s="8"/>
    </row>
    <row r="66" spans="1:36" ht="15">
      <c r="A66" s="365"/>
      <c r="B66" s="210" t="s">
        <v>145</v>
      </c>
      <c r="C66" s="211">
        <v>171.10714285714286</v>
      </c>
      <c r="D66" s="211">
        <v>171.10714285714286</v>
      </c>
      <c r="E66" s="212">
        <v>180</v>
      </c>
      <c r="F66" s="213">
        <v>172.5</v>
      </c>
      <c r="G66" s="213">
        <v>230.25</v>
      </c>
      <c r="H66" s="213">
        <v>230</v>
      </c>
      <c r="I66" s="214"/>
      <c r="J66" s="213">
        <v>230.5</v>
      </c>
      <c r="K66" s="213">
        <v>229.5</v>
      </c>
      <c r="L66" s="212">
        <v>230.25</v>
      </c>
      <c r="M66" s="213">
        <v>160.5</v>
      </c>
      <c r="N66" s="213">
        <v>112.5</v>
      </c>
      <c r="O66" s="213">
        <v>127.5</v>
      </c>
      <c r="P66" s="214"/>
      <c r="Q66" s="213">
        <v>127.5</v>
      </c>
      <c r="R66" s="213">
        <v>144</v>
      </c>
      <c r="S66" s="212">
        <v>170.25</v>
      </c>
      <c r="T66" s="213">
        <v>171</v>
      </c>
      <c r="U66" s="213">
        <v>170.25</v>
      </c>
      <c r="V66" s="213">
        <v>170.25</v>
      </c>
      <c r="W66" s="214"/>
      <c r="X66" s="213">
        <v>170.25</v>
      </c>
      <c r="Y66" s="213">
        <v>153.75</v>
      </c>
      <c r="Z66" s="212">
        <v>142.5</v>
      </c>
      <c r="AA66" s="213">
        <v>150</v>
      </c>
      <c r="AB66" s="213">
        <v>120</v>
      </c>
      <c r="AC66" s="215"/>
      <c r="AD66" s="214"/>
      <c r="AE66" s="215"/>
      <c r="AF66" s="215"/>
      <c r="AG66" s="216"/>
      <c r="AH66" s="217"/>
      <c r="AI66" s="217"/>
      <c r="AJ66" s="8"/>
    </row>
    <row r="67" spans="1:36" ht="15">
      <c r="A67" s="366"/>
      <c r="B67" s="219" t="s">
        <v>146</v>
      </c>
      <c r="C67" s="220">
        <v>1.3472999999999999</v>
      </c>
      <c r="D67" s="220">
        <v>1.3472999999999999</v>
      </c>
      <c r="E67" s="221">
        <v>1.4062999999999999</v>
      </c>
      <c r="F67" s="220">
        <v>1.3269</v>
      </c>
      <c r="G67" s="220">
        <v>1.7988</v>
      </c>
      <c r="H67" s="220">
        <v>1.8548</v>
      </c>
      <c r="I67" s="222"/>
      <c r="J67" s="220">
        <v>1.8294000000000001</v>
      </c>
      <c r="K67" s="220">
        <v>1.7930000000000001</v>
      </c>
      <c r="L67" s="221">
        <v>1.8273999999999999</v>
      </c>
      <c r="M67" s="220">
        <v>1.2442</v>
      </c>
      <c r="N67" s="220">
        <v>0.88580000000000003</v>
      </c>
      <c r="O67" s="220">
        <v>1.0119</v>
      </c>
      <c r="P67" s="222"/>
      <c r="Q67" s="220">
        <v>1.0450999999999999</v>
      </c>
      <c r="R67" s="220">
        <v>1.1338999999999999</v>
      </c>
      <c r="S67" s="221">
        <v>1.3301000000000001</v>
      </c>
      <c r="T67" s="220">
        <v>1.3465</v>
      </c>
      <c r="U67" s="220">
        <v>1.3406</v>
      </c>
      <c r="V67" s="220">
        <v>1.3301000000000001</v>
      </c>
      <c r="W67" s="222"/>
      <c r="X67" s="220">
        <v>1.3301000000000001</v>
      </c>
      <c r="Y67" s="220">
        <v>1.2202</v>
      </c>
      <c r="Z67" s="221">
        <v>1.1047</v>
      </c>
      <c r="AA67" s="220">
        <v>1.145</v>
      </c>
      <c r="AB67" s="220">
        <v>0.9375</v>
      </c>
      <c r="AC67" s="223"/>
      <c r="AD67" s="222"/>
      <c r="AE67" s="223"/>
      <c r="AF67" s="223"/>
      <c r="AG67" s="224"/>
      <c r="AH67" s="225"/>
      <c r="AI67" s="225"/>
      <c r="AJ67" s="8"/>
    </row>
    <row r="68" spans="1:36" ht="15">
      <c r="A68" s="364" t="s">
        <v>154</v>
      </c>
      <c r="B68" s="200" t="s">
        <v>139</v>
      </c>
      <c r="C68" s="201">
        <v>38608</v>
      </c>
      <c r="D68" s="201">
        <v>1838.4761904761904</v>
      </c>
      <c r="E68" s="202">
        <v>1920</v>
      </c>
      <c r="F68" s="203">
        <v>1920</v>
      </c>
      <c r="G68" s="203">
        <v>1920</v>
      </c>
      <c r="H68" s="203">
        <v>1920</v>
      </c>
      <c r="I68" s="204"/>
      <c r="J68" s="203">
        <v>1920</v>
      </c>
      <c r="K68" s="203">
        <v>1920</v>
      </c>
      <c r="L68" s="202">
        <v>1920</v>
      </c>
      <c r="M68" s="203">
        <v>1920</v>
      </c>
      <c r="N68" s="203">
        <v>1920</v>
      </c>
      <c r="O68" s="203">
        <v>1920</v>
      </c>
      <c r="P68" s="204"/>
      <c r="Q68" s="203">
        <v>1808</v>
      </c>
      <c r="R68" s="203">
        <v>1760</v>
      </c>
      <c r="S68" s="202">
        <v>1760</v>
      </c>
      <c r="T68" s="203">
        <v>1760</v>
      </c>
      <c r="U68" s="203">
        <v>1760</v>
      </c>
      <c r="V68" s="203">
        <v>1760</v>
      </c>
      <c r="W68" s="204"/>
      <c r="X68" s="203">
        <v>1760</v>
      </c>
      <c r="Y68" s="203">
        <v>1760</v>
      </c>
      <c r="Z68" s="202">
        <v>1760</v>
      </c>
      <c r="AA68" s="203">
        <v>1760</v>
      </c>
      <c r="AB68" s="203">
        <v>1760</v>
      </c>
      <c r="AC68" s="205"/>
      <c r="AD68" s="204"/>
      <c r="AE68" s="205"/>
      <c r="AF68" s="205"/>
      <c r="AG68" s="206"/>
      <c r="AH68" s="207"/>
      <c r="AI68" s="207"/>
      <c r="AJ68" s="8"/>
    </row>
    <row r="69" spans="1:36" ht="15">
      <c r="A69" s="365"/>
      <c r="B69" s="200" t="s">
        <v>140</v>
      </c>
      <c r="C69" s="201">
        <v>34320</v>
      </c>
      <c r="D69" s="201">
        <v>1634.2857142857142</v>
      </c>
      <c r="E69" s="202">
        <v>1840</v>
      </c>
      <c r="F69" s="203">
        <v>1840</v>
      </c>
      <c r="G69" s="203">
        <v>1840</v>
      </c>
      <c r="H69" s="203">
        <v>1840</v>
      </c>
      <c r="I69" s="204"/>
      <c r="J69" s="203">
        <v>1840</v>
      </c>
      <c r="K69" s="203">
        <v>1840</v>
      </c>
      <c r="L69" s="202">
        <v>1840</v>
      </c>
      <c r="M69" s="203">
        <v>1840</v>
      </c>
      <c r="N69" s="203">
        <v>1840</v>
      </c>
      <c r="O69" s="203">
        <v>1840</v>
      </c>
      <c r="P69" s="204"/>
      <c r="Q69" s="203">
        <v>1840</v>
      </c>
      <c r="R69" s="203">
        <v>1840</v>
      </c>
      <c r="S69" s="202">
        <v>1080</v>
      </c>
      <c r="T69" s="203">
        <v>1080</v>
      </c>
      <c r="U69" s="203">
        <v>1440</v>
      </c>
      <c r="V69" s="203">
        <v>1440</v>
      </c>
      <c r="W69" s="204"/>
      <c r="X69" s="203">
        <v>1440</v>
      </c>
      <c r="Y69" s="203">
        <v>1440</v>
      </c>
      <c r="Z69" s="202">
        <v>1440</v>
      </c>
      <c r="AA69" s="203">
        <v>1440</v>
      </c>
      <c r="AB69" s="203">
        <v>1440</v>
      </c>
      <c r="AC69" s="203">
        <v>1440</v>
      </c>
      <c r="AD69" s="204"/>
      <c r="AE69" s="203">
        <v>1440</v>
      </c>
      <c r="AF69" s="203">
        <v>1440</v>
      </c>
      <c r="AG69" s="208">
        <v>1440</v>
      </c>
      <c r="AH69" s="209">
        <v>1440</v>
      </c>
      <c r="AI69" s="209">
        <v>1440</v>
      </c>
      <c r="AJ69" s="8"/>
    </row>
    <row r="70" spans="1:36" ht="15">
      <c r="A70" s="365"/>
      <c r="B70" s="210" t="s">
        <v>141</v>
      </c>
      <c r="C70" s="211">
        <v>34344</v>
      </c>
      <c r="D70" s="211">
        <v>1635.4285714285713</v>
      </c>
      <c r="E70" s="212">
        <v>1842</v>
      </c>
      <c r="F70" s="213">
        <v>1842</v>
      </c>
      <c r="G70" s="213">
        <v>1842</v>
      </c>
      <c r="H70" s="213">
        <v>1842</v>
      </c>
      <c r="I70" s="214"/>
      <c r="J70" s="213">
        <v>1842</v>
      </c>
      <c r="K70" s="213">
        <v>1842</v>
      </c>
      <c r="L70" s="212">
        <v>1842</v>
      </c>
      <c r="M70" s="213">
        <v>1842</v>
      </c>
      <c r="N70" s="213">
        <v>1842</v>
      </c>
      <c r="O70" s="213">
        <v>1842</v>
      </c>
      <c r="P70" s="214"/>
      <c r="Q70" s="213">
        <v>1842</v>
      </c>
      <c r="R70" s="213">
        <v>1842</v>
      </c>
      <c r="S70" s="212">
        <v>1080</v>
      </c>
      <c r="T70" s="213">
        <v>1080</v>
      </c>
      <c r="U70" s="213">
        <v>1440</v>
      </c>
      <c r="V70" s="213">
        <v>1440</v>
      </c>
      <c r="W70" s="214"/>
      <c r="X70" s="213">
        <v>1440</v>
      </c>
      <c r="Y70" s="213">
        <v>1440</v>
      </c>
      <c r="Z70" s="212">
        <v>1440</v>
      </c>
      <c r="AA70" s="213">
        <v>1440</v>
      </c>
      <c r="AB70" s="213">
        <v>1440</v>
      </c>
      <c r="AC70" s="215"/>
      <c r="AD70" s="214"/>
      <c r="AE70" s="215"/>
      <c r="AF70" s="215"/>
      <c r="AG70" s="216"/>
      <c r="AH70" s="217"/>
      <c r="AI70" s="217"/>
      <c r="AJ70" s="8"/>
    </row>
    <row r="71" spans="1:36" ht="15">
      <c r="A71" s="365"/>
      <c r="B71" s="210" t="s">
        <v>142</v>
      </c>
      <c r="C71" s="211">
        <v>24</v>
      </c>
      <c r="D71" s="211">
        <v>1.1428571428571428</v>
      </c>
      <c r="E71" s="212">
        <v>2</v>
      </c>
      <c r="F71" s="213">
        <v>2</v>
      </c>
      <c r="G71" s="213">
        <v>2</v>
      </c>
      <c r="H71" s="213">
        <v>2</v>
      </c>
      <c r="I71" s="214"/>
      <c r="J71" s="213">
        <v>2</v>
      </c>
      <c r="K71" s="213">
        <v>2</v>
      </c>
      <c r="L71" s="212">
        <v>2</v>
      </c>
      <c r="M71" s="213">
        <v>2</v>
      </c>
      <c r="N71" s="213">
        <v>2</v>
      </c>
      <c r="O71" s="213">
        <v>2</v>
      </c>
      <c r="P71" s="214"/>
      <c r="Q71" s="213">
        <v>2</v>
      </c>
      <c r="R71" s="213">
        <v>2</v>
      </c>
      <c r="S71" s="212">
        <v>0</v>
      </c>
      <c r="T71" s="213">
        <v>0</v>
      </c>
      <c r="U71" s="213">
        <v>0</v>
      </c>
      <c r="V71" s="213">
        <v>0</v>
      </c>
      <c r="W71" s="214"/>
      <c r="X71" s="213">
        <v>0</v>
      </c>
      <c r="Y71" s="213">
        <v>0</v>
      </c>
      <c r="Z71" s="212">
        <v>0</v>
      </c>
      <c r="AA71" s="213">
        <v>0</v>
      </c>
      <c r="AB71" s="213">
        <v>0</v>
      </c>
      <c r="AC71" s="215"/>
      <c r="AD71" s="214"/>
      <c r="AE71" s="215"/>
      <c r="AF71" s="215"/>
      <c r="AG71" s="216"/>
      <c r="AH71" s="217"/>
      <c r="AI71" s="217"/>
      <c r="AJ71" s="8"/>
    </row>
    <row r="72" spans="1:36" ht="15">
      <c r="A72" s="365"/>
      <c r="B72" s="210" t="s">
        <v>143</v>
      </c>
      <c r="C72" s="211">
        <v>168</v>
      </c>
      <c r="D72" s="211">
        <v>8</v>
      </c>
      <c r="E72" s="212">
        <v>8</v>
      </c>
      <c r="F72" s="213">
        <v>8</v>
      </c>
      <c r="G72" s="213">
        <v>8</v>
      </c>
      <c r="H72" s="213">
        <v>8</v>
      </c>
      <c r="I72" s="214"/>
      <c r="J72" s="213">
        <v>8</v>
      </c>
      <c r="K72" s="213">
        <v>8</v>
      </c>
      <c r="L72" s="212">
        <v>8</v>
      </c>
      <c r="M72" s="213">
        <v>8</v>
      </c>
      <c r="N72" s="213">
        <v>8</v>
      </c>
      <c r="O72" s="213">
        <v>8</v>
      </c>
      <c r="P72" s="214"/>
      <c r="Q72" s="213">
        <v>8</v>
      </c>
      <c r="R72" s="213">
        <v>8</v>
      </c>
      <c r="S72" s="212">
        <v>8</v>
      </c>
      <c r="T72" s="213">
        <v>8</v>
      </c>
      <c r="U72" s="213">
        <v>8</v>
      </c>
      <c r="V72" s="213">
        <v>8</v>
      </c>
      <c r="W72" s="214"/>
      <c r="X72" s="213">
        <v>8</v>
      </c>
      <c r="Y72" s="213">
        <v>8</v>
      </c>
      <c r="Z72" s="212">
        <v>8</v>
      </c>
      <c r="AA72" s="213">
        <v>8</v>
      </c>
      <c r="AB72" s="213">
        <v>8</v>
      </c>
      <c r="AC72" s="215"/>
      <c r="AD72" s="214"/>
      <c r="AE72" s="215"/>
      <c r="AF72" s="215"/>
      <c r="AG72" s="216"/>
      <c r="AH72" s="217"/>
      <c r="AI72" s="217"/>
      <c r="AJ72" s="8"/>
    </row>
    <row r="73" spans="1:36" ht="15">
      <c r="A73" s="365"/>
      <c r="B73" s="210" t="s">
        <v>144</v>
      </c>
      <c r="C73" s="211">
        <v>114</v>
      </c>
      <c r="D73" s="211">
        <v>114</v>
      </c>
      <c r="E73" s="212">
        <v>110</v>
      </c>
      <c r="F73" s="213">
        <v>110</v>
      </c>
      <c r="G73" s="213">
        <v>109</v>
      </c>
      <c r="H73" s="213">
        <v>106</v>
      </c>
      <c r="I73" s="214"/>
      <c r="J73" s="213">
        <v>107</v>
      </c>
      <c r="K73" s="213">
        <v>108</v>
      </c>
      <c r="L73" s="212">
        <v>113</v>
      </c>
      <c r="M73" s="213">
        <v>111</v>
      </c>
      <c r="N73" s="213">
        <v>118</v>
      </c>
      <c r="O73" s="213">
        <v>116</v>
      </c>
      <c r="P73" s="214"/>
      <c r="Q73" s="213">
        <v>116</v>
      </c>
      <c r="R73" s="213">
        <v>116</v>
      </c>
      <c r="S73" s="212">
        <v>115</v>
      </c>
      <c r="T73" s="213">
        <v>117</v>
      </c>
      <c r="U73" s="213">
        <v>118</v>
      </c>
      <c r="V73" s="213">
        <v>119</v>
      </c>
      <c r="W73" s="214"/>
      <c r="X73" s="213">
        <v>120</v>
      </c>
      <c r="Y73" s="213">
        <v>118</v>
      </c>
      <c r="Z73" s="212">
        <v>118</v>
      </c>
      <c r="AA73" s="213">
        <v>121</v>
      </c>
      <c r="AB73" s="213">
        <v>120</v>
      </c>
      <c r="AC73" s="215"/>
      <c r="AD73" s="214"/>
      <c r="AE73" s="215"/>
      <c r="AF73" s="215"/>
      <c r="AG73" s="216"/>
      <c r="AH73" s="217"/>
      <c r="AI73" s="217"/>
      <c r="AJ73" s="8"/>
    </row>
    <row r="74" spans="1:36" ht="15">
      <c r="A74" s="365"/>
      <c r="B74" s="210" t="s">
        <v>145</v>
      </c>
      <c r="C74" s="211">
        <v>204.42857142857142</v>
      </c>
      <c r="D74" s="211">
        <v>204.42857142857142</v>
      </c>
      <c r="E74" s="212">
        <v>230.25</v>
      </c>
      <c r="F74" s="213">
        <v>230.25</v>
      </c>
      <c r="G74" s="213">
        <v>230.25</v>
      </c>
      <c r="H74" s="213">
        <v>230.25</v>
      </c>
      <c r="I74" s="214"/>
      <c r="J74" s="213">
        <v>230.25</v>
      </c>
      <c r="K74" s="213">
        <v>230.25</v>
      </c>
      <c r="L74" s="212">
        <v>230.25</v>
      </c>
      <c r="M74" s="213">
        <v>230.25</v>
      </c>
      <c r="N74" s="213">
        <v>230.25</v>
      </c>
      <c r="O74" s="213">
        <v>230.25</v>
      </c>
      <c r="P74" s="214"/>
      <c r="Q74" s="213">
        <v>230.25</v>
      </c>
      <c r="R74" s="213">
        <v>230.25</v>
      </c>
      <c r="S74" s="212">
        <v>135</v>
      </c>
      <c r="T74" s="213">
        <v>135</v>
      </c>
      <c r="U74" s="213">
        <v>180</v>
      </c>
      <c r="V74" s="213">
        <v>180</v>
      </c>
      <c r="W74" s="214"/>
      <c r="X74" s="213">
        <v>180</v>
      </c>
      <c r="Y74" s="213">
        <v>180</v>
      </c>
      <c r="Z74" s="212">
        <v>180</v>
      </c>
      <c r="AA74" s="213">
        <v>180</v>
      </c>
      <c r="AB74" s="213">
        <v>180</v>
      </c>
      <c r="AC74" s="215"/>
      <c r="AD74" s="214"/>
      <c r="AE74" s="215"/>
      <c r="AF74" s="215"/>
      <c r="AG74" s="216"/>
      <c r="AH74" s="217"/>
      <c r="AI74" s="217"/>
      <c r="AJ74" s="8"/>
    </row>
    <row r="75" spans="1:36" ht="15">
      <c r="A75" s="366"/>
      <c r="B75" s="219" t="s">
        <v>146</v>
      </c>
      <c r="C75" s="220">
        <v>1.7932000000000001</v>
      </c>
      <c r="D75" s="220">
        <v>1.7932000000000001</v>
      </c>
      <c r="E75" s="221">
        <v>2.0931999999999999</v>
      </c>
      <c r="F75" s="220">
        <v>2.0931999999999999</v>
      </c>
      <c r="G75" s="220">
        <v>2.1124000000000001</v>
      </c>
      <c r="H75" s="220">
        <v>2.1722000000000001</v>
      </c>
      <c r="I75" s="222"/>
      <c r="J75" s="220">
        <v>2.1518999999999999</v>
      </c>
      <c r="K75" s="220">
        <v>2.1318999999999999</v>
      </c>
      <c r="L75" s="221">
        <v>2.0375999999999999</v>
      </c>
      <c r="M75" s="220">
        <v>2.0743</v>
      </c>
      <c r="N75" s="220">
        <v>1.9513</v>
      </c>
      <c r="O75" s="220">
        <v>1.9849000000000001</v>
      </c>
      <c r="P75" s="222"/>
      <c r="Q75" s="220">
        <v>1.9849000000000001</v>
      </c>
      <c r="R75" s="220">
        <v>1.9849000000000001</v>
      </c>
      <c r="S75" s="221">
        <v>1.1738999999999999</v>
      </c>
      <c r="T75" s="220">
        <v>1.1537999999999999</v>
      </c>
      <c r="U75" s="220">
        <v>1.5253999999999999</v>
      </c>
      <c r="V75" s="220">
        <v>1.5125999999999999</v>
      </c>
      <c r="W75" s="222"/>
      <c r="X75" s="220">
        <v>1.5</v>
      </c>
      <c r="Y75" s="220">
        <v>1.5253999999999999</v>
      </c>
      <c r="Z75" s="221">
        <v>1.5253999999999999</v>
      </c>
      <c r="AA75" s="220">
        <v>1.4876</v>
      </c>
      <c r="AB75" s="220">
        <v>1.5</v>
      </c>
      <c r="AC75" s="223"/>
      <c r="AD75" s="222"/>
      <c r="AE75" s="223"/>
      <c r="AF75" s="223"/>
      <c r="AG75" s="224"/>
      <c r="AH75" s="225"/>
      <c r="AI75" s="225"/>
      <c r="AJ75" s="8"/>
    </row>
    <row r="76" spans="1:36" ht="15">
      <c r="A76" s="364" t="s">
        <v>155</v>
      </c>
      <c r="B76" s="200" t="s">
        <v>139</v>
      </c>
      <c r="C76" s="201">
        <v>34944</v>
      </c>
      <c r="D76" s="201">
        <v>1664</v>
      </c>
      <c r="E76" s="202">
        <v>1760</v>
      </c>
      <c r="F76" s="203">
        <v>1760</v>
      </c>
      <c r="G76" s="203">
        <v>1760</v>
      </c>
      <c r="H76" s="203">
        <v>1760</v>
      </c>
      <c r="I76" s="204"/>
      <c r="J76" s="203">
        <v>1760</v>
      </c>
      <c r="K76" s="203">
        <v>1760</v>
      </c>
      <c r="L76" s="202">
        <v>1760</v>
      </c>
      <c r="M76" s="203">
        <v>1760</v>
      </c>
      <c r="N76" s="203">
        <v>1760</v>
      </c>
      <c r="O76" s="203">
        <v>1760</v>
      </c>
      <c r="P76" s="204"/>
      <c r="Q76" s="203">
        <v>1760</v>
      </c>
      <c r="R76" s="203">
        <v>1760</v>
      </c>
      <c r="S76" s="202">
        <v>1760</v>
      </c>
      <c r="T76" s="203">
        <v>1280</v>
      </c>
      <c r="U76" s="203">
        <v>1440</v>
      </c>
      <c r="V76" s="203">
        <v>1760</v>
      </c>
      <c r="W76" s="204"/>
      <c r="X76" s="203">
        <v>1544</v>
      </c>
      <c r="Y76" s="203">
        <v>1480</v>
      </c>
      <c r="Z76" s="202">
        <v>1600</v>
      </c>
      <c r="AA76" s="203">
        <v>1600</v>
      </c>
      <c r="AB76" s="203">
        <v>1360</v>
      </c>
      <c r="AC76" s="205"/>
      <c r="AD76" s="204"/>
      <c r="AE76" s="205"/>
      <c r="AF76" s="205"/>
      <c r="AG76" s="206"/>
      <c r="AH76" s="207"/>
      <c r="AI76" s="207"/>
      <c r="AJ76" s="8"/>
    </row>
    <row r="77" spans="1:36" ht="15">
      <c r="A77" s="365"/>
      <c r="B77" s="200" t="s">
        <v>140</v>
      </c>
      <c r="C77" s="201">
        <v>32900</v>
      </c>
      <c r="D77" s="201">
        <v>1566.6666666666667</v>
      </c>
      <c r="E77" s="202">
        <v>1680</v>
      </c>
      <c r="F77" s="203">
        <v>1680</v>
      </c>
      <c r="G77" s="203">
        <v>1680</v>
      </c>
      <c r="H77" s="203">
        <v>1680</v>
      </c>
      <c r="I77" s="204"/>
      <c r="J77" s="203">
        <v>1680</v>
      </c>
      <c r="K77" s="203">
        <v>1680</v>
      </c>
      <c r="L77" s="202">
        <v>1680</v>
      </c>
      <c r="M77" s="203">
        <v>1680</v>
      </c>
      <c r="N77" s="203">
        <v>1680</v>
      </c>
      <c r="O77" s="203">
        <v>1680</v>
      </c>
      <c r="P77" s="204"/>
      <c r="Q77" s="203">
        <v>1680</v>
      </c>
      <c r="R77" s="203">
        <v>1680</v>
      </c>
      <c r="S77" s="202">
        <v>1680</v>
      </c>
      <c r="T77" s="203">
        <v>1680</v>
      </c>
      <c r="U77" s="203">
        <v>1680</v>
      </c>
      <c r="V77" s="203">
        <v>1680</v>
      </c>
      <c r="W77" s="204"/>
      <c r="X77" s="203">
        <v>1680</v>
      </c>
      <c r="Y77" s="203">
        <v>840</v>
      </c>
      <c r="Z77" s="202">
        <v>840</v>
      </c>
      <c r="AA77" s="203">
        <v>1140</v>
      </c>
      <c r="AB77" s="203">
        <v>1520</v>
      </c>
      <c r="AC77" s="203">
        <v>1520</v>
      </c>
      <c r="AD77" s="204"/>
      <c r="AE77" s="203">
        <v>1520</v>
      </c>
      <c r="AF77" s="203">
        <v>1520</v>
      </c>
      <c r="AG77" s="208">
        <v>1520</v>
      </c>
      <c r="AH77" s="209">
        <v>840</v>
      </c>
      <c r="AI77" s="209">
        <v>840</v>
      </c>
      <c r="AJ77" s="8"/>
    </row>
    <row r="78" spans="1:36" ht="15">
      <c r="A78" s="365"/>
      <c r="B78" s="210" t="s">
        <v>141</v>
      </c>
      <c r="C78" s="211">
        <v>32938</v>
      </c>
      <c r="D78" s="211">
        <v>1568.4761904761904</v>
      </c>
      <c r="E78" s="212">
        <v>1680</v>
      </c>
      <c r="F78" s="213">
        <v>1680</v>
      </c>
      <c r="G78" s="213">
        <v>1692</v>
      </c>
      <c r="H78" s="213">
        <v>1680</v>
      </c>
      <c r="I78" s="214"/>
      <c r="J78" s="213">
        <v>1680</v>
      </c>
      <c r="K78" s="213">
        <v>1680</v>
      </c>
      <c r="L78" s="212">
        <v>1684</v>
      </c>
      <c r="M78" s="213">
        <v>1680</v>
      </c>
      <c r="N78" s="213">
        <v>1680</v>
      </c>
      <c r="O78" s="213">
        <v>1686</v>
      </c>
      <c r="P78" s="214"/>
      <c r="Q78" s="213">
        <v>1680</v>
      </c>
      <c r="R78" s="213">
        <v>1680</v>
      </c>
      <c r="S78" s="212">
        <v>1680</v>
      </c>
      <c r="T78" s="213">
        <v>1689</v>
      </c>
      <c r="U78" s="213">
        <v>1680</v>
      </c>
      <c r="V78" s="213">
        <v>1680</v>
      </c>
      <c r="W78" s="214"/>
      <c r="X78" s="213">
        <v>1683</v>
      </c>
      <c r="Y78" s="213">
        <v>840</v>
      </c>
      <c r="Z78" s="212">
        <v>840</v>
      </c>
      <c r="AA78" s="213">
        <v>1140</v>
      </c>
      <c r="AB78" s="213">
        <v>1524</v>
      </c>
      <c r="AC78" s="215"/>
      <c r="AD78" s="214"/>
      <c r="AE78" s="215"/>
      <c r="AF78" s="215"/>
      <c r="AG78" s="216"/>
      <c r="AH78" s="217"/>
      <c r="AI78" s="217"/>
      <c r="AJ78" s="8"/>
    </row>
    <row r="79" spans="1:36" ht="15">
      <c r="A79" s="365"/>
      <c r="B79" s="210" t="s">
        <v>142</v>
      </c>
      <c r="C79" s="211">
        <v>38</v>
      </c>
      <c r="D79" s="211">
        <v>1.8095238095238095</v>
      </c>
      <c r="E79" s="212">
        <v>0</v>
      </c>
      <c r="F79" s="213">
        <v>0</v>
      </c>
      <c r="G79" s="213">
        <v>12</v>
      </c>
      <c r="H79" s="213">
        <v>0</v>
      </c>
      <c r="I79" s="214"/>
      <c r="J79" s="213">
        <v>0</v>
      </c>
      <c r="K79" s="213">
        <v>0</v>
      </c>
      <c r="L79" s="212">
        <v>4</v>
      </c>
      <c r="M79" s="213">
        <v>0</v>
      </c>
      <c r="N79" s="213">
        <v>0</v>
      </c>
      <c r="O79" s="213">
        <v>6</v>
      </c>
      <c r="P79" s="214"/>
      <c r="Q79" s="213">
        <v>0</v>
      </c>
      <c r="R79" s="213">
        <v>0</v>
      </c>
      <c r="S79" s="212">
        <v>0</v>
      </c>
      <c r="T79" s="213">
        <v>9</v>
      </c>
      <c r="U79" s="213">
        <v>0</v>
      </c>
      <c r="V79" s="213">
        <v>0</v>
      </c>
      <c r="W79" s="214"/>
      <c r="X79" s="213">
        <v>3</v>
      </c>
      <c r="Y79" s="213">
        <v>0</v>
      </c>
      <c r="Z79" s="212">
        <v>0</v>
      </c>
      <c r="AA79" s="213">
        <v>0</v>
      </c>
      <c r="AB79" s="213">
        <v>4</v>
      </c>
      <c r="AC79" s="215"/>
      <c r="AD79" s="214"/>
      <c r="AE79" s="215"/>
      <c r="AF79" s="215"/>
      <c r="AG79" s="216"/>
      <c r="AH79" s="217"/>
      <c r="AI79" s="217"/>
      <c r="AJ79" s="8"/>
    </row>
    <row r="80" spans="1:36" ht="15">
      <c r="A80" s="365"/>
      <c r="B80" s="210" t="s">
        <v>143</v>
      </c>
      <c r="C80" s="211">
        <v>168</v>
      </c>
      <c r="D80" s="211">
        <v>8</v>
      </c>
      <c r="E80" s="212">
        <v>8</v>
      </c>
      <c r="F80" s="213">
        <v>8</v>
      </c>
      <c r="G80" s="213">
        <v>8</v>
      </c>
      <c r="H80" s="213">
        <v>8</v>
      </c>
      <c r="I80" s="214"/>
      <c r="J80" s="213">
        <v>8</v>
      </c>
      <c r="K80" s="213">
        <v>8</v>
      </c>
      <c r="L80" s="212">
        <v>8</v>
      </c>
      <c r="M80" s="213">
        <v>8</v>
      </c>
      <c r="N80" s="213">
        <v>8</v>
      </c>
      <c r="O80" s="213">
        <v>8</v>
      </c>
      <c r="P80" s="214"/>
      <c r="Q80" s="213">
        <v>8</v>
      </c>
      <c r="R80" s="213">
        <v>8</v>
      </c>
      <c r="S80" s="212">
        <v>8</v>
      </c>
      <c r="T80" s="213">
        <v>8</v>
      </c>
      <c r="U80" s="213">
        <v>8</v>
      </c>
      <c r="V80" s="213">
        <v>8</v>
      </c>
      <c r="W80" s="214"/>
      <c r="X80" s="213">
        <v>8</v>
      </c>
      <c r="Y80" s="213">
        <v>8</v>
      </c>
      <c r="Z80" s="212">
        <v>8</v>
      </c>
      <c r="AA80" s="213">
        <v>8</v>
      </c>
      <c r="AB80" s="213">
        <v>8</v>
      </c>
      <c r="AC80" s="215"/>
      <c r="AD80" s="214"/>
      <c r="AE80" s="215"/>
      <c r="AF80" s="215"/>
      <c r="AG80" s="216"/>
      <c r="AH80" s="217"/>
      <c r="AI80" s="217"/>
      <c r="AJ80" s="8"/>
    </row>
    <row r="81" spans="1:36" ht="15">
      <c r="A81" s="365"/>
      <c r="B81" s="210" t="s">
        <v>144</v>
      </c>
      <c r="C81" s="211">
        <v>108</v>
      </c>
      <c r="D81" s="211">
        <v>108</v>
      </c>
      <c r="E81" s="212">
        <v>110</v>
      </c>
      <c r="F81" s="213">
        <v>111</v>
      </c>
      <c r="G81" s="213">
        <v>109</v>
      </c>
      <c r="H81" s="213">
        <v>109</v>
      </c>
      <c r="I81" s="214"/>
      <c r="J81" s="213">
        <v>104</v>
      </c>
      <c r="K81" s="213">
        <v>105</v>
      </c>
      <c r="L81" s="212">
        <v>104</v>
      </c>
      <c r="M81" s="213">
        <v>109</v>
      </c>
      <c r="N81" s="213">
        <v>108</v>
      </c>
      <c r="O81" s="213">
        <v>106</v>
      </c>
      <c r="P81" s="214"/>
      <c r="Q81" s="213">
        <v>109</v>
      </c>
      <c r="R81" s="213">
        <v>112</v>
      </c>
      <c r="S81" s="212">
        <v>112</v>
      </c>
      <c r="T81" s="213">
        <v>108</v>
      </c>
      <c r="U81" s="213">
        <v>106</v>
      </c>
      <c r="V81" s="213">
        <v>107</v>
      </c>
      <c r="W81" s="214"/>
      <c r="X81" s="213">
        <v>111</v>
      </c>
      <c r="Y81" s="213">
        <v>112</v>
      </c>
      <c r="Z81" s="212">
        <v>111</v>
      </c>
      <c r="AA81" s="213">
        <v>111</v>
      </c>
      <c r="AB81" s="213">
        <v>109</v>
      </c>
      <c r="AC81" s="215"/>
      <c r="AD81" s="214"/>
      <c r="AE81" s="215"/>
      <c r="AF81" s="215"/>
      <c r="AG81" s="216"/>
      <c r="AH81" s="217"/>
      <c r="AI81" s="217"/>
      <c r="AJ81" s="8"/>
    </row>
    <row r="82" spans="1:36" ht="15">
      <c r="A82" s="365"/>
      <c r="B82" s="210" t="s">
        <v>145</v>
      </c>
      <c r="C82" s="211">
        <v>196.0595238095238</v>
      </c>
      <c r="D82" s="211">
        <v>196.0595238095238</v>
      </c>
      <c r="E82" s="212">
        <v>210</v>
      </c>
      <c r="F82" s="213">
        <v>210</v>
      </c>
      <c r="G82" s="213">
        <v>211.5</v>
      </c>
      <c r="H82" s="213">
        <v>210</v>
      </c>
      <c r="I82" s="214"/>
      <c r="J82" s="213">
        <v>210</v>
      </c>
      <c r="K82" s="213">
        <v>210</v>
      </c>
      <c r="L82" s="212">
        <v>210.5</v>
      </c>
      <c r="M82" s="213">
        <v>210</v>
      </c>
      <c r="N82" s="213">
        <v>210</v>
      </c>
      <c r="O82" s="213">
        <v>210.75</v>
      </c>
      <c r="P82" s="214"/>
      <c r="Q82" s="213">
        <v>210</v>
      </c>
      <c r="R82" s="213">
        <v>210</v>
      </c>
      <c r="S82" s="212">
        <v>210</v>
      </c>
      <c r="T82" s="213">
        <v>211.125</v>
      </c>
      <c r="U82" s="213">
        <v>210</v>
      </c>
      <c r="V82" s="213">
        <v>210</v>
      </c>
      <c r="W82" s="214"/>
      <c r="X82" s="213">
        <v>210.375</v>
      </c>
      <c r="Y82" s="213">
        <v>105</v>
      </c>
      <c r="Z82" s="212">
        <v>105</v>
      </c>
      <c r="AA82" s="213">
        <v>142.5</v>
      </c>
      <c r="AB82" s="213">
        <v>190.5</v>
      </c>
      <c r="AC82" s="215"/>
      <c r="AD82" s="214"/>
      <c r="AE82" s="215"/>
      <c r="AF82" s="215"/>
      <c r="AG82" s="216"/>
      <c r="AH82" s="217"/>
      <c r="AI82" s="217"/>
      <c r="AJ82" s="8"/>
    </row>
    <row r="83" spans="1:36" ht="15">
      <c r="A83" s="366"/>
      <c r="B83" s="219" t="s">
        <v>146</v>
      </c>
      <c r="C83" s="220">
        <v>1.8153999999999999</v>
      </c>
      <c r="D83" s="220">
        <v>1.8153999999999999</v>
      </c>
      <c r="E83" s="221">
        <v>1.9091</v>
      </c>
      <c r="F83" s="220">
        <v>1.8919000000000001</v>
      </c>
      <c r="G83" s="220">
        <v>1.9403999999999999</v>
      </c>
      <c r="H83" s="220">
        <v>1.9266000000000001</v>
      </c>
      <c r="I83" s="222"/>
      <c r="J83" s="220">
        <v>2.0192000000000001</v>
      </c>
      <c r="K83" s="220">
        <v>2</v>
      </c>
      <c r="L83" s="221">
        <v>2.024</v>
      </c>
      <c r="M83" s="220">
        <v>1.9266000000000001</v>
      </c>
      <c r="N83" s="220">
        <v>1.9443999999999999</v>
      </c>
      <c r="O83" s="220">
        <v>1.9882</v>
      </c>
      <c r="P83" s="222"/>
      <c r="Q83" s="220">
        <v>1.9266000000000001</v>
      </c>
      <c r="R83" s="220">
        <v>1.875</v>
      </c>
      <c r="S83" s="221">
        <v>1.875</v>
      </c>
      <c r="T83" s="220">
        <v>1.9548999999999999</v>
      </c>
      <c r="U83" s="220">
        <v>1.9811000000000001</v>
      </c>
      <c r="V83" s="220">
        <v>1.9626000000000001</v>
      </c>
      <c r="W83" s="222"/>
      <c r="X83" s="220">
        <v>1.8953</v>
      </c>
      <c r="Y83" s="220">
        <v>0.9375</v>
      </c>
      <c r="Z83" s="221">
        <v>0.94589999999999996</v>
      </c>
      <c r="AA83" s="220">
        <v>1.2838000000000001</v>
      </c>
      <c r="AB83" s="220">
        <v>1.7477</v>
      </c>
      <c r="AC83" s="223"/>
      <c r="AD83" s="222"/>
      <c r="AE83" s="223"/>
      <c r="AF83" s="223"/>
      <c r="AG83" s="224"/>
      <c r="AH83" s="225"/>
      <c r="AI83" s="225"/>
      <c r="AJ83" s="8"/>
    </row>
    <row r="84" spans="1:36" ht="15">
      <c r="A84" s="364" t="s">
        <v>156</v>
      </c>
      <c r="B84" s="200" t="s">
        <v>139</v>
      </c>
      <c r="C84" s="201">
        <v>39088</v>
      </c>
      <c r="D84" s="201">
        <v>1861.3333333333333</v>
      </c>
      <c r="E84" s="202">
        <v>1920</v>
      </c>
      <c r="F84" s="203">
        <v>1920</v>
      </c>
      <c r="G84" s="203">
        <v>1920</v>
      </c>
      <c r="H84" s="203">
        <v>1920</v>
      </c>
      <c r="I84" s="204"/>
      <c r="J84" s="203">
        <v>1920</v>
      </c>
      <c r="K84" s="203">
        <v>1880</v>
      </c>
      <c r="L84" s="202">
        <v>1840</v>
      </c>
      <c r="M84" s="203">
        <v>1840</v>
      </c>
      <c r="N84" s="203">
        <v>1840</v>
      </c>
      <c r="O84" s="203">
        <v>1840</v>
      </c>
      <c r="P84" s="204"/>
      <c r="Q84" s="203">
        <v>1840</v>
      </c>
      <c r="R84" s="203">
        <v>1840</v>
      </c>
      <c r="S84" s="202">
        <v>1840</v>
      </c>
      <c r="T84" s="203">
        <v>1840</v>
      </c>
      <c r="U84" s="203">
        <v>1840</v>
      </c>
      <c r="V84" s="203">
        <v>1840</v>
      </c>
      <c r="W84" s="204"/>
      <c r="X84" s="203">
        <v>1840</v>
      </c>
      <c r="Y84" s="203">
        <v>1840</v>
      </c>
      <c r="Z84" s="202">
        <v>1840</v>
      </c>
      <c r="AA84" s="203">
        <v>1840</v>
      </c>
      <c r="AB84" s="203">
        <v>1848</v>
      </c>
      <c r="AC84" s="205"/>
      <c r="AD84" s="204"/>
      <c r="AE84" s="205"/>
      <c r="AF84" s="205"/>
      <c r="AG84" s="206"/>
      <c r="AH84" s="207"/>
      <c r="AI84" s="207"/>
      <c r="AJ84" s="8"/>
    </row>
    <row r="85" spans="1:36" ht="15">
      <c r="A85" s="365"/>
      <c r="B85" s="200" t="s">
        <v>140</v>
      </c>
      <c r="C85" s="201">
        <v>37080</v>
      </c>
      <c r="D85" s="201">
        <v>1765.7142857142858</v>
      </c>
      <c r="E85" s="202">
        <v>1840</v>
      </c>
      <c r="F85" s="203">
        <v>1840</v>
      </c>
      <c r="G85" s="203">
        <v>1840</v>
      </c>
      <c r="H85" s="203">
        <v>1840</v>
      </c>
      <c r="I85" s="204"/>
      <c r="J85" s="203">
        <v>1840</v>
      </c>
      <c r="K85" s="203">
        <v>1840</v>
      </c>
      <c r="L85" s="202">
        <v>1840</v>
      </c>
      <c r="M85" s="203">
        <v>1320</v>
      </c>
      <c r="N85" s="203">
        <v>1760</v>
      </c>
      <c r="O85" s="203">
        <v>1760</v>
      </c>
      <c r="P85" s="204"/>
      <c r="Q85" s="203">
        <v>1760</v>
      </c>
      <c r="R85" s="203">
        <v>1760</v>
      </c>
      <c r="S85" s="202">
        <v>1760</v>
      </c>
      <c r="T85" s="203">
        <v>1760</v>
      </c>
      <c r="U85" s="203">
        <v>1760</v>
      </c>
      <c r="V85" s="203">
        <v>1760</v>
      </c>
      <c r="W85" s="204"/>
      <c r="X85" s="203">
        <v>1760</v>
      </c>
      <c r="Y85" s="203">
        <v>1760</v>
      </c>
      <c r="Z85" s="202">
        <v>1760</v>
      </c>
      <c r="AA85" s="203">
        <v>1760</v>
      </c>
      <c r="AB85" s="203">
        <v>1760</v>
      </c>
      <c r="AC85" s="203">
        <v>1200</v>
      </c>
      <c r="AD85" s="204"/>
      <c r="AE85" s="203">
        <v>1600</v>
      </c>
      <c r="AF85" s="203">
        <v>1600</v>
      </c>
      <c r="AG85" s="208">
        <v>1080</v>
      </c>
      <c r="AH85" s="209">
        <v>1440</v>
      </c>
      <c r="AI85" s="209">
        <v>1440</v>
      </c>
      <c r="AJ85" s="8"/>
    </row>
    <row r="86" spans="1:36" ht="15">
      <c r="A86" s="365"/>
      <c r="B86" s="210" t="s">
        <v>141</v>
      </c>
      <c r="C86" s="211">
        <v>37158</v>
      </c>
      <c r="D86" s="211">
        <v>1769.4285714285713</v>
      </c>
      <c r="E86" s="212">
        <v>1842</v>
      </c>
      <c r="F86" s="213">
        <v>1842</v>
      </c>
      <c r="G86" s="213">
        <v>1842</v>
      </c>
      <c r="H86" s="213">
        <v>1842</v>
      </c>
      <c r="I86" s="214"/>
      <c r="J86" s="213">
        <v>1842</v>
      </c>
      <c r="K86" s="213">
        <v>1842</v>
      </c>
      <c r="L86" s="212">
        <v>1842</v>
      </c>
      <c r="M86" s="213">
        <v>1332</v>
      </c>
      <c r="N86" s="213">
        <v>1764</v>
      </c>
      <c r="O86" s="213">
        <v>1764</v>
      </c>
      <c r="P86" s="214"/>
      <c r="Q86" s="213">
        <v>1764</v>
      </c>
      <c r="R86" s="213">
        <v>1764</v>
      </c>
      <c r="S86" s="212">
        <v>1764</v>
      </c>
      <c r="T86" s="213">
        <v>1764</v>
      </c>
      <c r="U86" s="213">
        <v>1764</v>
      </c>
      <c r="V86" s="213">
        <v>1764</v>
      </c>
      <c r="W86" s="214"/>
      <c r="X86" s="213">
        <v>1764</v>
      </c>
      <c r="Y86" s="213">
        <v>1764</v>
      </c>
      <c r="Z86" s="212">
        <v>1764</v>
      </c>
      <c r="AA86" s="213">
        <v>1764</v>
      </c>
      <c r="AB86" s="213">
        <v>1764</v>
      </c>
      <c r="AC86" s="215"/>
      <c r="AD86" s="214"/>
      <c r="AE86" s="215"/>
      <c r="AF86" s="215"/>
      <c r="AG86" s="216"/>
      <c r="AH86" s="217"/>
      <c r="AI86" s="217"/>
      <c r="AJ86" s="8"/>
    </row>
    <row r="87" spans="1:36" ht="15">
      <c r="A87" s="365"/>
      <c r="B87" s="210" t="s">
        <v>142</v>
      </c>
      <c r="C87" s="211">
        <v>78</v>
      </c>
      <c r="D87" s="211">
        <v>3.7142857142857144</v>
      </c>
      <c r="E87" s="212">
        <v>2</v>
      </c>
      <c r="F87" s="213">
        <v>2</v>
      </c>
      <c r="G87" s="213">
        <v>2</v>
      </c>
      <c r="H87" s="213">
        <v>2</v>
      </c>
      <c r="I87" s="214"/>
      <c r="J87" s="213">
        <v>2</v>
      </c>
      <c r="K87" s="213">
        <v>2</v>
      </c>
      <c r="L87" s="212">
        <v>2</v>
      </c>
      <c r="M87" s="213">
        <v>12</v>
      </c>
      <c r="N87" s="213">
        <v>4</v>
      </c>
      <c r="O87" s="213">
        <v>4</v>
      </c>
      <c r="P87" s="214"/>
      <c r="Q87" s="213">
        <v>4</v>
      </c>
      <c r="R87" s="213">
        <v>4</v>
      </c>
      <c r="S87" s="212">
        <v>4</v>
      </c>
      <c r="T87" s="213">
        <v>4</v>
      </c>
      <c r="U87" s="213">
        <v>4</v>
      </c>
      <c r="V87" s="213">
        <v>4</v>
      </c>
      <c r="W87" s="214"/>
      <c r="X87" s="213">
        <v>4</v>
      </c>
      <c r="Y87" s="213">
        <v>4</v>
      </c>
      <c r="Z87" s="212">
        <v>4</v>
      </c>
      <c r="AA87" s="213">
        <v>4</v>
      </c>
      <c r="AB87" s="213">
        <v>4</v>
      </c>
      <c r="AC87" s="215"/>
      <c r="AD87" s="214"/>
      <c r="AE87" s="215"/>
      <c r="AF87" s="215"/>
      <c r="AG87" s="216"/>
      <c r="AH87" s="217"/>
      <c r="AI87" s="217"/>
      <c r="AJ87" s="8"/>
    </row>
    <row r="88" spans="1:36" ht="15">
      <c r="A88" s="365"/>
      <c r="B88" s="210" t="s">
        <v>143</v>
      </c>
      <c r="C88" s="211">
        <v>168</v>
      </c>
      <c r="D88" s="211">
        <v>8</v>
      </c>
      <c r="E88" s="212">
        <v>8</v>
      </c>
      <c r="F88" s="213">
        <v>8</v>
      </c>
      <c r="G88" s="213">
        <v>8</v>
      </c>
      <c r="H88" s="213">
        <v>8</v>
      </c>
      <c r="I88" s="214"/>
      <c r="J88" s="213">
        <v>8</v>
      </c>
      <c r="K88" s="213">
        <v>8</v>
      </c>
      <c r="L88" s="212">
        <v>8</v>
      </c>
      <c r="M88" s="213">
        <v>8</v>
      </c>
      <c r="N88" s="213">
        <v>8</v>
      </c>
      <c r="O88" s="213">
        <v>8</v>
      </c>
      <c r="P88" s="214"/>
      <c r="Q88" s="213">
        <v>8</v>
      </c>
      <c r="R88" s="213">
        <v>8</v>
      </c>
      <c r="S88" s="212">
        <v>8</v>
      </c>
      <c r="T88" s="213">
        <v>8</v>
      </c>
      <c r="U88" s="213">
        <v>8</v>
      </c>
      <c r="V88" s="213">
        <v>8</v>
      </c>
      <c r="W88" s="214"/>
      <c r="X88" s="213">
        <v>8</v>
      </c>
      <c r="Y88" s="213">
        <v>8</v>
      </c>
      <c r="Z88" s="212">
        <v>8</v>
      </c>
      <c r="AA88" s="213">
        <v>8</v>
      </c>
      <c r="AB88" s="213">
        <v>8</v>
      </c>
      <c r="AC88" s="215"/>
      <c r="AD88" s="214"/>
      <c r="AE88" s="215"/>
      <c r="AF88" s="215"/>
      <c r="AG88" s="216"/>
      <c r="AH88" s="217"/>
      <c r="AI88" s="217"/>
      <c r="AJ88" s="8"/>
    </row>
    <row r="89" spans="1:36" ht="15">
      <c r="A89" s="365"/>
      <c r="B89" s="210" t="s">
        <v>144</v>
      </c>
      <c r="C89" s="211">
        <v>82</v>
      </c>
      <c r="D89" s="211">
        <v>82</v>
      </c>
      <c r="E89" s="212">
        <v>85</v>
      </c>
      <c r="F89" s="213">
        <v>85</v>
      </c>
      <c r="G89" s="213">
        <v>85</v>
      </c>
      <c r="H89" s="213">
        <v>84</v>
      </c>
      <c r="I89" s="214"/>
      <c r="J89" s="213">
        <v>82</v>
      </c>
      <c r="K89" s="213">
        <v>85</v>
      </c>
      <c r="L89" s="212">
        <v>82</v>
      </c>
      <c r="M89" s="213">
        <v>82</v>
      </c>
      <c r="N89" s="213">
        <v>83</v>
      </c>
      <c r="O89" s="213">
        <v>84</v>
      </c>
      <c r="P89" s="214"/>
      <c r="Q89" s="213">
        <v>79</v>
      </c>
      <c r="R89" s="213">
        <v>83</v>
      </c>
      <c r="S89" s="212">
        <v>82</v>
      </c>
      <c r="T89" s="213">
        <v>79</v>
      </c>
      <c r="U89" s="213">
        <v>83</v>
      </c>
      <c r="V89" s="213">
        <v>84</v>
      </c>
      <c r="W89" s="214"/>
      <c r="X89" s="213">
        <v>79</v>
      </c>
      <c r="Y89" s="213">
        <v>79</v>
      </c>
      <c r="Z89" s="212">
        <v>83</v>
      </c>
      <c r="AA89" s="213">
        <v>82</v>
      </c>
      <c r="AB89" s="213">
        <v>80</v>
      </c>
      <c r="AC89" s="215"/>
      <c r="AD89" s="214"/>
      <c r="AE89" s="215"/>
      <c r="AF89" s="215"/>
      <c r="AG89" s="216"/>
      <c r="AH89" s="217"/>
      <c r="AI89" s="217"/>
      <c r="AJ89" s="8"/>
    </row>
    <row r="90" spans="1:36" ht="15">
      <c r="A90" s="365"/>
      <c r="B90" s="210" t="s">
        <v>145</v>
      </c>
      <c r="C90" s="211">
        <v>221.17857142857142</v>
      </c>
      <c r="D90" s="211">
        <v>221.17857142857142</v>
      </c>
      <c r="E90" s="212">
        <v>230.25</v>
      </c>
      <c r="F90" s="213">
        <v>230.25</v>
      </c>
      <c r="G90" s="213">
        <v>230.25</v>
      </c>
      <c r="H90" s="213">
        <v>230.25</v>
      </c>
      <c r="I90" s="214"/>
      <c r="J90" s="213">
        <v>230.25</v>
      </c>
      <c r="K90" s="213">
        <v>230.25</v>
      </c>
      <c r="L90" s="212">
        <v>230.25</v>
      </c>
      <c r="M90" s="213">
        <v>166.5</v>
      </c>
      <c r="N90" s="213">
        <v>220.5</v>
      </c>
      <c r="O90" s="213">
        <v>220.5</v>
      </c>
      <c r="P90" s="214"/>
      <c r="Q90" s="213">
        <v>220.5</v>
      </c>
      <c r="R90" s="213">
        <v>220.5</v>
      </c>
      <c r="S90" s="212">
        <v>220.5</v>
      </c>
      <c r="T90" s="213">
        <v>220.5</v>
      </c>
      <c r="U90" s="213">
        <v>220.5</v>
      </c>
      <c r="V90" s="213">
        <v>220.5</v>
      </c>
      <c r="W90" s="214"/>
      <c r="X90" s="213">
        <v>220.5</v>
      </c>
      <c r="Y90" s="213">
        <v>220.5</v>
      </c>
      <c r="Z90" s="212">
        <v>220.5</v>
      </c>
      <c r="AA90" s="213">
        <v>220.5</v>
      </c>
      <c r="AB90" s="213">
        <v>220.5</v>
      </c>
      <c r="AC90" s="215"/>
      <c r="AD90" s="214"/>
      <c r="AE90" s="215"/>
      <c r="AF90" s="215"/>
      <c r="AG90" s="216"/>
      <c r="AH90" s="217"/>
      <c r="AI90" s="217"/>
      <c r="AJ90" s="8"/>
    </row>
    <row r="91" spans="1:36" ht="15">
      <c r="A91" s="366"/>
      <c r="B91" s="219" t="s">
        <v>146</v>
      </c>
      <c r="C91" s="220">
        <v>2.6973000000000003</v>
      </c>
      <c r="D91" s="220">
        <v>2.6973000000000003</v>
      </c>
      <c r="E91" s="221">
        <v>2.7088000000000001</v>
      </c>
      <c r="F91" s="220">
        <v>2.7088000000000001</v>
      </c>
      <c r="G91" s="220">
        <v>2.7088000000000001</v>
      </c>
      <c r="H91" s="220">
        <v>2.7410999999999999</v>
      </c>
      <c r="I91" s="222"/>
      <c r="J91" s="220">
        <v>2.8079000000000001</v>
      </c>
      <c r="K91" s="220">
        <v>2.7088000000000001</v>
      </c>
      <c r="L91" s="221">
        <v>2.8079000000000001</v>
      </c>
      <c r="M91" s="220">
        <v>2.0305</v>
      </c>
      <c r="N91" s="220">
        <v>2.6566000000000001</v>
      </c>
      <c r="O91" s="220">
        <v>2.625</v>
      </c>
      <c r="P91" s="222"/>
      <c r="Q91" s="220">
        <v>2.7911000000000001</v>
      </c>
      <c r="R91" s="220">
        <v>2.6566000000000001</v>
      </c>
      <c r="S91" s="221">
        <v>2.6890000000000001</v>
      </c>
      <c r="T91" s="220">
        <v>2.7911000000000001</v>
      </c>
      <c r="U91" s="220">
        <v>2.6566000000000001</v>
      </c>
      <c r="V91" s="220">
        <v>2.625</v>
      </c>
      <c r="W91" s="222"/>
      <c r="X91" s="220">
        <v>2.7911000000000001</v>
      </c>
      <c r="Y91" s="220">
        <v>2.7911000000000001</v>
      </c>
      <c r="Z91" s="221">
        <v>2.6566000000000001</v>
      </c>
      <c r="AA91" s="220">
        <v>2.6890000000000001</v>
      </c>
      <c r="AB91" s="220">
        <v>2.7563</v>
      </c>
      <c r="AC91" s="223"/>
      <c r="AD91" s="222"/>
      <c r="AE91" s="223"/>
      <c r="AF91" s="223"/>
      <c r="AG91" s="224"/>
      <c r="AH91" s="225"/>
      <c r="AI91" s="225"/>
      <c r="AJ91" s="8"/>
    </row>
    <row r="92" spans="1:36" ht="15">
      <c r="A92" s="364" t="s">
        <v>157</v>
      </c>
      <c r="B92" s="200" t="s">
        <v>139</v>
      </c>
      <c r="C92" s="201">
        <v>38096</v>
      </c>
      <c r="D92" s="201">
        <v>1814.0952380952381</v>
      </c>
      <c r="E92" s="202">
        <v>1920</v>
      </c>
      <c r="F92" s="203">
        <v>1920</v>
      </c>
      <c r="G92" s="203">
        <v>1920</v>
      </c>
      <c r="H92" s="203">
        <v>1920</v>
      </c>
      <c r="I92" s="204"/>
      <c r="J92" s="203">
        <v>1920</v>
      </c>
      <c r="K92" s="203">
        <v>1920</v>
      </c>
      <c r="L92" s="202">
        <v>1920</v>
      </c>
      <c r="M92" s="203">
        <v>1896</v>
      </c>
      <c r="N92" s="203">
        <v>1760</v>
      </c>
      <c r="O92" s="203">
        <v>1800</v>
      </c>
      <c r="P92" s="204"/>
      <c r="Q92" s="203">
        <v>1800</v>
      </c>
      <c r="R92" s="203">
        <v>1760</v>
      </c>
      <c r="S92" s="202">
        <v>1760</v>
      </c>
      <c r="T92" s="203">
        <v>1760</v>
      </c>
      <c r="U92" s="203">
        <v>1760</v>
      </c>
      <c r="V92" s="203">
        <v>1760</v>
      </c>
      <c r="W92" s="204"/>
      <c r="X92" s="203">
        <v>1760</v>
      </c>
      <c r="Y92" s="203">
        <v>1760</v>
      </c>
      <c r="Z92" s="202">
        <v>1760</v>
      </c>
      <c r="AA92" s="203">
        <v>1760</v>
      </c>
      <c r="AB92" s="203">
        <v>1560</v>
      </c>
      <c r="AC92" s="205"/>
      <c r="AD92" s="204"/>
      <c r="AE92" s="205"/>
      <c r="AF92" s="205"/>
      <c r="AG92" s="206"/>
      <c r="AH92" s="207"/>
      <c r="AI92" s="207"/>
      <c r="AJ92" s="8"/>
    </row>
    <row r="93" spans="1:36" ht="15">
      <c r="A93" s="365"/>
      <c r="B93" s="200" t="s">
        <v>158</v>
      </c>
      <c r="C93" s="201">
        <v>35000</v>
      </c>
      <c r="D93" s="201">
        <v>1666.6666666666667</v>
      </c>
      <c r="E93" s="202">
        <v>1840</v>
      </c>
      <c r="F93" s="203">
        <v>1840</v>
      </c>
      <c r="G93" s="203">
        <v>1840</v>
      </c>
      <c r="H93" s="203">
        <v>1840</v>
      </c>
      <c r="I93" s="204"/>
      <c r="J93" s="203">
        <v>1840</v>
      </c>
      <c r="K93" s="203">
        <v>1840</v>
      </c>
      <c r="L93" s="202">
        <v>1840</v>
      </c>
      <c r="M93" s="203">
        <v>1840</v>
      </c>
      <c r="N93" s="203">
        <v>1840</v>
      </c>
      <c r="O93" s="203">
        <v>1840</v>
      </c>
      <c r="P93" s="204"/>
      <c r="Q93" s="203">
        <v>1840</v>
      </c>
      <c r="R93" s="203">
        <v>1840</v>
      </c>
      <c r="S93" s="202">
        <v>1080</v>
      </c>
      <c r="T93" s="203">
        <v>1440</v>
      </c>
      <c r="U93" s="203">
        <v>1440</v>
      </c>
      <c r="V93" s="203">
        <v>1440</v>
      </c>
      <c r="W93" s="204"/>
      <c r="X93" s="203">
        <v>1440</v>
      </c>
      <c r="Y93" s="203">
        <v>1440</v>
      </c>
      <c r="Z93" s="202">
        <v>1760</v>
      </c>
      <c r="AA93" s="203">
        <v>1440</v>
      </c>
      <c r="AB93" s="203">
        <v>1440</v>
      </c>
      <c r="AC93" s="203">
        <v>1440</v>
      </c>
      <c r="AD93" s="204"/>
      <c r="AE93" s="203">
        <v>1440</v>
      </c>
      <c r="AF93" s="203">
        <v>1440</v>
      </c>
      <c r="AG93" s="208">
        <v>1440</v>
      </c>
      <c r="AH93" s="209">
        <v>1440</v>
      </c>
      <c r="AI93" s="209">
        <v>1440</v>
      </c>
      <c r="AJ93" s="8"/>
    </row>
    <row r="94" spans="1:36" ht="15">
      <c r="A94" s="365"/>
      <c r="B94" s="210" t="s">
        <v>159</v>
      </c>
      <c r="C94" s="211">
        <v>35058</v>
      </c>
      <c r="D94" s="211">
        <v>1669.4285714285713</v>
      </c>
      <c r="E94" s="212">
        <v>1842</v>
      </c>
      <c r="F94" s="213">
        <v>1872</v>
      </c>
      <c r="G94" s="213">
        <v>1842</v>
      </c>
      <c r="H94" s="213">
        <v>1842</v>
      </c>
      <c r="I94" s="214"/>
      <c r="J94" s="213">
        <v>1842</v>
      </c>
      <c r="K94" s="213">
        <v>1842</v>
      </c>
      <c r="L94" s="212">
        <v>1842</v>
      </c>
      <c r="M94" s="213">
        <v>1842</v>
      </c>
      <c r="N94" s="213">
        <v>1842</v>
      </c>
      <c r="O94" s="213">
        <v>1842</v>
      </c>
      <c r="P94" s="214"/>
      <c r="Q94" s="213">
        <v>1842</v>
      </c>
      <c r="R94" s="213">
        <v>1842</v>
      </c>
      <c r="S94" s="212">
        <v>1080</v>
      </c>
      <c r="T94" s="213">
        <v>1440</v>
      </c>
      <c r="U94" s="213">
        <v>1440</v>
      </c>
      <c r="V94" s="213">
        <v>1440</v>
      </c>
      <c r="W94" s="214"/>
      <c r="X94" s="213">
        <v>1440</v>
      </c>
      <c r="Y94" s="213">
        <v>1440</v>
      </c>
      <c r="Z94" s="212">
        <v>1764</v>
      </c>
      <c r="AA94" s="213">
        <v>1440</v>
      </c>
      <c r="AB94" s="213">
        <v>1440</v>
      </c>
      <c r="AC94" s="215"/>
      <c r="AD94" s="214"/>
      <c r="AE94" s="215"/>
      <c r="AF94" s="215"/>
      <c r="AG94" s="216"/>
      <c r="AH94" s="217"/>
      <c r="AI94" s="217"/>
      <c r="AJ94" s="8"/>
    </row>
    <row r="95" spans="1:36" ht="15">
      <c r="A95" s="365"/>
      <c r="B95" s="210" t="s">
        <v>160</v>
      </c>
      <c r="C95" s="211">
        <v>58</v>
      </c>
      <c r="D95" s="211">
        <v>2.7619047619047619</v>
      </c>
      <c r="E95" s="212">
        <v>2</v>
      </c>
      <c r="F95" s="213">
        <v>32</v>
      </c>
      <c r="G95" s="213">
        <v>2</v>
      </c>
      <c r="H95" s="213">
        <v>2</v>
      </c>
      <c r="I95" s="214"/>
      <c r="J95" s="213">
        <v>2</v>
      </c>
      <c r="K95" s="213">
        <v>2</v>
      </c>
      <c r="L95" s="212">
        <v>2</v>
      </c>
      <c r="M95" s="213">
        <v>2</v>
      </c>
      <c r="N95" s="213">
        <v>2</v>
      </c>
      <c r="O95" s="213">
        <v>2</v>
      </c>
      <c r="P95" s="214"/>
      <c r="Q95" s="213">
        <v>2</v>
      </c>
      <c r="R95" s="213">
        <v>2</v>
      </c>
      <c r="S95" s="212">
        <v>0</v>
      </c>
      <c r="T95" s="213">
        <v>0</v>
      </c>
      <c r="U95" s="213">
        <v>0</v>
      </c>
      <c r="V95" s="213">
        <v>0</v>
      </c>
      <c r="W95" s="214"/>
      <c r="X95" s="213">
        <v>0</v>
      </c>
      <c r="Y95" s="213">
        <v>0</v>
      </c>
      <c r="Z95" s="212">
        <v>4</v>
      </c>
      <c r="AA95" s="213">
        <v>0</v>
      </c>
      <c r="AB95" s="213">
        <v>0</v>
      </c>
      <c r="AC95" s="215"/>
      <c r="AD95" s="214"/>
      <c r="AE95" s="215"/>
      <c r="AF95" s="215"/>
      <c r="AG95" s="216"/>
      <c r="AH95" s="217"/>
      <c r="AI95" s="217"/>
      <c r="AJ95" s="8"/>
    </row>
    <row r="96" spans="1:36" ht="15">
      <c r="A96" s="365"/>
      <c r="B96" s="210" t="s">
        <v>161</v>
      </c>
      <c r="C96" s="211">
        <v>168</v>
      </c>
      <c r="D96" s="211">
        <v>8</v>
      </c>
      <c r="E96" s="212">
        <v>8</v>
      </c>
      <c r="F96" s="213">
        <v>8</v>
      </c>
      <c r="G96" s="213">
        <v>8</v>
      </c>
      <c r="H96" s="213">
        <v>8</v>
      </c>
      <c r="I96" s="214"/>
      <c r="J96" s="213">
        <v>8</v>
      </c>
      <c r="K96" s="213">
        <v>8</v>
      </c>
      <c r="L96" s="212">
        <v>8</v>
      </c>
      <c r="M96" s="213">
        <v>8</v>
      </c>
      <c r="N96" s="213">
        <v>8</v>
      </c>
      <c r="O96" s="213">
        <v>8</v>
      </c>
      <c r="P96" s="214"/>
      <c r="Q96" s="213">
        <v>8</v>
      </c>
      <c r="R96" s="213">
        <v>8</v>
      </c>
      <c r="S96" s="212">
        <v>8</v>
      </c>
      <c r="T96" s="213">
        <v>8</v>
      </c>
      <c r="U96" s="213">
        <v>8</v>
      </c>
      <c r="V96" s="213">
        <v>8</v>
      </c>
      <c r="W96" s="214"/>
      <c r="X96" s="213">
        <v>8</v>
      </c>
      <c r="Y96" s="213">
        <v>8</v>
      </c>
      <c r="Z96" s="212">
        <v>8</v>
      </c>
      <c r="AA96" s="213">
        <v>8</v>
      </c>
      <c r="AB96" s="213">
        <v>8</v>
      </c>
      <c r="AC96" s="215"/>
      <c r="AD96" s="214"/>
      <c r="AE96" s="215"/>
      <c r="AF96" s="215"/>
      <c r="AG96" s="216"/>
      <c r="AH96" s="217"/>
      <c r="AI96" s="217"/>
      <c r="AJ96" s="8"/>
    </row>
    <row r="97" spans="1:36" ht="15">
      <c r="A97" s="365"/>
      <c r="B97" s="210" t="s">
        <v>162</v>
      </c>
      <c r="C97" s="211">
        <v>104</v>
      </c>
      <c r="D97" s="211">
        <v>104</v>
      </c>
      <c r="E97" s="212">
        <v>104</v>
      </c>
      <c r="F97" s="213">
        <v>106</v>
      </c>
      <c r="G97" s="213">
        <v>107</v>
      </c>
      <c r="H97" s="213">
        <v>104</v>
      </c>
      <c r="I97" s="214"/>
      <c r="J97" s="213">
        <v>103</v>
      </c>
      <c r="K97" s="213">
        <v>105</v>
      </c>
      <c r="L97" s="212">
        <v>106</v>
      </c>
      <c r="M97" s="213">
        <v>108</v>
      </c>
      <c r="N97" s="213">
        <v>110</v>
      </c>
      <c r="O97" s="213">
        <v>102</v>
      </c>
      <c r="P97" s="214"/>
      <c r="Q97" s="213">
        <v>105</v>
      </c>
      <c r="R97" s="213">
        <v>108</v>
      </c>
      <c r="S97" s="212">
        <v>107</v>
      </c>
      <c r="T97" s="213">
        <v>106</v>
      </c>
      <c r="U97" s="213">
        <v>103</v>
      </c>
      <c r="V97" s="213">
        <v>102</v>
      </c>
      <c r="W97" s="214"/>
      <c r="X97" s="213">
        <v>100</v>
      </c>
      <c r="Y97" s="213">
        <v>102</v>
      </c>
      <c r="Z97" s="212">
        <v>106</v>
      </c>
      <c r="AA97" s="213">
        <v>106</v>
      </c>
      <c r="AB97" s="213">
        <v>103</v>
      </c>
      <c r="AC97" s="215"/>
      <c r="AD97" s="214"/>
      <c r="AE97" s="215"/>
      <c r="AF97" s="215"/>
      <c r="AG97" s="216"/>
      <c r="AH97" s="217"/>
      <c r="AI97" s="217"/>
      <c r="AJ97" s="8"/>
    </row>
    <row r="98" spans="1:36" ht="15">
      <c r="A98" s="365"/>
      <c r="B98" s="210" t="s">
        <v>163</v>
      </c>
      <c r="C98" s="211">
        <v>208.67857142857142</v>
      </c>
      <c r="D98" s="211">
        <v>208.67857142857142</v>
      </c>
      <c r="E98" s="212">
        <v>230.25</v>
      </c>
      <c r="F98" s="213">
        <v>234</v>
      </c>
      <c r="G98" s="213">
        <v>230.25</v>
      </c>
      <c r="H98" s="213">
        <v>230.25</v>
      </c>
      <c r="I98" s="214"/>
      <c r="J98" s="213">
        <v>230.25</v>
      </c>
      <c r="K98" s="213">
        <v>230.25</v>
      </c>
      <c r="L98" s="212">
        <v>230.25</v>
      </c>
      <c r="M98" s="213">
        <v>230.25</v>
      </c>
      <c r="N98" s="213">
        <v>230.25</v>
      </c>
      <c r="O98" s="213">
        <v>230.25</v>
      </c>
      <c r="P98" s="214"/>
      <c r="Q98" s="213">
        <v>230.25</v>
      </c>
      <c r="R98" s="213">
        <v>230.25</v>
      </c>
      <c r="S98" s="212">
        <v>135</v>
      </c>
      <c r="T98" s="213">
        <v>180</v>
      </c>
      <c r="U98" s="213">
        <v>180</v>
      </c>
      <c r="V98" s="213">
        <v>180</v>
      </c>
      <c r="W98" s="214"/>
      <c r="X98" s="213">
        <v>180</v>
      </c>
      <c r="Y98" s="213">
        <v>180</v>
      </c>
      <c r="Z98" s="212">
        <v>220.5</v>
      </c>
      <c r="AA98" s="213">
        <v>180</v>
      </c>
      <c r="AB98" s="213">
        <v>180</v>
      </c>
      <c r="AC98" s="215"/>
      <c r="AD98" s="214"/>
      <c r="AE98" s="215"/>
      <c r="AF98" s="215"/>
      <c r="AG98" s="216"/>
      <c r="AH98" s="217"/>
      <c r="AI98" s="217"/>
      <c r="AJ98" s="8"/>
    </row>
    <row r="99" spans="1:36" ht="15">
      <c r="A99" s="366"/>
      <c r="B99" s="219" t="s">
        <v>164</v>
      </c>
      <c r="C99" s="220">
        <v>2.0065</v>
      </c>
      <c r="D99" s="220">
        <v>2.0065</v>
      </c>
      <c r="E99" s="221">
        <v>2.2139000000000002</v>
      </c>
      <c r="F99" s="220">
        <v>2.2075</v>
      </c>
      <c r="G99" s="220">
        <v>2.1518999999999999</v>
      </c>
      <c r="H99" s="220">
        <v>2.2139000000000002</v>
      </c>
      <c r="I99" s="222"/>
      <c r="J99" s="220">
        <v>2.2353999999999998</v>
      </c>
      <c r="K99" s="220">
        <v>2.1928999999999998</v>
      </c>
      <c r="L99" s="221">
        <v>2.1722000000000001</v>
      </c>
      <c r="M99" s="220">
        <v>2.1318999999999999</v>
      </c>
      <c r="N99" s="220">
        <v>2.0931999999999999</v>
      </c>
      <c r="O99" s="220">
        <v>2.2574000000000001</v>
      </c>
      <c r="P99" s="222"/>
      <c r="Q99" s="220">
        <v>2.1928999999999998</v>
      </c>
      <c r="R99" s="220">
        <v>2.1318999999999999</v>
      </c>
      <c r="S99" s="221">
        <v>1.2617</v>
      </c>
      <c r="T99" s="220">
        <v>1.6981000000000002</v>
      </c>
      <c r="U99" s="220">
        <v>1.7476</v>
      </c>
      <c r="V99" s="220">
        <v>1.7646999999999999</v>
      </c>
      <c r="W99" s="222"/>
      <c r="X99" s="220">
        <v>1.8</v>
      </c>
      <c r="Y99" s="220">
        <v>1.7646999999999999</v>
      </c>
      <c r="Z99" s="221">
        <v>2.0802</v>
      </c>
      <c r="AA99" s="220">
        <v>1.6981000000000002</v>
      </c>
      <c r="AB99" s="220">
        <v>1.7476</v>
      </c>
      <c r="AC99" s="223"/>
      <c r="AD99" s="222"/>
      <c r="AE99" s="223"/>
      <c r="AF99" s="223"/>
      <c r="AG99" s="224"/>
      <c r="AH99" s="225"/>
      <c r="AI99" s="225"/>
      <c r="AJ99" s="8"/>
    </row>
    <row r="100" spans="1:36" ht="15">
      <c r="A100" s="364" t="s">
        <v>165</v>
      </c>
      <c r="B100" s="200" t="s">
        <v>166</v>
      </c>
      <c r="C100" s="201">
        <v>33520</v>
      </c>
      <c r="D100" s="201">
        <v>1596.1904761904761</v>
      </c>
      <c r="E100" s="202">
        <v>1520</v>
      </c>
      <c r="F100" s="203">
        <v>1520</v>
      </c>
      <c r="G100" s="203">
        <v>1520</v>
      </c>
      <c r="H100" s="203">
        <v>1520</v>
      </c>
      <c r="I100" s="204"/>
      <c r="J100" s="203">
        <v>1520</v>
      </c>
      <c r="K100" s="203">
        <v>1640</v>
      </c>
      <c r="L100" s="202">
        <v>1760</v>
      </c>
      <c r="M100" s="203">
        <v>1760</v>
      </c>
      <c r="N100" s="203">
        <v>1760</v>
      </c>
      <c r="O100" s="203">
        <v>1760</v>
      </c>
      <c r="P100" s="204"/>
      <c r="Q100" s="203">
        <v>1760</v>
      </c>
      <c r="R100" s="203">
        <v>1760</v>
      </c>
      <c r="S100" s="202">
        <v>1560</v>
      </c>
      <c r="T100" s="203">
        <v>1360</v>
      </c>
      <c r="U100" s="203">
        <v>1360</v>
      </c>
      <c r="V100" s="203">
        <v>1360</v>
      </c>
      <c r="W100" s="204"/>
      <c r="X100" s="203">
        <v>1360</v>
      </c>
      <c r="Y100" s="203">
        <v>1680</v>
      </c>
      <c r="Z100" s="202">
        <v>1680</v>
      </c>
      <c r="AA100" s="203">
        <v>1680</v>
      </c>
      <c r="AB100" s="203">
        <v>1680</v>
      </c>
      <c r="AC100" s="205"/>
      <c r="AD100" s="204"/>
      <c r="AE100" s="205"/>
      <c r="AF100" s="205"/>
      <c r="AG100" s="206"/>
      <c r="AH100" s="207"/>
      <c r="AI100" s="207"/>
      <c r="AJ100" s="8"/>
    </row>
    <row r="101" spans="1:36" ht="15">
      <c r="A101" s="365"/>
      <c r="B101" s="200" t="s">
        <v>158</v>
      </c>
      <c r="C101" s="201">
        <v>31800</v>
      </c>
      <c r="D101" s="201">
        <v>1514.2857142857142</v>
      </c>
      <c r="E101" s="202">
        <v>1680</v>
      </c>
      <c r="F101" s="203">
        <v>1680</v>
      </c>
      <c r="G101" s="203">
        <v>1680</v>
      </c>
      <c r="H101" s="203">
        <v>1680</v>
      </c>
      <c r="I101" s="204"/>
      <c r="J101" s="203">
        <v>1680</v>
      </c>
      <c r="K101" s="203">
        <v>1680</v>
      </c>
      <c r="L101" s="202">
        <v>1680</v>
      </c>
      <c r="M101" s="203">
        <v>1680</v>
      </c>
      <c r="N101" s="203">
        <v>1680</v>
      </c>
      <c r="O101" s="203">
        <v>1680</v>
      </c>
      <c r="P101" s="204"/>
      <c r="Q101" s="203">
        <v>960</v>
      </c>
      <c r="R101" s="203">
        <v>960</v>
      </c>
      <c r="S101" s="202">
        <v>1280</v>
      </c>
      <c r="T101" s="203">
        <v>1280</v>
      </c>
      <c r="U101" s="203">
        <v>1280</v>
      </c>
      <c r="V101" s="203">
        <v>1260</v>
      </c>
      <c r="W101" s="204"/>
      <c r="X101" s="203">
        <v>1260</v>
      </c>
      <c r="Y101" s="203">
        <v>1680</v>
      </c>
      <c r="Z101" s="202">
        <v>1680</v>
      </c>
      <c r="AA101" s="203">
        <v>1680</v>
      </c>
      <c r="AB101" s="203">
        <v>1680</v>
      </c>
      <c r="AC101" s="203">
        <v>1680</v>
      </c>
      <c r="AD101" s="204"/>
      <c r="AE101" s="203">
        <v>1680</v>
      </c>
      <c r="AF101" s="203">
        <v>990</v>
      </c>
      <c r="AG101" s="208">
        <v>990</v>
      </c>
      <c r="AH101" s="209">
        <v>1320</v>
      </c>
      <c r="AI101" s="209">
        <v>1320</v>
      </c>
      <c r="AJ101" s="8"/>
    </row>
    <row r="102" spans="1:36" ht="15">
      <c r="A102" s="365"/>
      <c r="B102" s="210" t="s">
        <v>159</v>
      </c>
      <c r="C102" s="211">
        <v>31814</v>
      </c>
      <c r="D102" s="211">
        <v>1514.952380952381</v>
      </c>
      <c r="E102" s="212">
        <v>1674</v>
      </c>
      <c r="F102" s="213">
        <v>1680</v>
      </c>
      <c r="G102" s="213">
        <v>1680</v>
      </c>
      <c r="H102" s="213">
        <v>1680</v>
      </c>
      <c r="I102" s="214"/>
      <c r="J102" s="213">
        <v>1336</v>
      </c>
      <c r="K102" s="213">
        <v>1732</v>
      </c>
      <c r="L102" s="212">
        <v>1680</v>
      </c>
      <c r="M102" s="213">
        <v>1656</v>
      </c>
      <c r="N102" s="213">
        <v>1692</v>
      </c>
      <c r="O102" s="213">
        <v>1704</v>
      </c>
      <c r="P102" s="214"/>
      <c r="Q102" s="213">
        <v>984</v>
      </c>
      <c r="R102" s="213">
        <v>1116</v>
      </c>
      <c r="S102" s="212">
        <v>1404</v>
      </c>
      <c r="T102" s="213">
        <v>1275</v>
      </c>
      <c r="U102" s="213">
        <v>1281</v>
      </c>
      <c r="V102" s="213">
        <v>1263</v>
      </c>
      <c r="W102" s="214"/>
      <c r="X102" s="213">
        <v>1257</v>
      </c>
      <c r="Y102" s="213">
        <v>1644</v>
      </c>
      <c r="Z102" s="212">
        <v>1716</v>
      </c>
      <c r="AA102" s="213">
        <v>1692</v>
      </c>
      <c r="AB102" s="213">
        <v>1668</v>
      </c>
      <c r="AC102" s="215"/>
      <c r="AD102" s="214"/>
      <c r="AE102" s="215"/>
      <c r="AF102" s="215"/>
      <c r="AG102" s="216"/>
      <c r="AH102" s="217"/>
      <c r="AI102" s="217"/>
      <c r="AJ102" s="8"/>
    </row>
    <row r="103" spans="1:36" ht="15">
      <c r="A103" s="365"/>
      <c r="B103" s="210" t="s">
        <v>160</v>
      </c>
      <c r="C103" s="211">
        <v>14</v>
      </c>
      <c r="D103" s="211">
        <v>0.66666666666666663</v>
      </c>
      <c r="E103" s="214">
        <v>-6</v>
      </c>
      <c r="F103" s="213">
        <v>0</v>
      </c>
      <c r="G103" s="213">
        <v>0</v>
      </c>
      <c r="H103" s="213">
        <v>0</v>
      </c>
      <c r="I103" s="214"/>
      <c r="J103" s="215">
        <v>-344</v>
      </c>
      <c r="K103" s="213">
        <v>52</v>
      </c>
      <c r="L103" s="212">
        <v>0</v>
      </c>
      <c r="M103" s="215">
        <v>-24</v>
      </c>
      <c r="N103" s="213">
        <v>12</v>
      </c>
      <c r="O103" s="213">
        <v>24</v>
      </c>
      <c r="P103" s="214"/>
      <c r="Q103" s="213">
        <v>24</v>
      </c>
      <c r="R103" s="213">
        <v>156</v>
      </c>
      <c r="S103" s="212">
        <v>124</v>
      </c>
      <c r="T103" s="215">
        <v>-5</v>
      </c>
      <c r="U103" s="213">
        <v>1</v>
      </c>
      <c r="V103" s="213">
        <v>3</v>
      </c>
      <c r="W103" s="214"/>
      <c r="X103" s="215">
        <v>-3</v>
      </c>
      <c r="Y103" s="215">
        <v>-36</v>
      </c>
      <c r="Z103" s="212">
        <v>36</v>
      </c>
      <c r="AA103" s="213">
        <v>12</v>
      </c>
      <c r="AB103" s="215">
        <v>-12</v>
      </c>
      <c r="AC103" s="215"/>
      <c r="AD103" s="214"/>
      <c r="AE103" s="215"/>
      <c r="AF103" s="215"/>
      <c r="AG103" s="216"/>
      <c r="AH103" s="217"/>
      <c r="AI103" s="217"/>
      <c r="AJ103" s="8"/>
    </row>
    <row r="104" spans="1:36" ht="15">
      <c r="A104" s="365"/>
      <c r="B104" s="210" t="s">
        <v>161</v>
      </c>
      <c r="C104" s="211">
        <v>168</v>
      </c>
      <c r="D104" s="211">
        <v>8</v>
      </c>
      <c r="E104" s="212">
        <v>8</v>
      </c>
      <c r="F104" s="213">
        <v>8</v>
      </c>
      <c r="G104" s="213">
        <v>8</v>
      </c>
      <c r="H104" s="213">
        <v>8</v>
      </c>
      <c r="I104" s="214"/>
      <c r="J104" s="213">
        <v>8</v>
      </c>
      <c r="K104" s="213">
        <v>8</v>
      </c>
      <c r="L104" s="212">
        <v>8</v>
      </c>
      <c r="M104" s="213">
        <v>8</v>
      </c>
      <c r="N104" s="213">
        <v>8</v>
      </c>
      <c r="O104" s="213">
        <v>8</v>
      </c>
      <c r="P104" s="214"/>
      <c r="Q104" s="213">
        <v>8</v>
      </c>
      <c r="R104" s="213">
        <v>8</v>
      </c>
      <c r="S104" s="212">
        <v>8</v>
      </c>
      <c r="T104" s="213">
        <v>8</v>
      </c>
      <c r="U104" s="213">
        <v>8</v>
      </c>
      <c r="V104" s="213">
        <v>8</v>
      </c>
      <c r="W104" s="214"/>
      <c r="X104" s="213">
        <v>8</v>
      </c>
      <c r="Y104" s="213">
        <v>8</v>
      </c>
      <c r="Z104" s="212">
        <v>8</v>
      </c>
      <c r="AA104" s="213">
        <v>8</v>
      </c>
      <c r="AB104" s="213">
        <v>8</v>
      </c>
      <c r="AC104" s="215"/>
      <c r="AD104" s="214"/>
      <c r="AE104" s="215"/>
      <c r="AF104" s="215"/>
      <c r="AG104" s="216"/>
      <c r="AH104" s="217"/>
      <c r="AI104" s="217"/>
      <c r="AJ104" s="8"/>
    </row>
    <row r="105" spans="1:36" ht="15">
      <c r="A105" s="365"/>
      <c r="B105" s="210" t="s">
        <v>162</v>
      </c>
      <c r="C105" s="211">
        <v>105</v>
      </c>
      <c r="D105" s="211">
        <v>105</v>
      </c>
      <c r="E105" s="212">
        <v>103</v>
      </c>
      <c r="F105" s="213">
        <v>101</v>
      </c>
      <c r="G105" s="213">
        <v>98</v>
      </c>
      <c r="H105" s="213">
        <v>101</v>
      </c>
      <c r="I105" s="214"/>
      <c r="J105" s="213">
        <v>103</v>
      </c>
      <c r="K105" s="213">
        <v>104</v>
      </c>
      <c r="L105" s="212">
        <v>104</v>
      </c>
      <c r="M105" s="213">
        <v>106</v>
      </c>
      <c r="N105" s="213">
        <v>105</v>
      </c>
      <c r="O105" s="213">
        <v>110</v>
      </c>
      <c r="P105" s="214"/>
      <c r="Q105" s="213">
        <v>110</v>
      </c>
      <c r="R105" s="213">
        <v>107</v>
      </c>
      <c r="S105" s="212">
        <v>110</v>
      </c>
      <c r="T105" s="213">
        <v>108</v>
      </c>
      <c r="U105" s="213">
        <v>109</v>
      </c>
      <c r="V105" s="213">
        <v>106</v>
      </c>
      <c r="W105" s="214"/>
      <c r="X105" s="213">
        <v>106</v>
      </c>
      <c r="Y105" s="213">
        <v>106</v>
      </c>
      <c r="Z105" s="212">
        <v>107</v>
      </c>
      <c r="AA105" s="213">
        <v>106</v>
      </c>
      <c r="AB105" s="213">
        <v>106</v>
      </c>
      <c r="AC105" s="215"/>
      <c r="AD105" s="214"/>
      <c r="AE105" s="215"/>
      <c r="AF105" s="215"/>
      <c r="AG105" s="216"/>
      <c r="AH105" s="217"/>
      <c r="AI105" s="217"/>
      <c r="AJ105" s="8"/>
    </row>
    <row r="106" spans="1:36" ht="15">
      <c r="A106" s="365"/>
      <c r="B106" s="210" t="s">
        <v>163</v>
      </c>
      <c r="C106" s="211">
        <v>189.36904761904762</v>
      </c>
      <c r="D106" s="211">
        <v>189.36904761904762</v>
      </c>
      <c r="E106" s="212">
        <v>209.25</v>
      </c>
      <c r="F106" s="213">
        <v>210</v>
      </c>
      <c r="G106" s="213">
        <v>210</v>
      </c>
      <c r="H106" s="213">
        <v>210</v>
      </c>
      <c r="I106" s="214"/>
      <c r="J106" s="213">
        <v>167</v>
      </c>
      <c r="K106" s="213">
        <v>216.5</v>
      </c>
      <c r="L106" s="212">
        <v>210</v>
      </c>
      <c r="M106" s="213">
        <v>207</v>
      </c>
      <c r="N106" s="213">
        <v>211.5</v>
      </c>
      <c r="O106" s="213">
        <v>213</v>
      </c>
      <c r="P106" s="214"/>
      <c r="Q106" s="213">
        <v>123</v>
      </c>
      <c r="R106" s="213">
        <v>139.5</v>
      </c>
      <c r="S106" s="212">
        <v>175.5</v>
      </c>
      <c r="T106" s="213">
        <v>159.375</v>
      </c>
      <c r="U106" s="213">
        <v>160.125</v>
      </c>
      <c r="V106" s="213">
        <v>157.875</v>
      </c>
      <c r="W106" s="214"/>
      <c r="X106" s="213">
        <v>157.125</v>
      </c>
      <c r="Y106" s="213">
        <v>205.5</v>
      </c>
      <c r="Z106" s="212">
        <v>214.5</v>
      </c>
      <c r="AA106" s="213">
        <v>211.5</v>
      </c>
      <c r="AB106" s="213">
        <v>208.5</v>
      </c>
      <c r="AC106" s="215"/>
      <c r="AD106" s="214"/>
      <c r="AE106" s="215"/>
      <c r="AF106" s="215"/>
      <c r="AG106" s="216"/>
      <c r="AH106" s="217"/>
      <c r="AI106" s="217"/>
      <c r="AJ106" s="8"/>
    </row>
    <row r="107" spans="1:36" ht="15">
      <c r="A107" s="366"/>
      <c r="B107" s="219" t="s">
        <v>164</v>
      </c>
      <c r="C107" s="220">
        <v>1.8035000000000001</v>
      </c>
      <c r="D107" s="220">
        <v>1.8035000000000001</v>
      </c>
      <c r="E107" s="221">
        <v>2.0316000000000001</v>
      </c>
      <c r="F107" s="220">
        <v>2.0792000000000002</v>
      </c>
      <c r="G107" s="220">
        <v>2.1429</v>
      </c>
      <c r="H107" s="220">
        <v>2.0792000000000002</v>
      </c>
      <c r="I107" s="222"/>
      <c r="J107" s="220">
        <v>1.6214</v>
      </c>
      <c r="K107" s="220">
        <v>2.0817000000000001</v>
      </c>
      <c r="L107" s="221">
        <v>2.0192000000000001</v>
      </c>
      <c r="M107" s="220">
        <v>1.9527999999999999</v>
      </c>
      <c r="N107" s="220">
        <v>2.0143</v>
      </c>
      <c r="O107" s="220">
        <v>1.9363999999999999</v>
      </c>
      <c r="P107" s="222"/>
      <c r="Q107" s="220">
        <v>1.1182000000000001</v>
      </c>
      <c r="R107" s="220">
        <v>1.3037000000000001</v>
      </c>
      <c r="S107" s="221">
        <v>1.5954999999999999</v>
      </c>
      <c r="T107" s="220">
        <v>1.4757</v>
      </c>
      <c r="U107" s="220">
        <v>1.4689999999999999</v>
      </c>
      <c r="V107" s="220">
        <v>1.4894000000000001</v>
      </c>
      <c r="W107" s="222"/>
      <c r="X107" s="220">
        <v>1.4823</v>
      </c>
      <c r="Y107" s="220">
        <v>1.9386999999999999</v>
      </c>
      <c r="Z107" s="221">
        <v>2.0047000000000001</v>
      </c>
      <c r="AA107" s="220">
        <v>1.9952999999999999</v>
      </c>
      <c r="AB107" s="220">
        <v>1.9670000000000001</v>
      </c>
      <c r="AC107" s="223"/>
      <c r="AD107" s="222"/>
      <c r="AE107" s="223"/>
      <c r="AF107" s="223"/>
      <c r="AG107" s="224"/>
      <c r="AH107" s="225"/>
      <c r="AI107" s="225"/>
      <c r="AJ107" s="8"/>
    </row>
    <row r="108" spans="1:36" ht="15">
      <c r="A108" s="364" t="s">
        <v>167</v>
      </c>
      <c r="B108" s="200" t="s">
        <v>45</v>
      </c>
      <c r="C108" s="201">
        <v>32800</v>
      </c>
      <c r="D108" s="201">
        <v>1561.9047619047619</v>
      </c>
      <c r="E108" s="202">
        <v>1760</v>
      </c>
      <c r="F108" s="203">
        <v>1760</v>
      </c>
      <c r="G108" s="203">
        <v>1760</v>
      </c>
      <c r="H108" s="203">
        <v>1680</v>
      </c>
      <c r="I108" s="204"/>
      <c r="J108" s="203">
        <v>1520</v>
      </c>
      <c r="K108" s="203">
        <v>1520</v>
      </c>
      <c r="L108" s="202">
        <v>1520</v>
      </c>
      <c r="M108" s="203">
        <v>1520</v>
      </c>
      <c r="N108" s="203">
        <v>1520</v>
      </c>
      <c r="O108" s="203">
        <v>1520</v>
      </c>
      <c r="P108" s="204"/>
      <c r="Q108" s="203">
        <v>1520</v>
      </c>
      <c r="R108" s="203">
        <v>1520</v>
      </c>
      <c r="S108" s="202">
        <v>1520</v>
      </c>
      <c r="T108" s="203">
        <v>1520</v>
      </c>
      <c r="U108" s="203">
        <v>1520</v>
      </c>
      <c r="V108" s="203">
        <v>1520</v>
      </c>
      <c r="W108" s="204"/>
      <c r="X108" s="203">
        <v>1520</v>
      </c>
      <c r="Y108" s="203">
        <v>1520</v>
      </c>
      <c r="Z108" s="202">
        <v>1520</v>
      </c>
      <c r="AA108" s="203">
        <v>1520</v>
      </c>
      <c r="AB108" s="203">
        <v>1520</v>
      </c>
      <c r="AC108" s="205"/>
      <c r="AD108" s="204"/>
      <c r="AE108" s="205"/>
      <c r="AF108" s="205"/>
      <c r="AG108" s="206"/>
      <c r="AH108" s="207"/>
      <c r="AI108" s="207"/>
      <c r="AJ108" s="8"/>
    </row>
    <row r="109" spans="1:36" ht="15">
      <c r="A109" s="365"/>
      <c r="B109" s="200" t="s">
        <v>46</v>
      </c>
      <c r="C109" s="201">
        <v>29520</v>
      </c>
      <c r="D109" s="201">
        <v>1405.7142857142858</v>
      </c>
      <c r="E109" s="202">
        <v>1440</v>
      </c>
      <c r="F109" s="203">
        <v>1440</v>
      </c>
      <c r="G109" s="203">
        <v>1440</v>
      </c>
      <c r="H109" s="203">
        <v>1440</v>
      </c>
      <c r="I109" s="204"/>
      <c r="J109" s="203">
        <v>1440</v>
      </c>
      <c r="K109" s="203">
        <v>1440</v>
      </c>
      <c r="L109" s="202">
        <v>1440</v>
      </c>
      <c r="M109" s="203">
        <v>1440</v>
      </c>
      <c r="N109" s="203">
        <v>1440</v>
      </c>
      <c r="O109" s="203">
        <v>1440</v>
      </c>
      <c r="P109" s="204"/>
      <c r="Q109" s="203">
        <v>1440</v>
      </c>
      <c r="R109" s="203">
        <v>1440</v>
      </c>
      <c r="S109" s="202">
        <v>1440</v>
      </c>
      <c r="T109" s="203">
        <v>1440</v>
      </c>
      <c r="U109" s="203">
        <v>1440</v>
      </c>
      <c r="V109" s="203">
        <v>1440</v>
      </c>
      <c r="W109" s="204"/>
      <c r="X109" s="203">
        <v>1080</v>
      </c>
      <c r="Y109" s="203">
        <v>1080</v>
      </c>
      <c r="Z109" s="202">
        <v>1440</v>
      </c>
      <c r="AA109" s="203">
        <v>1440</v>
      </c>
      <c r="AB109" s="203">
        <v>1440</v>
      </c>
      <c r="AC109" s="203">
        <v>1440</v>
      </c>
      <c r="AD109" s="204"/>
      <c r="AE109" s="203">
        <v>1440</v>
      </c>
      <c r="AF109" s="203">
        <v>1440</v>
      </c>
      <c r="AG109" s="208">
        <v>1440</v>
      </c>
      <c r="AH109" s="209">
        <v>1440</v>
      </c>
      <c r="AI109" s="209">
        <v>1600</v>
      </c>
      <c r="AJ109" s="8"/>
    </row>
    <row r="110" spans="1:36" ht="15">
      <c r="A110" s="365"/>
      <c r="B110" s="210" t="s">
        <v>47</v>
      </c>
      <c r="C110" s="211">
        <v>29460</v>
      </c>
      <c r="D110" s="211">
        <v>1402.8571428571429</v>
      </c>
      <c r="E110" s="212">
        <v>1680</v>
      </c>
      <c r="F110" s="213">
        <v>1476</v>
      </c>
      <c r="G110" s="213">
        <v>1440</v>
      </c>
      <c r="H110" s="213">
        <v>1440</v>
      </c>
      <c r="I110" s="214"/>
      <c r="J110" s="213">
        <v>1278</v>
      </c>
      <c r="K110" s="213">
        <v>1458</v>
      </c>
      <c r="L110" s="212">
        <v>1428</v>
      </c>
      <c r="M110" s="213">
        <v>1428</v>
      </c>
      <c r="N110" s="213">
        <v>1476</v>
      </c>
      <c r="O110" s="213">
        <v>1416</v>
      </c>
      <c r="P110" s="214"/>
      <c r="Q110" s="213">
        <v>1440</v>
      </c>
      <c r="R110" s="213">
        <v>1440</v>
      </c>
      <c r="S110" s="212">
        <v>1404</v>
      </c>
      <c r="T110" s="213">
        <v>1464</v>
      </c>
      <c r="U110" s="213">
        <v>1356</v>
      </c>
      <c r="V110" s="213">
        <v>1362</v>
      </c>
      <c r="W110" s="214"/>
      <c r="X110" s="213">
        <v>1068</v>
      </c>
      <c r="Y110" s="213">
        <v>1068</v>
      </c>
      <c r="Z110" s="212">
        <v>1464</v>
      </c>
      <c r="AA110" s="213">
        <v>1446</v>
      </c>
      <c r="AB110" s="213">
        <v>1428</v>
      </c>
      <c r="AC110" s="215"/>
      <c r="AD110" s="214"/>
      <c r="AE110" s="215"/>
      <c r="AF110" s="215"/>
      <c r="AG110" s="216"/>
      <c r="AH110" s="217"/>
      <c r="AI110" s="217"/>
      <c r="AJ110" s="8"/>
    </row>
    <row r="111" spans="1:36" ht="15">
      <c r="A111" s="365"/>
      <c r="B111" s="210" t="s">
        <v>48</v>
      </c>
      <c r="C111" s="218">
        <v>-60</v>
      </c>
      <c r="D111" s="218">
        <v>-2.8571428571428572</v>
      </c>
      <c r="E111" s="212">
        <v>240</v>
      </c>
      <c r="F111" s="213">
        <v>36</v>
      </c>
      <c r="G111" s="213">
        <v>0</v>
      </c>
      <c r="H111" s="213">
        <v>0</v>
      </c>
      <c r="I111" s="214"/>
      <c r="J111" s="215">
        <v>-162</v>
      </c>
      <c r="K111" s="213">
        <v>18</v>
      </c>
      <c r="L111" s="214">
        <v>-12</v>
      </c>
      <c r="M111" s="215">
        <v>-12</v>
      </c>
      <c r="N111" s="213">
        <v>36</v>
      </c>
      <c r="O111" s="215">
        <v>-24</v>
      </c>
      <c r="P111" s="214"/>
      <c r="Q111" s="213">
        <v>0</v>
      </c>
      <c r="R111" s="213">
        <v>0</v>
      </c>
      <c r="S111" s="214">
        <v>-36</v>
      </c>
      <c r="T111" s="213">
        <v>24</v>
      </c>
      <c r="U111" s="215">
        <v>-84</v>
      </c>
      <c r="V111" s="215">
        <v>-78</v>
      </c>
      <c r="W111" s="214"/>
      <c r="X111" s="215">
        <v>-12</v>
      </c>
      <c r="Y111" s="215">
        <v>-12</v>
      </c>
      <c r="Z111" s="212">
        <v>24</v>
      </c>
      <c r="AA111" s="213">
        <v>6</v>
      </c>
      <c r="AB111" s="215">
        <v>-12</v>
      </c>
      <c r="AC111" s="215"/>
      <c r="AD111" s="214"/>
      <c r="AE111" s="215"/>
      <c r="AF111" s="215"/>
      <c r="AG111" s="216"/>
      <c r="AH111" s="217"/>
      <c r="AI111" s="217"/>
      <c r="AJ111" s="8"/>
    </row>
    <row r="112" spans="1:36" ht="15">
      <c r="A112" s="365"/>
      <c r="B112" s="210" t="s">
        <v>49</v>
      </c>
      <c r="C112" s="211">
        <v>168</v>
      </c>
      <c r="D112" s="211">
        <v>8</v>
      </c>
      <c r="E112" s="212">
        <v>8</v>
      </c>
      <c r="F112" s="213">
        <v>8</v>
      </c>
      <c r="G112" s="213">
        <v>8</v>
      </c>
      <c r="H112" s="213">
        <v>8</v>
      </c>
      <c r="I112" s="214"/>
      <c r="J112" s="213">
        <v>8</v>
      </c>
      <c r="K112" s="213">
        <v>8</v>
      </c>
      <c r="L112" s="212">
        <v>8</v>
      </c>
      <c r="M112" s="213">
        <v>8</v>
      </c>
      <c r="N112" s="213">
        <v>8</v>
      </c>
      <c r="O112" s="213">
        <v>8</v>
      </c>
      <c r="P112" s="214"/>
      <c r="Q112" s="213">
        <v>8</v>
      </c>
      <c r="R112" s="213">
        <v>8</v>
      </c>
      <c r="S112" s="212">
        <v>8</v>
      </c>
      <c r="T112" s="213">
        <v>8</v>
      </c>
      <c r="U112" s="213">
        <v>8</v>
      </c>
      <c r="V112" s="213">
        <v>8</v>
      </c>
      <c r="W112" s="214"/>
      <c r="X112" s="213">
        <v>8</v>
      </c>
      <c r="Y112" s="213">
        <v>8</v>
      </c>
      <c r="Z112" s="212">
        <v>8</v>
      </c>
      <c r="AA112" s="213">
        <v>8</v>
      </c>
      <c r="AB112" s="213">
        <v>8</v>
      </c>
      <c r="AC112" s="215"/>
      <c r="AD112" s="214"/>
      <c r="AE112" s="215"/>
      <c r="AF112" s="215"/>
      <c r="AG112" s="216"/>
      <c r="AH112" s="217"/>
      <c r="AI112" s="217"/>
      <c r="AJ112" s="8"/>
    </row>
    <row r="113" spans="1:36" ht="15">
      <c r="A113" s="365"/>
      <c r="B113" s="210" t="s">
        <v>50</v>
      </c>
      <c r="C113" s="211">
        <v>112</v>
      </c>
      <c r="D113" s="211">
        <v>112</v>
      </c>
      <c r="E113" s="212">
        <v>111</v>
      </c>
      <c r="F113" s="213">
        <v>111</v>
      </c>
      <c r="G113" s="213">
        <v>107</v>
      </c>
      <c r="H113" s="213">
        <v>106</v>
      </c>
      <c r="I113" s="214"/>
      <c r="J113" s="213">
        <v>104</v>
      </c>
      <c r="K113" s="213">
        <v>104</v>
      </c>
      <c r="L113" s="212">
        <v>105</v>
      </c>
      <c r="M113" s="213">
        <v>106</v>
      </c>
      <c r="N113" s="213">
        <v>106</v>
      </c>
      <c r="O113" s="213">
        <v>115</v>
      </c>
      <c r="P113" s="214"/>
      <c r="Q113" s="213">
        <v>113</v>
      </c>
      <c r="R113" s="213">
        <v>117</v>
      </c>
      <c r="S113" s="212">
        <v>117</v>
      </c>
      <c r="T113" s="213">
        <v>119</v>
      </c>
      <c r="U113" s="213">
        <v>120</v>
      </c>
      <c r="V113" s="213">
        <v>116</v>
      </c>
      <c r="W113" s="214"/>
      <c r="X113" s="213">
        <v>116</v>
      </c>
      <c r="Y113" s="213">
        <v>118</v>
      </c>
      <c r="Z113" s="212">
        <v>120</v>
      </c>
      <c r="AA113" s="213">
        <v>117</v>
      </c>
      <c r="AB113" s="213">
        <v>117</v>
      </c>
      <c r="AC113" s="215"/>
      <c r="AD113" s="214"/>
      <c r="AE113" s="215"/>
      <c r="AF113" s="215"/>
      <c r="AG113" s="216"/>
      <c r="AH113" s="217"/>
      <c r="AI113" s="217"/>
      <c r="AJ113" s="8"/>
    </row>
    <row r="114" spans="1:36" ht="15">
      <c r="A114" s="365"/>
      <c r="B114" s="210" t="s">
        <v>51</v>
      </c>
      <c r="C114" s="211">
        <v>175.35714285714286</v>
      </c>
      <c r="D114" s="211">
        <v>175.35714285714286</v>
      </c>
      <c r="E114" s="212">
        <v>210</v>
      </c>
      <c r="F114" s="213">
        <v>184.5</v>
      </c>
      <c r="G114" s="213">
        <v>180</v>
      </c>
      <c r="H114" s="213">
        <v>180</v>
      </c>
      <c r="I114" s="214"/>
      <c r="J114" s="213">
        <v>159.75</v>
      </c>
      <c r="K114" s="213">
        <v>182.25</v>
      </c>
      <c r="L114" s="212">
        <v>178.5</v>
      </c>
      <c r="M114" s="213">
        <v>178.5</v>
      </c>
      <c r="N114" s="213">
        <v>184.5</v>
      </c>
      <c r="O114" s="213">
        <v>177</v>
      </c>
      <c r="P114" s="214"/>
      <c r="Q114" s="213">
        <v>180</v>
      </c>
      <c r="R114" s="213">
        <v>180</v>
      </c>
      <c r="S114" s="212">
        <v>175.5</v>
      </c>
      <c r="T114" s="213">
        <v>183</v>
      </c>
      <c r="U114" s="213">
        <v>169.5</v>
      </c>
      <c r="V114" s="213">
        <v>170.25</v>
      </c>
      <c r="W114" s="214"/>
      <c r="X114" s="213">
        <v>133.5</v>
      </c>
      <c r="Y114" s="213">
        <v>133.5</v>
      </c>
      <c r="Z114" s="212">
        <v>183</v>
      </c>
      <c r="AA114" s="213">
        <v>180.75</v>
      </c>
      <c r="AB114" s="213">
        <v>178.5</v>
      </c>
      <c r="AC114" s="215"/>
      <c r="AD114" s="214"/>
      <c r="AE114" s="215"/>
      <c r="AF114" s="215"/>
      <c r="AG114" s="216"/>
      <c r="AH114" s="217"/>
      <c r="AI114" s="217"/>
      <c r="AJ114" s="8"/>
    </row>
    <row r="115" spans="1:36" ht="15">
      <c r="A115" s="366"/>
      <c r="B115" s="219" t="s">
        <v>52</v>
      </c>
      <c r="C115" s="220">
        <v>1.5657000000000001</v>
      </c>
      <c r="D115" s="220">
        <v>1.5657000000000001</v>
      </c>
      <c r="E115" s="221">
        <v>1.8919000000000001</v>
      </c>
      <c r="F115" s="220">
        <v>1.6621999999999999</v>
      </c>
      <c r="G115" s="220">
        <v>1.6821999999999999</v>
      </c>
      <c r="H115" s="220">
        <v>1.6981000000000002</v>
      </c>
      <c r="I115" s="222"/>
      <c r="J115" s="220">
        <v>1.5361</v>
      </c>
      <c r="K115" s="220">
        <v>1.7524</v>
      </c>
      <c r="L115" s="221">
        <v>1.7</v>
      </c>
      <c r="M115" s="220">
        <v>1.6840000000000002</v>
      </c>
      <c r="N115" s="220">
        <v>1.7406000000000001</v>
      </c>
      <c r="O115" s="220">
        <v>1.5390999999999999</v>
      </c>
      <c r="P115" s="222"/>
      <c r="Q115" s="220">
        <v>1.5929</v>
      </c>
      <c r="R115" s="220">
        <v>1.5385</v>
      </c>
      <c r="S115" s="221">
        <v>1.5</v>
      </c>
      <c r="T115" s="220">
        <v>1.5377999999999998</v>
      </c>
      <c r="U115" s="220">
        <v>1.4125000000000001</v>
      </c>
      <c r="V115" s="220">
        <v>1.4677</v>
      </c>
      <c r="W115" s="222"/>
      <c r="X115" s="220">
        <v>1.1509</v>
      </c>
      <c r="Y115" s="220">
        <v>1.1314</v>
      </c>
      <c r="Z115" s="221">
        <v>1.5249999999999999</v>
      </c>
      <c r="AA115" s="220">
        <v>1.5449000000000002</v>
      </c>
      <c r="AB115" s="220">
        <v>1.5255999999999998</v>
      </c>
      <c r="AC115" s="223"/>
      <c r="AD115" s="222"/>
      <c r="AE115" s="223"/>
      <c r="AF115" s="223"/>
      <c r="AG115" s="224"/>
      <c r="AH115" s="225"/>
      <c r="AI115" s="225"/>
      <c r="AJ115" s="8"/>
    </row>
    <row r="116" spans="1:36" ht="15">
      <c r="A116" s="364" t="s">
        <v>168</v>
      </c>
      <c r="B116" s="200" t="s">
        <v>45</v>
      </c>
      <c r="C116" s="201">
        <v>36208</v>
      </c>
      <c r="D116" s="201">
        <v>1724.1904761904761</v>
      </c>
      <c r="E116" s="202">
        <v>1760</v>
      </c>
      <c r="F116" s="203">
        <v>1760</v>
      </c>
      <c r="G116" s="203">
        <v>1760</v>
      </c>
      <c r="H116" s="203">
        <v>1760</v>
      </c>
      <c r="I116" s="204"/>
      <c r="J116" s="203">
        <v>1760</v>
      </c>
      <c r="K116" s="203">
        <v>1760</v>
      </c>
      <c r="L116" s="202">
        <v>1760</v>
      </c>
      <c r="M116" s="203">
        <v>1760</v>
      </c>
      <c r="N116" s="203">
        <v>1760</v>
      </c>
      <c r="O116" s="203">
        <v>1760</v>
      </c>
      <c r="P116" s="204"/>
      <c r="Q116" s="203">
        <v>1760</v>
      </c>
      <c r="R116" s="203">
        <v>1760</v>
      </c>
      <c r="S116" s="202">
        <v>1760</v>
      </c>
      <c r="T116" s="203">
        <v>1760</v>
      </c>
      <c r="U116" s="203">
        <v>1760</v>
      </c>
      <c r="V116" s="203">
        <v>1760</v>
      </c>
      <c r="W116" s="204"/>
      <c r="X116" s="203">
        <v>1648</v>
      </c>
      <c r="Y116" s="203">
        <v>1600</v>
      </c>
      <c r="Z116" s="202">
        <v>1600</v>
      </c>
      <c r="AA116" s="203">
        <v>1600</v>
      </c>
      <c r="AB116" s="203">
        <v>1600</v>
      </c>
      <c r="AC116" s="205"/>
      <c r="AD116" s="204"/>
      <c r="AE116" s="205"/>
      <c r="AF116" s="205"/>
      <c r="AG116" s="206"/>
      <c r="AH116" s="207"/>
      <c r="AI116" s="207"/>
      <c r="AJ116" s="8"/>
    </row>
    <row r="117" spans="1:36" ht="15">
      <c r="A117" s="365"/>
      <c r="B117" s="200" t="s">
        <v>140</v>
      </c>
      <c r="C117" s="201">
        <v>34400</v>
      </c>
      <c r="D117" s="201">
        <v>1638.0952380952381</v>
      </c>
      <c r="E117" s="202">
        <v>1680</v>
      </c>
      <c r="F117" s="203">
        <v>1680</v>
      </c>
      <c r="G117" s="203">
        <v>1680</v>
      </c>
      <c r="H117" s="203">
        <v>1680</v>
      </c>
      <c r="I117" s="204"/>
      <c r="J117" s="203">
        <v>1680</v>
      </c>
      <c r="K117" s="203">
        <v>1680</v>
      </c>
      <c r="L117" s="202">
        <v>1680</v>
      </c>
      <c r="M117" s="203">
        <v>1680</v>
      </c>
      <c r="N117" s="203">
        <v>1680</v>
      </c>
      <c r="O117" s="203">
        <v>1680</v>
      </c>
      <c r="P117" s="204"/>
      <c r="Q117" s="203">
        <v>1680</v>
      </c>
      <c r="R117" s="203">
        <v>1680</v>
      </c>
      <c r="S117" s="202">
        <v>1680</v>
      </c>
      <c r="T117" s="203">
        <v>1680</v>
      </c>
      <c r="U117" s="203">
        <v>1680</v>
      </c>
      <c r="V117" s="203">
        <v>1200</v>
      </c>
      <c r="W117" s="204"/>
      <c r="X117" s="203">
        <v>1600</v>
      </c>
      <c r="Y117" s="203">
        <v>1600</v>
      </c>
      <c r="Z117" s="202">
        <v>1600</v>
      </c>
      <c r="AA117" s="203">
        <v>1600</v>
      </c>
      <c r="AB117" s="203">
        <v>1600</v>
      </c>
      <c r="AC117" s="203">
        <v>1600</v>
      </c>
      <c r="AD117" s="204"/>
      <c r="AE117" s="203">
        <v>1600</v>
      </c>
      <c r="AF117" s="203">
        <v>1440</v>
      </c>
      <c r="AG117" s="208">
        <v>1440</v>
      </c>
      <c r="AH117" s="209">
        <v>1440</v>
      </c>
      <c r="AI117" s="209">
        <v>1440</v>
      </c>
      <c r="AJ117" s="8"/>
    </row>
    <row r="118" spans="1:36" ht="15">
      <c r="A118" s="365"/>
      <c r="B118" s="210" t="s">
        <v>141</v>
      </c>
      <c r="C118" s="211">
        <v>34512</v>
      </c>
      <c r="D118" s="211">
        <v>1643.4285714285713</v>
      </c>
      <c r="E118" s="212">
        <v>1644</v>
      </c>
      <c r="F118" s="213">
        <v>1680</v>
      </c>
      <c r="G118" s="213">
        <v>1704</v>
      </c>
      <c r="H118" s="213">
        <v>1680</v>
      </c>
      <c r="I118" s="214"/>
      <c r="J118" s="213">
        <v>1692</v>
      </c>
      <c r="K118" s="213">
        <v>1668</v>
      </c>
      <c r="L118" s="212">
        <v>1692</v>
      </c>
      <c r="M118" s="213">
        <v>1674</v>
      </c>
      <c r="N118" s="213">
        <v>1608</v>
      </c>
      <c r="O118" s="213">
        <v>1776</v>
      </c>
      <c r="P118" s="214"/>
      <c r="Q118" s="213">
        <v>1668</v>
      </c>
      <c r="R118" s="213">
        <v>1704</v>
      </c>
      <c r="S118" s="212">
        <v>1668</v>
      </c>
      <c r="T118" s="213">
        <v>1680</v>
      </c>
      <c r="U118" s="213">
        <v>1680</v>
      </c>
      <c r="V118" s="213">
        <v>1236</v>
      </c>
      <c r="W118" s="214"/>
      <c r="X118" s="213">
        <v>1608</v>
      </c>
      <c r="Y118" s="213">
        <v>1680</v>
      </c>
      <c r="Z118" s="212">
        <v>1596</v>
      </c>
      <c r="AA118" s="213">
        <v>1590</v>
      </c>
      <c r="AB118" s="213">
        <v>1584</v>
      </c>
      <c r="AC118" s="215"/>
      <c r="AD118" s="214"/>
      <c r="AE118" s="215"/>
      <c r="AF118" s="215"/>
      <c r="AG118" s="216"/>
      <c r="AH118" s="217"/>
      <c r="AI118" s="217"/>
      <c r="AJ118" s="8"/>
    </row>
    <row r="119" spans="1:36" ht="15">
      <c r="A119" s="365"/>
      <c r="B119" s="210" t="s">
        <v>48</v>
      </c>
      <c r="C119" s="211">
        <v>112</v>
      </c>
      <c r="D119" s="211">
        <v>5.333333333333333</v>
      </c>
      <c r="E119" s="214">
        <v>-36</v>
      </c>
      <c r="F119" s="213">
        <v>0</v>
      </c>
      <c r="G119" s="213">
        <v>24</v>
      </c>
      <c r="H119" s="213">
        <v>0</v>
      </c>
      <c r="I119" s="214"/>
      <c r="J119" s="213">
        <v>12</v>
      </c>
      <c r="K119" s="215">
        <v>-12</v>
      </c>
      <c r="L119" s="212">
        <v>12</v>
      </c>
      <c r="M119" s="215">
        <v>-6</v>
      </c>
      <c r="N119" s="215">
        <v>-72</v>
      </c>
      <c r="O119" s="213">
        <v>96</v>
      </c>
      <c r="P119" s="214"/>
      <c r="Q119" s="215">
        <v>-12</v>
      </c>
      <c r="R119" s="213">
        <v>24</v>
      </c>
      <c r="S119" s="214">
        <v>-12</v>
      </c>
      <c r="T119" s="213">
        <v>0</v>
      </c>
      <c r="U119" s="213">
        <v>0</v>
      </c>
      <c r="V119" s="213">
        <v>36</v>
      </c>
      <c r="W119" s="214"/>
      <c r="X119" s="213">
        <v>8</v>
      </c>
      <c r="Y119" s="213">
        <v>80</v>
      </c>
      <c r="Z119" s="214">
        <v>-4</v>
      </c>
      <c r="AA119" s="215">
        <v>-10</v>
      </c>
      <c r="AB119" s="215">
        <v>-16</v>
      </c>
      <c r="AC119" s="215"/>
      <c r="AD119" s="214"/>
      <c r="AE119" s="215"/>
      <c r="AF119" s="215"/>
      <c r="AG119" s="216"/>
      <c r="AH119" s="217"/>
      <c r="AI119" s="217"/>
      <c r="AJ119" s="8"/>
    </row>
    <row r="120" spans="1:36" ht="15">
      <c r="A120" s="365"/>
      <c r="B120" s="210" t="s">
        <v>49</v>
      </c>
      <c r="C120" s="211">
        <v>168</v>
      </c>
      <c r="D120" s="211">
        <v>8</v>
      </c>
      <c r="E120" s="212">
        <v>8</v>
      </c>
      <c r="F120" s="213">
        <v>8</v>
      </c>
      <c r="G120" s="213">
        <v>8</v>
      </c>
      <c r="H120" s="213">
        <v>8</v>
      </c>
      <c r="I120" s="214"/>
      <c r="J120" s="213">
        <v>8</v>
      </c>
      <c r="K120" s="213">
        <v>8</v>
      </c>
      <c r="L120" s="212">
        <v>8</v>
      </c>
      <c r="M120" s="213">
        <v>8</v>
      </c>
      <c r="N120" s="213">
        <v>8</v>
      </c>
      <c r="O120" s="213">
        <v>8</v>
      </c>
      <c r="P120" s="214"/>
      <c r="Q120" s="213">
        <v>8</v>
      </c>
      <c r="R120" s="213">
        <v>8</v>
      </c>
      <c r="S120" s="212">
        <v>8</v>
      </c>
      <c r="T120" s="213">
        <v>8</v>
      </c>
      <c r="U120" s="213">
        <v>8</v>
      </c>
      <c r="V120" s="213">
        <v>8</v>
      </c>
      <c r="W120" s="214"/>
      <c r="X120" s="213">
        <v>8</v>
      </c>
      <c r="Y120" s="213">
        <v>8</v>
      </c>
      <c r="Z120" s="212">
        <v>8</v>
      </c>
      <c r="AA120" s="213">
        <v>8</v>
      </c>
      <c r="AB120" s="213">
        <v>8</v>
      </c>
      <c r="AC120" s="215"/>
      <c r="AD120" s="214"/>
      <c r="AE120" s="215"/>
      <c r="AF120" s="215"/>
      <c r="AG120" s="216"/>
      <c r="AH120" s="217"/>
      <c r="AI120" s="217"/>
      <c r="AJ120" s="8"/>
    </row>
    <row r="121" spans="1:36" ht="15">
      <c r="A121" s="365"/>
      <c r="B121" s="210" t="s">
        <v>50</v>
      </c>
      <c r="C121" s="211">
        <v>112</v>
      </c>
      <c r="D121" s="211">
        <v>112</v>
      </c>
      <c r="E121" s="212">
        <v>115</v>
      </c>
      <c r="F121" s="213">
        <v>116</v>
      </c>
      <c r="G121" s="213">
        <v>116</v>
      </c>
      <c r="H121" s="213">
        <v>113</v>
      </c>
      <c r="I121" s="214"/>
      <c r="J121" s="213">
        <v>113</v>
      </c>
      <c r="K121" s="213">
        <v>111</v>
      </c>
      <c r="L121" s="212">
        <v>109</v>
      </c>
      <c r="M121" s="213">
        <v>108</v>
      </c>
      <c r="N121" s="213">
        <v>106</v>
      </c>
      <c r="O121" s="213">
        <v>114</v>
      </c>
      <c r="P121" s="214"/>
      <c r="Q121" s="213">
        <v>109</v>
      </c>
      <c r="R121" s="213">
        <v>112</v>
      </c>
      <c r="S121" s="212">
        <v>113</v>
      </c>
      <c r="T121" s="213">
        <v>115</v>
      </c>
      <c r="U121" s="213">
        <v>112</v>
      </c>
      <c r="V121" s="213">
        <v>112</v>
      </c>
      <c r="W121" s="214"/>
      <c r="X121" s="213">
        <v>113</v>
      </c>
      <c r="Y121" s="213">
        <v>113</v>
      </c>
      <c r="Z121" s="212">
        <v>115</v>
      </c>
      <c r="AA121" s="213">
        <v>113</v>
      </c>
      <c r="AB121" s="213">
        <v>112</v>
      </c>
      <c r="AC121" s="215"/>
      <c r="AD121" s="214"/>
      <c r="AE121" s="215"/>
      <c r="AF121" s="215"/>
      <c r="AG121" s="216"/>
      <c r="AH121" s="217"/>
      <c r="AI121" s="217"/>
      <c r="AJ121" s="8"/>
    </row>
    <row r="122" spans="1:36" ht="15">
      <c r="A122" s="365"/>
      <c r="B122" s="210" t="s">
        <v>51</v>
      </c>
      <c r="C122" s="211">
        <v>205.42857142857142</v>
      </c>
      <c r="D122" s="211">
        <v>205.42857142857142</v>
      </c>
      <c r="E122" s="212">
        <v>205.5</v>
      </c>
      <c r="F122" s="213">
        <v>210</v>
      </c>
      <c r="G122" s="213">
        <v>213</v>
      </c>
      <c r="H122" s="213">
        <v>210</v>
      </c>
      <c r="I122" s="214"/>
      <c r="J122" s="213">
        <v>211.5</v>
      </c>
      <c r="K122" s="213">
        <v>208.5</v>
      </c>
      <c r="L122" s="212">
        <v>211.5</v>
      </c>
      <c r="M122" s="213">
        <v>209.25</v>
      </c>
      <c r="N122" s="213">
        <v>201</v>
      </c>
      <c r="O122" s="213">
        <v>222</v>
      </c>
      <c r="P122" s="214"/>
      <c r="Q122" s="213">
        <v>208.5</v>
      </c>
      <c r="R122" s="213">
        <v>213</v>
      </c>
      <c r="S122" s="212">
        <v>208.5</v>
      </c>
      <c r="T122" s="213">
        <v>210</v>
      </c>
      <c r="U122" s="213">
        <v>210</v>
      </c>
      <c r="V122" s="213">
        <v>154.5</v>
      </c>
      <c r="W122" s="214"/>
      <c r="X122" s="213">
        <v>201</v>
      </c>
      <c r="Y122" s="213">
        <v>210</v>
      </c>
      <c r="Z122" s="212">
        <v>199.5</v>
      </c>
      <c r="AA122" s="213">
        <v>198.75</v>
      </c>
      <c r="AB122" s="213">
        <v>198</v>
      </c>
      <c r="AC122" s="215"/>
      <c r="AD122" s="214"/>
      <c r="AE122" s="215"/>
      <c r="AF122" s="215"/>
      <c r="AG122" s="216"/>
      <c r="AH122" s="217"/>
      <c r="AI122" s="217"/>
      <c r="AJ122" s="8"/>
    </row>
    <row r="123" spans="1:36" ht="15">
      <c r="A123" s="366"/>
      <c r="B123" s="219" t="s">
        <v>52</v>
      </c>
      <c r="C123" s="220">
        <v>1.8342000000000001</v>
      </c>
      <c r="D123" s="220">
        <v>1.8342000000000001</v>
      </c>
      <c r="E123" s="221">
        <v>1.7869999999999999</v>
      </c>
      <c r="F123" s="220">
        <v>1.8103</v>
      </c>
      <c r="G123" s="220">
        <v>1.8362000000000001</v>
      </c>
      <c r="H123" s="220">
        <v>1.8584000000000001</v>
      </c>
      <c r="I123" s="222"/>
      <c r="J123" s="220">
        <v>1.8717000000000001</v>
      </c>
      <c r="K123" s="220">
        <v>1.8784000000000001</v>
      </c>
      <c r="L123" s="221">
        <v>1.9403999999999999</v>
      </c>
      <c r="M123" s="220">
        <v>1.9375</v>
      </c>
      <c r="N123" s="220">
        <v>1.8961999999999999</v>
      </c>
      <c r="O123" s="220">
        <v>1.9474</v>
      </c>
      <c r="P123" s="222"/>
      <c r="Q123" s="220">
        <v>1.9127999999999998</v>
      </c>
      <c r="R123" s="220">
        <v>1.9018000000000002</v>
      </c>
      <c r="S123" s="221">
        <v>1.8451</v>
      </c>
      <c r="T123" s="220">
        <v>1.8260999999999998</v>
      </c>
      <c r="U123" s="220">
        <v>1.875</v>
      </c>
      <c r="V123" s="220">
        <v>1.3794999999999999</v>
      </c>
      <c r="W123" s="222"/>
      <c r="X123" s="220">
        <v>1.7787999999999999</v>
      </c>
      <c r="Y123" s="220">
        <v>1.8584000000000001</v>
      </c>
      <c r="Z123" s="221">
        <v>1.7347999999999999</v>
      </c>
      <c r="AA123" s="220">
        <v>1.7587999999999999</v>
      </c>
      <c r="AB123" s="220">
        <v>1.7679</v>
      </c>
      <c r="AC123" s="223"/>
      <c r="AD123" s="222"/>
      <c r="AE123" s="223"/>
      <c r="AF123" s="223"/>
      <c r="AG123" s="224"/>
      <c r="AH123" s="225"/>
      <c r="AI123" s="225"/>
      <c r="AJ123" s="8"/>
    </row>
    <row r="124" spans="1:36" ht="15">
      <c r="A124" s="364" t="s">
        <v>169</v>
      </c>
      <c r="B124" s="200" t="s">
        <v>166</v>
      </c>
      <c r="C124" s="201">
        <v>35600</v>
      </c>
      <c r="D124" s="201">
        <v>1695.2380952380952</v>
      </c>
      <c r="E124" s="202">
        <v>1680</v>
      </c>
      <c r="F124" s="203">
        <v>1760</v>
      </c>
      <c r="G124" s="203">
        <v>1760</v>
      </c>
      <c r="H124" s="203">
        <v>1760</v>
      </c>
      <c r="I124" s="204"/>
      <c r="J124" s="203">
        <v>1760</v>
      </c>
      <c r="K124" s="203">
        <v>1760</v>
      </c>
      <c r="L124" s="202">
        <v>1760</v>
      </c>
      <c r="M124" s="203">
        <v>1760</v>
      </c>
      <c r="N124" s="203">
        <v>1760</v>
      </c>
      <c r="O124" s="203">
        <v>1760</v>
      </c>
      <c r="P124" s="204"/>
      <c r="Q124" s="203">
        <v>1760</v>
      </c>
      <c r="R124" s="203">
        <v>1760</v>
      </c>
      <c r="S124" s="202">
        <v>1760</v>
      </c>
      <c r="T124" s="203">
        <v>1760</v>
      </c>
      <c r="U124" s="203">
        <v>1760</v>
      </c>
      <c r="V124" s="203">
        <v>1760</v>
      </c>
      <c r="W124" s="204"/>
      <c r="X124" s="203">
        <v>1680</v>
      </c>
      <c r="Y124" s="203">
        <v>1600</v>
      </c>
      <c r="Z124" s="202">
        <v>1680</v>
      </c>
      <c r="AA124" s="203">
        <v>1280</v>
      </c>
      <c r="AB124" s="203">
        <v>1280</v>
      </c>
      <c r="AC124" s="205"/>
      <c r="AD124" s="204"/>
      <c r="AE124" s="205"/>
      <c r="AF124" s="205"/>
      <c r="AG124" s="206"/>
      <c r="AH124" s="207"/>
      <c r="AI124" s="207"/>
      <c r="AJ124" s="8"/>
    </row>
    <row r="125" spans="1:36" ht="15">
      <c r="A125" s="365"/>
      <c r="B125" s="200" t="s">
        <v>158</v>
      </c>
      <c r="C125" s="201">
        <v>31300</v>
      </c>
      <c r="D125" s="201">
        <v>1490.4761904761904</v>
      </c>
      <c r="E125" s="202">
        <v>1140</v>
      </c>
      <c r="F125" s="203">
        <v>1140</v>
      </c>
      <c r="G125" s="203">
        <v>1260</v>
      </c>
      <c r="H125" s="203">
        <v>1680</v>
      </c>
      <c r="I125" s="204"/>
      <c r="J125" s="203">
        <v>1680</v>
      </c>
      <c r="K125" s="203">
        <v>1680</v>
      </c>
      <c r="L125" s="202">
        <v>1680</v>
      </c>
      <c r="M125" s="203">
        <v>1680</v>
      </c>
      <c r="N125" s="203">
        <v>1680</v>
      </c>
      <c r="O125" s="203">
        <v>1680</v>
      </c>
      <c r="P125" s="204"/>
      <c r="Q125" s="203">
        <v>1680</v>
      </c>
      <c r="R125" s="203">
        <v>1680</v>
      </c>
      <c r="S125" s="202">
        <v>1260</v>
      </c>
      <c r="T125" s="203">
        <v>1680</v>
      </c>
      <c r="U125" s="203">
        <v>1680</v>
      </c>
      <c r="V125" s="203">
        <v>1680</v>
      </c>
      <c r="W125" s="204"/>
      <c r="X125" s="203">
        <v>1520</v>
      </c>
      <c r="Y125" s="203">
        <v>1520</v>
      </c>
      <c r="Z125" s="202">
        <v>990</v>
      </c>
      <c r="AA125" s="203">
        <v>990</v>
      </c>
      <c r="AB125" s="203">
        <v>1320</v>
      </c>
      <c r="AC125" s="203">
        <v>1320</v>
      </c>
      <c r="AD125" s="204"/>
      <c r="AE125" s="203">
        <v>1320</v>
      </c>
      <c r="AF125" s="203">
        <v>1320</v>
      </c>
      <c r="AG125" s="208">
        <v>1320</v>
      </c>
      <c r="AH125" s="209">
        <v>1320</v>
      </c>
      <c r="AI125" s="209">
        <v>1320</v>
      </c>
      <c r="AJ125" s="8"/>
    </row>
    <row r="126" spans="1:36" ht="15">
      <c r="A126" s="365"/>
      <c r="B126" s="210" t="s">
        <v>159</v>
      </c>
      <c r="C126" s="211">
        <v>28452</v>
      </c>
      <c r="D126" s="211">
        <v>1354.8571428571429</v>
      </c>
      <c r="E126" s="212">
        <v>1128</v>
      </c>
      <c r="F126" s="213">
        <v>1134</v>
      </c>
      <c r="G126" s="213">
        <v>1242</v>
      </c>
      <c r="H126" s="213">
        <v>1692</v>
      </c>
      <c r="I126" s="214"/>
      <c r="J126" s="213">
        <v>1578</v>
      </c>
      <c r="K126" s="213">
        <v>1680</v>
      </c>
      <c r="L126" s="212">
        <v>1800</v>
      </c>
      <c r="M126" s="213">
        <v>1680</v>
      </c>
      <c r="N126" s="213">
        <v>1680</v>
      </c>
      <c r="O126" s="213">
        <v>1644</v>
      </c>
      <c r="P126" s="214"/>
      <c r="Q126" s="213">
        <v>1692</v>
      </c>
      <c r="R126" s="213">
        <v>876</v>
      </c>
      <c r="S126" s="212">
        <v>858</v>
      </c>
      <c r="T126" s="213">
        <v>1644</v>
      </c>
      <c r="U126" s="213">
        <v>1758</v>
      </c>
      <c r="V126" s="213">
        <v>1656</v>
      </c>
      <c r="W126" s="214"/>
      <c r="X126" s="213">
        <v>1566</v>
      </c>
      <c r="Y126" s="213">
        <v>1416</v>
      </c>
      <c r="Z126" s="212">
        <v>738</v>
      </c>
      <c r="AA126" s="213">
        <v>138</v>
      </c>
      <c r="AB126" s="213">
        <v>852</v>
      </c>
      <c r="AC126" s="215"/>
      <c r="AD126" s="214"/>
      <c r="AE126" s="215"/>
      <c r="AF126" s="215"/>
      <c r="AG126" s="216"/>
      <c r="AH126" s="217"/>
      <c r="AI126" s="217"/>
      <c r="AJ126" s="8"/>
    </row>
    <row r="127" spans="1:36" ht="15">
      <c r="A127" s="365"/>
      <c r="B127" s="210" t="s">
        <v>160</v>
      </c>
      <c r="C127" s="218">
        <v>-2848</v>
      </c>
      <c r="D127" s="218">
        <v>-135.61904761904762</v>
      </c>
      <c r="E127" s="214">
        <v>-12</v>
      </c>
      <c r="F127" s="215">
        <v>-6</v>
      </c>
      <c r="G127" s="215">
        <v>-18</v>
      </c>
      <c r="H127" s="213">
        <v>12</v>
      </c>
      <c r="I127" s="214"/>
      <c r="J127" s="215">
        <v>-102</v>
      </c>
      <c r="K127" s="213">
        <v>0</v>
      </c>
      <c r="L127" s="212">
        <v>120</v>
      </c>
      <c r="M127" s="213">
        <v>0</v>
      </c>
      <c r="N127" s="213">
        <v>0</v>
      </c>
      <c r="O127" s="215">
        <v>-36</v>
      </c>
      <c r="P127" s="214"/>
      <c r="Q127" s="213">
        <v>12</v>
      </c>
      <c r="R127" s="215">
        <v>-804</v>
      </c>
      <c r="S127" s="214">
        <v>-402</v>
      </c>
      <c r="T127" s="215">
        <v>-36</v>
      </c>
      <c r="U127" s="213">
        <v>78</v>
      </c>
      <c r="V127" s="215">
        <v>-24</v>
      </c>
      <c r="W127" s="214"/>
      <c r="X127" s="213">
        <v>46</v>
      </c>
      <c r="Y127" s="215">
        <v>-104</v>
      </c>
      <c r="Z127" s="214">
        <v>-252</v>
      </c>
      <c r="AA127" s="215">
        <v>-852</v>
      </c>
      <c r="AB127" s="215">
        <v>-468</v>
      </c>
      <c r="AC127" s="215"/>
      <c r="AD127" s="214"/>
      <c r="AE127" s="215"/>
      <c r="AF127" s="215"/>
      <c r="AG127" s="216"/>
      <c r="AH127" s="217"/>
      <c r="AI127" s="217"/>
      <c r="AJ127" s="8"/>
    </row>
    <row r="128" spans="1:36" ht="15">
      <c r="A128" s="365"/>
      <c r="B128" s="210" t="s">
        <v>161</v>
      </c>
      <c r="C128" s="211">
        <v>168</v>
      </c>
      <c r="D128" s="211">
        <v>8</v>
      </c>
      <c r="E128" s="212">
        <v>8</v>
      </c>
      <c r="F128" s="213">
        <v>8</v>
      </c>
      <c r="G128" s="213">
        <v>8</v>
      </c>
      <c r="H128" s="213">
        <v>8</v>
      </c>
      <c r="I128" s="214"/>
      <c r="J128" s="213">
        <v>8</v>
      </c>
      <c r="K128" s="213">
        <v>8</v>
      </c>
      <c r="L128" s="212">
        <v>8</v>
      </c>
      <c r="M128" s="213">
        <v>8</v>
      </c>
      <c r="N128" s="213">
        <v>8</v>
      </c>
      <c r="O128" s="213">
        <v>8</v>
      </c>
      <c r="P128" s="214"/>
      <c r="Q128" s="213">
        <v>8</v>
      </c>
      <c r="R128" s="213">
        <v>8</v>
      </c>
      <c r="S128" s="212">
        <v>8</v>
      </c>
      <c r="T128" s="213">
        <v>8</v>
      </c>
      <c r="U128" s="213">
        <v>8</v>
      </c>
      <c r="V128" s="213">
        <v>8</v>
      </c>
      <c r="W128" s="214"/>
      <c r="X128" s="213">
        <v>8</v>
      </c>
      <c r="Y128" s="213">
        <v>8</v>
      </c>
      <c r="Z128" s="212">
        <v>8</v>
      </c>
      <c r="AA128" s="213">
        <v>8</v>
      </c>
      <c r="AB128" s="213">
        <v>8</v>
      </c>
      <c r="AC128" s="215"/>
      <c r="AD128" s="214"/>
      <c r="AE128" s="215"/>
      <c r="AF128" s="215"/>
      <c r="AG128" s="216"/>
      <c r="AH128" s="217"/>
      <c r="AI128" s="217"/>
      <c r="AJ128" s="8"/>
    </row>
    <row r="129" spans="1:36" ht="15">
      <c r="A129" s="365"/>
      <c r="B129" s="210" t="s">
        <v>162</v>
      </c>
      <c r="C129" s="211">
        <v>102</v>
      </c>
      <c r="D129" s="211">
        <v>102</v>
      </c>
      <c r="E129" s="212">
        <v>97</v>
      </c>
      <c r="F129" s="213">
        <v>97</v>
      </c>
      <c r="G129" s="213">
        <v>98</v>
      </c>
      <c r="H129" s="213">
        <v>102</v>
      </c>
      <c r="I129" s="214"/>
      <c r="J129" s="213">
        <v>96</v>
      </c>
      <c r="K129" s="213">
        <v>96</v>
      </c>
      <c r="L129" s="212">
        <v>102</v>
      </c>
      <c r="M129" s="213">
        <v>101</v>
      </c>
      <c r="N129" s="213">
        <v>99</v>
      </c>
      <c r="O129" s="213">
        <v>109</v>
      </c>
      <c r="P129" s="214"/>
      <c r="Q129" s="213">
        <v>104</v>
      </c>
      <c r="R129" s="213">
        <v>106</v>
      </c>
      <c r="S129" s="212">
        <v>107</v>
      </c>
      <c r="T129" s="213">
        <v>107</v>
      </c>
      <c r="U129" s="213">
        <v>106</v>
      </c>
      <c r="V129" s="213">
        <v>106</v>
      </c>
      <c r="W129" s="214"/>
      <c r="X129" s="213">
        <v>104</v>
      </c>
      <c r="Y129" s="213">
        <v>104</v>
      </c>
      <c r="Z129" s="212">
        <v>106</v>
      </c>
      <c r="AA129" s="213">
        <v>107</v>
      </c>
      <c r="AB129" s="213">
        <v>108</v>
      </c>
      <c r="AC129" s="215"/>
      <c r="AD129" s="214"/>
      <c r="AE129" s="215"/>
      <c r="AF129" s="215"/>
      <c r="AG129" s="216"/>
      <c r="AH129" s="217"/>
      <c r="AI129" s="217"/>
      <c r="AJ129" s="8"/>
    </row>
    <row r="130" spans="1:36" ht="15">
      <c r="A130" s="365"/>
      <c r="B130" s="210" t="s">
        <v>163</v>
      </c>
      <c r="C130" s="211">
        <v>169.35714285714286</v>
      </c>
      <c r="D130" s="211">
        <v>169.35714285714286</v>
      </c>
      <c r="E130" s="212">
        <v>141</v>
      </c>
      <c r="F130" s="213">
        <v>141.75</v>
      </c>
      <c r="G130" s="213">
        <v>155.25</v>
      </c>
      <c r="H130" s="213">
        <v>211.5</v>
      </c>
      <c r="I130" s="214"/>
      <c r="J130" s="213">
        <v>197.25</v>
      </c>
      <c r="K130" s="213">
        <v>210</v>
      </c>
      <c r="L130" s="212">
        <v>225</v>
      </c>
      <c r="M130" s="213">
        <v>210</v>
      </c>
      <c r="N130" s="213">
        <v>210</v>
      </c>
      <c r="O130" s="213">
        <v>205.5</v>
      </c>
      <c r="P130" s="214"/>
      <c r="Q130" s="213">
        <v>211.5</v>
      </c>
      <c r="R130" s="213">
        <v>109.5</v>
      </c>
      <c r="S130" s="212">
        <v>107.25</v>
      </c>
      <c r="T130" s="213">
        <v>205.5</v>
      </c>
      <c r="U130" s="213">
        <v>219.75</v>
      </c>
      <c r="V130" s="213">
        <v>207</v>
      </c>
      <c r="W130" s="214"/>
      <c r="X130" s="213">
        <v>195.75</v>
      </c>
      <c r="Y130" s="213">
        <v>177</v>
      </c>
      <c r="Z130" s="212">
        <v>92.25</v>
      </c>
      <c r="AA130" s="213">
        <v>17.25</v>
      </c>
      <c r="AB130" s="213">
        <v>106.5</v>
      </c>
      <c r="AC130" s="215"/>
      <c r="AD130" s="214"/>
      <c r="AE130" s="215"/>
      <c r="AF130" s="215"/>
      <c r="AG130" s="216"/>
      <c r="AH130" s="217"/>
      <c r="AI130" s="217"/>
      <c r="AJ130" s="8"/>
    </row>
    <row r="131" spans="1:36" ht="15">
      <c r="A131" s="366"/>
      <c r="B131" s="219" t="s">
        <v>146</v>
      </c>
      <c r="C131" s="220">
        <v>1.6604000000000001</v>
      </c>
      <c r="D131" s="220">
        <v>1.6604000000000001</v>
      </c>
      <c r="E131" s="221">
        <v>1.4536</v>
      </c>
      <c r="F131" s="220">
        <v>1.4613</v>
      </c>
      <c r="G131" s="220">
        <v>1.5842000000000001</v>
      </c>
      <c r="H131" s="220">
        <v>2.0735000000000001</v>
      </c>
      <c r="I131" s="222"/>
      <c r="J131" s="220">
        <v>2.0547</v>
      </c>
      <c r="K131" s="220">
        <v>2.1875</v>
      </c>
      <c r="L131" s="221">
        <v>2.2059000000000002</v>
      </c>
      <c r="M131" s="220">
        <v>2.0792000000000002</v>
      </c>
      <c r="N131" s="220">
        <v>2.1212</v>
      </c>
      <c r="O131" s="220">
        <v>1.8853</v>
      </c>
      <c r="P131" s="222"/>
      <c r="Q131" s="220">
        <v>2.0337000000000001</v>
      </c>
      <c r="R131" s="220">
        <v>1.0329999999999999</v>
      </c>
      <c r="S131" s="221">
        <v>1.0023</v>
      </c>
      <c r="T131" s="220">
        <v>1.9205999999999999</v>
      </c>
      <c r="U131" s="220">
        <v>2.0731000000000002</v>
      </c>
      <c r="V131" s="220">
        <v>1.9527999999999999</v>
      </c>
      <c r="W131" s="222"/>
      <c r="X131" s="220">
        <v>1.8822000000000001</v>
      </c>
      <c r="Y131" s="220">
        <v>1.7019</v>
      </c>
      <c r="Z131" s="221">
        <v>0.87029999999999996</v>
      </c>
      <c r="AA131" s="220">
        <v>0.16120000000000001</v>
      </c>
      <c r="AB131" s="220">
        <v>0.98609999999999998</v>
      </c>
      <c r="AC131" s="223"/>
      <c r="AD131" s="222"/>
      <c r="AE131" s="223"/>
      <c r="AF131" s="223"/>
      <c r="AG131" s="224"/>
      <c r="AH131" s="225"/>
      <c r="AI131" s="225"/>
      <c r="AJ131" s="8"/>
    </row>
    <row r="132" spans="1:36" ht="15">
      <c r="A132" s="364" t="s">
        <v>170</v>
      </c>
      <c r="B132" s="200" t="s">
        <v>139</v>
      </c>
      <c r="C132" s="201">
        <v>35640</v>
      </c>
      <c r="D132" s="201">
        <v>1697.1428571428571</v>
      </c>
      <c r="E132" s="202">
        <v>1600</v>
      </c>
      <c r="F132" s="203">
        <v>1760</v>
      </c>
      <c r="G132" s="203">
        <v>1760</v>
      </c>
      <c r="H132" s="203">
        <v>1760</v>
      </c>
      <c r="I132" s="204"/>
      <c r="J132" s="203">
        <v>1760</v>
      </c>
      <c r="K132" s="203">
        <v>1760</v>
      </c>
      <c r="L132" s="202">
        <v>1760</v>
      </c>
      <c r="M132" s="203">
        <v>1760</v>
      </c>
      <c r="N132" s="203">
        <v>1760</v>
      </c>
      <c r="O132" s="203">
        <v>1760</v>
      </c>
      <c r="P132" s="204"/>
      <c r="Q132" s="203">
        <v>1760</v>
      </c>
      <c r="R132" s="203">
        <v>1760</v>
      </c>
      <c r="S132" s="202">
        <v>1760</v>
      </c>
      <c r="T132" s="203">
        <v>1760</v>
      </c>
      <c r="U132" s="203">
        <v>1760</v>
      </c>
      <c r="V132" s="203">
        <v>1680</v>
      </c>
      <c r="W132" s="204"/>
      <c r="X132" s="203">
        <v>1520</v>
      </c>
      <c r="Y132" s="203">
        <v>1520</v>
      </c>
      <c r="Z132" s="202">
        <v>1520</v>
      </c>
      <c r="AA132" s="203">
        <v>1560</v>
      </c>
      <c r="AB132" s="203">
        <v>1600</v>
      </c>
      <c r="AC132" s="205"/>
      <c r="AD132" s="204"/>
      <c r="AE132" s="205"/>
      <c r="AF132" s="205"/>
      <c r="AG132" s="206"/>
      <c r="AH132" s="207"/>
      <c r="AI132" s="207"/>
      <c r="AJ132" s="8"/>
    </row>
    <row r="133" spans="1:36" ht="15">
      <c r="A133" s="365"/>
      <c r="B133" s="200" t="s">
        <v>140</v>
      </c>
      <c r="C133" s="201">
        <v>33800</v>
      </c>
      <c r="D133" s="201">
        <v>1609.5238095238096</v>
      </c>
      <c r="E133" s="202">
        <v>1680</v>
      </c>
      <c r="F133" s="203">
        <v>1680</v>
      </c>
      <c r="G133" s="203">
        <v>1680</v>
      </c>
      <c r="H133" s="203">
        <v>1680</v>
      </c>
      <c r="I133" s="204"/>
      <c r="J133" s="203">
        <v>1680</v>
      </c>
      <c r="K133" s="203">
        <v>1680</v>
      </c>
      <c r="L133" s="202">
        <v>1680</v>
      </c>
      <c r="M133" s="203">
        <v>1680</v>
      </c>
      <c r="N133" s="203">
        <v>1680</v>
      </c>
      <c r="O133" s="203">
        <v>1680</v>
      </c>
      <c r="P133" s="204"/>
      <c r="Q133" s="203">
        <v>1680</v>
      </c>
      <c r="R133" s="203">
        <v>1680</v>
      </c>
      <c r="S133" s="202">
        <v>1680</v>
      </c>
      <c r="T133" s="203">
        <v>1680</v>
      </c>
      <c r="U133" s="203">
        <v>1680</v>
      </c>
      <c r="V133" s="203">
        <v>1680</v>
      </c>
      <c r="W133" s="204"/>
      <c r="X133" s="203">
        <v>1140</v>
      </c>
      <c r="Y133" s="203">
        <v>1140</v>
      </c>
      <c r="Z133" s="202">
        <v>1520</v>
      </c>
      <c r="AA133" s="203">
        <v>1520</v>
      </c>
      <c r="AB133" s="203">
        <v>1600</v>
      </c>
      <c r="AC133" s="203">
        <v>1600</v>
      </c>
      <c r="AD133" s="204"/>
      <c r="AE133" s="203">
        <v>1600</v>
      </c>
      <c r="AF133" s="203">
        <v>1600</v>
      </c>
      <c r="AG133" s="208">
        <v>1600</v>
      </c>
      <c r="AH133" s="209">
        <v>1600</v>
      </c>
      <c r="AI133" s="209">
        <v>1600</v>
      </c>
      <c r="AJ133" s="8"/>
    </row>
    <row r="134" spans="1:36" ht="15">
      <c r="A134" s="365"/>
      <c r="B134" s="210" t="s">
        <v>141</v>
      </c>
      <c r="C134" s="211">
        <v>35090</v>
      </c>
      <c r="D134" s="211">
        <v>1670.952380952381</v>
      </c>
      <c r="E134" s="212">
        <v>1634</v>
      </c>
      <c r="F134" s="213">
        <v>1692</v>
      </c>
      <c r="G134" s="213">
        <v>1680</v>
      </c>
      <c r="H134" s="213">
        <v>1680</v>
      </c>
      <c r="I134" s="214"/>
      <c r="J134" s="213">
        <v>1692</v>
      </c>
      <c r="K134" s="213">
        <v>1680</v>
      </c>
      <c r="L134" s="212">
        <v>1632</v>
      </c>
      <c r="M134" s="213">
        <v>1728</v>
      </c>
      <c r="N134" s="213">
        <v>1680</v>
      </c>
      <c r="O134" s="213">
        <v>1668</v>
      </c>
      <c r="P134" s="214"/>
      <c r="Q134" s="213">
        <v>1764</v>
      </c>
      <c r="R134" s="213">
        <v>1872</v>
      </c>
      <c r="S134" s="212">
        <v>1788</v>
      </c>
      <c r="T134" s="213">
        <v>1608</v>
      </c>
      <c r="U134" s="213">
        <v>1728</v>
      </c>
      <c r="V134" s="213">
        <v>1680</v>
      </c>
      <c r="W134" s="214"/>
      <c r="X134" s="213">
        <v>1680</v>
      </c>
      <c r="Y134" s="213">
        <v>1140</v>
      </c>
      <c r="Z134" s="212">
        <v>1488</v>
      </c>
      <c r="AA134" s="213">
        <v>1968</v>
      </c>
      <c r="AB134" s="213">
        <v>1608</v>
      </c>
      <c r="AC134" s="215"/>
      <c r="AD134" s="214"/>
      <c r="AE134" s="215"/>
      <c r="AF134" s="215"/>
      <c r="AG134" s="216"/>
      <c r="AH134" s="217"/>
      <c r="AI134" s="217"/>
      <c r="AJ134" s="8"/>
    </row>
    <row r="135" spans="1:36" ht="15">
      <c r="A135" s="365"/>
      <c r="B135" s="210" t="s">
        <v>142</v>
      </c>
      <c r="C135" s="211">
        <v>1290</v>
      </c>
      <c r="D135" s="211">
        <v>61.428571428571431</v>
      </c>
      <c r="E135" s="214">
        <v>-46</v>
      </c>
      <c r="F135" s="213">
        <v>12</v>
      </c>
      <c r="G135" s="213">
        <v>0</v>
      </c>
      <c r="H135" s="213">
        <v>0</v>
      </c>
      <c r="I135" s="214"/>
      <c r="J135" s="213">
        <v>12</v>
      </c>
      <c r="K135" s="213">
        <v>0</v>
      </c>
      <c r="L135" s="214">
        <v>-48</v>
      </c>
      <c r="M135" s="213">
        <v>48</v>
      </c>
      <c r="N135" s="213">
        <v>0</v>
      </c>
      <c r="O135" s="215">
        <v>-12</v>
      </c>
      <c r="P135" s="214"/>
      <c r="Q135" s="213">
        <v>84</v>
      </c>
      <c r="R135" s="213">
        <v>192</v>
      </c>
      <c r="S135" s="212">
        <v>108</v>
      </c>
      <c r="T135" s="215">
        <v>-72</v>
      </c>
      <c r="U135" s="213">
        <v>48</v>
      </c>
      <c r="V135" s="213">
        <v>0</v>
      </c>
      <c r="W135" s="214"/>
      <c r="X135" s="213">
        <v>540</v>
      </c>
      <c r="Y135" s="213">
        <v>0</v>
      </c>
      <c r="Z135" s="214">
        <v>-32</v>
      </c>
      <c r="AA135" s="213">
        <v>448</v>
      </c>
      <c r="AB135" s="213">
        <v>8</v>
      </c>
      <c r="AC135" s="215"/>
      <c r="AD135" s="214"/>
      <c r="AE135" s="215"/>
      <c r="AF135" s="215"/>
      <c r="AG135" s="216"/>
      <c r="AH135" s="217"/>
      <c r="AI135" s="217"/>
      <c r="AJ135" s="8"/>
    </row>
    <row r="136" spans="1:36" ht="15">
      <c r="A136" s="365"/>
      <c r="B136" s="210" t="s">
        <v>143</v>
      </c>
      <c r="C136" s="211">
        <v>168</v>
      </c>
      <c r="D136" s="211">
        <v>8</v>
      </c>
      <c r="E136" s="212">
        <v>8</v>
      </c>
      <c r="F136" s="213">
        <v>8</v>
      </c>
      <c r="G136" s="213">
        <v>8</v>
      </c>
      <c r="H136" s="213">
        <v>8</v>
      </c>
      <c r="I136" s="214"/>
      <c r="J136" s="213">
        <v>8</v>
      </c>
      <c r="K136" s="213">
        <v>8</v>
      </c>
      <c r="L136" s="212">
        <v>8</v>
      </c>
      <c r="M136" s="213">
        <v>8</v>
      </c>
      <c r="N136" s="213">
        <v>8</v>
      </c>
      <c r="O136" s="213">
        <v>8</v>
      </c>
      <c r="P136" s="214"/>
      <c r="Q136" s="213">
        <v>8</v>
      </c>
      <c r="R136" s="213">
        <v>8</v>
      </c>
      <c r="S136" s="212">
        <v>8</v>
      </c>
      <c r="T136" s="213">
        <v>8</v>
      </c>
      <c r="U136" s="213">
        <v>8</v>
      </c>
      <c r="V136" s="213">
        <v>8</v>
      </c>
      <c r="W136" s="214"/>
      <c r="X136" s="213">
        <v>8</v>
      </c>
      <c r="Y136" s="213">
        <v>8</v>
      </c>
      <c r="Z136" s="212">
        <v>8</v>
      </c>
      <c r="AA136" s="213">
        <v>8</v>
      </c>
      <c r="AB136" s="213">
        <v>8</v>
      </c>
      <c r="AC136" s="215"/>
      <c r="AD136" s="214"/>
      <c r="AE136" s="215"/>
      <c r="AF136" s="215"/>
      <c r="AG136" s="216"/>
      <c r="AH136" s="217"/>
      <c r="AI136" s="217"/>
      <c r="AJ136" s="8"/>
    </row>
    <row r="137" spans="1:36" ht="15">
      <c r="A137" s="365"/>
      <c r="B137" s="210" t="s">
        <v>144</v>
      </c>
      <c r="C137" s="211">
        <v>107</v>
      </c>
      <c r="D137" s="211">
        <v>107</v>
      </c>
      <c r="E137" s="212">
        <v>108</v>
      </c>
      <c r="F137" s="213">
        <v>106</v>
      </c>
      <c r="G137" s="213">
        <v>107</v>
      </c>
      <c r="H137" s="213">
        <v>104</v>
      </c>
      <c r="I137" s="214"/>
      <c r="J137" s="213">
        <v>106</v>
      </c>
      <c r="K137" s="213">
        <v>106</v>
      </c>
      <c r="L137" s="212">
        <v>109</v>
      </c>
      <c r="M137" s="213">
        <v>106</v>
      </c>
      <c r="N137" s="213">
        <v>107</v>
      </c>
      <c r="O137" s="213">
        <v>110</v>
      </c>
      <c r="P137" s="214"/>
      <c r="Q137" s="213">
        <v>110</v>
      </c>
      <c r="R137" s="213">
        <v>112</v>
      </c>
      <c r="S137" s="212">
        <v>113</v>
      </c>
      <c r="T137" s="213">
        <v>109</v>
      </c>
      <c r="U137" s="213">
        <v>110</v>
      </c>
      <c r="V137" s="213">
        <v>106</v>
      </c>
      <c r="W137" s="214"/>
      <c r="X137" s="213">
        <v>109</v>
      </c>
      <c r="Y137" s="213">
        <v>106</v>
      </c>
      <c r="Z137" s="212">
        <v>108</v>
      </c>
      <c r="AA137" s="213">
        <v>106</v>
      </c>
      <c r="AB137" s="213">
        <v>107</v>
      </c>
      <c r="AC137" s="215"/>
      <c r="AD137" s="214"/>
      <c r="AE137" s="215"/>
      <c r="AF137" s="215"/>
      <c r="AG137" s="216"/>
      <c r="AH137" s="217"/>
      <c r="AI137" s="217"/>
      <c r="AJ137" s="8"/>
    </row>
    <row r="138" spans="1:36" ht="15">
      <c r="A138" s="365"/>
      <c r="B138" s="210" t="s">
        <v>145</v>
      </c>
      <c r="C138" s="211">
        <v>208.86904761904762</v>
      </c>
      <c r="D138" s="211">
        <v>208.86904761904762</v>
      </c>
      <c r="E138" s="212">
        <v>204.25</v>
      </c>
      <c r="F138" s="213">
        <v>211.5</v>
      </c>
      <c r="G138" s="213">
        <v>210</v>
      </c>
      <c r="H138" s="213">
        <v>210</v>
      </c>
      <c r="I138" s="214"/>
      <c r="J138" s="213">
        <v>211.5</v>
      </c>
      <c r="K138" s="213">
        <v>210</v>
      </c>
      <c r="L138" s="212">
        <v>204</v>
      </c>
      <c r="M138" s="213">
        <v>216</v>
      </c>
      <c r="N138" s="213">
        <v>210</v>
      </c>
      <c r="O138" s="213">
        <v>208.5</v>
      </c>
      <c r="P138" s="214"/>
      <c r="Q138" s="213">
        <v>220.5</v>
      </c>
      <c r="R138" s="213">
        <v>234</v>
      </c>
      <c r="S138" s="212">
        <v>223.5</v>
      </c>
      <c r="T138" s="213">
        <v>201</v>
      </c>
      <c r="U138" s="213">
        <v>216</v>
      </c>
      <c r="V138" s="213">
        <v>210</v>
      </c>
      <c r="W138" s="214"/>
      <c r="X138" s="213">
        <v>210</v>
      </c>
      <c r="Y138" s="213">
        <v>142.5</v>
      </c>
      <c r="Z138" s="212">
        <v>186</v>
      </c>
      <c r="AA138" s="213">
        <v>246</v>
      </c>
      <c r="AB138" s="213">
        <v>201</v>
      </c>
      <c r="AC138" s="215"/>
      <c r="AD138" s="214"/>
      <c r="AE138" s="215"/>
      <c r="AF138" s="215"/>
      <c r="AG138" s="216"/>
      <c r="AH138" s="217"/>
      <c r="AI138" s="217"/>
      <c r="AJ138" s="8"/>
    </row>
    <row r="139" spans="1:36" ht="15">
      <c r="A139" s="366"/>
      <c r="B139" s="219" t="s">
        <v>146</v>
      </c>
      <c r="C139" s="220">
        <v>1.952</v>
      </c>
      <c r="D139" s="220">
        <v>1.952</v>
      </c>
      <c r="E139" s="221">
        <v>1.8912</v>
      </c>
      <c r="F139" s="220">
        <v>1.9952999999999999</v>
      </c>
      <c r="G139" s="220">
        <v>1.9626000000000001</v>
      </c>
      <c r="H139" s="220">
        <v>2.0192000000000001</v>
      </c>
      <c r="I139" s="222"/>
      <c r="J139" s="220">
        <v>1.9952999999999999</v>
      </c>
      <c r="K139" s="220">
        <v>1.9811000000000001</v>
      </c>
      <c r="L139" s="221">
        <v>1.8715999999999999</v>
      </c>
      <c r="M139" s="220">
        <v>2.0377000000000001</v>
      </c>
      <c r="N139" s="220">
        <v>1.9626000000000001</v>
      </c>
      <c r="O139" s="220">
        <v>1.8955</v>
      </c>
      <c r="P139" s="222"/>
      <c r="Q139" s="220">
        <v>2.0045000000000002</v>
      </c>
      <c r="R139" s="220">
        <v>2.0893000000000002</v>
      </c>
      <c r="S139" s="221">
        <v>1.9779</v>
      </c>
      <c r="T139" s="220">
        <v>1.8439999999999999</v>
      </c>
      <c r="U139" s="220">
        <v>1.9636</v>
      </c>
      <c r="V139" s="220">
        <v>1.9811000000000001</v>
      </c>
      <c r="W139" s="222"/>
      <c r="X139" s="220">
        <v>1.9266000000000001</v>
      </c>
      <c r="Y139" s="220">
        <v>1.3443000000000001</v>
      </c>
      <c r="Z139" s="221">
        <v>1.7222</v>
      </c>
      <c r="AA139" s="220">
        <v>2.3208000000000002</v>
      </c>
      <c r="AB139" s="220">
        <v>1.8784999999999998</v>
      </c>
      <c r="AC139" s="223"/>
      <c r="AD139" s="222"/>
      <c r="AE139" s="223"/>
      <c r="AF139" s="223"/>
      <c r="AG139" s="224"/>
      <c r="AH139" s="225"/>
      <c r="AI139" s="225"/>
      <c r="AJ139" s="8"/>
    </row>
    <row r="140" spans="1:36" ht="15">
      <c r="A140" s="364" t="s">
        <v>171</v>
      </c>
      <c r="B140" s="200" t="s">
        <v>139</v>
      </c>
      <c r="C140" s="201">
        <v>35880</v>
      </c>
      <c r="D140" s="201">
        <v>1708.5714285714287</v>
      </c>
      <c r="E140" s="202">
        <v>1760</v>
      </c>
      <c r="F140" s="203">
        <v>1760</v>
      </c>
      <c r="G140" s="203">
        <v>1760</v>
      </c>
      <c r="H140" s="203">
        <v>1760</v>
      </c>
      <c r="I140" s="204"/>
      <c r="J140" s="203">
        <v>1760</v>
      </c>
      <c r="K140" s="203">
        <v>1760</v>
      </c>
      <c r="L140" s="202">
        <v>1760</v>
      </c>
      <c r="M140" s="203">
        <v>1760</v>
      </c>
      <c r="N140" s="203">
        <v>1760</v>
      </c>
      <c r="O140" s="203">
        <v>1760</v>
      </c>
      <c r="P140" s="204"/>
      <c r="Q140" s="203">
        <v>1760</v>
      </c>
      <c r="R140" s="203">
        <v>1760</v>
      </c>
      <c r="S140" s="202">
        <v>1760</v>
      </c>
      <c r="T140" s="203">
        <v>1760</v>
      </c>
      <c r="U140" s="203">
        <v>1760</v>
      </c>
      <c r="V140" s="203">
        <v>1760</v>
      </c>
      <c r="W140" s="204"/>
      <c r="X140" s="203">
        <v>1640</v>
      </c>
      <c r="Y140" s="203">
        <v>1520</v>
      </c>
      <c r="Z140" s="202">
        <v>1520</v>
      </c>
      <c r="AA140" s="203">
        <v>1520</v>
      </c>
      <c r="AB140" s="203">
        <v>1520</v>
      </c>
      <c r="AC140" s="205"/>
      <c r="AD140" s="204"/>
      <c r="AE140" s="205"/>
      <c r="AF140" s="205"/>
      <c r="AG140" s="206"/>
      <c r="AH140" s="207"/>
      <c r="AI140" s="207"/>
      <c r="AJ140" s="8"/>
    </row>
    <row r="141" spans="1:36" ht="15">
      <c r="A141" s="365"/>
      <c r="B141" s="200" t="s">
        <v>140</v>
      </c>
      <c r="C141" s="201">
        <v>33600</v>
      </c>
      <c r="D141" s="201">
        <v>1600</v>
      </c>
      <c r="E141" s="202">
        <v>1680</v>
      </c>
      <c r="F141" s="203">
        <v>1680</v>
      </c>
      <c r="G141" s="203">
        <v>1680</v>
      </c>
      <c r="H141" s="203">
        <v>1680</v>
      </c>
      <c r="I141" s="204"/>
      <c r="J141" s="203">
        <v>1680</v>
      </c>
      <c r="K141" s="203">
        <v>1680</v>
      </c>
      <c r="L141" s="202">
        <v>1680</v>
      </c>
      <c r="M141" s="203">
        <v>1680</v>
      </c>
      <c r="N141" s="203">
        <v>1680</v>
      </c>
      <c r="O141" s="203">
        <v>1680</v>
      </c>
      <c r="P141" s="204"/>
      <c r="Q141" s="203">
        <v>1680</v>
      </c>
      <c r="R141" s="203">
        <v>1680</v>
      </c>
      <c r="S141" s="202">
        <v>1680</v>
      </c>
      <c r="T141" s="203">
        <v>1680</v>
      </c>
      <c r="U141" s="203">
        <v>1680</v>
      </c>
      <c r="V141" s="203">
        <v>1680</v>
      </c>
      <c r="W141" s="204"/>
      <c r="X141" s="203">
        <v>1680</v>
      </c>
      <c r="Y141" s="203">
        <v>1080</v>
      </c>
      <c r="Z141" s="202">
        <v>1080</v>
      </c>
      <c r="AA141" s="203">
        <v>1440</v>
      </c>
      <c r="AB141" s="203">
        <v>1440</v>
      </c>
      <c r="AC141" s="203">
        <v>1440</v>
      </c>
      <c r="AD141" s="204"/>
      <c r="AE141" s="203">
        <v>1440</v>
      </c>
      <c r="AF141" s="203">
        <v>1440</v>
      </c>
      <c r="AG141" s="208">
        <v>1440</v>
      </c>
      <c r="AH141" s="209">
        <v>1440</v>
      </c>
      <c r="AI141" s="209">
        <v>1440</v>
      </c>
      <c r="AJ141" s="8"/>
    </row>
    <row r="142" spans="1:36" ht="15">
      <c r="A142" s="365"/>
      <c r="B142" s="210" t="s">
        <v>141</v>
      </c>
      <c r="C142" s="211">
        <v>33246</v>
      </c>
      <c r="D142" s="211">
        <v>1583.1428571428571</v>
      </c>
      <c r="E142" s="212">
        <v>1668</v>
      </c>
      <c r="F142" s="213">
        <v>1692</v>
      </c>
      <c r="G142" s="213">
        <v>1698</v>
      </c>
      <c r="H142" s="213">
        <v>1656</v>
      </c>
      <c r="I142" s="214"/>
      <c r="J142" s="213">
        <v>1800</v>
      </c>
      <c r="K142" s="213">
        <v>1716</v>
      </c>
      <c r="L142" s="212">
        <v>1680</v>
      </c>
      <c r="M142" s="213">
        <v>1680</v>
      </c>
      <c r="N142" s="213">
        <v>1680</v>
      </c>
      <c r="O142" s="213">
        <v>1680</v>
      </c>
      <c r="P142" s="214"/>
      <c r="Q142" s="213">
        <v>1752</v>
      </c>
      <c r="R142" s="213">
        <v>1686</v>
      </c>
      <c r="S142" s="212">
        <v>1638</v>
      </c>
      <c r="T142" s="213">
        <v>1680</v>
      </c>
      <c r="U142" s="213">
        <v>1680</v>
      </c>
      <c r="V142" s="213">
        <v>1668</v>
      </c>
      <c r="W142" s="214"/>
      <c r="X142" s="213">
        <v>1152</v>
      </c>
      <c r="Y142" s="213">
        <v>1080</v>
      </c>
      <c r="Z142" s="212">
        <v>1056</v>
      </c>
      <c r="AA142" s="213">
        <v>1464</v>
      </c>
      <c r="AB142" s="213">
        <v>1440</v>
      </c>
      <c r="AC142" s="215"/>
      <c r="AD142" s="214"/>
      <c r="AE142" s="215"/>
      <c r="AF142" s="215"/>
      <c r="AG142" s="216"/>
      <c r="AH142" s="217"/>
      <c r="AI142" s="217"/>
      <c r="AJ142" s="8"/>
    </row>
    <row r="143" spans="1:36" ht="15">
      <c r="A143" s="365"/>
      <c r="B143" s="210" t="s">
        <v>48</v>
      </c>
      <c r="C143" s="218">
        <v>-354</v>
      </c>
      <c r="D143" s="218">
        <v>-16.857142857142858</v>
      </c>
      <c r="E143" s="214">
        <v>-12</v>
      </c>
      <c r="F143" s="213">
        <v>12</v>
      </c>
      <c r="G143" s="213">
        <v>18</v>
      </c>
      <c r="H143" s="215">
        <v>-24</v>
      </c>
      <c r="I143" s="214"/>
      <c r="J143" s="213">
        <v>120</v>
      </c>
      <c r="K143" s="213">
        <v>36</v>
      </c>
      <c r="L143" s="212">
        <v>0</v>
      </c>
      <c r="M143" s="213">
        <v>0</v>
      </c>
      <c r="N143" s="213">
        <v>0</v>
      </c>
      <c r="O143" s="213">
        <v>0</v>
      </c>
      <c r="P143" s="214"/>
      <c r="Q143" s="213">
        <v>72</v>
      </c>
      <c r="R143" s="213">
        <v>6</v>
      </c>
      <c r="S143" s="214">
        <v>-42</v>
      </c>
      <c r="T143" s="213">
        <v>0</v>
      </c>
      <c r="U143" s="213">
        <v>0</v>
      </c>
      <c r="V143" s="215">
        <v>-12</v>
      </c>
      <c r="W143" s="214"/>
      <c r="X143" s="215">
        <v>-528</v>
      </c>
      <c r="Y143" s="213">
        <v>0</v>
      </c>
      <c r="Z143" s="214">
        <v>-24</v>
      </c>
      <c r="AA143" s="213">
        <v>24</v>
      </c>
      <c r="AB143" s="213">
        <v>0</v>
      </c>
      <c r="AC143" s="215"/>
      <c r="AD143" s="214"/>
      <c r="AE143" s="215"/>
      <c r="AF143" s="215"/>
      <c r="AG143" s="216"/>
      <c r="AH143" s="217"/>
      <c r="AI143" s="217"/>
      <c r="AJ143" s="8"/>
    </row>
    <row r="144" spans="1:36" ht="15">
      <c r="A144" s="365"/>
      <c r="B144" s="210" t="s">
        <v>49</v>
      </c>
      <c r="C144" s="211">
        <v>168</v>
      </c>
      <c r="D144" s="211">
        <v>8</v>
      </c>
      <c r="E144" s="212">
        <v>8</v>
      </c>
      <c r="F144" s="213">
        <v>8</v>
      </c>
      <c r="G144" s="213">
        <v>8</v>
      </c>
      <c r="H144" s="213">
        <v>8</v>
      </c>
      <c r="I144" s="214"/>
      <c r="J144" s="213">
        <v>8</v>
      </c>
      <c r="K144" s="213">
        <v>8</v>
      </c>
      <c r="L144" s="212">
        <v>8</v>
      </c>
      <c r="M144" s="213">
        <v>8</v>
      </c>
      <c r="N144" s="213">
        <v>8</v>
      </c>
      <c r="O144" s="213">
        <v>8</v>
      </c>
      <c r="P144" s="214"/>
      <c r="Q144" s="213">
        <v>8</v>
      </c>
      <c r="R144" s="213">
        <v>8</v>
      </c>
      <c r="S144" s="212">
        <v>8</v>
      </c>
      <c r="T144" s="213">
        <v>8</v>
      </c>
      <c r="U144" s="213">
        <v>8</v>
      </c>
      <c r="V144" s="213">
        <v>8</v>
      </c>
      <c r="W144" s="214"/>
      <c r="X144" s="213">
        <v>8</v>
      </c>
      <c r="Y144" s="213">
        <v>8</v>
      </c>
      <c r="Z144" s="212">
        <v>8</v>
      </c>
      <c r="AA144" s="213">
        <v>8</v>
      </c>
      <c r="AB144" s="213">
        <v>8</v>
      </c>
      <c r="AC144" s="215"/>
      <c r="AD144" s="214"/>
      <c r="AE144" s="215"/>
      <c r="AF144" s="215"/>
      <c r="AG144" s="216"/>
      <c r="AH144" s="217"/>
      <c r="AI144" s="217"/>
      <c r="AJ144" s="8"/>
    </row>
    <row r="145" spans="1:36" ht="15">
      <c r="A145" s="365"/>
      <c r="B145" s="210" t="s">
        <v>50</v>
      </c>
      <c r="C145" s="211">
        <v>97</v>
      </c>
      <c r="D145" s="211">
        <v>97</v>
      </c>
      <c r="E145" s="212">
        <v>98</v>
      </c>
      <c r="F145" s="213">
        <v>99</v>
      </c>
      <c r="G145" s="213">
        <v>98</v>
      </c>
      <c r="H145" s="213">
        <v>100</v>
      </c>
      <c r="I145" s="214"/>
      <c r="J145" s="213">
        <v>96</v>
      </c>
      <c r="K145" s="213">
        <v>97</v>
      </c>
      <c r="L145" s="212">
        <v>96</v>
      </c>
      <c r="M145" s="213">
        <v>97</v>
      </c>
      <c r="N145" s="213">
        <v>94</v>
      </c>
      <c r="O145" s="213">
        <v>97</v>
      </c>
      <c r="P145" s="214"/>
      <c r="Q145" s="213">
        <v>100</v>
      </c>
      <c r="R145" s="213">
        <v>100</v>
      </c>
      <c r="S145" s="212">
        <v>98</v>
      </c>
      <c r="T145" s="213">
        <v>95</v>
      </c>
      <c r="U145" s="213">
        <v>96</v>
      </c>
      <c r="V145" s="213">
        <v>96</v>
      </c>
      <c r="W145" s="214"/>
      <c r="X145" s="213">
        <v>96</v>
      </c>
      <c r="Y145" s="213">
        <v>96</v>
      </c>
      <c r="Z145" s="212">
        <v>96</v>
      </c>
      <c r="AA145" s="213">
        <v>99</v>
      </c>
      <c r="AB145" s="213">
        <v>97</v>
      </c>
      <c r="AC145" s="215"/>
      <c r="AD145" s="214"/>
      <c r="AE145" s="215"/>
      <c r="AF145" s="215"/>
      <c r="AG145" s="216"/>
      <c r="AH145" s="217"/>
      <c r="AI145" s="217"/>
      <c r="AJ145" s="8"/>
    </row>
    <row r="146" spans="1:36" ht="15">
      <c r="A146" s="365"/>
      <c r="B146" s="210" t="s">
        <v>51</v>
      </c>
      <c r="C146" s="211">
        <v>197.89285714285714</v>
      </c>
      <c r="D146" s="211">
        <v>197.89285714285714</v>
      </c>
      <c r="E146" s="212">
        <v>208.5</v>
      </c>
      <c r="F146" s="213">
        <v>211.5</v>
      </c>
      <c r="G146" s="213">
        <v>212.25</v>
      </c>
      <c r="H146" s="213">
        <v>207</v>
      </c>
      <c r="I146" s="214"/>
      <c r="J146" s="213">
        <v>225</v>
      </c>
      <c r="K146" s="213">
        <v>214.5</v>
      </c>
      <c r="L146" s="212">
        <v>210</v>
      </c>
      <c r="M146" s="213">
        <v>210</v>
      </c>
      <c r="N146" s="213">
        <v>210</v>
      </c>
      <c r="O146" s="213">
        <v>210</v>
      </c>
      <c r="P146" s="214"/>
      <c r="Q146" s="213">
        <v>219</v>
      </c>
      <c r="R146" s="213">
        <v>210.75</v>
      </c>
      <c r="S146" s="212">
        <v>204.75</v>
      </c>
      <c r="T146" s="213">
        <v>210</v>
      </c>
      <c r="U146" s="213">
        <v>210</v>
      </c>
      <c r="V146" s="213">
        <v>208.5</v>
      </c>
      <c r="W146" s="214"/>
      <c r="X146" s="213">
        <v>144</v>
      </c>
      <c r="Y146" s="213">
        <v>135</v>
      </c>
      <c r="Z146" s="212">
        <v>132</v>
      </c>
      <c r="AA146" s="213">
        <v>183</v>
      </c>
      <c r="AB146" s="213">
        <v>180</v>
      </c>
      <c r="AC146" s="215"/>
      <c r="AD146" s="214"/>
      <c r="AE146" s="215"/>
      <c r="AF146" s="215"/>
      <c r="AG146" s="216"/>
      <c r="AH146" s="217"/>
      <c r="AI146" s="217"/>
      <c r="AJ146" s="8"/>
    </row>
    <row r="147" spans="1:36" ht="15">
      <c r="A147" s="366"/>
      <c r="B147" s="219" t="s">
        <v>52</v>
      </c>
      <c r="C147" s="220">
        <v>2.0400999999999998</v>
      </c>
      <c r="D147" s="220">
        <v>2.0400999999999998</v>
      </c>
      <c r="E147" s="221">
        <v>2.1276000000000002</v>
      </c>
      <c r="F147" s="220">
        <v>2.1364000000000001</v>
      </c>
      <c r="G147" s="220">
        <v>2.1657999999999999</v>
      </c>
      <c r="H147" s="220">
        <v>2.0699999999999998</v>
      </c>
      <c r="I147" s="222"/>
      <c r="J147" s="220">
        <v>2.3437999999999999</v>
      </c>
      <c r="K147" s="220">
        <v>2.2113</v>
      </c>
      <c r="L147" s="221">
        <v>2.1875</v>
      </c>
      <c r="M147" s="220">
        <v>2.1648999999999998</v>
      </c>
      <c r="N147" s="220">
        <v>2.234</v>
      </c>
      <c r="O147" s="220">
        <v>2.1648999999999998</v>
      </c>
      <c r="P147" s="222"/>
      <c r="Q147" s="220">
        <v>2.19</v>
      </c>
      <c r="R147" s="220">
        <v>2.1074999999999999</v>
      </c>
      <c r="S147" s="221">
        <v>2.0893000000000002</v>
      </c>
      <c r="T147" s="220">
        <v>2.2105000000000001</v>
      </c>
      <c r="U147" s="220">
        <v>2.1875</v>
      </c>
      <c r="V147" s="220">
        <v>2.1718999999999999</v>
      </c>
      <c r="W147" s="222"/>
      <c r="X147" s="220">
        <v>1.5</v>
      </c>
      <c r="Y147" s="220">
        <v>1.4062999999999999</v>
      </c>
      <c r="Z147" s="221">
        <v>1.375</v>
      </c>
      <c r="AA147" s="220">
        <v>1.8485</v>
      </c>
      <c r="AB147" s="220">
        <v>1.8557000000000001</v>
      </c>
      <c r="AC147" s="223"/>
      <c r="AD147" s="222"/>
      <c r="AE147" s="223"/>
      <c r="AF147" s="223"/>
      <c r="AG147" s="224"/>
      <c r="AH147" s="225"/>
      <c r="AI147" s="225"/>
      <c r="AJ147" s="8"/>
    </row>
  </sheetData>
  <mergeCells count="20">
    <mergeCell ref="A4:A11"/>
    <mergeCell ref="A1:B1"/>
    <mergeCell ref="A2:AE2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A92:A99"/>
    <mergeCell ref="A100:A107"/>
    <mergeCell ref="A108:A115"/>
    <mergeCell ref="A116:A123"/>
    <mergeCell ref="A124:A131"/>
    <mergeCell ref="A132:A139"/>
    <mergeCell ref="A140:A147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79"/>
  <sheetViews>
    <sheetView workbookViewId="0">
      <selection activeCell="E8" sqref="E8"/>
    </sheetView>
  </sheetViews>
  <sheetFormatPr defaultRowHeight="15.75"/>
  <cols>
    <col min="1" max="1" width="10.42578125" style="73" customWidth="1"/>
    <col min="4" max="4" width="8.42578125" style="71" customWidth="1"/>
    <col min="5" max="5" width="4.7109375" style="70" customWidth="1"/>
    <col min="6" max="8" width="4.7109375" style="169" customWidth="1"/>
    <col min="9" max="9" width="4.7109375" style="70" customWidth="1"/>
    <col min="10" max="11" width="4.7109375" style="169" customWidth="1"/>
    <col min="12" max="12" width="4.7109375" style="70" customWidth="1"/>
    <col min="13" max="15" width="4.7109375" style="169" customWidth="1"/>
    <col min="16" max="16" width="4.7109375" style="70" customWidth="1"/>
    <col min="17" max="18" width="4.7109375" style="169" customWidth="1"/>
    <col min="19" max="19" width="4.7109375" style="70" customWidth="1"/>
    <col min="20" max="22" width="4.7109375" style="169" customWidth="1"/>
    <col min="23" max="23" width="4.7109375" style="70" customWidth="1"/>
    <col min="24" max="25" width="4.7109375" style="169" customWidth="1"/>
    <col min="26" max="26" width="4.7109375" style="70" customWidth="1"/>
    <col min="27" max="29" width="4.7109375" style="169" customWidth="1"/>
    <col min="30" max="30" width="4.7109375" style="70" customWidth="1"/>
    <col min="31" max="32" width="4.7109375" style="169" customWidth="1"/>
    <col min="33" max="33" width="4.7109375" style="70" customWidth="1"/>
    <col min="34" max="35" width="4.7109375" customWidth="1"/>
  </cols>
  <sheetData>
    <row r="1" spans="1:36" ht="27.75">
      <c r="A1" s="344" t="s">
        <v>4</v>
      </c>
      <c r="B1" s="345"/>
    </row>
    <row r="2" spans="1:36" s="8" customFormat="1" ht="30">
      <c r="A2" s="363" t="s">
        <v>225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170"/>
      <c r="AG2" s="74"/>
    </row>
    <row r="3" spans="1:36" s="8" customFormat="1" ht="16.5">
      <c r="A3" s="72" t="s">
        <v>226</v>
      </c>
      <c r="B3" s="306" t="s">
        <v>227</v>
      </c>
      <c r="C3" s="307" t="s">
        <v>44</v>
      </c>
      <c r="D3" s="308" t="s">
        <v>97</v>
      </c>
      <c r="E3" s="309">
        <v>1</v>
      </c>
      <c r="F3" s="310">
        <v>2</v>
      </c>
      <c r="G3" s="310">
        <v>3</v>
      </c>
      <c r="H3" s="310">
        <v>4</v>
      </c>
      <c r="I3" s="311">
        <v>5</v>
      </c>
      <c r="J3" s="310">
        <v>6</v>
      </c>
      <c r="K3" s="310">
        <v>7</v>
      </c>
      <c r="L3" s="309">
        <v>8</v>
      </c>
      <c r="M3" s="310">
        <v>9</v>
      </c>
      <c r="N3" s="310">
        <v>10</v>
      </c>
      <c r="O3" s="310">
        <v>11</v>
      </c>
      <c r="P3" s="311">
        <v>12</v>
      </c>
      <c r="Q3" s="310">
        <v>13</v>
      </c>
      <c r="R3" s="310">
        <v>14</v>
      </c>
      <c r="S3" s="309">
        <v>15</v>
      </c>
      <c r="T3" s="310">
        <v>16</v>
      </c>
      <c r="U3" s="310">
        <v>17</v>
      </c>
      <c r="V3" s="310">
        <v>18</v>
      </c>
      <c r="W3" s="311">
        <v>19</v>
      </c>
      <c r="X3" s="310">
        <v>20</v>
      </c>
      <c r="Y3" s="310">
        <v>21</v>
      </c>
      <c r="Z3" s="309">
        <v>22</v>
      </c>
      <c r="AA3" s="310">
        <v>23</v>
      </c>
      <c r="AB3" s="310">
        <v>24</v>
      </c>
      <c r="AC3" s="310">
        <v>25</v>
      </c>
      <c r="AD3" s="311">
        <v>26</v>
      </c>
      <c r="AE3" s="310">
        <v>27</v>
      </c>
      <c r="AF3" s="310">
        <v>28</v>
      </c>
      <c r="AG3" s="312">
        <v>29</v>
      </c>
      <c r="AH3" s="313">
        <v>30</v>
      </c>
      <c r="AI3" s="313">
        <v>31</v>
      </c>
    </row>
    <row r="4" spans="1:36" s="8" customFormat="1" ht="15">
      <c r="A4" s="367" t="s">
        <v>44</v>
      </c>
      <c r="B4" s="314" t="s">
        <v>228</v>
      </c>
      <c r="C4" s="315">
        <v>783824</v>
      </c>
      <c r="D4" s="315">
        <v>35628.363636363632</v>
      </c>
      <c r="E4" s="316">
        <v>37232</v>
      </c>
      <c r="F4" s="317">
        <v>37024</v>
      </c>
      <c r="G4" s="317">
        <v>37520</v>
      </c>
      <c r="H4" s="317">
        <v>37216</v>
      </c>
      <c r="I4" s="318"/>
      <c r="J4" s="317">
        <v>36968</v>
      </c>
      <c r="K4" s="317">
        <v>36856</v>
      </c>
      <c r="L4" s="316">
        <v>37312</v>
      </c>
      <c r="M4" s="317">
        <v>36976</v>
      </c>
      <c r="N4" s="317">
        <v>37048</v>
      </c>
      <c r="O4" s="317">
        <v>37040</v>
      </c>
      <c r="P4" s="318"/>
      <c r="Q4" s="317">
        <v>36880</v>
      </c>
      <c r="R4" s="317">
        <v>37128</v>
      </c>
      <c r="S4" s="316">
        <v>36536</v>
      </c>
      <c r="T4" s="317">
        <v>35920</v>
      </c>
      <c r="U4" s="317">
        <v>35256</v>
      </c>
      <c r="V4" s="317">
        <v>34600</v>
      </c>
      <c r="W4" s="318"/>
      <c r="X4" s="317">
        <v>34024</v>
      </c>
      <c r="Y4" s="317">
        <v>33088</v>
      </c>
      <c r="Z4" s="316">
        <v>33280</v>
      </c>
      <c r="AA4" s="317">
        <v>32304</v>
      </c>
      <c r="AB4" s="317">
        <v>32120</v>
      </c>
      <c r="AC4" s="317">
        <v>31496</v>
      </c>
      <c r="AD4" s="318"/>
      <c r="AE4" s="319"/>
      <c r="AF4" s="319"/>
      <c r="AG4" s="320"/>
      <c r="AH4" s="321"/>
      <c r="AI4" s="321"/>
    </row>
    <row r="5" spans="1:36" s="8" customFormat="1" ht="15">
      <c r="A5" s="368"/>
      <c r="B5" s="314" t="s">
        <v>229</v>
      </c>
      <c r="C5" s="315">
        <v>703580</v>
      </c>
      <c r="D5" s="315">
        <v>31980.909090909088</v>
      </c>
      <c r="E5" s="316">
        <v>33220</v>
      </c>
      <c r="F5" s="317">
        <v>34720</v>
      </c>
      <c r="G5" s="317">
        <v>35240</v>
      </c>
      <c r="H5" s="317">
        <v>35240</v>
      </c>
      <c r="I5" s="318"/>
      <c r="J5" s="317">
        <v>34900</v>
      </c>
      <c r="K5" s="317">
        <v>34900</v>
      </c>
      <c r="L5" s="316">
        <v>35200</v>
      </c>
      <c r="M5" s="317">
        <v>35020</v>
      </c>
      <c r="N5" s="317">
        <v>35020</v>
      </c>
      <c r="O5" s="317">
        <v>34160</v>
      </c>
      <c r="P5" s="318"/>
      <c r="Q5" s="317">
        <v>34480</v>
      </c>
      <c r="R5" s="317">
        <v>33600</v>
      </c>
      <c r="S5" s="316">
        <v>33440</v>
      </c>
      <c r="T5" s="317">
        <v>30700</v>
      </c>
      <c r="U5" s="317">
        <v>30260</v>
      </c>
      <c r="V5" s="317">
        <v>29720</v>
      </c>
      <c r="W5" s="318"/>
      <c r="X5" s="317">
        <v>26460</v>
      </c>
      <c r="Y5" s="317">
        <v>26620</v>
      </c>
      <c r="Z5" s="316">
        <v>26840</v>
      </c>
      <c r="AA5" s="317">
        <v>27840</v>
      </c>
      <c r="AB5" s="317">
        <v>28180</v>
      </c>
      <c r="AC5" s="317">
        <v>27820</v>
      </c>
      <c r="AD5" s="318"/>
      <c r="AE5" s="317">
        <v>26964</v>
      </c>
      <c r="AF5" s="317">
        <v>27624</v>
      </c>
      <c r="AG5" s="322">
        <v>28272</v>
      </c>
      <c r="AH5" s="323">
        <v>28272</v>
      </c>
      <c r="AI5" s="323">
        <v>28272</v>
      </c>
    </row>
    <row r="6" spans="1:36" s="8" customFormat="1" ht="15">
      <c r="A6" s="368"/>
      <c r="B6" s="324" t="s">
        <v>230</v>
      </c>
      <c r="C6" s="325">
        <v>690802</v>
      </c>
      <c r="D6" s="325">
        <v>31400.090909090912</v>
      </c>
      <c r="E6" s="326">
        <v>32950</v>
      </c>
      <c r="F6" s="327">
        <v>35030</v>
      </c>
      <c r="G6" s="327">
        <v>35346</v>
      </c>
      <c r="H6" s="327">
        <v>35509</v>
      </c>
      <c r="I6" s="328"/>
      <c r="J6" s="327">
        <v>36824</v>
      </c>
      <c r="K6" s="327">
        <v>35486</v>
      </c>
      <c r="L6" s="326">
        <v>34787</v>
      </c>
      <c r="M6" s="327">
        <v>33670</v>
      </c>
      <c r="N6" s="327">
        <v>34263</v>
      </c>
      <c r="O6" s="327">
        <v>33989</v>
      </c>
      <c r="P6" s="328"/>
      <c r="Q6" s="327">
        <v>34078</v>
      </c>
      <c r="R6" s="327">
        <v>30035</v>
      </c>
      <c r="S6" s="326">
        <v>31537</v>
      </c>
      <c r="T6" s="327">
        <v>30298</v>
      </c>
      <c r="U6" s="327">
        <v>30450</v>
      </c>
      <c r="V6" s="327">
        <v>29240</v>
      </c>
      <c r="W6" s="328"/>
      <c r="X6" s="327">
        <v>24522</v>
      </c>
      <c r="Y6" s="327">
        <v>24884</v>
      </c>
      <c r="Z6" s="326">
        <v>25371</v>
      </c>
      <c r="AA6" s="327">
        <v>27038</v>
      </c>
      <c r="AB6" s="327">
        <v>27735</v>
      </c>
      <c r="AC6" s="327">
        <v>27760</v>
      </c>
      <c r="AD6" s="328"/>
      <c r="AE6" s="329"/>
      <c r="AF6" s="329"/>
      <c r="AG6" s="330"/>
      <c r="AH6" s="331"/>
      <c r="AI6" s="331"/>
    </row>
    <row r="7" spans="1:36" s="8" customFormat="1" ht="15">
      <c r="A7" s="368"/>
      <c r="B7" s="324" t="s">
        <v>231</v>
      </c>
      <c r="C7" s="332">
        <v>-12778</v>
      </c>
      <c r="D7" s="332">
        <v>-580.81818181818187</v>
      </c>
      <c r="E7" s="328">
        <v>-270</v>
      </c>
      <c r="F7" s="327">
        <v>310</v>
      </c>
      <c r="G7" s="327">
        <v>106</v>
      </c>
      <c r="H7" s="327">
        <v>269</v>
      </c>
      <c r="I7" s="328"/>
      <c r="J7" s="327">
        <v>1924</v>
      </c>
      <c r="K7" s="327">
        <v>586</v>
      </c>
      <c r="L7" s="328">
        <v>-413</v>
      </c>
      <c r="M7" s="329">
        <v>-1350</v>
      </c>
      <c r="N7" s="329">
        <v>-757</v>
      </c>
      <c r="O7" s="329">
        <v>-171</v>
      </c>
      <c r="P7" s="328"/>
      <c r="Q7" s="329">
        <v>-402</v>
      </c>
      <c r="R7" s="329">
        <v>-3565</v>
      </c>
      <c r="S7" s="328">
        <v>-1903</v>
      </c>
      <c r="T7" s="329">
        <v>-402</v>
      </c>
      <c r="U7" s="327">
        <v>190</v>
      </c>
      <c r="V7" s="329">
        <v>-480</v>
      </c>
      <c r="W7" s="328"/>
      <c r="X7" s="329">
        <v>-1938</v>
      </c>
      <c r="Y7" s="329">
        <v>-1736</v>
      </c>
      <c r="Z7" s="328">
        <v>-1469</v>
      </c>
      <c r="AA7" s="329">
        <v>-802</v>
      </c>
      <c r="AB7" s="329">
        <v>-445</v>
      </c>
      <c r="AC7" s="329">
        <v>-60</v>
      </c>
      <c r="AD7" s="328"/>
      <c r="AE7" s="329"/>
      <c r="AF7" s="329"/>
      <c r="AG7" s="330"/>
      <c r="AH7" s="331"/>
      <c r="AI7" s="331"/>
    </row>
    <row r="8" spans="1:36" s="8" customFormat="1" ht="15">
      <c r="A8" s="368"/>
      <c r="B8" s="324" t="s">
        <v>232</v>
      </c>
      <c r="C8" s="325">
        <v>176</v>
      </c>
      <c r="D8" s="325">
        <v>8</v>
      </c>
      <c r="E8" s="326">
        <v>8</v>
      </c>
      <c r="F8" s="327">
        <v>8</v>
      </c>
      <c r="G8" s="327">
        <v>8</v>
      </c>
      <c r="H8" s="327">
        <v>8</v>
      </c>
      <c r="I8" s="328"/>
      <c r="J8" s="327">
        <v>8</v>
      </c>
      <c r="K8" s="327">
        <v>8</v>
      </c>
      <c r="L8" s="326">
        <v>8</v>
      </c>
      <c r="M8" s="327">
        <v>8</v>
      </c>
      <c r="N8" s="327">
        <v>8</v>
      </c>
      <c r="O8" s="327">
        <v>8</v>
      </c>
      <c r="P8" s="328"/>
      <c r="Q8" s="327">
        <v>8</v>
      </c>
      <c r="R8" s="327">
        <v>8</v>
      </c>
      <c r="S8" s="326">
        <v>8</v>
      </c>
      <c r="T8" s="327">
        <v>8</v>
      </c>
      <c r="U8" s="327">
        <v>8</v>
      </c>
      <c r="V8" s="327">
        <v>8</v>
      </c>
      <c r="W8" s="328"/>
      <c r="X8" s="327">
        <v>8</v>
      </c>
      <c r="Y8" s="327">
        <v>8</v>
      </c>
      <c r="Z8" s="326">
        <v>8</v>
      </c>
      <c r="AA8" s="327">
        <v>8</v>
      </c>
      <c r="AB8" s="327">
        <v>8</v>
      </c>
      <c r="AC8" s="327">
        <v>8</v>
      </c>
      <c r="AD8" s="328"/>
      <c r="AE8" s="329"/>
      <c r="AF8" s="329"/>
      <c r="AG8" s="330"/>
      <c r="AH8" s="331"/>
      <c r="AI8" s="331"/>
    </row>
    <row r="9" spans="1:36" s="8" customFormat="1" ht="15">
      <c r="A9" s="368"/>
      <c r="B9" s="324" t="s">
        <v>233</v>
      </c>
      <c r="C9" s="325">
        <v>1501</v>
      </c>
      <c r="D9" s="325">
        <v>1501</v>
      </c>
      <c r="E9" s="326">
        <v>1524</v>
      </c>
      <c r="F9" s="327">
        <v>1520</v>
      </c>
      <c r="G9" s="327">
        <v>1520</v>
      </c>
      <c r="H9" s="327">
        <v>1510</v>
      </c>
      <c r="I9" s="328"/>
      <c r="J9" s="327">
        <v>1473</v>
      </c>
      <c r="K9" s="327">
        <v>1492</v>
      </c>
      <c r="L9" s="326">
        <v>1499</v>
      </c>
      <c r="M9" s="327">
        <v>1490</v>
      </c>
      <c r="N9" s="327">
        <v>1525</v>
      </c>
      <c r="O9" s="327">
        <v>1519</v>
      </c>
      <c r="P9" s="328"/>
      <c r="Q9" s="327">
        <v>1507</v>
      </c>
      <c r="R9" s="327">
        <v>1537</v>
      </c>
      <c r="S9" s="326">
        <v>1531</v>
      </c>
      <c r="T9" s="327">
        <v>1522</v>
      </c>
      <c r="U9" s="327">
        <v>1530</v>
      </c>
      <c r="V9" s="327">
        <v>1503</v>
      </c>
      <c r="W9" s="328"/>
      <c r="X9" s="327">
        <v>1496</v>
      </c>
      <c r="Y9" s="327">
        <v>1503</v>
      </c>
      <c r="Z9" s="326">
        <v>1506</v>
      </c>
      <c r="AA9" s="327">
        <v>1511</v>
      </c>
      <c r="AB9" s="327">
        <v>1502</v>
      </c>
      <c r="AC9" s="327">
        <v>1480</v>
      </c>
      <c r="AD9" s="328"/>
      <c r="AE9" s="329"/>
      <c r="AF9" s="329"/>
      <c r="AG9" s="330"/>
      <c r="AH9" s="331"/>
      <c r="AI9" s="331"/>
    </row>
    <row r="10" spans="1:36" s="8" customFormat="1" ht="15">
      <c r="A10" s="368"/>
      <c r="B10" s="324" t="s">
        <v>234</v>
      </c>
      <c r="C10" s="325">
        <v>3925.011363636364</v>
      </c>
      <c r="D10" s="325">
        <v>3925.011363636364</v>
      </c>
      <c r="E10" s="326">
        <v>4118.75</v>
      </c>
      <c r="F10" s="327">
        <v>4378.75</v>
      </c>
      <c r="G10" s="327">
        <v>4418.25</v>
      </c>
      <c r="H10" s="327">
        <v>4438.625</v>
      </c>
      <c r="I10" s="328"/>
      <c r="J10" s="327">
        <v>4603</v>
      </c>
      <c r="K10" s="327">
        <v>4435.75</v>
      </c>
      <c r="L10" s="326">
        <v>4348.375</v>
      </c>
      <c r="M10" s="327">
        <v>4208.75</v>
      </c>
      <c r="N10" s="327">
        <v>4282.875</v>
      </c>
      <c r="O10" s="327">
        <v>4248.625</v>
      </c>
      <c r="P10" s="328"/>
      <c r="Q10" s="327">
        <v>4259.75</v>
      </c>
      <c r="R10" s="327">
        <v>3754.375</v>
      </c>
      <c r="S10" s="326">
        <v>3942.125</v>
      </c>
      <c r="T10" s="327">
        <v>3787.25</v>
      </c>
      <c r="U10" s="327">
        <v>3806.25</v>
      </c>
      <c r="V10" s="327">
        <v>3655</v>
      </c>
      <c r="W10" s="328"/>
      <c r="X10" s="327">
        <v>3065.25</v>
      </c>
      <c r="Y10" s="327">
        <v>3110.5</v>
      </c>
      <c r="Z10" s="326">
        <v>3171.375</v>
      </c>
      <c r="AA10" s="327">
        <v>3379.75</v>
      </c>
      <c r="AB10" s="327">
        <v>3466.875</v>
      </c>
      <c r="AC10" s="327">
        <v>3470</v>
      </c>
      <c r="AD10" s="328"/>
      <c r="AE10" s="329"/>
      <c r="AF10" s="329"/>
      <c r="AG10" s="330"/>
      <c r="AH10" s="331"/>
      <c r="AI10" s="331"/>
    </row>
    <row r="11" spans="1:36" s="8" customFormat="1" ht="15">
      <c r="A11" s="369"/>
      <c r="B11" s="333" t="s">
        <v>235</v>
      </c>
      <c r="C11" s="334">
        <v>2.6149309551208288</v>
      </c>
      <c r="D11" s="334">
        <v>2.6149309551208288</v>
      </c>
      <c r="E11" s="335">
        <v>2.7025918635170605</v>
      </c>
      <c r="F11" s="334">
        <v>2.8807565789473686</v>
      </c>
      <c r="G11" s="334">
        <v>2.9067434210526315</v>
      </c>
      <c r="H11" s="334">
        <v>2.9394867549668873</v>
      </c>
      <c r="I11" s="336"/>
      <c r="J11" s="334">
        <v>3.1249151391717582</v>
      </c>
      <c r="K11" s="334">
        <v>2.9730227882037532</v>
      </c>
      <c r="L11" s="335">
        <v>2.9008505670446967</v>
      </c>
      <c r="M11" s="334">
        <v>2.8246644295302015</v>
      </c>
      <c r="N11" s="334">
        <v>2.8084426229508197</v>
      </c>
      <c r="O11" s="334">
        <v>2.7969881500987492</v>
      </c>
      <c r="P11" s="336"/>
      <c r="Q11" s="334">
        <v>2.8266423357664232</v>
      </c>
      <c r="R11" s="334">
        <v>2.4426642810670138</v>
      </c>
      <c r="S11" s="335">
        <v>2.5748693664271718</v>
      </c>
      <c r="T11" s="334">
        <v>2.4883377135348228</v>
      </c>
      <c r="U11" s="334">
        <v>2.4877450980392157</v>
      </c>
      <c r="V11" s="334">
        <v>2.4318030605455756</v>
      </c>
      <c r="W11" s="336"/>
      <c r="X11" s="334">
        <v>2.0489639037433154</v>
      </c>
      <c r="Y11" s="334">
        <v>2.0695276114437791</v>
      </c>
      <c r="Z11" s="335">
        <v>2.1058266932270917</v>
      </c>
      <c r="AA11" s="334">
        <v>2.236763732627399</v>
      </c>
      <c r="AB11" s="334">
        <v>2.3081724367509988</v>
      </c>
      <c r="AC11" s="334">
        <v>2.3445945945945947</v>
      </c>
      <c r="AD11" s="336"/>
      <c r="AE11" s="337"/>
      <c r="AF11" s="337"/>
      <c r="AG11" s="338"/>
      <c r="AH11" s="339"/>
      <c r="AI11" s="339"/>
    </row>
    <row r="12" spans="1:36" ht="15">
      <c r="A12" s="367" t="s">
        <v>236</v>
      </c>
      <c r="B12" s="314" t="s">
        <v>228</v>
      </c>
      <c r="C12" s="315">
        <v>38632</v>
      </c>
      <c r="D12" s="315">
        <v>1756</v>
      </c>
      <c r="E12" s="316">
        <v>1696</v>
      </c>
      <c r="F12" s="317">
        <v>1720</v>
      </c>
      <c r="G12" s="317">
        <v>1760</v>
      </c>
      <c r="H12" s="317">
        <v>1760</v>
      </c>
      <c r="I12" s="318"/>
      <c r="J12" s="317">
        <v>1760</v>
      </c>
      <c r="K12" s="317">
        <v>1760</v>
      </c>
      <c r="L12" s="316">
        <v>1760</v>
      </c>
      <c r="M12" s="317">
        <v>1760</v>
      </c>
      <c r="N12" s="317">
        <v>1760</v>
      </c>
      <c r="O12" s="317">
        <v>1760</v>
      </c>
      <c r="P12" s="318"/>
      <c r="Q12" s="317">
        <v>1760</v>
      </c>
      <c r="R12" s="317">
        <v>1760</v>
      </c>
      <c r="S12" s="316">
        <v>1760</v>
      </c>
      <c r="T12" s="317">
        <v>1760</v>
      </c>
      <c r="U12" s="317">
        <v>1760</v>
      </c>
      <c r="V12" s="317">
        <v>1760</v>
      </c>
      <c r="W12" s="318"/>
      <c r="X12" s="317">
        <v>1760</v>
      </c>
      <c r="Y12" s="317">
        <v>1776</v>
      </c>
      <c r="Z12" s="316">
        <v>1760</v>
      </c>
      <c r="AA12" s="317">
        <v>1760</v>
      </c>
      <c r="AB12" s="317">
        <v>1760</v>
      </c>
      <c r="AC12" s="317">
        <v>1760</v>
      </c>
      <c r="AD12" s="318"/>
      <c r="AE12" s="319"/>
      <c r="AF12" s="319"/>
      <c r="AG12" s="320"/>
      <c r="AH12" s="321"/>
      <c r="AI12" s="321"/>
      <c r="AJ12" s="8"/>
    </row>
    <row r="13" spans="1:36" ht="15">
      <c r="A13" s="368"/>
      <c r="B13" s="314" t="s">
        <v>229</v>
      </c>
      <c r="C13" s="315">
        <v>34360</v>
      </c>
      <c r="D13" s="315">
        <v>1561.8181818181818</v>
      </c>
      <c r="E13" s="316">
        <v>1320</v>
      </c>
      <c r="F13" s="317">
        <v>1320</v>
      </c>
      <c r="G13" s="317">
        <v>1760</v>
      </c>
      <c r="H13" s="317">
        <v>1760</v>
      </c>
      <c r="I13" s="318"/>
      <c r="J13" s="317">
        <v>1760</v>
      </c>
      <c r="K13" s="317">
        <v>1760</v>
      </c>
      <c r="L13" s="316">
        <v>1760</v>
      </c>
      <c r="M13" s="317">
        <v>1760</v>
      </c>
      <c r="N13" s="317">
        <v>1760</v>
      </c>
      <c r="O13" s="317">
        <v>1760</v>
      </c>
      <c r="P13" s="318"/>
      <c r="Q13" s="317">
        <v>1760</v>
      </c>
      <c r="R13" s="317">
        <v>1760</v>
      </c>
      <c r="S13" s="316">
        <v>1760</v>
      </c>
      <c r="T13" s="317">
        <v>1760</v>
      </c>
      <c r="U13" s="317">
        <v>1760</v>
      </c>
      <c r="V13" s="317">
        <v>1020</v>
      </c>
      <c r="W13" s="318"/>
      <c r="X13" s="317">
        <v>1020</v>
      </c>
      <c r="Y13" s="317">
        <v>1360</v>
      </c>
      <c r="Z13" s="316">
        <v>1360</v>
      </c>
      <c r="AA13" s="317">
        <v>1360</v>
      </c>
      <c r="AB13" s="317">
        <v>1360</v>
      </c>
      <c r="AC13" s="317">
        <v>1360</v>
      </c>
      <c r="AD13" s="318"/>
      <c r="AE13" s="317">
        <v>1360</v>
      </c>
      <c r="AF13" s="317">
        <v>1360</v>
      </c>
      <c r="AG13" s="322">
        <v>1360</v>
      </c>
      <c r="AH13" s="323">
        <v>1360</v>
      </c>
      <c r="AI13" s="323">
        <v>1360</v>
      </c>
      <c r="AJ13" s="8"/>
    </row>
    <row r="14" spans="1:36" ht="15">
      <c r="A14" s="368"/>
      <c r="B14" s="324" t="s">
        <v>230</v>
      </c>
      <c r="C14" s="325">
        <v>35399</v>
      </c>
      <c r="D14" s="325">
        <v>1609.0454545454545</v>
      </c>
      <c r="E14" s="326">
        <v>1818</v>
      </c>
      <c r="F14" s="327">
        <v>1760</v>
      </c>
      <c r="G14" s="327">
        <v>1760</v>
      </c>
      <c r="H14" s="327">
        <v>1761</v>
      </c>
      <c r="I14" s="328"/>
      <c r="J14" s="327">
        <v>1760</v>
      </c>
      <c r="K14" s="327">
        <v>1760</v>
      </c>
      <c r="L14" s="326">
        <v>1760</v>
      </c>
      <c r="M14" s="327">
        <v>1760</v>
      </c>
      <c r="N14" s="327">
        <v>1760</v>
      </c>
      <c r="O14" s="327">
        <v>1760</v>
      </c>
      <c r="P14" s="328"/>
      <c r="Q14" s="327">
        <v>1760</v>
      </c>
      <c r="R14" s="327">
        <v>1500</v>
      </c>
      <c r="S14" s="326">
        <v>1800</v>
      </c>
      <c r="T14" s="327">
        <v>1760</v>
      </c>
      <c r="U14" s="327">
        <v>1760</v>
      </c>
      <c r="V14" s="327">
        <v>1020</v>
      </c>
      <c r="W14" s="328"/>
      <c r="X14" s="327">
        <v>1020</v>
      </c>
      <c r="Y14" s="327">
        <v>1360</v>
      </c>
      <c r="Z14" s="326">
        <v>1360</v>
      </c>
      <c r="AA14" s="327">
        <v>1360</v>
      </c>
      <c r="AB14" s="327">
        <v>1520</v>
      </c>
      <c r="AC14" s="327">
        <v>1520</v>
      </c>
      <c r="AD14" s="328"/>
      <c r="AE14" s="329"/>
      <c r="AF14" s="329"/>
      <c r="AG14" s="330"/>
      <c r="AH14" s="331"/>
      <c r="AI14" s="331"/>
      <c r="AJ14" s="8"/>
    </row>
    <row r="15" spans="1:36" ht="15">
      <c r="A15" s="368"/>
      <c r="B15" s="324" t="s">
        <v>231</v>
      </c>
      <c r="C15" s="325">
        <v>1039</v>
      </c>
      <c r="D15" s="325">
        <v>47.227272727272727</v>
      </c>
      <c r="E15" s="326">
        <v>498</v>
      </c>
      <c r="F15" s="327">
        <v>440</v>
      </c>
      <c r="G15" s="327">
        <v>0</v>
      </c>
      <c r="H15" s="327">
        <v>1</v>
      </c>
      <c r="I15" s="328"/>
      <c r="J15" s="327">
        <v>0</v>
      </c>
      <c r="K15" s="327">
        <v>0</v>
      </c>
      <c r="L15" s="326">
        <v>0</v>
      </c>
      <c r="M15" s="327">
        <v>0</v>
      </c>
      <c r="N15" s="327">
        <v>0</v>
      </c>
      <c r="O15" s="327">
        <v>0</v>
      </c>
      <c r="P15" s="328"/>
      <c r="Q15" s="327">
        <v>0</v>
      </c>
      <c r="R15" s="329">
        <v>-260</v>
      </c>
      <c r="S15" s="326">
        <v>40</v>
      </c>
      <c r="T15" s="327">
        <v>0</v>
      </c>
      <c r="U15" s="327">
        <v>0</v>
      </c>
      <c r="V15" s="327">
        <v>0</v>
      </c>
      <c r="W15" s="328"/>
      <c r="X15" s="327">
        <v>0</v>
      </c>
      <c r="Y15" s="327">
        <v>0</v>
      </c>
      <c r="Z15" s="326">
        <v>0</v>
      </c>
      <c r="AA15" s="327">
        <v>0</v>
      </c>
      <c r="AB15" s="327">
        <v>160</v>
      </c>
      <c r="AC15" s="327">
        <v>160</v>
      </c>
      <c r="AD15" s="328"/>
      <c r="AE15" s="329"/>
      <c r="AF15" s="329"/>
      <c r="AG15" s="330"/>
      <c r="AH15" s="331"/>
      <c r="AI15" s="331"/>
      <c r="AJ15" s="8"/>
    </row>
    <row r="16" spans="1:36" ht="15">
      <c r="A16" s="368"/>
      <c r="B16" s="324" t="s">
        <v>232</v>
      </c>
      <c r="C16" s="325">
        <v>176</v>
      </c>
      <c r="D16" s="325">
        <v>8</v>
      </c>
      <c r="E16" s="326">
        <v>8</v>
      </c>
      <c r="F16" s="327">
        <v>8</v>
      </c>
      <c r="G16" s="327">
        <v>8</v>
      </c>
      <c r="H16" s="327">
        <v>8</v>
      </c>
      <c r="I16" s="328"/>
      <c r="J16" s="327">
        <v>8</v>
      </c>
      <c r="K16" s="327">
        <v>8</v>
      </c>
      <c r="L16" s="326">
        <v>8</v>
      </c>
      <c r="M16" s="327">
        <v>8</v>
      </c>
      <c r="N16" s="327">
        <v>8</v>
      </c>
      <c r="O16" s="327">
        <v>8</v>
      </c>
      <c r="P16" s="328"/>
      <c r="Q16" s="327">
        <v>8</v>
      </c>
      <c r="R16" s="327">
        <v>8</v>
      </c>
      <c r="S16" s="326">
        <v>8</v>
      </c>
      <c r="T16" s="327">
        <v>8</v>
      </c>
      <c r="U16" s="327">
        <v>8</v>
      </c>
      <c r="V16" s="327">
        <v>8</v>
      </c>
      <c r="W16" s="328"/>
      <c r="X16" s="327">
        <v>8</v>
      </c>
      <c r="Y16" s="327">
        <v>8</v>
      </c>
      <c r="Z16" s="326">
        <v>8</v>
      </c>
      <c r="AA16" s="327">
        <v>8</v>
      </c>
      <c r="AB16" s="327">
        <v>8</v>
      </c>
      <c r="AC16" s="327">
        <v>8</v>
      </c>
      <c r="AD16" s="328"/>
      <c r="AE16" s="329"/>
      <c r="AF16" s="329"/>
      <c r="AG16" s="330"/>
      <c r="AH16" s="331"/>
      <c r="AI16" s="331"/>
      <c r="AJ16" s="8"/>
    </row>
    <row r="17" spans="1:36" ht="15">
      <c r="A17" s="368"/>
      <c r="B17" s="324" t="s">
        <v>233</v>
      </c>
      <c r="C17" s="325">
        <v>70</v>
      </c>
      <c r="D17" s="325">
        <v>70</v>
      </c>
      <c r="E17" s="326">
        <v>73</v>
      </c>
      <c r="F17" s="327">
        <v>73</v>
      </c>
      <c r="G17" s="327">
        <v>73</v>
      </c>
      <c r="H17" s="327">
        <v>72</v>
      </c>
      <c r="I17" s="328"/>
      <c r="J17" s="327">
        <v>71</v>
      </c>
      <c r="K17" s="327">
        <v>70</v>
      </c>
      <c r="L17" s="326">
        <v>72</v>
      </c>
      <c r="M17" s="327">
        <v>71</v>
      </c>
      <c r="N17" s="327">
        <v>73</v>
      </c>
      <c r="O17" s="327">
        <v>72</v>
      </c>
      <c r="P17" s="328"/>
      <c r="Q17" s="327">
        <v>70</v>
      </c>
      <c r="R17" s="327">
        <v>73</v>
      </c>
      <c r="S17" s="326">
        <v>70</v>
      </c>
      <c r="T17" s="327">
        <v>69</v>
      </c>
      <c r="U17" s="327">
        <v>70</v>
      </c>
      <c r="V17" s="327">
        <v>71</v>
      </c>
      <c r="W17" s="328"/>
      <c r="X17" s="327">
        <v>69</v>
      </c>
      <c r="Y17" s="327">
        <v>69</v>
      </c>
      <c r="Z17" s="326">
        <v>67</v>
      </c>
      <c r="AA17" s="327">
        <v>67</v>
      </c>
      <c r="AB17" s="327">
        <v>69</v>
      </c>
      <c r="AC17" s="327">
        <v>66</v>
      </c>
      <c r="AD17" s="328"/>
      <c r="AE17" s="329"/>
      <c r="AF17" s="329"/>
      <c r="AG17" s="330"/>
      <c r="AH17" s="331"/>
      <c r="AI17" s="331"/>
      <c r="AJ17" s="8"/>
    </row>
    <row r="18" spans="1:36" ht="15">
      <c r="A18" s="368"/>
      <c r="B18" s="324" t="s">
        <v>234</v>
      </c>
      <c r="C18" s="325">
        <v>201.13068181818181</v>
      </c>
      <c r="D18" s="325">
        <v>201.13068181818181</v>
      </c>
      <c r="E18" s="326">
        <v>227.25</v>
      </c>
      <c r="F18" s="327">
        <v>220</v>
      </c>
      <c r="G18" s="327">
        <v>220</v>
      </c>
      <c r="H18" s="327">
        <v>220.125</v>
      </c>
      <c r="I18" s="328"/>
      <c r="J18" s="327">
        <v>220</v>
      </c>
      <c r="K18" s="327">
        <v>220</v>
      </c>
      <c r="L18" s="326">
        <v>220</v>
      </c>
      <c r="M18" s="327">
        <v>220</v>
      </c>
      <c r="N18" s="327">
        <v>220</v>
      </c>
      <c r="O18" s="327">
        <v>220</v>
      </c>
      <c r="P18" s="328"/>
      <c r="Q18" s="327">
        <v>220</v>
      </c>
      <c r="R18" s="327">
        <v>187.5</v>
      </c>
      <c r="S18" s="326">
        <v>225</v>
      </c>
      <c r="T18" s="327">
        <v>220</v>
      </c>
      <c r="U18" s="327">
        <v>220</v>
      </c>
      <c r="V18" s="327">
        <v>127.5</v>
      </c>
      <c r="W18" s="328"/>
      <c r="X18" s="327">
        <v>127.5</v>
      </c>
      <c r="Y18" s="327">
        <v>170</v>
      </c>
      <c r="Z18" s="326">
        <v>170</v>
      </c>
      <c r="AA18" s="327">
        <v>170</v>
      </c>
      <c r="AB18" s="327">
        <v>190</v>
      </c>
      <c r="AC18" s="327">
        <v>190</v>
      </c>
      <c r="AD18" s="328"/>
      <c r="AE18" s="329"/>
      <c r="AF18" s="329"/>
      <c r="AG18" s="330"/>
      <c r="AH18" s="331"/>
      <c r="AI18" s="331"/>
      <c r="AJ18" s="8"/>
    </row>
    <row r="19" spans="1:36" ht="15">
      <c r="A19" s="369"/>
      <c r="B19" s="333" t="s">
        <v>235</v>
      </c>
      <c r="C19" s="334">
        <v>2.8733</v>
      </c>
      <c r="D19" s="334">
        <v>2.8733</v>
      </c>
      <c r="E19" s="335">
        <v>3.113</v>
      </c>
      <c r="F19" s="334">
        <v>3.0137</v>
      </c>
      <c r="G19" s="334">
        <v>3.0137</v>
      </c>
      <c r="H19" s="334">
        <v>3.0573000000000001</v>
      </c>
      <c r="I19" s="336"/>
      <c r="J19" s="334">
        <v>3.0985999999999998</v>
      </c>
      <c r="K19" s="334">
        <v>3.1429</v>
      </c>
      <c r="L19" s="335">
        <v>3.0556000000000001</v>
      </c>
      <c r="M19" s="334">
        <v>3.0985999999999998</v>
      </c>
      <c r="N19" s="334">
        <v>3.0137</v>
      </c>
      <c r="O19" s="334">
        <v>3.0556000000000001</v>
      </c>
      <c r="P19" s="336"/>
      <c r="Q19" s="334">
        <v>3.1429</v>
      </c>
      <c r="R19" s="334">
        <v>2.5685000000000002</v>
      </c>
      <c r="S19" s="335">
        <v>3.2143000000000002</v>
      </c>
      <c r="T19" s="334">
        <v>3.1884000000000001</v>
      </c>
      <c r="U19" s="334">
        <v>3.1429</v>
      </c>
      <c r="V19" s="334">
        <v>1.7957999999999998</v>
      </c>
      <c r="W19" s="336"/>
      <c r="X19" s="334">
        <v>1.8477999999999999</v>
      </c>
      <c r="Y19" s="334">
        <v>2.4638</v>
      </c>
      <c r="Z19" s="335">
        <v>2.5373000000000001</v>
      </c>
      <c r="AA19" s="334">
        <v>2.5373000000000001</v>
      </c>
      <c r="AB19" s="334">
        <v>2.7536</v>
      </c>
      <c r="AC19" s="334">
        <v>2.8788</v>
      </c>
      <c r="AD19" s="336"/>
      <c r="AE19" s="337"/>
      <c r="AF19" s="337"/>
      <c r="AG19" s="338"/>
      <c r="AH19" s="339"/>
      <c r="AI19" s="339"/>
      <c r="AJ19" s="8"/>
    </row>
    <row r="20" spans="1:36" ht="15">
      <c r="A20" s="367" t="s">
        <v>237</v>
      </c>
      <c r="B20" s="314" t="s">
        <v>228</v>
      </c>
      <c r="C20" s="315">
        <v>38864</v>
      </c>
      <c r="D20" s="315">
        <v>1766.5454545454545</v>
      </c>
      <c r="E20" s="316">
        <v>1760</v>
      </c>
      <c r="F20" s="317">
        <v>1648</v>
      </c>
      <c r="G20" s="317">
        <v>1760</v>
      </c>
      <c r="H20" s="317">
        <v>1760</v>
      </c>
      <c r="I20" s="318"/>
      <c r="J20" s="317">
        <v>1760</v>
      </c>
      <c r="K20" s="317">
        <v>1760</v>
      </c>
      <c r="L20" s="316">
        <v>1760</v>
      </c>
      <c r="M20" s="317">
        <v>1760</v>
      </c>
      <c r="N20" s="317">
        <v>1760</v>
      </c>
      <c r="O20" s="317">
        <v>1760</v>
      </c>
      <c r="P20" s="318"/>
      <c r="Q20" s="317">
        <v>1760</v>
      </c>
      <c r="R20" s="317">
        <v>1760</v>
      </c>
      <c r="S20" s="316">
        <v>1760</v>
      </c>
      <c r="T20" s="317">
        <v>1760</v>
      </c>
      <c r="U20" s="317">
        <v>1760</v>
      </c>
      <c r="V20" s="317">
        <v>1800</v>
      </c>
      <c r="W20" s="318"/>
      <c r="X20" s="317">
        <v>1776</v>
      </c>
      <c r="Y20" s="317">
        <v>1840</v>
      </c>
      <c r="Z20" s="316">
        <v>1800</v>
      </c>
      <c r="AA20" s="317">
        <v>1800</v>
      </c>
      <c r="AB20" s="317">
        <v>1800</v>
      </c>
      <c r="AC20" s="317">
        <v>1760</v>
      </c>
      <c r="AD20" s="318"/>
      <c r="AE20" s="319"/>
      <c r="AF20" s="319"/>
      <c r="AG20" s="320"/>
      <c r="AH20" s="321"/>
      <c r="AI20" s="321"/>
      <c r="AJ20" s="8"/>
    </row>
    <row r="21" spans="1:36" ht="15">
      <c r="A21" s="368"/>
      <c r="B21" s="314" t="s">
        <v>229</v>
      </c>
      <c r="C21" s="315">
        <v>35300</v>
      </c>
      <c r="D21" s="315">
        <v>1604.5454545454545</v>
      </c>
      <c r="E21" s="316">
        <v>1760</v>
      </c>
      <c r="F21" s="317">
        <v>1760</v>
      </c>
      <c r="G21" s="317">
        <v>1760</v>
      </c>
      <c r="H21" s="317">
        <v>1760</v>
      </c>
      <c r="I21" s="318"/>
      <c r="J21" s="317">
        <v>1760</v>
      </c>
      <c r="K21" s="317">
        <v>1760</v>
      </c>
      <c r="L21" s="316">
        <v>1760</v>
      </c>
      <c r="M21" s="317">
        <v>1760</v>
      </c>
      <c r="N21" s="317">
        <v>1760</v>
      </c>
      <c r="O21" s="317">
        <v>1760</v>
      </c>
      <c r="P21" s="318"/>
      <c r="Q21" s="317">
        <v>1760</v>
      </c>
      <c r="R21" s="317">
        <v>1760</v>
      </c>
      <c r="S21" s="316">
        <v>1760</v>
      </c>
      <c r="T21" s="317">
        <v>1760</v>
      </c>
      <c r="U21" s="317">
        <v>1760</v>
      </c>
      <c r="V21" s="317">
        <v>1760</v>
      </c>
      <c r="W21" s="318"/>
      <c r="X21" s="317">
        <v>1020</v>
      </c>
      <c r="Y21" s="317">
        <v>1020</v>
      </c>
      <c r="Z21" s="316">
        <v>1360</v>
      </c>
      <c r="AA21" s="317">
        <v>1360</v>
      </c>
      <c r="AB21" s="317">
        <v>1360</v>
      </c>
      <c r="AC21" s="317">
        <v>1020</v>
      </c>
      <c r="AD21" s="318"/>
      <c r="AE21" s="317">
        <v>1020</v>
      </c>
      <c r="AF21" s="317">
        <v>1360</v>
      </c>
      <c r="AG21" s="322">
        <v>1360</v>
      </c>
      <c r="AH21" s="323">
        <v>1360</v>
      </c>
      <c r="AI21" s="323">
        <v>1360</v>
      </c>
      <c r="AJ21" s="8"/>
    </row>
    <row r="22" spans="1:36" ht="15">
      <c r="A22" s="368"/>
      <c r="B22" s="324" t="s">
        <v>230</v>
      </c>
      <c r="C22" s="325">
        <v>36433</v>
      </c>
      <c r="D22" s="325">
        <v>1656.0454545454545</v>
      </c>
      <c r="E22" s="326">
        <v>1766</v>
      </c>
      <c r="F22" s="327">
        <v>1811</v>
      </c>
      <c r="G22" s="327">
        <v>1760</v>
      </c>
      <c r="H22" s="327">
        <v>1760</v>
      </c>
      <c r="I22" s="328"/>
      <c r="J22" s="327">
        <v>1807</v>
      </c>
      <c r="K22" s="327">
        <v>1760</v>
      </c>
      <c r="L22" s="326">
        <v>1760</v>
      </c>
      <c r="M22" s="327">
        <v>1760</v>
      </c>
      <c r="N22" s="327">
        <v>1760</v>
      </c>
      <c r="O22" s="327">
        <v>1794</v>
      </c>
      <c r="P22" s="328"/>
      <c r="Q22" s="327">
        <v>1760</v>
      </c>
      <c r="R22" s="327">
        <v>1324</v>
      </c>
      <c r="S22" s="326">
        <v>1760</v>
      </c>
      <c r="T22" s="327">
        <v>1760</v>
      </c>
      <c r="U22" s="327">
        <v>1760</v>
      </c>
      <c r="V22" s="327">
        <v>1760</v>
      </c>
      <c r="W22" s="328"/>
      <c r="X22" s="327">
        <v>1060</v>
      </c>
      <c r="Y22" s="327">
        <v>1172</v>
      </c>
      <c r="Z22" s="326">
        <v>1460</v>
      </c>
      <c r="AA22" s="327">
        <v>1408</v>
      </c>
      <c r="AB22" s="327">
        <v>1791</v>
      </c>
      <c r="AC22" s="327">
        <v>1680</v>
      </c>
      <c r="AD22" s="328"/>
      <c r="AE22" s="329"/>
      <c r="AF22" s="329"/>
      <c r="AG22" s="330"/>
      <c r="AH22" s="331"/>
      <c r="AI22" s="331"/>
      <c r="AJ22" s="8"/>
    </row>
    <row r="23" spans="1:36" ht="15">
      <c r="A23" s="368"/>
      <c r="B23" s="324" t="s">
        <v>231</v>
      </c>
      <c r="C23" s="325">
        <v>1133</v>
      </c>
      <c r="D23" s="325">
        <v>51.5</v>
      </c>
      <c r="E23" s="326">
        <v>6</v>
      </c>
      <c r="F23" s="327">
        <v>51</v>
      </c>
      <c r="G23" s="327">
        <v>0</v>
      </c>
      <c r="H23" s="327">
        <v>0</v>
      </c>
      <c r="I23" s="328"/>
      <c r="J23" s="327">
        <v>47</v>
      </c>
      <c r="K23" s="327">
        <v>0</v>
      </c>
      <c r="L23" s="326">
        <v>0</v>
      </c>
      <c r="M23" s="327">
        <v>0</v>
      </c>
      <c r="N23" s="327">
        <v>0</v>
      </c>
      <c r="O23" s="327">
        <v>34</v>
      </c>
      <c r="P23" s="328"/>
      <c r="Q23" s="327">
        <v>0</v>
      </c>
      <c r="R23" s="329">
        <v>-436</v>
      </c>
      <c r="S23" s="326">
        <v>0</v>
      </c>
      <c r="T23" s="327">
        <v>0</v>
      </c>
      <c r="U23" s="327">
        <v>0</v>
      </c>
      <c r="V23" s="327">
        <v>0</v>
      </c>
      <c r="W23" s="328"/>
      <c r="X23" s="327">
        <v>40</v>
      </c>
      <c r="Y23" s="327">
        <v>152</v>
      </c>
      <c r="Z23" s="326">
        <v>100</v>
      </c>
      <c r="AA23" s="327">
        <v>48</v>
      </c>
      <c r="AB23" s="327">
        <v>431</v>
      </c>
      <c r="AC23" s="327">
        <v>660</v>
      </c>
      <c r="AD23" s="328"/>
      <c r="AE23" s="329"/>
      <c r="AF23" s="329"/>
      <c r="AG23" s="330"/>
      <c r="AH23" s="331"/>
      <c r="AI23" s="331"/>
      <c r="AJ23" s="8"/>
    </row>
    <row r="24" spans="1:36" ht="15">
      <c r="A24" s="368"/>
      <c r="B24" s="324" t="s">
        <v>232</v>
      </c>
      <c r="C24" s="325">
        <v>176</v>
      </c>
      <c r="D24" s="325">
        <v>8</v>
      </c>
      <c r="E24" s="326">
        <v>8</v>
      </c>
      <c r="F24" s="327">
        <v>8</v>
      </c>
      <c r="G24" s="327">
        <v>8</v>
      </c>
      <c r="H24" s="327">
        <v>8</v>
      </c>
      <c r="I24" s="328"/>
      <c r="J24" s="327">
        <v>8</v>
      </c>
      <c r="K24" s="327">
        <v>8</v>
      </c>
      <c r="L24" s="326">
        <v>8</v>
      </c>
      <c r="M24" s="327">
        <v>8</v>
      </c>
      <c r="N24" s="327">
        <v>8</v>
      </c>
      <c r="O24" s="327">
        <v>8</v>
      </c>
      <c r="P24" s="328"/>
      <c r="Q24" s="327">
        <v>8</v>
      </c>
      <c r="R24" s="327">
        <v>8</v>
      </c>
      <c r="S24" s="326">
        <v>8</v>
      </c>
      <c r="T24" s="327">
        <v>8</v>
      </c>
      <c r="U24" s="327">
        <v>8</v>
      </c>
      <c r="V24" s="327">
        <v>8</v>
      </c>
      <c r="W24" s="328"/>
      <c r="X24" s="327">
        <v>8</v>
      </c>
      <c r="Y24" s="327">
        <v>8</v>
      </c>
      <c r="Z24" s="326">
        <v>8</v>
      </c>
      <c r="AA24" s="327">
        <v>8</v>
      </c>
      <c r="AB24" s="327">
        <v>8</v>
      </c>
      <c r="AC24" s="327">
        <v>8</v>
      </c>
      <c r="AD24" s="328"/>
      <c r="AE24" s="329"/>
      <c r="AF24" s="329"/>
      <c r="AG24" s="330"/>
      <c r="AH24" s="331"/>
      <c r="AI24" s="331"/>
      <c r="AJ24" s="8"/>
    </row>
    <row r="25" spans="1:36" ht="15">
      <c r="A25" s="368"/>
      <c r="B25" s="324" t="s">
        <v>233</v>
      </c>
      <c r="C25" s="325">
        <v>71</v>
      </c>
      <c r="D25" s="325">
        <v>71</v>
      </c>
      <c r="E25" s="326">
        <v>74</v>
      </c>
      <c r="F25" s="327">
        <v>74</v>
      </c>
      <c r="G25" s="327">
        <v>73</v>
      </c>
      <c r="H25" s="327">
        <v>73</v>
      </c>
      <c r="I25" s="328"/>
      <c r="J25" s="327">
        <v>72</v>
      </c>
      <c r="K25" s="327">
        <v>71</v>
      </c>
      <c r="L25" s="326">
        <v>71</v>
      </c>
      <c r="M25" s="327">
        <v>73</v>
      </c>
      <c r="N25" s="327">
        <v>73</v>
      </c>
      <c r="O25" s="327">
        <v>68</v>
      </c>
      <c r="P25" s="328"/>
      <c r="Q25" s="327">
        <v>69</v>
      </c>
      <c r="R25" s="327">
        <v>72</v>
      </c>
      <c r="S25" s="326">
        <v>73</v>
      </c>
      <c r="T25" s="327">
        <v>73</v>
      </c>
      <c r="U25" s="327">
        <v>73</v>
      </c>
      <c r="V25" s="327">
        <v>71</v>
      </c>
      <c r="W25" s="328"/>
      <c r="X25" s="327">
        <v>71</v>
      </c>
      <c r="Y25" s="327">
        <v>70</v>
      </c>
      <c r="Z25" s="326">
        <v>69</v>
      </c>
      <c r="AA25" s="327">
        <v>72</v>
      </c>
      <c r="AB25" s="327">
        <v>70</v>
      </c>
      <c r="AC25" s="327">
        <v>69</v>
      </c>
      <c r="AD25" s="328"/>
      <c r="AE25" s="329"/>
      <c r="AF25" s="329"/>
      <c r="AG25" s="330"/>
      <c r="AH25" s="331"/>
      <c r="AI25" s="331"/>
      <c r="AJ25" s="8"/>
    </row>
    <row r="26" spans="1:36" ht="15">
      <c r="A26" s="368"/>
      <c r="B26" s="324" t="s">
        <v>234</v>
      </c>
      <c r="C26" s="325">
        <v>207.00568181818181</v>
      </c>
      <c r="D26" s="325">
        <v>207.00568181818181</v>
      </c>
      <c r="E26" s="326">
        <v>220.75</v>
      </c>
      <c r="F26" s="327">
        <v>226.375</v>
      </c>
      <c r="G26" s="327">
        <v>220</v>
      </c>
      <c r="H26" s="327">
        <v>220</v>
      </c>
      <c r="I26" s="328"/>
      <c r="J26" s="327">
        <v>225.875</v>
      </c>
      <c r="K26" s="327">
        <v>220</v>
      </c>
      <c r="L26" s="326">
        <v>220</v>
      </c>
      <c r="M26" s="327">
        <v>220</v>
      </c>
      <c r="N26" s="327">
        <v>220</v>
      </c>
      <c r="O26" s="327">
        <v>224.25</v>
      </c>
      <c r="P26" s="328"/>
      <c r="Q26" s="327">
        <v>220</v>
      </c>
      <c r="R26" s="327">
        <v>165.5</v>
      </c>
      <c r="S26" s="326">
        <v>220</v>
      </c>
      <c r="T26" s="327">
        <v>220</v>
      </c>
      <c r="U26" s="327">
        <v>220</v>
      </c>
      <c r="V26" s="327">
        <v>220</v>
      </c>
      <c r="W26" s="328"/>
      <c r="X26" s="327">
        <v>132.5</v>
      </c>
      <c r="Y26" s="327">
        <v>146.5</v>
      </c>
      <c r="Z26" s="326">
        <v>182.5</v>
      </c>
      <c r="AA26" s="327">
        <v>176</v>
      </c>
      <c r="AB26" s="327">
        <v>223.875</v>
      </c>
      <c r="AC26" s="327">
        <v>210</v>
      </c>
      <c r="AD26" s="328"/>
      <c r="AE26" s="329"/>
      <c r="AF26" s="329"/>
      <c r="AG26" s="330"/>
      <c r="AH26" s="331"/>
      <c r="AI26" s="331"/>
      <c r="AJ26" s="8"/>
    </row>
    <row r="27" spans="1:36" ht="15">
      <c r="A27" s="369"/>
      <c r="B27" s="333" t="s">
        <v>235</v>
      </c>
      <c r="C27" s="334">
        <v>2.9156</v>
      </c>
      <c r="D27" s="334">
        <v>2.9156</v>
      </c>
      <c r="E27" s="335">
        <v>2.9830999999999999</v>
      </c>
      <c r="F27" s="334">
        <v>3.0590999999999999</v>
      </c>
      <c r="G27" s="334">
        <v>3.0137</v>
      </c>
      <c r="H27" s="334">
        <v>3.0137</v>
      </c>
      <c r="I27" s="336"/>
      <c r="J27" s="334">
        <v>3.1372</v>
      </c>
      <c r="K27" s="334">
        <v>3.0985999999999998</v>
      </c>
      <c r="L27" s="335">
        <v>3.0985999999999998</v>
      </c>
      <c r="M27" s="334">
        <v>3.0137</v>
      </c>
      <c r="N27" s="334">
        <v>3.0137</v>
      </c>
      <c r="O27" s="334">
        <v>3.2978000000000001</v>
      </c>
      <c r="P27" s="336"/>
      <c r="Q27" s="334">
        <v>3.1884000000000001</v>
      </c>
      <c r="R27" s="334">
        <v>2.2986</v>
      </c>
      <c r="S27" s="335">
        <v>3.0137</v>
      </c>
      <c r="T27" s="334">
        <v>3.0137</v>
      </c>
      <c r="U27" s="334">
        <v>3.0137</v>
      </c>
      <c r="V27" s="334">
        <v>3.0985999999999998</v>
      </c>
      <c r="W27" s="336"/>
      <c r="X27" s="334">
        <v>1.8662000000000001</v>
      </c>
      <c r="Y27" s="334">
        <v>2.0929000000000002</v>
      </c>
      <c r="Z27" s="335">
        <v>2.6448999999999998</v>
      </c>
      <c r="AA27" s="334">
        <v>2.4443999999999999</v>
      </c>
      <c r="AB27" s="334">
        <v>3.1981999999999999</v>
      </c>
      <c r="AC27" s="334">
        <v>3.0434999999999999</v>
      </c>
      <c r="AD27" s="336"/>
      <c r="AE27" s="337"/>
      <c r="AF27" s="337"/>
      <c r="AG27" s="338"/>
      <c r="AH27" s="339"/>
      <c r="AI27" s="339"/>
      <c r="AJ27" s="8"/>
    </row>
    <row r="28" spans="1:36" ht="15">
      <c r="A28" s="367" t="s">
        <v>238</v>
      </c>
      <c r="B28" s="314" t="s">
        <v>228</v>
      </c>
      <c r="C28" s="315">
        <v>38720</v>
      </c>
      <c r="D28" s="315">
        <v>1760</v>
      </c>
      <c r="E28" s="316">
        <v>1760</v>
      </c>
      <c r="F28" s="317">
        <v>1760</v>
      </c>
      <c r="G28" s="317">
        <v>1760</v>
      </c>
      <c r="H28" s="317">
        <v>1760</v>
      </c>
      <c r="I28" s="318"/>
      <c r="J28" s="317">
        <v>1760</v>
      </c>
      <c r="K28" s="317">
        <v>1760</v>
      </c>
      <c r="L28" s="316">
        <v>1760</v>
      </c>
      <c r="M28" s="317">
        <v>1760</v>
      </c>
      <c r="N28" s="317">
        <v>1760</v>
      </c>
      <c r="O28" s="317">
        <v>1760</v>
      </c>
      <c r="P28" s="318"/>
      <c r="Q28" s="317">
        <v>1760</v>
      </c>
      <c r="R28" s="317">
        <v>1760</v>
      </c>
      <c r="S28" s="316">
        <v>1760</v>
      </c>
      <c r="T28" s="317">
        <v>1760</v>
      </c>
      <c r="U28" s="317">
        <v>1760</v>
      </c>
      <c r="V28" s="317">
        <v>1760</v>
      </c>
      <c r="W28" s="318"/>
      <c r="X28" s="317">
        <v>1760</v>
      </c>
      <c r="Y28" s="317">
        <v>1760</v>
      </c>
      <c r="Z28" s="316">
        <v>1760</v>
      </c>
      <c r="AA28" s="317">
        <v>1760</v>
      </c>
      <c r="AB28" s="317">
        <v>1760</v>
      </c>
      <c r="AC28" s="317">
        <v>1760</v>
      </c>
      <c r="AD28" s="318"/>
      <c r="AE28" s="319"/>
      <c r="AF28" s="319"/>
      <c r="AG28" s="320"/>
      <c r="AH28" s="321"/>
      <c r="AI28" s="321"/>
      <c r="AJ28" s="8"/>
    </row>
    <row r="29" spans="1:36" ht="15">
      <c r="A29" s="368"/>
      <c r="B29" s="314" t="s">
        <v>229</v>
      </c>
      <c r="C29" s="315">
        <v>34760</v>
      </c>
      <c r="D29" s="315">
        <v>1580</v>
      </c>
      <c r="E29" s="316">
        <v>1320</v>
      </c>
      <c r="F29" s="317">
        <v>1320</v>
      </c>
      <c r="G29" s="317">
        <v>1760</v>
      </c>
      <c r="H29" s="317">
        <v>1760</v>
      </c>
      <c r="I29" s="318"/>
      <c r="J29" s="317">
        <v>1760</v>
      </c>
      <c r="K29" s="317">
        <v>1760</v>
      </c>
      <c r="L29" s="316">
        <v>1760</v>
      </c>
      <c r="M29" s="317">
        <v>1760</v>
      </c>
      <c r="N29" s="317">
        <v>1760</v>
      </c>
      <c r="O29" s="317">
        <v>1760</v>
      </c>
      <c r="P29" s="318"/>
      <c r="Q29" s="317">
        <v>1760</v>
      </c>
      <c r="R29" s="317">
        <v>1760</v>
      </c>
      <c r="S29" s="316">
        <v>1760</v>
      </c>
      <c r="T29" s="317">
        <v>1760</v>
      </c>
      <c r="U29" s="317">
        <v>1760</v>
      </c>
      <c r="V29" s="317">
        <v>1760</v>
      </c>
      <c r="W29" s="318"/>
      <c r="X29" s="317">
        <v>1020</v>
      </c>
      <c r="Y29" s="317">
        <v>1020</v>
      </c>
      <c r="Z29" s="316">
        <v>1360</v>
      </c>
      <c r="AA29" s="317">
        <v>1360</v>
      </c>
      <c r="AB29" s="317">
        <v>1360</v>
      </c>
      <c r="AC29" s="317">
        <v>1360</v>
      </c>
      <c r="AD29" s="318"/>
      <c r="AE29" s="317">
        <v>1360</v>
      </c>
      <c r="AF29" s="317">
        <v>1360</v>
      </c>
      <c r="AG29" s="322">
        <v>1360</v>
      </c>
      <c r="AH29" s="323">
        <v>1360</v>
      </c>
      <c r="AI29" s="323">
        <v>1360</v>
      </c>
      <c r="AJ29" s="8"/>
    </row>
    <row r="30" spans="1:36" ht="15">
      <c r="A30" s="368"/>
      <c r="B30" s="324" t="s">
        <v>230</v>
      </c>
      <c r="C30" s="325">
        <v>35429</v>
      </c>
      <c r="D30" s="325">
        <v>1610.409090909091</v>
      </c>
      <c r="E30" s="326">
        <v>1328</v>
      </c>
      <c r="F30" s="327">
        <v>1332</v>
      </c>
      <c r="G30" s="327">
        <v>1760</v>
      </c>
      <c r="H30" s="327">
        <v>1760</v>
      </c>
      <c r="I30" s="328"/>
      <c r="J30" s="327">
        <v>1760</v>
      </c>
      <c r="K30" s="327">
        <v>1760</v>
      </c>
      <c r="L30" s="326">
        <v>1760</v>
      </c>
      <c r="M30" s="327">
        <v>1760</v>
      </c>
      <c r="N30" s="327">
        <v>1763</v>
      </c>
      <c r="O30" s="327">
        <v>1760</v>
      </c>
      <c r="P30" s="328"/>
      <c r="Q30" s="327">
        <v>1760</v>
      </c>
      <c r="R30" s="327">
        <v>1764</v>
      </c>
      <c r="S30" s="326">
        <v>1760</v>
      </c>
      <c r="T30" s="327">
        <v>1920</v>
      </c>
      <c r="U30" s="327">
        <v>1760</v>
      </c>
      <c r="V30" s="327">
        <v>1761</v>
      </c>
      <c r="W30" s="328"/>
      <c r="X30" s="327">
        <v>1020</v>
      </c>
      <c r="Y30" s="327">
        <v>1020</v>
      </c>
      <c r="Z30" s="326">
        <v>1360</v>
      </c>
      <c r="AA30" s="327">
        <v>1361</v>
      </c>
      <c r="AB30" s="327">
        <v>1520</v>
      </c>
      <c r="AC30" s="327">
        <v>1680</v>
      </c>
      <c r="AD30" s="328"/>
      <c r="AE30" s="329"/>
      <c r="AF30" s="329"/>
      <c r="AG30" s="330"/>
      <c r="AH30" s="331"/>
      <c r="AI30" s="331"/>
      <c r="AJ30" s="8"/>
    </row>
    <row r="31" spans="1:36" ht="15">
      <c r="A31" s="368"/>
      <c r="B31" s="324" t="s">
        <v>231</v>
      </c>
      <c r="C31" s="325">
        <v>669</v>
      </c>
      <c r="D31" s="325">
        <v>30.40909090909091</v>
      </c>
      <c r="E31" s="326">
        <v>8</v>
      </c>
      <c r="F31" s="327">
        <v>12</v>
      </c>
      <c r="G31" s="327">
        <v>0</v>
      </c>
      <c r="H31" s="327">
        <v>0</v>
      </c>
      <c r="I31" s="328"/>
      <c r="J31" s="327">
        <v>0</v>
      </c>
      <c r="K31" s="327">
        <v>0</v>
      </c>
      <c r="L31" s="326">
        <v>0</v>
      </c>
      <c r="M31" s="327">
        <v>0</v>
      </c>
      <c r="N31" s="327">
        <v>3</v>
      </c>
      <c r="O31" s="327">
        <v>0</v>
      </c>
      <c r="P31" s="328"/>
      <c r="Q31" s="327">
        <v>0</v>
      </c>
      <c r="R31" s="327">
        <v>4</v>
      </c>
      <c r="S31" s="326">
        <v>0</v>
      </c>
      <c r="T31" s="327">
        <v>160</v>
      </c>
      <c r="U31" s="327">
        <v>0</v>
      </c>
      <c r="V31" s="327">
        <v>1</v>
      </c>
      <c r="W31" s="328"/>
      <c r="X31" s="327">
        <v>0</v>
      </c>
      <c r="Y31" s="327">
        <v>0</v>
      </c>
      <c r="Z31" s="326">
        <v>0</v>
      </c>
      <c r="AA31" s="327">
        <v>1</v>
      </c>
      <c r="AB31" s="327">
        <v>160</v>
      </c>
      <c r="AC31" s="327">
        <v>320</v>
      </c>
      <c r="AD31" s="328"/>
      <c r="AE31" s="329"/>
      <c r="AF31" s="329"/>
      <c r="AG31" s="330"/>
      <c r="AH31" s="331"/>
      <c r="AI31" s="331"/>
      <c r="AJ31" s="8"/>
    </row>
    <row r="32" spans="1:36" ht="15">
      <c r="A32" s="368"/>
      <c r="B32" s="324" t="s">
        <v>232</v>
      </c>
      <c r="C32" s="325">
        <v>176</v>
      </c>
      <c r="D32" s="325">
        <v>8</v>
      </c>
      <c r="E32" s="326">
        <v>8</v>
      </c>
      <c r="F32" s="327">
        <v>8</v>
      </c>
      <c r="G32" s="327">
        <v>8</v>
      </c>
      <c r="H32" s="327">
        <v>8</v>
      </c>
      <c r="I32" s="328"/>
      <c r="J32" s="327">
        <v>8</v>
      </c>
      <c r="K32" s="327">
        <v>8</v>
      </c>
      <c r="L32" s="326">
        <v>8</v>
      </c>
      <c r="M32" s="327">
        <v>8</v>
      </c>
      <c r="N32" s="327">
        <v>8</v>
      </c>
      <c r="O32" s="327">
        <v>8</v>
      </c>
      <c r="P32" s="328"/>
      <c r="Q32" s="327">
        <v>8</v>
      </c>
      <c r="R32" s="327">
        <v>8</v>
      </c>
      <c r="S32" s="326">
        <v>8</v>
      </c>
      <c r="T32" s="327">
        <v>8</v>
      </c>
      <c r="U32" s="327">
        <v>8</v>
      </c>
      <c r="V32" s="327">
        <v>8</v>
      </c>
      <c r="W32" s="328"/>
      <c r="X32" s="327">
        <v>8</v>
      </c>
      <c r="Y32" s="327">
        <v>8</v>
      </c>
      <c r="Z32" s="326">
        <v>8</v>
      </c>
      <c r="AA32" s="327">
        <v>8</v>
      </c>
      <c r="AB32" s="327">
        <v>8</v>
      </c>
      <c r="AC32" s="327">
        <v>8</v>
      </c>
      <c r="AD32" s="328"/>
      <c r="AE32" s="329"/>
      <c r="AF32" s="329"/>
      <c r="AG32" s="330"/>
      <c r="AH32" s="331"/>
      <c r="AI32" s="331"/>
      <c r="AJ32" s="8"/>
    </row>
    <row r="33" spans="1:36" ht="15">
      <c r="A33" s="368"/>
      <c r="B33" s="324" t="s">
        <v>233</v>
      </c>
      <c r="C33" s="325">
        <v>64</v>
      </c>
      <c r="D33" s="325">
        <v>64</v>
      </c>
      <c r="E33" s="326">
        <v>67</v>
      </c>
      <c r="F33" s="327">
        <v>66</v>
      </c>
      <c r="G33" s="327">
        <v>68</v>
      </c>
      <c r="H33" s="327">
        <v>66</v>
      </c>
      <c r="I33" s="328"/>
      <c r="J33" s="327">
        <v>62</v>
      </c>
      <c r="K33" s="327">
        <v>67</v>
      </c>
      <c r="L33" s="326">
        <v>64</v>
      </c>
      <c r="M33" s="327">
        <v>63</v>
      </c>
      <c r="N33" s="327">
        <v>63</v>
      </c>
      <c r="O33" s="327">
        <v>63</v>
      </c>
      <c r="P33" s="328"/>
      <c r="Q33" s="327">
        <v>65</v>
      </c>
      <c r="R33" s="327">
        <v>66</v>
      </c>
      <c r="S33" s="326">
        <v>64</v>
      </c>
      <c r="T33" s="327">
        <v>65</v>
      </c>
      <c r="U33" s="327">
        <v>64</v>
      </c>
      <c r="V33" s="327">
        <v>64</v>
      </c>
      <c r="W33" s="328"/>
      <c r="X33" s="327">
        <v>63</v>
      </c>
      <c r="Y33" s="327">
        <v>63</v>
      </c>
      <c r="Z33" s="326">
        <v>63</v>
      </c>
      <c r="AA33" s="327">
        <v>63</v>
      </c>
      <c r="AB33" s="327">
        <v>63</v>
      </c>
      <c r="AC33" s="327">
        <v>62</v>
      </c>
      <c r="AD33" s="328"/>
      <c r="AE33" s="329"/>
      <c r="AF33" s="329"/>
      <c r="AG33" s="330"/>
      <c r="AH33" s="331"/>
      <c r="AI33" s="331"/>
      <c r="AJ33" s="8"/>
    </row>
    <row r="34" spans="1:36" ht="15">
      <c r="A34" s="368"/>
      <c r="B34" s="324" t="s">
        <v>234</v>
      </c>
      <c r="C34" s="325">
        <v>201.30113636363637</v>
      </c>
      <c r="D34" s="325">
        <v>201.30113636363637</v>
      </c>
      <c r="E34" s="326">
        <v>166</v>
      </c>
      <c r="F34" s="327">
        <v>166.5</v>
      </c>
      <c r="G34" s="327">
        <v>220</v>
      </c>
      <c r="H34" s="327">
        <v>220</v>
      </c>
      <c r="I34" s="328"/>
      <c r="J34" s="327">
        <v>220</v>
      </c>
      <c r="K34" s="327">
        <v>220</v>
      </c>
      <c r="L34" s="326">
        <v>220</v>
      </c>
      <c r="M34" s="327">
        <v>220</v>
      </c>
      <c r="N34" s="327">
        <v>220.375</v>
      </c>
      <c r="O34" s="327">
        <v>220</v>
      </c>
      <c r="P34" s="328"/>
      <c r="Q34" s="327">
        <v>220</v>
      </c>
      <c r="R34" s="327">
        <v>220.5</v>
      </c>
      <c r="S34" s="326">
        <v>220</v>
      </c>
      <c r="T34" s="327">
        <v>240</v>
      </c>
      <c r="U34" s="327">
        <v>220</v>
      </c>
      <c r="V34" s="327">
        <v>220.125</v>
      </c>
      <c r="W34" s="328"/>
      <c r="X34" s="327">
        <v>127.5</v>
      </c>
      <c r="Y34" s="327">
        <v>127.5</v>
      </c>
      <c r="Z34" s="326">
        <v>170</v>
      </c>
      <c r="AA34" s="327">
        <v>170.125</v>
      </c>
      <c r="AB34" s="327">
        <v>190</v>
      </c>
      <c r="AC34" s="327">
        <v>210</v>
      </c>
      <c r="AD34" s="328"/>
      <c r="AE34" s="329"/>
      <c r="AF34" s="329"/>
      <c r="AG34" s="330"/>
      <c r="AH34" s="331"/>
      <c r="AI34" s="331"/>
      <c r="AJ34" s="8"/>
    </row>
    <row r="35" spans="1:36" ht="15">
      <c r="A35" s="369"/>
      <c r="B35" s="333" t="s">
        <v>235</v>
      </c>
      <c r="C35" s="334">
        <v>3.1453000000000002</v>
      </c>
      <c r="D35" s="334">
        <v>3.1453000000000002</v>
      </c>
      <c r="E35" s="335">
        <v>2.4775999999999998</v>
      </c>
      <c r="F35" s="334">
        <v>2.5226999999999999</v>
      </c>
      <c r="G35" s="334">
        <v>3.2353000000000001</v>
      </c>
      <c r="H35" s="334">
        <v>3.3332999999999999</v>
      </c>
      <c r="I35" s="336"/>
      <c r="J35" s="334">
        <v>3.5484</v>
      </c>
      <c r="K35" s="334">
        <v>3.2835999999999999</v>
      </c>
      <c r="L35" s="335">
        <v>3.4375</v>
      </c>
      <c r="M35" s="334">
        <v>3.4920999999999998</v>
      </c>
      <c r="N35" s="334">
        <v>3.4980000000000002</v>
      </c>
      <c r="O35" s="334">
        <v>3.4920999999999998</v>
      </c>
      <c r="P35" s="336"/>
      <c r="Q35" s="334">
        <v>3.3845999999999998</v>
      </c>
      <c r="R35" s="334">
        <v>3.3409</v>
      </c>
      <c r="S35" s="335">
        <v>3.4375</v>
      </c>
      <c r="T35" s="334">
        <v>3.6922999999999999</v>
      </c>
      <c r="U35" s="334">
        <v>3.4375</v>
      </c>
      <c r="V35" s="334">
        <v>3.4394999999999998</v>
      </c>
      <c r="W35" s="336"/>
      <c r="X35" s="334">
        <v>2.0238</v>
      </c>
      <c r="Y35" s="334">
        <v>2.0238</v>
      </c>
      <c r="Z35" s="335">
        <v>2.6983999999999999</v>
      </c>
      <c r="AA35" s="334">
        <v>2.7004000000000001</v>
      </c>
      <c r="AB35" s="334">
        <v>3.0158999999999998</v>
      </c>
      <c r="AC35" s="334">
        <v>3.3871000000000002</v>
      </c>
      <c r="AD35" s="336"/>
      <c r="AE35" s="337"/>
      <c r="AF35" s="337"/>
      <c r="AG35" s="338"/>
      <c r="AH35" s="339"/>
      <c r="AI35" s="339"/>
      <c r="AJ35" s="8"/>
    </row>
    <row r="36" spans="1:36" ht="15">
      <c r="A36" s="367" t="s">
        <v>239</v>
      </c>
      <c r="B36" s="314" t="s">
        <v>228</v>
      </c>
      <c r="C36" s="315">
        <v>38408</v>
      </c>
      <c r="D36" s="315">
        <v>1745.8181818181818</v>
      </c>
      <c r="E36" s="316">
        <v>1760</v>
      </c>
      <c r="F36" s="317">
        <v>1760</v>
      </c>
      <c r="G36" s="317">
        <v>1760</v>
      </c>
      <c r="H36" s="317">
        <v>1760</v>
      </c>
      <c r="I36" s="318"/>
      <c r="J36" s="317">
        <v>1760</v>
      </c>
      <c r="K36" s="317">
        <v>1760</v>
      </c>
      <c r="L36" s="316">
        <v>1760</v>
      </c>
      <c r="M36" s="317">
        <v>1760</v>
      </c>
      <c r="N36" s="317">
        <v>1760</v>
      </c>
      <c r="O36" s="317">
        <v>1760</v>
      </c>
      <c r="P36" s="318"/>
      <c r="Q36" s="317">
        <v>1760</v>
      </c>
      <c r="R36" s="317">
        <v>1760</v>
      </c>
      <c r="S36" s="316">
        <v>1760</v>
      </c>
      <c r="T36" s="317">
        <v>1760</v>
      </c>
      <c r="U36" s="317">
        <v>1760</v>
      </c>
      <c r="V36" s="317">
        <v>1760</v>
      </c>
      <c r="W36" s="318"/>
      <c r="X36" s="317">
        <v>1760</v>
      </c>
      <c r="Y36" s="317">
        <v>1760</v>
      </c>
      <c r="Z36" s="316">
        <v>1760</v>
      </c>
      <c r="AA36" s="317">
        <v>1680</v>
      </c>
      <c r="AB36" s="317">
        <v>1648</v>
      </c>
      <c r="AC36" s="317">
        <v>1640</v>
      </c>
      <c r="AD36" s="318"/>
      <c r="AE36" s="319"/>
      <c r="AF36" s="319"/>
      <c r="AG36" s="320"/>
      <c r="AH36" s="321"/>
      <c r="AI36" s="321"/>
      <c r="AJ36" s="8"/>
    </row>
    <row r="37" spans="1:36" ht="15">
      <c r="A37" s="368"/>
      <c r="B37" s="314" t="s">
        <v>229</v>
      </c>
      <c r="C37" s="315">
        <v>35720</v>
      </c>
      <c r="D37" s="315">
        <v>1623.6363636363637</v>
      </c>
      <c r="E37" s="316">
        <v>1680</v>
      </c>
      <c r="F37" s="317">
        <v>1680</v>
      </c>
      <c r="G37" s="317">
        <v>1320</v>
      </c>
      <c r="H37" s="317">
        <v>1320</v>
      </c>
      <c r="I37" s="318"/>
      <c r="J37" s="317">
        <v>1760</v>
      </c>
      <c r="K37" s="317">
        <v>1760</v>
      </c>
      <c r="L37" s="316">
        <v>1760</v>
      </c>
      <c r="M37" s="317">
        <v>1760</v>
      </c>
      <c r="N37" s="317">
        <v>1760</v>
      </c>
      <c r="O37" s="317">
        <v>1760</v>
      </c>
      <c r="P37" s="318"/>
      <c r="Q37" s="317">
        <v>1760</v>
      </c>
      <c r="R37" s="317">
        <v>1760</v>
      </c>
      <c r="S37" s="316">
        <v>1760</v>
      </c>
      <c r="T37" s="317">
        <v>1760</v>
      </c>
      <c r="U37" s="317">
        <v>1760</v>
      </c>
      <c r="V37" s="317">
        <v>1760</v>
      </c>
      <c r="W37" s="318"/>
      <c r="X37" s="317">
        <v>1760</v>
      </c>
      <c r="Y37" s="317">
        <v>1140</v>
      </c>
      <c r="Z37" s="316">
        <v>1140</v>
      </c>
      <c r="AA37" s="317">
        <v>1520</v>
      </c>
      <c r="AB37" s="317">
        <v>1520</v>
      </c>
      <c r="AC37" s="317">
        <v>1520</v>
      </c>
      <c r="AD37" s="318"/>
      <c r="AE37" s="317">
        <v>984</v>
      </c>
      <c r="AF37" s="317">
        <v>984</v>
      </c>
      <c r="AG37" s="322">
        <v>1312</v>
      </c>
      <c r="AH37" s="323">
        <v>1312</v>
      </c>
      <c r="AI37" s="323">
        <v>1312</v>
      </c>
      <c r="AJ37" s="8"/>
    </row>
    <row r="38" spans="1:36" ht="15">
      <c r="A38" s="368"/>
      <c r="B38" s="324" t="s">
        <v>230</v>
      </c>
      <c r="C38" s="325">
        <v>35576</v>
      </c>
      <c r="D38" s="325">
        <v>1617.090909090909</v>
      </c>
      <c r="E38" s="326">
        <v>1686</v>
      </c>
      <c r="F38" s="327">
        <v>1680</v>
      </c>
      <c r="G38" s="327">
        <v>1320</v>
      </c>
      <c r="H38" s="327">
        <v>1320</v>
      </c>
      <c r="I38" s="328"/>
      <c r="J38" s="327">
        <v>1760</v>
      </c>
      <c r="K38" s="327">
        <v>1760</v>
      </c>
      <c r="L38" s="326">
        <v>1760</v>
      </c>
      <c r="M38" s="327">
        <v>1760</v>
      </c>
      <c r="N38" s="327">
        <v>1760</v>
      </c>
      <c r="O38" s="327">
        <v>1760</v>
      </c>
      <c r="P38" s="328"/>
      <c r="Q38" s="327">
        <v>1770</v>
      </c>
      <c r="R38" s="327">
        <v>1760</v>
      </c>
      <c r="S38" s="326">
        <v>1760</v>
      </c>
      <c r="T38" s="327">
        <v>1600</v>
      </c>
      <c r="U38" s="327">
        <v>1760</v>
      </c>
      <c r="V38" s="327">
        <v>1760</v>
      </c>
      <c r="W38" s="328"/>
      <c r="X38" s="327">
        <v>1760</v>
      </c>
      <c r="Y38" s="327">
        <v>1140</v>
      </c>
      <c r="Z38" s="326">
        <v>1140</v>
      </c>
      <c r="AA38" s="327">
        <v>1520</v>
      </c>
      <c r="AB38" s="327">
        <v>1520</v>
      </c>
      <c r="AC38" s="327">
        <v>1520</v>
      </c>
      <c r="AD38" s="328"/>
      <c r="AE38" s="329"/>
      <c r="AF38" s="329"/>
      <c r="AG38" s="330"/>
      <c r="AH38" s="331"/>
      <c r="AI38" s="331"/>
      <c r="AJ38" s="8"/>
    </row>
    <row r="39" spans="1:36" ht="15">
      <c r="A39" s="368"/>
      <c r="B39" s="324" t="s">
        <v>231</v>
      </c>
      <c r="C39" s="332">
        <v>-144</v>
      </c>
      <c r="D39" s="332">
        <v>-6.5454545454545459</v>
      </c>
      <c r="E39" s="326">
        <v>6</v>
      </c>
      <c r="F39" s="327">
        <v>0</v>
      </c>
      <c r="G39" s="327">
        <v>0</v>
      </c>
      <c r="H39" s="327">
        <v>0</v>
      </c>
      <c r="I39" s="328"/>
      <c r="J39" s="327">
        <v>0</v>
      </c>
      <c r="K39" s="327">
        <v>0</v>
      </c>
      <c r="L39" s="326">
        <v>0</v>
      </c>
      <c r="M39" s="327">
        <v>0</v>
      </c>
      <c r="N39" s="327">
        <v>0</v>
      </c>
      <c r="O39" s="327">
        <v>0</v>
      </c>
      <c r="P39" s="328"/>
      <c r="Q39" s="327">
        <v>10</v>
      </c>
      <c r="R39" s="327">
        <v>0</v>
      </c>
      <c r="S39" s="326">
        <v>0</v>
      </c>
      <c r="T39" s="329">
        <v>-160</v>
      </c>
      <c r="U39" s="327">
        <v>0</v>
      </c>
      <c r="V39" s="327">
        <v>0</v>
      </c>
      <c r="W39" s="328"/>
      <c r="X39" s="327">
        <v>0</v>
      </c>
      <c r="Y39" s="327">
        <v>0</v>
      </c>
      <c r="Z39" s="326">
        <v>0</v>
      </c>
      <c r="AA39" s="327">
        <v>0</v>
      </c>
      <c r="AB39" s="327">
        <v>0</v>
      </c>
      <c r="AC39" s="327">
        <v>0</v>
      </c>
      <c r="AD39" s="328"/>
      <c r="AE39" s="329"/>
      <c r="AF39" s="329"/>
      <c r="AG39" s="330"/>
      <c r="AH39" s="331"/>
      <c r="AI39" s="331"/>
      <c r="AJ39" s="8"/>
    </row>
    <row r="40" spans="1:36" ht="15">
      <c r="A40" s="368"/>
      <c r="B40" s="324" t="s">
        <v>232</v>
      </c>
      <c r="C40" s="325">
        <v>176</v>
      </c>
      <c r="D40" s="325">
        <v>8</v>
      </c>
      <c r="E40" s="326">
        <v>8</v>
      </c>
      <c r="F40" s="327">
        <v>8</v>
      </c>
      <c r="G40" s="327">
        <v>8</v>
      </c>
      <c r="H40" s="327">
        <v>8</v>
      </c>
      <c r="I40" s="328"/>
      <c r="J40" s="327">
        <v>8</v>
      </c>
      <c r="K40" s="327">
        <v>8</v>
      </c>
      <c r="L40" s="326">
        <v>8</v>
      </c>
      <c r="M40" s="327">
        <v>8</v>
      </c>
      <c r="N40" s="327">
        <v>8</v>
      </c>
      <c r="O40" s="327">
        <v>8</v>
      </c>
      <c r="P40" s="328"/>
      <c r="Q40" s="327">
        <v>8</v>
      </c>
      <c r="R40" s="327">
        <v>8</v>
      </c>
      <c r="S40" s="326">
        <v>8</v>
      </c>
      <c r="T40" s="327">
        <v>8</v>
      </c>
      <c r="U40" s="327">
        <v>8</v>
      </c>
      <c r="V40" s="327">
        <v>8</v>
      </c>
      <c r="W40" s="328"/>
      <c r="X40" s="327">
        <v>8</v>
      </c>
      <c r="Y40" s="327">
        <v>8</v>
      </c>
      <c r="Z40" s="326">
        <v>8</v>
      </c>
      <c r="AA40" s="327">
        <v>8</v>
      </c>
      <c r="AB40" s="327">
        <v>8</v>
      </c>
      <c r="AC40" s="327">
        <v>8</v>
      </c>
      <c r="AD40" s="328"/>
      <c r="AE40" s="329"/>
      <c r="AF40" s="329"/>
      <c r="AG40" s="330"/>
      <c r="AH40" s="331"/>
      <c r="AI40" s="331"/>
      <c r="AJ40" s="8"/>
    </row>
    <row r="41" spans="1:36" ht="15">
      <c r="A41" s="368"/>
      <c r="B41" s="324" t="s">
        <v>233</v>
      </c>
      <c r="C41" s="325">
        <v>70</v>
      </c>
      <c r="D41" s="325">
        <v>70</v>
      </c>
      <c r="E41" s="326">
        <v>73</v>
      </c>
      <c r="F41" s="327">
        <v>72</v>
      </c>
      <c r="G41" s="327">
        <v>71</v>
      </c>
      <c r="H41" s="327">
        <v>69</v>
      </c>
      <c r="I41" s="328"/>
      <c r="J41" s="327">
        <v>68</v>
      </c>
      <c r="K41" s="327">
        <v>68</v>
      </c>
      <c r="L41" s="326">
        <v>68</v>
      </c>
      <c r="M41" s="327">
        <v>71</v>
      </c>
      <c r="N41" s="327">
        <v>71</v>
      </c>
      <c r="O41" s="327">
        <v>71</v>
      </c>
      <c r="P41" s="328"/>
      <c r="Q41" s="327">
        <v>68</v>
      </c>
      <c r="R41" s="327">
        <v>69</v>
      </c>
      <c r="S41" s="326">
        <v>71</v>
      </c>
      <c r="T41" s="327">
        <v>69</v>
      </c>
      <c r="U41" s="327">
        <v>71</v>
      </c>
      <c r="V41" s="327">
        <v>69</v>
      </c>
      <c r="W41" s="328"/>
      <c r="X41" s="327">
        <v>71</v>
      </c>
      <c r="Y41" s="327">
        <v>72</v>
      </c>
      <c r="Z41" s="326">
        <v>69</v>
      </c>
      <c r="AA41" s="327">
        <v>71</v>
      </c>
      <c r="AB41" s="327">
        <v>71</v>
      </c>
      <c r="AC41" s="327">
        <v>69</v>
      </c>
      <c r="AD41" s="328"/>
      <c r="AE41" s="329"/>
      <c r="AF41" s="329"/>
      <c r="AG41" s="330"/>
      <c r="AH41" s="331"/>
      <c r="AI41" s="331"/>
      <c r="AJ41" s="8"/>
    </row>
    <row r="42" spans="1:36" ht="15">
      <c r="A42" s="368"/>
      <c r="B42" s="324" t="s">
        <v>234</v>
      </c>
      <c r="C42" s="325">
        <v>202.13636363636363</v>
      </c>
      <c r="D42" s="325">
        <v>202.13636363636363</v>
      </c>
      <c r="E42" s="326">
        <v>210.75</v>
      </c>
      <c r="F42" s="327">
        <v>210</v>
      </c>
      <c r="G42" s="327">
        <v>165</v>
      </c>
      <c r="H42" s="327">
        <v>165</v>
      </c>
      <c r="I42" s="328"/>
      <c r="J42" s="327">
        <v>220</v>
      </c>
      <c r="K42" s="327">
        <v>220</v>
      </c>
      <c r="L42" s="326">
        <v>220</v>
      </c>
      <c r="M42" s="327">
        <v>220</v>
      </c>
      <c r="N42" s="327">
        <v>220</v>
      </c>
      <c r="O42" s="327">
        <v>220</v>
      </c>
      <c r="P42" s="328"/>
      <c r="Q42" s="327">
        <v>221.25</v>
      </c>
      <c r="R42" s="327">
        <v>220</v>
      </c>
      <c r="S42" s="326">
        <v>220</v>
      </c>
      <c r="T42" s="327">
        <v>200</v>
      </c>
      <c r="U42" s="327">
        <v>220</v>
      </c>
      <c r="V42" s="327">
        <v>220</v>
      </c>
      <c r="W42" s="328"/>
      <c r="X42" s="327">
        <v>220</v>
      </c>
      <c r="Y42" s="327">
        <v>142.5</v>
      </c>
      <c r="Z42" s="326">
        <v>142.5</v>
      </c>
      <c r="AA42" s="327">
        <v>190</v>
      </c>
      <c r="AB42" s="327">
        <v>190</v>
      </c>
      <c r="AC42" s="327">
        <v>190</v>
      </c>
      <c r="AD42" s="328"/>
      <c r="AE42" s="329"/>
      <c r="AF42" s="329"/>
      <c r="AG42" s="330"/>
      <c r="AH42" s="331"/>
      <c r="AI42" s="331"/>
      <c r="AJ42" s="8"/>
    </row>
    <row r="43" spans="1:36" ht="15">
      <c r="A43" s="369"/>
      <c r="B43" s="333" t="s">
        <v>235</v>
      </c>
      <c r="C43" s="334">
        <v>2.8877000000000002</v>
      </c>
      <c r="D43" s="334">
        <v>2.8877000000000002</v>
      </c>
      <c r="E43" s="335">
        <v>2.887</v>
      </c>
      <c r="F43" s="334">
        <v>2.9167000000000001</v>
      </c>
      <c r="G43" s="334">
        <v>2.3239000000000001</v>
      </c>
      <c r="H43" s="334">
        <v>2.3913000000000002</v>
      </c>
      <c r="I43" s="336"/>
      <c r="J43" s="334">
        <v>3.2353000000000001</v>
      </c>
      <c r="K43" s="334">
        <v>3.2353000000000001</v>
      </c>
      <c r="L43" s="335">
        <v>3.2353000000000001</v>
      </c>
      <c r="M43" s="334">
        <v>3.0985999999999998</v>
      </c>
      <c r="N43" s="334">
        <v>3.0985999999999998</v>
      </c>
      <c r="O43" s="334">
        <v>3.0985999999999998</v>
      </c>
      <c r="P43" s="336"/>
      <c r="Q43" s="334">
        <v>3.2536999999999998</v>
      </c>
      <c r="R43" s="334">
        <v>3.1884000000000001</v>
      </c>
      <c r="S43" s="335">
        <v>3.0985999999999998</v>
      </c>
      <c r="T43" s="334">
        <v>2.8986000000000001</v>
      </c>
      <c r="U43" s="334">
        <v>3.0985999999999998</v>
      </c>
      <c r="V43" s="334">
        <v>3.1884000000000001</v>
      </c>
      <c r="W43" s="336"/>
      <c r="X43" s="334">
        <v>3.0985999999999998</v>
      </c>
      <c r="Y43" s="334">
        <v>1.9792000000000001</v>
      </c>
      <c r="Z43" s="335">
        <v>2.0651999999999999</v>
      </c>
      <c r="AA43" s="334">
        <v>2.6760999999999999</v>
      </c>
      <c r="AB43" s="334">
        <v>2.6760999999999999</v>
      </c>
      <c r="AC43" s="334">
        <v>2.7536</v>
      </c>
      <c r="AD43" s="336"/>
      <c r="AE43" s="337"/>
      <c r="AF43" s="337"/>
      <c r="AG43" s="338"/>
      <c r="AH43" s="339"/>
      <c r="AI43" s="339"/>
      <c r="AJ43" s="8"/>
    </row>
    <row r="44" spans="1:36" ht="15">
      <c r="A44" s="367" t="s">
        <v>240</v>
      </c>
      <c r="B44" s="314" t="s">
        <v>228</v>
      </c>
      <c r="C44" s="315">
        <v>36976</v>
      </c>
      <c r="D44" s="315">
        <v>1680.7272727272727</v>
      </c>
      <c r="E44" s="316">
        <v>1840</v>
      </c>
      <c r="F44" s="317">
        <v>1840</v>
      </c>
      <c r="G44" s="317">
        <v>1840</v>
      </c>
      <c r="H44" s="317">
        <v>1840</v>
      </c>
      <c r="I44" s="318"/>
      <c r="J44" s="317">
        <v>1680</v>
      </c>
      <c r="K44" s="317">
        <v>1808</v>
      </c>
      <c r="L44" s="316">
        <v>1776</v>
      </c>
      <c r="M44" s="317">
        <v>1696</v>
      </c>
      <c r="N44" s="317">
        <v>1704</v>
      </c>
      <c r="O44" s="317">
        <v>1760</v>
      </c>
      <c r="P44" s="318"/>
      <c r="Q44" s="317">
        <v>1720</v>
      </c>
      <c r="R44" s="317">
        <v>1800</v>
      </c>
      <c r="S44" s="316">
        <v>1784</v>
      </c>
      <c r="T44" s="317">
        <v>1768</v>
      </c>
      <c r="U44" s="317">
        <v>1704</v>
      </c>
      <c r="V44" s="317">
        <v>1640</v>
      </c>
      <c r="W44" s="318"/>
      <c r="X44" s="317">
        <v>1640</v>
      </c>
      <c r="Y44" s="317">
        <v>1416</v>
      </c>
      <c r="Z44" s="316">
        <v>1416</v>
      </c>
      <c r="AA44" s="317">
        <v>1496</v>
      </c>
      <c r="AB44" s="317">
        <v>1400</v>
      </c>
      <c r="AC44" s="317">
        <v>1408</v>
      </c>
      <c r="AD44" s="318"/>
      <c r="AE44" s="319"/>
      <c r="AF44" s="319"/>
      <c r="AG44" s="320"/>
      <c r="AH44" s="321"/>
      <c r="AI44" s="321"/>
      <c r="AJ44" s="8"/>
    </row>
    <row r="45" spans="1:36" ht="15">
      <c r="A45" s="368"/>
      <c r="B45" s="314" t="s">
        <v>229</v>
      </c>
      <c r="C45" s="315">
        <v>34840</v>
      </c>
      <c r="D45" s="315">
        <v>1583.6363636363637</v>
      </c>
      <c r="E45" s="316">
        <v>1760</v>
      </c>
      <c r="F45" s="317">
        <v>1760</v>
      </c>
      <c r="G45" s="317">
        <v>1760</v>
      </c>
      <c r="H45" s="317">
        <v>1760</v>
      </c>
      <c r="I45" s="318"/>
      <c r="J45" s="317">
        <v>1760</v>
      </c>
      <c r="K45" s="317">
        <v>1760</v>
      </c>
      <c r="L45" s="316">
        <v>1760</v>
      </c>
      <c r="M45" s="317">
        <v>1760</v>
      </c>
      <c r="N45" s="317">
        <v>1760</v>
      </c>
      <c r="O45" s="317">
        <v>1760</v>
      </c>
      <c r="P45" s="318"/>
      <c r="Q45" s="317">
        <v>1760</v>
      </c>
      <c r="R45" s="317">
        <v>1760</v>
      </c>
      <c r="S45" s="316">
        <v>1760</v>
      </c>
      <c r="T45" s="317">
        <v>1760</v>
      </c>
      <c r="U45" s="317">
        <v>1020</v>
      </c>
      <c r="V45" s="317">
        <v>1020</v>
      </c>
      <c r="W45" s="318"/>
      <c r="X45" s="317">
        <v>1360</v>
      </c>
      <c r="Y45" s="317">
        <v>1360</v>
      </c>
      <c r="Z45" s="316">
        <v>1360</v>
      </c>
      <c r="AA45" s="317">
        <v>1360</v>
      </c>
      <c r="AB45" s="317">
        <v>1360</v>
      </c>
      <c r="AC45" s="317">
        <v>1360</v>
      </c>
      <c r="AD45" s="318"/>
      <c r="AE45" s="317">
        <v>1360</v>
      </c>
      <c r="AF45" s="317">
        <v>1360</v>
      </c>
      <c r="AG45" s="322">
        <v>1360</v>
      </c>
      <c r="AH45" s="323">
        <v>1360</v>
      </c>
      <c r="AI45" s="323">
        <v>1360</v>
      </c>
      <c r="AJ45" s="8"/>
    </row>
    <row r="46" spans="1:36" ht="15">
      <c r="A46" s="368"/>
      <c r="B46" s="324" t="s">
        <v>230</v>
      </c>
      <c r="C46" s="325">
        <v>35065</v>
      </c>
      <c r="D46" s="325">
        <v>1593.8636363636363</v>
      </c>
      <c r="E46" s="326">
        <v>1770</v>
      </c>
      <c r="F46" s="327">
        <v>1760</v>
      </c>
      <c r="G46" s="327">
        <v>1760</v>
      </c>
      <c r="H46" s="327">
        <v>1760</v>
      </c>
      <c r="I46" s="328"/>
      <c r="J46" s="327">
        <v>1760</v>
      </c>
      <c r="K46" s="327">
        <v>1760</v>
      </c>
      <c r="L46" s="326">
        <v>1760</v>
      </c>
      <c r="M46" s="327">
        <v>1760</v>
      </c>
      <c r="N46" s="327">
        <v>1760</v>
      </c>
      <c r="O46" s="327">
        <v>1760</v>
      </c>
      <c r="P46" s="328"/>
      <c r="Q46" s="327">
        <v>1760</v>
      </c>
      <c r="R46" s="327">
        <v>1760</v>
      </c>
      <c r="S46" s="326">
        <v>1760</v>
      </c>
      <c r="T46" s="327">
        <v>1760</v>
      </c>
      <c r="U46" s="327">
        <v>1020</v>
      </c>
      <c r="V46" s="327">
        <v>1020</v>
      </c>
      <c r="W46" s="328"/>
      <c r="X46" s="327">
        <v>1370</v>
      </c>
      <c r="Y46" s="327">
        <v>1362</v>
      </c>
      <c r="Z46" s="326">
        <v>1363</v>
      </c>
      <c r="AA46" s="327">
        <v>1560</v>
      </c>
      <c r="AB46" s="327">
        <v>1360</v>
      </c>
      <c r="AC46" s="327">
        <v>1360</v>
      </c>
      <c r="AD46" s="328"/>
      <c r="AE46" s="329"/>
      <c r="AF46" s="329"/>
      <c r="AG46" s="330"/>
      <c r="AH46" s="331"/>
      <c r="AI46" s="331"/>
      <c r="AJ46" s="8"/>
    </row>
    <row r="47" spans="1:36" ht="15">
      <c r="A47" s="368"/>
      <c r="B47" s="324" t="s">
        <v>231</v>
      </c>
      <c r="C47" s="325">
        <v>225</v>
      </c>
      <c r="D47" s="325">
        <v>10.227272727272727</v>
      </c>
      <c r="E47" s="326">
        <v>10</v>
      </c>
      <c r="F47" s="327">
        <v>0</v>
      </c>
      <c r="G47" s="327">
        <v>0</v>
      </c>
      <c r="H47" s="327">
        <v>0</v>
      </c>
      <c r="I47" s="328"/>
      <c r="J47" s="327">
        <v>0</v>
      </c>
      <c r="K47" s="327">
        <v>0</v>
      </c>
      <c r="L47" s="326">
        <v>0</v>
      </c>
      <c r="M47" s="327">
        <v>0</v>
      </c>
      <c r="N47" s="327">
        <v>0</v>
      </c>
      <c r="O47" s="327">
        <v>0</v>
      </c>
      <c r="P47" s="328"/>
      <c r="Q47" s="327">
        <v>0</v>
      </c>
      <c r="R47" s="327">
        <v>0</v>
      </c>
      <c r="S47" s="326">
        <v>0</v>
      </c>
      <c r="T47" s="327">
        <v>0</v>
      </c>
      <c r="U47" s="327">
        <v>0</v>
      </c>
      <c r="V47" s="327">
        <v>0</v>
      </c>
      <c r="W47" s="328"/>
      <c r="X47" s="327">
        <v>10</v>
      </c>
      <c r="Y47" s="327">
        <v>2</v>
      </c>
      <c r="Z47" s="326">
        <v>3</v>
      </c>
      <c r="AA47" s="327">
        <v>200</v>
      </c>
      <c r="AB47" s="327">
        <v>0</v>
      </c>
      <c r="AC47" s="327">
        <v>0</v>
      </c>
      <c r="AD47" s="328"/>
      <c r="AE47" s="329"/>
      <c r="AF47" s="329"/>
      <c r="AG47" s="330"/>
      <c r="AH47" s="331"/>
      <c r="AI47" s="331"/>
      <c r="AJ47" s="8"/>
    </row>
    <row r="48" spans="1:36" ht="15">
      <c r="A48" s="368"/>
      <c r="B48" s="324" t="s">
        <v>232</v>
      </c>
      <c r="C48" s="325">
        <v>176</v>
      </c>
      <c r="D48" s="325">
        <v>8</v>
      </c>
      <c r="E48" s="326">
        <v>8</v>
      </c>
      <c r="F48" s="327">
        <v>8</v>
      </c>
      <c r="G48" s="327">
        <v>8</v>
      </c>
      <c r="H48" s="327">
        <v>8</v>
      </c>
      <c r="I48" s="328"/>
      <c r="J48" s="327">
        <v>8</v>
      </c>
      <c r="K48" s="327">
        <v>8</v>
      </c>
      <c r="L48" s="326">
        <v>8</v>
      </c>
      <c r="M48" s="327">
        <v>8</v>
      </c>
      <c r="N48" s="327">
        <v>8</v>
      </c>
      <c r="O48" s="327">
        <v>8</v>
      </c>
      <c r="P48" s="328"/>
      <c r="Q48" s="327">
        <v>8</v>
      </c>
      <c r="R48" s="327">
        <v>8</v>
      </c>
      <c r="S48" s="326">
        <v>8</v>
      </c>
      <c r="T48" s="327">
        <v>8</v>
      </c>
      <c r="U48" s="327">
        <v>8</v>
      </c>
      <c r="V48" s="327">
        <v>8</v>
      </c>
      <c r="W48" s="328"/>
      <c r="X48" s="327">
        <v>8</v>
      </c>
      <c r="Y48" s="327">
        <v>8</v>
      </c>
      <c r="Z48" s="326">
        <v>8</v>
      </c>
      <c r="AA48" s="327">
        <v>8</v>
      </c>
      <c r="AB48" s="327">
        <v>8</v>
      </c>
      <c r="AC48" s="327">
        <v>8</v>
      </c>
      <c r="AD48" s="328"/>
      <c r="AE48" s="329"/>
      <c r="AF48" s="329"/>
      <c r="AG48" s="330"/>
      <c r="AH48" s="331"/>
      <c r="AI48" s="331"/>
      <c r="AJ48" s="8"/>
    </row>
    <row r="49" spans="1:36" ht="15">
      <c r="A49" s="368"/>
      <c r="B49" s="324" t="s">
        <v>233</v>
      </c>
      <c r="C49" s="325">
        <v>72</v>
      </c>
      <c r="D49" s="325">
        <v>72</v>
      </c>
      <c r="E49" s="326">
        <v>75</v>
      </c>
      <c r="F49" s="327">
        <v>74</v>
      </c>
      <c r="G49" s="327">
        <v>73</v>
      </c>
      <c r="H49" s="327">
        <v>75</v>
      </c>
      <c r="I49" s="328"/>
      <c r="J49" s="327">
        <v>72</v>
      </c>
      <c r="K49" s="327">
        <v>71</v>
      </c>
      <c r="L49" s="326">
        <v>71</v>
      </c>
      <c r="M49" s="327">
        <v>70</v>
      </c>
      <c r="N49" s="327">
        <v>75</v>
      </c>
      <c r="O49" s="327">
        <v>74</v>
      </c>
      <c r="P49" s="328"/>
      <c r="Q49" s="327">
        <v>71</v>
      </c>
      <c r="R49" s="327">
        <v>74</v>
      </c>
      <c r="S49" s="326">
        <v>74</v>
      </c>
      <c r="T49" s="327">
        <v>74</v>
      </c>
      <c r="U49" s="327">
        <v>72</v>
      </c>
      <c r="V49" s="327">
        <v>69</v>
      </c>
      <c r="W49" s="328"/>
      <c r="X49" s="327">
        <v>69</v>
      </c>
      <c r="Y49" s="327">
        <v>72</v>
      </c>
      <c r="Z49" s="326">
        <v>71</v>
      </c>
      <c r="AA49" s="327">
        <v>72</v>
      </c>
      <c r="AB49" s="327">
        <v>72</v>
      </c>
      <c r="AC49" s="327">
        <v>71</v>
      </c>
      <c r="AD49" s="328"/>
      <c r="AE49" s="329"/>
      <c r="AF49" s="329"/>
      <c r="AG49" s="330"/>
      <c r="AH49" s="331"/>
      <c r="AI49" s="331"/>
      <c r="AJ49" s="8"/>
    </row>
    <row r="50" spans="1:36" ht="15">
      <c r="A50" s="368"/>
      <c r="B50" s="324" t="s">
        <v>234</v>
      </c>
      <c r="C50" s="325">
        <v>199.23295454545453</v>
      </c>
      <c r="D50" s="325">
        <v>199.23295454545453</v>
      </c>
      <c r="E50" s="326">
        <v>221.25</v>
      </c>
      <c r="F50" s="327">
        <v>220</v>
      </c>
      <c r="G50" s="327">
        <v>220</v>
      </c>
      <c r="H50" s="327">
        <v>220</v>
      </c>
      <c r="I50" s="328"/>
      <c r="J50" s="327">
        <v>220</v>
      </c>
      <c r="K50" s="327">
        <v>220</v>
      </c>
      <c r="L50" s="326">
        <v>220</v>
      </c>
      <c r="M50" s="327">
        <v>220</v>
      </c>
      <c r="N50" s="327">
        <v>220</v>
      </c>
      <c r="O50" s="327">
        <v>220</v>
      </c>
      <c r="P50" s="328"/>
      <c r="Q50" s="327">
        <v>220</v>
      </c>
      <c r="R50" s="327">
        <v>220</v>
      </c>
      <c r="S50" s="326">
        <v>220</v>
      </c>
      <c r="T50" s="327">
        <v>220</v>
      </c>
      <c r="U50" s="327">
        <v>127.5</v>
      </c>
      <c r="V50" s="327">
        <v>127.5</v>
      </c>
      <c r="W50" s="328"/>
      <c r="X50" s="327">
        <v>171.25</v>
      </c>
      <c r="Y50" s="327">
        <v>170.25</v>
      </c>
      <c r="Z50" s="326">
        <v>170.375</v>
      </c>
      <c r="AA50" s="327">
        <v>195</v>
      </c>
      <c r="AB50" s="327">
        <v>170</v>
      </c>
      <c r="AC50" s="327">
        <v>170</v>
      </c>
      <c r="AD50" s="328"/>
      <c r="AE50" s="329"/>
      <c r="AF50" s="329"/>
      <c r="AG50" s="330"/>
      <c r="AH50" s="331"/>
      <c r="AI50" s="331"/>
      <c r="AJ50" s="8"/>
    </row>
    <row r="51" spans="1:36" ht="15">
      <c r="A51" s="369"/>
      <c r="B51" s="333" t="s">
        <v>235</v>
      </c>
      <c r="C51" s="334">
        <v>2.7671000000000001</v>
      </c>
      <c r="D51" s="334">
        <v>2.7671000000000001</v>
      </c>
      <c r="E51" s="335">
        <v>2.95</v>
      </c>
      <c r="F51" s="334">
        <v>2.9729999999999999</v>
      </c>
      <c r="G51" s="334">
        <v>3.0137</v>
      </c>
      <c r="H51" s="334">
        <v>2.9333</v>
      </c>
      <c r="I51" s="336"/>
      <c r="J51" s="334">
        <v>3.0556000000000001</v>
      </c>
      <c r="K51" s="334">
        <v>3.0985999999999998</v>
      </c>
      <c r="L51" s="335">
        <v>3.0985999999999998</v>
      </c>
      <c r="M51" s="334">
        <v>3.1429</v>
      </c>
      <c r="N51" s="334">
        <v>2.9333</v>
      </c>
      <c r="O51" s="334">
        <v>2.9729999999999999</v>
      </c>
      <c r="P51" s="336"/>
      <c r="Q51" s="334">
        <v>3.0985999999999998</v>
      </c>
      <c r="R51" s="334">
        <v>2.9729999999999999</v>
      </c>
      <c r="S51" s="335">
        <v>2.9729999999999999</v>
      </c>
      <c r="T51" s="334">
        <v>2.9729999999999999</v>
      </c>
      <c r="U51" s="334">
        <v>1.7707999999999999</v>
      </c>
      <c r="V51" s="334">
        <v>1.8477999999999999</v>
      </c>
      <c r="W51" s="336"/>
      <c r="X51" s="334">
        <v>2.4819</v>
      </c>
      <c r="Y51" s="334">
        <v>2.3645999999999998</v>
      </c>
      <c r="Z51" s="335">
        <v>2.3996</v>
      </c>
      <c r="AA51" s="334">
        <v>2.7082999999999999</v>
      </c>
      <c r="AB51" s="334">
        <v>2.3611</v>
      </c>
      <c r="AC51" s="334">
        <v>2.3944000000000001</v>
      </c>
      <c r="AD51" s="336"/>
      <c r="AE51" s="337"/>
      <c r="AF51" s="337"/>
      <c r="AG51" s="338"/>
      <c r="AH51" s="339"/>
      <c r="AI51" s="339"/>
      <c r="AJ51" s="8"/>
    </row>
    <row r="52" spans="1:36" ht="15">
      <c r="A52" s="367" t="s">
        <v>241</v>
      </c>
      <c r="B52" s="314" t="s">
        <v>228</v>
      </c>
      <c r="C52" s="315">
        <v>31584</v>
      </c>
      <c r="D52" s="315">
        <v>1435.6363636363637</v>
      </c>
      <c r="E52" s="316">
        <v>1696</v>
      </c>
      <c r="F52" s="317">
        <v>1648</v>
      </c>
      <c r="G52" s="317">
        <v>1760</v>
      </c>
      <c r="H52" s="317">
        <v>1760</v>
      </c>
      <c r="I52" s="318"/>
      <c r="J52" s="317">
        <v>1640</v>
      </c>
      <c r="K52" s="317">
        <v>1408</v>
      </c>
      <c r="L52" s="316">
        <v>1456</v>
      </c>
      <c r="M52" s="317">
        <v>1400</v>
      </c>
      <c r="N52" s="317">
        <v>1488</v>
      </c>
      <c r="O52" s="317">
        <v>1440</v>
      </c>
      <c r="P52" s="318"/>
      <c r="Q52" s="317">
        <v>1440</v>
      </c>
      <c r="R52" s="317">
        <v>1440</v>
      </c>
      <c r="S52" s="316">
        <v>1440</v>
      </c>
      <c r="T52" s="317">
        <v>1440</v>
      </c>
      <c r="U52" s="317">
        <v>1440</v>
      </c>
      <c r="V52" s="317">
        <v>1320</v>
      </c>
      <c r="W52" s="318"/>
      <c r="X52" s="317">
        <v>1200</v>
      </c>
      <c r="Y52" s="317">
        <v>1256</v>
      </c>
      <c r="Z52" s="316">
        <v>1200</v>
      </c>
      <c r="AA52" s="317">
        <v>1248</v>
      </c>
      <c r="AB52" s="317">
        <v>1264</v>
      </c>
      <c r="AC52" s="317">
        <v>1200</v>
      </c>
      <c r="AD52" s="318"/>
      <c r="AE52" s="319"/>
      <c r="AF52" s="319"/>
      <c r="AG52" s="320"/>
      <c r="AH52" s="321"/>
      <c r="AI52" s="321"/>
      <c r="AJ52" s="8"/>
    </row>
    <row r="53" spans="1:36" ht="15">
      <c r="A53" s="368"/>
      <c r="B53" s="314" t="s">
        <v>229</v>
      </c>
      <c r="C53" s="315">
        <v>27160</v>
      </c>
      <c r="D53" s="315">
        <v>1234.5454545454545</v>
      </c>
      <c r="E53" s="316">
        <v>1260</v>
      </c>
      <c r="F53" s="317">
        <v>1680</v>
      </c>
      <c r="G53" s="317">
        <v>1680</v>
      </c>
      <c r="H53" s="317">
        <v>1680</v>
      </c>
      <c r="I53" s="318"/>
      <c r="J53" s="317">
        <v>900</v>
      </c>
      <c r="K53" s="317">
        <v>900</v>
      </c>
      <c r="L53" s="316">
        <v>1200</v>
      </c>
      <c r="M53" s="317">
        <v>1020</v>
      </c>
      <c r="N53" s="317">
        <v>1020</v>
      </c>
      <c r="O53" s="317">
        <v>1360</v>
      </c>
      <c r="P53" s="318"/>
      <c r="Q53" s="317">
        <v>1360</v>
      </c>
      <c r="R53" s="317">
        <v>1360</v>
      </c>
      <c r="S53" s="316">
        <v>1360</v>
      </c>
      <c r="T53" s="317">
        <v>1360</v>
      </c>
      <c r="U53" s="317">
        <v>1360</v>
      </c>
      <c r="V53" s="317">
        <v>1360</v>
      </c>
      <c r="W53" s="318"/>
      <c r="X53" s="317">
        <v>900</v>
      </c>
      <c r="Y53" s="317">
        <v>900</v>
      </c>
      <c r="Z53" s="316">
        <v>900</v>
      </c>
      <c r="AA53" s="317">
        <v>1200</v>
      </c>
      <c r="AB53" s="317">
        <v>1200</v>
      </c>
      <c r="AC53" s="317">
        <v>1200</v>
      </c>
      <c r="AD53" s="318"/>
      <c r="AE53" s="317">
        <v>1200</v>
      </c>
      <c r="AF53" s="317">
        <v>1200</v>
      </c>
      <c r="AG53" s="322">
        <v>1200</v>
      </c>
      <c r="AH53" s="323">
        <v>1200</v>
      </c>
      <c r="AI53" s="323">
        <v>1200</v>
      </c>
      <c r="AJ53" s="8"/>
    </row>
    <row r="54" spans="1:36" ht="15">
      <c r="A54" s="368"/>
      <c r="B54" s="324" t="s">
        <v>230</v>
      </c>
      <c r="C54" s="325">
        <v>27931</v>
      </c>
      <c r="D54" s="325">
        <v>1269.590909090909</v>
      </c>
      <c r="E54" s="326">
        <v>1260</v>
      </c>
      <c r="F54" s="327">
        <v>1820</v>
      </c>
      <c r="G54" s="327">
        <v>1680</v>
      </c>
      <c r="H54" s="327">
        <v>1692</v>
      </c>
      <c r="I54" s="328"/>
      <c r="J54" s="327">
        <v>1026</v>
      </c>
      <c r="K54" s="327">
        <v>900</v>
      </c>
      <c r="L54" s="326">
        <v>1442</v>
      </c>
      <c r="M54" s="327">
        <v>1090</v>
      </c>
      <c r="N54" s="327">
        <v>1100</v>
      </c>
      <c r="O54" s="327">
        <v>1400</v>
      </c>
      <c r="P54" s="328"/>
      <c r="Q54" s="327">
        <v>1360</v>
      </c>
      <c r="R54" s="327">
        <v>1361</v>
      </c>
      <c r="S54" s="326">
        <v>1360</v>
      </c>
      <c r="T54" s="327">
        <v>1360</v>
      </c>
      <c r="U54" s="327">
        <v>1360</v>
      </c>
      <c r="V54" s="327">
        <v>1360</v>
      </c>
      <c r="W54" s="328"/>
      <c r="X54" s="327">
        <v>960</v>
      </c>
      <c r="Y54" s="327">
        <v>900</v>
      </c>
      <c r="Z54" s="326">
        <v>900</v>
      </c>
      <c r="AA54" s="327">
        <v>1200</v>
      </c>
      <c r="AB54" s="327">
        <v>1200</v>
      </c>
      <c r="AC54" s="327">
        <v>1200</v>
      </c>
      <c r="AD54" s="328"/>
      <c r="AE54" s="329"/>
      <c r="AF54" s="329"/>
      <c r="AG54" s="330"/>
      <c r="AH54" s="331"/>
      <c r="AI54" s="331"/>
      <c r="AJ54" s="8"/>
    </row>
    <row r="55" spans="1:36" ht="15">
      <c r="A55" s="368"/>
      <c r="B55" s="324" t="s">
        <v>231</v>
      </c>
      <c r="C55" s="325">
        <v>771</v>
      </c>
      <c r="D55" s="325">
        <v>35.045454545454547</v>
      </c>
      <c r="E55" s="326">
        <v>0</v>
      </c>
      <c r="F55" s="327">
        <v>140</v>
      </c>
      <c r="G55" s="327">
        <v>0</v>
      </c>
      <c r="H55" s="327">
        <v>12</v>
      </c>
      <c r="I55" s="328"/>
      <c r="J55" s="327">
        <v>126</v>
      </c>
      <c r="K55" s="327">
        <v>0</v>
      </c>
      <c r="L55" s="326">
        <v>242</v>
      </c>
      <c r="M55" s="327">
        <v>70</v>
      </c>
      <c r="N55" s="327">
        <v>80</v>
      </c>
      <c r="O55" s="327">
        <v>40</v>
      </c>
      <c r="P55" s="328"/>
      <c r="Q55" s="327">
        <v>0</v>
      </c>
      <c r="R55" s="327">
        <v>1</v>
      </c>
      <c r="S55" s="326">
        <v>0</v>
      </c>
      <c r="T55" s="327">
        <v>0</v>
      </c>
      <c r="U55" s="327">
        <v>0</v>
      </c>
      <c r="V55" s="327">
        <v>0</v>
      </c>
      <c r="W55" s="328"/>
      <c r="X55" s="327">
        <v>60</v>
      </c>
      <c r="Y55" s="327">
        <v>0</v>
      </c>
      <c r="Z55" s="326">
        <v>0</v>
      </c>
      <c r="AA55" s="327">
        <v>0</v>
      </c>
      <c r="AB55" s="327">
        <v>0</v>
      </c>
      <c r="AC55" s="327">
        <v>0</v>
      </c>
      <c r="AD55" s="328"/>
      <c r="AE55" s="329"/>
      <c r="AF55" s="329"/>
      <c r="AG55" s="330"/>
      <c r="AH55" s="331"/>
      <c r="AI55" s="331"/>
      <c r="AJ55" s="8"/>
    </row>
    <row r="56" spans="1:36" ht="15">
      <c r="A56" s="368"/>
      <c r="B56" s="324" t="s">
        <v>232</v>
      </c>
      <c r="C56" s="325">
        <v>176</v>
      </c>
      <c r="D56" s="325">
        <v>8</v>
      </c>
      <c r="E56" s="326">
        <v>8</v>
      </c>
      <c r="F56" s="327">
        <v>8</v>
      </c>
      <c r="G56" s="327">
        <v>8</v>
      </c>
      <c r="H56" s="327">
        <v>8</v>
      </c>
      <c r="I56" s="328"/>
      <c r="J56" s="327">
        <v>8</v>
      </c>
      <c r="K56" s="327">
        <v>8</v>
      </c>
      <c r="L56" s="326">
        <v>8</v>
      </c>
      <c r="M56" s="327">
        <v>8</v>
      </c>
      <c r="N56" s="327">
        <v>8</v>
      </c>
      <c r="O56" s="327">
        <v>8</v>
      </c>
      <c r="P56" s="328"/>
      <c r="Q56" s="327">
        <v>8</v>
      </c>
      <c r="R56" s="327">
        <v>8</v>
      </c>
      <c r="S56" s="326">
        <v>8</v>
      </c>
      <c r="T56" s="327">
        <v>8</v>
      </c>
      <c r="U56" s="327">
        <v>8</v>
      </c>
      <c r="V56" s="327">
        <v>8</v>
      </c>
      <c r="W56" s="328"/>
      <c r="X56" s="327">
        <v>8</v>
      </c>
      <c r="Y56" s="327">
        <v>8</v>
      </c>
      <c r="Z56" s="326">
        <v>8</v>
      </c>
      <c r="AA56" s="327">
        <v>8</v>
      </c>
      <c r="AB56" s="327">
        <v>8</v>
      </c>
      <c r="AC56" s="327">
        <v>8</v>
      </c>
      <c r="AD56" s="328"/>
      <c r="AE56" s="329"/>
      <c r="AF56" s="329"/>
      <c r="AG56" s="330"/>
      <c r="AH56" s="331"/>
      <c r="AI56" s="331"/>
      <c r="AJ56" s="8"/>
    </row>
    <row r="57" spans="1:36" ht="15">
      <c r="A57" s="368"/>
      <c r="B57" s="324" t="s">
        <v>233</v>
      </c>
      <c r="C57" s="325">
        <v>73</v>
      </c>
      <c r="D57" s="325">
        <v>73</v>
      </c>
      <c r="E57" s="326">
        <v>76</v>
      </c>
      <c r="F57" s="327">
        <v>76</v>
      </c>
      <c r="G57" s="327">
        <v>75</v>
      </c>
      <c r="H57" s="327">
        <v>73</v>
      </c>
      <c r="I57" s="328"/>
      <c r="J57" s="327">
        <v>71</v>
      </c>
      <c r="K57" s="327">
        <v>73</v>
      </c>
      <c r="L57" s="326">
        <v>73</v>
      </c>
      <c r="M57" s="327">
        <v>72</v>
      </c>
      <c r="N57" s="327">
        <v>75</v>
      </c>
      <c r="O57" s="327">
        <v>73</v>
      </c>
      <c r="P57" s="328"/>
      <c r="Q57" s="327">
        <v>72</v>
      </c>
      <c r="R57" s="327">
        <v>74</v>
      </c>
      <c r="S57" s="326">
        <v>72</v>
      </c>
      <c r="T57" s="327">
        <v>70</v>
      </c>
      <c r="U57" s="327">
        <v>73</v>
      </c>
      <c r="V57" s="327">
        <v>73</v>
      </c>
      <c r="W57" s="328"/>
      <c r="X57" s="327">
        <v>72</v>
      </c>
      <c r="Y57" s="327">
        <v>72</v>
      </c>
      <c r="Z57" s="326">
        <v>75</v>
      </c>
      <c r="AA57" s="327">
        <v>75</v>
      </c>
      <c r="AB57" s="327">
        <v>73</v>
      </c>
      <c r="AC57" s="327">
        <v>71</v>
      </c>
      <c r="AD57" s="328"/>
      <c r="AE57" s="329"/>
      <c r="AF57" s="329"/>
      <c r="AG57" s="330"/>
      <c r="AH57" s="331"/>
      <c r="AI57" s="331"/>
      <c r="AJ57" s="8"/>
    </row>
    <row r="58" spans="1:36" ht="15">
      <c r="A58" s="368"/>
      <c r="B58" s="324" t="s">
        <v>234</v>
      </c>
      <c r="C58" s="325">
        <v>158.69886363636363</v>
      </c>
      <c r="D58" s="325">
        <v>158.69886363636363</v>
      </c>
      <c r="E58" s="326">
        <v>157.5</v>
      </c>
      <c r="F58" s="327">
        <v>227.5</v>
      </c>
      <c r="G58" s="327">
        <v>210</v>
      </c>
      <c r="H58" s="327">
        <v>211.5</v>
      </c>
      <c r="I58" s="328"/>
      <c r="J58" s="327">
        <v>128.25</v>
      </c>
      <c r="K58" s="327">
        <v>112.5</v>
      </c>
      <c r="L58" s="326">
        <v>180.25</v>
      </c>
      <c r="M58" s="327">
        <v>136.25</v>
      </c>
      <c r="N58" s="327">
        <v>137.5</v>
      </c>
      <c r="O58" s="327">
        <v>175</v>
      </c>
      <c r="P58" s="328"/>
      <c r="Q58" s="327">
        <v>170</v>
      </c>
      <c r="R58" s="327">
        <v>170.125</v>
      </c>
      <c r="S58" s="326">
        <v>170</v>
      </c>
      <c r="T58" s="327">
        <v>170</v>
      </c>
      <c r="U58" s="327">
        <v>170</v>
      </c>
      <c r="V58" s="327">
        <v>170</v>
      </c>
      <c r="W58" s="328"/>
      <c r="X58" s="327">
        <v>120</v>
      </c>
      <c r="Y58" s="327">
        <v>112.5</v>
      </c>
      <c r="Z58" s="326">
        <v>112.5</v>
      </c>
      <c r="AA58" s="327">
        <v>150</v>
      </c>
      <c r="AB58" s="327">
        <v>150</v>
      </c>
      <c r="AC58" s="327">
        <v>150</v>
      </c>
      <c r="AD58" s="328"/>
      <c r="AE58" s="329"/>
      <c r="AF58" s="329"/>
      <c r="AG58" s="330"/>
      <c r="AH58" s="331"/>
      <c r="AI58" s="331"/>
      <c r="AJ58" s="8"/>
    </row>
    <row r="59" spans="1:36" ht="15">
      <c r="A59" s="369"/>
      <c r="B59" s="333" t="s">
        <v>235</v>
      </c>
      <c r="C59" s="334">
        <v>2.1739999999999999</v>
      </c>
      <c r="D59" s="334">
        <v>2.1739999999999999</v>
      </c>
      <c r="E59" s="335">
        <v>2.0724</v>
      </c>
      <c r="F59" s="334">
        <v>2.9933999999999998</v>
      </c>
      <c r="G59" s="334">
        <v>2.8</v>
      </c>
      <c r="H59" s="334">
        <v>2.8973</v>
      </c>
      <c r="I59" s="336"/>
      <c r="J59" s="334">
        <v>1.8063</v>
      </c>
      <c r="K59" s="334">
        <v>1.5411000000000001</v>
      </c>
      <c r="L59" s="335">
        <v>2.4691999999999998</v>
      </c>
      <c r="M59" s="334">
        <v>1.8923999999999999</v>
      </c>
      <c r="N59" s="334">
        <v>1.8332999999999999</v>
      </c>
      <c r="O59" s="334">
        <v>2.3973</v>
      </c>
      <c r="P59" s="336"/>
      <c r="Q59" s="334">
        <v>2.3611</v>
      </c>
      <c r="R59" s="334">
        <v>2.2989999999999999</v>
      </c>
      <c r="S59" s="335">
        <v>2.3611</v>
      </c>
      <c r="T59" s="334">
        <v>2.4285999999999999</v>
      </c>
      <c r="U59" s="334">
        <v>2.3288000000000002</v>
      </c>
      <c r="V59" s="334">
        <v>2.3288000000000002</v>
      </c>
      <c r="W59" s="336"/>
      <c r="X59" s="334">
        <v>1.6667000000000001</v>
      </c>
      <c r="Y59" s="334">
        <v>1.5625</v>
      </c>
      <c r="Z59" s="335">
        <v>1.5</v>
      </c>
      <c r="AA59" s="334">
        <v>2</v>
      </c>
      <c r="AB59" s="334">
        <v>2.0548000000000002</v>
      </c>
      <c r="AC59" s="334">
        <v>2.1126999999999998</v>
      </c>
      <c r="AD59" s="336"/>
      <c r="AE59" s="337"/>
      <c r="AF59" s="337"/>
      <c r="AG59" s="338"/>
      <c r="AH59" s="339"/>
      <c r="AI59" s="339"/>
      <c r="AJ59" s="8"/>
    </row>
    <row r="60" spans="1:36" ht="15">
      <c r="A60" s="367" t="s">
        <v>242</v>
      </c>
      <c r="B60" s="314" t="s">
        <v>228</v>
      </c>
      <c r="C60" s="315">
        <v>38712</v>
      </c>
      <c r="D60" s="315">
        <v>1759.6363636363637</v>
      </c>
      <c r="E60" s="316">
        <v>1720</v>
      </c>
      <c r="F60" s="317">
        <v>1720</v>
      </c>
      <c r="G60" s="317">
        <v>1840</v>
      </c>
      <c r="H60" s="317">
        <v>1840</v>
      </c>
      <c r="I60" s="318"/>
      <c r="J60" s="317">
        <v>1840</v>
      </c>
      <c r="K60" s="317">
        <v>1840</v>
      </c>
      <c r="L60" s="316">
        <v>1840</v>
      </c>
      <c r="M60" s="317">
        <v>1800</v>
      </c>
      <c r="N60" s="317">
        <v>1776</v>
      </c>
      <c r="O60" s="317">
        <v>1760</v>
      </c>
      <c r="P60" s="318"/>
      <c r="Q60" s="317">
        <v>1776</v>
      </c>
      <c r="R60" s="317">
        <v>1808</v>
      </c>
      <c r="S60" s="316">
        <v>1808</v>
      </c>
      <c r="T60" s="317">
        <v>1760</v>
      </c>
      <c r="U60" s="317">
        <v>1760</v>
      </c>
      <c r="V60" s="317">
        <v>1640</v>
      </c>
      <c r="W60" s="318"/>
      <c r="X60" s="317">
        <v>1696</v>
      </c>
      <c r="Y60" s="317">
        <v>1760</v>
      </c>
      <c r="Z60" s="316">
        <v>1744</v>
      </c>
      <c r="AA60" s="317">
        <v>1704</v>
      </c>
      <c r="AB60" s="317">
        <v>1672</v>
      </c>
      <c r="AC60" s="317">
        <v>1608</v>
      </c>
      <c r="AD60" s="318"/>
      <c r="AE60" s="319"/>
      <c r="AF60" s="319"/>
      <c r="AG60" s="320"/>
      <c r="AH60" s="321"/>
      <c r="AI60" s="321"/>
      <c r="AJ60" s="8"/>
    </row>
    <row r="61" spans="1:36" ht="15">
      <c r="A61" s="368"/>
      <c r="B61" s="314" t="s">
        <v>229</v>
      </c>
      <c r="C61" s="315">
        <v>34000</v>
      </c>
      <c r="D61" s="315">
        <v>1545.4545454545455</v>
      </c>
      <c r="E61" s="316">
        <v>1080</v>
      </c>
      <c r="F61" s="317">
        <v>1760</v>
      </c>
      <c r="G61" s="317">
        <v>1760</v>
      </c>
      <c r="H61" s="317">
        <v>1760</v>
      </c>
      <c r="I61" s="318"/>
      <c r="J61" s="317">
        <v>1760</v>
      </c>
      <c r="K61" s="317">
        <v>1760</v>
      </c>
      <c r="L61" s="316">
        <v>1760</v>
      </c>
      <c r="M61" s="317">
        <v>1760</v>
      </c>
      <c r="N61" s="317">
        <v>1760</v>
      </c>
      <c r="O61" s="317">
        <v>1760</v>
      </c>
      <c r="P61" s="318"/>
      <c r="Q61" s="317">
        <v>1760</v>
      </c>
      <c r="R61" s="317">
        <v>1760</v>
      </c>
      <c r="S61" s="316">
        <v>1760</v>
      </c>
      <c r="T61" s="317">
        <v>1760</v>
      </c>
      <c r="U61" s="317">
        <v>1760</v>
      </c>
      <c r="V61" s="317">
        <v>1080</v>
      </c>
      <c r="W61" s="318"/>
      <c r="X61" s="317">
        <v>1080</v>
      </c>
      <c r="Y61" s="317">
        <v>1360</v>
      </c>
      <c r="Z61" s="316">
        <v>1020</v>
      </c>
      <c r="AA61" s="317">
        <v>1020</v>
      </c>
      <c r="AB61" s="317">
        <v>1360</v>
      </c>
      <c r="AC61" s="317">
        <v>1360</v>
      </c>
      <c r="AD61" s="318"/>
      <c r="AE61" s="317">
        <v>1360</v>
      </c>
      <c r="AF61" s="317">
        <v>1360</v>
      </c>
      <c r="AG61" s="322">
        <v>1360</v>
      </c>
      <c r="AH61" s="323">
        <v>1360</v>
      </c>
      <c r="AI61" s="323">
        <v>1360</v>
      </c>
      <c r="AJ61" s="8"/>
    </row>
    <row r="62" spans="1:36" ht="15">
      <c r="A62" s="368"/>
      <c r="B62" s="324" t="s">
        <v>230</v>
      </c>
      <c r="C62" s="325">
        <v>34100</v>
      </c>
      <c r="D62" s="325">
        <v>1550</v>
      </c>
      <c r="E62" s="326">
        <v>1080</v>
      </c>
      <c r="F62" s="327">
        <v>1760</v>
      </c>
      <c r="G62" s="327">
        <v>1760</v>
      </c>
      <c r="H62" s="327">
        <v>1760</v>
      </c>
      <c r="I62" s="328"/>
      <c r="J62" s="327">
        <v>1760</v>
      </c>
      <c r="K62" s="327">
        <v>1760</v>
      </c>
      <c r="L62" s="326">
        <v>1760</v>
      </c>
      <c r="M62" s="327">
        <v>1760</v>
      </c>
      <c r="N62" s="327">
        <v>1760</v>
      </c>
      <c r="O62" s="327">
        <v>1760</v>
      </c>
      <c r="P62" s="328"/>
      <c r="Q62" s="327">
        <v>1760</v>
      </c>
      <c r="R62" s="327">
        <v>1400</v>
      </c>
      <c r="S62" s="326">
        <v>1760</v>
      </c>
      <c r="T62" s="327">
        <v>1760</v>
      </c>
      <c r="U62" s="327">
        <v>1760</v>
      </c>
      <c r="V62" s="327">
        <v>1200</v>
      </c>
      <c r="W62" s="328"/>
      <c r="X62" s="327">
        <v>1320</v>
      </c>
      <c r="Y62" s="327">
        <v>1360</v>
      </c>
      <c r="Z62" s="326">
        <v>1020</v>
      </c>
      <c r="AA62" s="327">
        <v>1020</v>
      </c>
      <c r="AB62" s="327">
        <v>1460</v>
      </c>
      <c r="AC62" s="327">
        <v>1360</v>
      </c>
      <c r="AD62" s="328"/>
      <c r="AE62" s="329"/>
      <c r="AF62" s="329"/>
      <c r="AG62" s="330"/>
      <c r="AH62" s="331"/>
      <c r="AI62" s="331"/>
      <c r="AJ62" s="8"/>
    </row>
    <row r="63" spans="1:36" ht="15">
      <c r="A63" s="368"/>
      <c r="B63" s="324" t="s">
        <v>231</v>
      </c>
      <c r="C63" s="325">
        <v>100</v>
      </c>
      <c r="D63" s="325">
        <v>4.5454545454545459</v>
      </c>
      <c r="E63" s="326">
        <v>0</v>
      </c>
      <c r="F63" s="327">
        <v>0</v>
      </c>
      <c r="G63" s="327">
        <v>0</v>
      </c>
      <c r="H63" s="327">
        <v>0</v>
      </c>
      <c r="I63" s="328"/>
      <c r="J63" s="327">
        <v>0</v>
      </c>
      <c r="K63" s="327">
        <v>0</v>
      </c>
      <c r="L63" s="326">
        <v>0</v>
      </c>
      <c r="M63" s="327">
        <v>0</v>
      </c>
      <c r="N63" s="327">
        <v>0</v>
      </c>
      <c r="O63" s="327">
        <v>0</v>
      </c>
      <c r="P63" s="328"/>
      <c r="Q63" s="327">
        <v>0</v>
      </c>
      <c r="R63" s="329">
        <v>-360</v>
      </c>
      <c r="S63" s="326">
        <v>0</v>
      </c>
      <c r="T63" s="327">
        <v>0</v>
      </c>
      <c r="U63" s="327">
        <v>0</v>
      </c>
      <c r="V63" s="327">
        <v>120</v>
      </c>
      <c r="W63" s="328"/>
      <c r="X63" s="327">
        <v>240</v>
      </c>
      <c r="Y63" s="327">
        <v>0</v>
      </c>
      <c r="Z63" s="326">
        <v>0</v>
      </c>
      <c r="AA63" s="327">
        <v>0</v>
      </c>
      <c r="AB63" s="327">
        <v>100</v>
      </c>
      <c r="AC63" s="327">
        <v>0</v>
      </c>
      <c r="AD63" s="328"/>
      <c r="AE63" s="329"/>
      <c r="AF63" s="329"/>
      <c r="AG63" s="330"/>
      <c r="AH63" s="331"/>
      <c r="AI63" s="331"/>
      <c r="AJ63" s="8"/>
    </row>
    <row r="64" spans="1:36" ht="15">
      <c r="A64" s="368"/>
      <c r="B64" s="324" t="s">
        <v>232</v>
      </c>
      <c r="C64" s="325">
        <v>176</v>
      </c>
      <c r="D64" s="325">
        <v>8</v>
      </c>
      <c r="E64" s="326">
        <v>8</v>
      </c>
      <c r="F64" s="327">
        <v>8</v>
      </c>
      <c r="G64" s="327">
        <v>8</v>
      </c>
      <c r="H64" s="327">
        <v>8</v>
      </c>
      <c r="I64" s="328"/>
      <c r="J64" s="327">
        <v>8</v>
      </c>
      <c r="K64" s="327">
        <v>8</v>
      </c>
      <c r="L64" s="326">
        <v>8</v>
      </c>
      <c r="M64" s="327">
        <v>8</v>
      </c>
      <c r="N64" s="327">
        <v>8</v>
      </c>
      <c r="O64" s="327">
        <v>8</v>
      </c>
      <c r="P64" s="328"/>
      <c r="Q64" s="327">
        <v>8</v>
      </c>
      <c r="R64" s="327">
        <v>8</v>
      </c>
      <c r="S64" s="326">
        <v>8</v>
      </c>
      <c r="T64" s="327">
        <v>8</v>
      </c>
      <c r="U64" s="327">
        <v>8</v>
      </c>
      <c r="V64" s="327">
        <v>8</v>
      </c>
      <c r="W64" s="328"/>
      <c r="X64" s="327">
        <v>8</v>
      </c>
      <c r="Y64" s="327">
        <v>8</v>
      </c>
      <c r="Z64" s="326">
        <v>8</v>
      </c>
      <c r="AA64" s="327">
        <v>8</v>
      </c>
      <c r="AB64" s="327">
        <v>8</v>
      </c>
      <c r="AC64" s="327">
        <v>8</v>
      </c>
      <c r="AD64" s="328"/>
      <c r="AE64" s="329"/>
      <c r="AF64" s="329"/>
      <c r="AG64" s="330"/>
      <c r="AH64" s="331"/>
      <c r="AI64" s="331"/>
      <c r="AJ64" s="8"/>
    </row>
    <row r="65" spans="1:36" ht="15">
      <c r="A65" s="368"/>
      <c r="B65" s="324" t="s">
        <v>233</v>
      </c>
      <c r="C65" s="325">
        <v>68</v>
      </c>
      <c r="D65" s="325">
        <v>68</v>
      </c>
      <c r="E65" s="326">
        <v>69</v>
      </c>
      <c r="F65" s="327">
        <v>70</v>
      </c>
      <c r="G65" s="327">
        <v>68</v>
      </c>
      <c r="H65" s="327">
        <v>68</v>
      </c>
      <c r="I65" s="328"/>
      <c r="J65" s="327">
        <v>66</v>
      </c>
      <c r="K65" s="327">
        <v>67</v>
      </c>
      <c r="L65" s="326">
        <v>71</v>
      </c>
      <c r="M65" s="327">
        <v>68</v>
      </c>
      <c r="N65" s="327">
        <v>69</v>
      </c>
      <c r="O65" s="327">
        <v>68</v>
      </c>
      <c r="P65" s="328"/>
      <c r="Q65" s="327">
        <v>70</v>
      </c>
      <c r="R65" s="327">
        <v>70</v>
      </c>
      <c r="S65" s="326">
        <v>70</v>
      </c>
      <c r="T65" s="327">
        <v>71</v>
      </c>
      <c r="U65" s="327">
        <v>70</v>
      </c>
      <c r="V65" s="327">
        <v>67</v>
      </c>
      <c r="W65" s="328"/>
      <c r="X65" s="327">
        <v>70</v>
      </c>
      <c r="Y65" s="327">
        <v>69</v>
      </c>
      <c r="Z65" s="326">
        <v>72</v>
      </c>
      <c r="AA65" s="327">
        <v>68</v>
      </c>
      <c r="AB65" s="327">
        <v>68</v>
      </c>
      <c r="AC65" s="327">
        <v>68</v>
      </c>
      <c r="AD65" s="328"/>
      <c r="AE65" s="329"/>
      <c r="AF65" s="329"/>
      <c r="AG65" s="330"/>
      <c r="AH65" s="331"/>
      <c r="AI65" s="331"/>
      <c r="AJ65" s="8"/>
    </row>
    <row r="66" spans="1:36" ht="15">
      <c r="A66" s="368"/>
      <c r="B66" s="324" t="s">
        <v>234</v>
      </c>
      <c r="C66" s="325">
        <v>193.75</v>
      </c>
      <c r="D66" s="325">
        <v>193.75</v>
      </c>
      <c r="E66" s="326">
        <v>135</v>
      </c>
      <c r="F66" s="327">
        <v>220</v>
      </c>
      <c r="G66" s="327">
        <v>220</v>
      </c>
      <c r="H66" s="327">
        <v>220</v>
      </c>
      <c r="I66" s="328"/>
      <c r="J66" s="327">
        <v>220</v>
      </c>
      <c r="K66" s="327">
        <v>220</v>
      </c>
      <c r="L66" s="326">
        <v>220</v>
      </c>
      <c r="M66" s="327">
        <v>220</v>
      </c>
      <c r="N66" s="327">
        <v>220</v>
      </c>
      <c r="O66" s="327">
        <v>220</v>
      </c>
      <c r="P66" s="328"/>
      <c r="Q66" s="327">
        <v>220</v>
      </c>
      <c r="R66" s="327">
        <v>175</v>
      </c>
      <c r="S66" s="326">
        <v>220</v>
      </c>
      <c r="T66" s="327">
        <v>220</v>
      </c>
      <c r="U66" s="327">
        <v>220</v>
      </c>
      <c r="V66" s="327">
        <v>150</v>
      </c>
      <c r="W66" s="328"/>
      <c r="X66" s="327">
        <v>165</v>
      </c>
      <c r="Y66" s="327">
        <v>170</v>
      </c>
      <c r="Z66" s="326">
        <v>127.5</v>
      </c>
      <c r="AA66" s="327">
        <v>127.5</v>
      </c>
      <c r="AB66" s="327">
        <v>182.5</v>
      </c>
      <c r="AC66" s="327">
        <v>170</v>
      </c>
      <c r="AD66" s="328"/>
      <c r="AE66" s="329"/>
      <c r="AF66" s="329"/>
      <c r="AG66" s="330"/>
      <c r="AH66" s="331"/>
      <c r="AI66" s="331"/>
      <c r="AJ66" s="8"/>
    </row>
    <row r="67" spans="1:36" ht="15">
      <c r="A67" s="369"/>
      <c r="B67" s="333" t="s">
        <v>235</v>
      </c>
      <c r="C67" s="334">
        <v>2.8492999999999999</v>
      </c>
      <c r="D67" s="334">
        <v>2.8492999999999999</v>
      </c>
      <c r="E67" s="335">
        <v>1.9565000000000001</v>
      </c>
      <c r="F67" s="334">
        <v>3.1429</v>
      </c>
      <c r="G67" s="334">
        <v>3.2353000000000001</v>
      </c>
      <c r="H67" s="334">
        <v>3.2353000000000001</v>
      </c>
      <c r="I67" s="336"/>
      <c r="J67" s="334">
        <v>3.3332999999999999</v>
      </c>
      <c r="K67" s="334">
        <v>3.2835999999999999</v>
      </c>
      <c r="L67" s="335">
        <v>3.0985999999999998</v>
      </c>
      <c r="M67" s="334">
        <v>3.2353000000000001</v>
      </c>
      <c r="N67" s="334">
        <v>3.1884000000000001</v>
      </c>
      <c r="O67" s="334">
        <v>3.2353000000000001</v>
      </c>
      <c r="P67" s="336"/>
      <c r="Q67" s="334">
        <v>3.1429</v>
      </c>
      <c r="R67" s="334">
        <v>2.5</v>
      </c>
      <c r="S67" s="335">
        <v>3.1429</v>
      </c>
      <c r="T67" s="334">
        <v>3.0985999999999998</v>
      </c>
      <c r="U67" s="334">
        <v>3.1429</v>
      </c>
      <c r="V67" s="334">
        <v>2.2387999999999999</v>
      </c>
      <c r="W67" s="336"/>
      <c r="X67" s="334">
        <v>2.3571</v>
      </c>
      <c r="Y67" s="334">
        <v>2.4638</v>
      </c>
      <c r="Z67" s="335">
        <v>1.7707999999999999</v>
      </c>
      <c r="AA67" s="334">
        <v>1.875</v>
      </c>
      <c r="AB67" s="334">
        <v>2.6837999999999997</v>
      </c>
      <c r="AC67" s="334">
        <v>2.5</v>
      </c>
      <c r="AD67" s="336"/>
      <c r="AE67" s="337"/>
      <c r="AF67" s="337"/>
      <c r="AG67" s="338"/>
      <c r="AH67" s="339"/>
      <c r="AI67" s="339"/>
      <c r="AJ67" s="8"/>
    </row>
    <row r="68" spans="1:36" ht="15">
      <c r="A68" s="367" t="s">
        <v>243</v>
      </c>
      <c r="B68" s="314" t="s">
        <v>228</v>
      </c>
      <c r="C68" s="315">
        <v>33520</v>
      </c>
      <c r="D68" s="315">
        <v>1523.6363636363637</v>
      </c>
      <c r="E68" s="316">
        <v>1800</v>
      </c>
      <c r="F68" s="317">
        <v>1760</v>
      </c>
      <c r="G68" s="317">
        <v>1760</v>
      </c>
      <c r="H68" s="317">
        <v>1760</v>
      </c>
      <c r="I68" s="318"/>
      <c r="J68" s="317">
        <v>1568</v>
      </c>
      <c r="K68" s="317">
        <v>1480</v>
      </c>
      <c r="L68" s="316">
        <v>1760</v>
      </c>
      <c r="M68" s="317">
        <v>1760</v>
      </c>
      <c r="N68" s="317">
        <v>1760</v>
      </c>
      <c r="O68" s="317">
        <v>1760</v>
      </c>
      <c r="P68" s="318"/>
      <c r="Q68" s="317">
        <v>1520</v>
      </c>
      <c r="R68" s="317">
        <v>1600</v>
      </c>
      <c r="S68" s="316">
        <v>1400</v>
      </c>
      <c r="T68" s="317">
        <v>1280</v>
      </c>
      <c r="U68" s="317">
        <v>1280</v>
      </c>
      <c r="V68" s="317">
        <v>1352</v>
      </c>
      <c r="W68" s="318"/>
      <c r="X68" s="317">
        <v>1280</v>
      </c>
      <c r="Y68" s="317">
        <v>1280</v>
      </c>
      <c r="Z68" s="316">
        <v>1520</v>
      </c>
      <c r="AA68" s="317">
        <v>1280</v>
      </c>
      <c r="AB68" s="317">
        <v>1280</v>
      </c>
      <c r="AC68" s="317">
        <v>1280</v>
      </c>
      <c r="AD68" s="318"/>
      <c r="AE68" s="319"/>
      <c r="AF68" s="319"/>
      <c r="AG68" s="320"/>
      <c r="AH68" s="321"/>
      <c r="AI68" s="321"/>
      <c r="AJ68" s="8"/>
    </row>
    <row r="69" spans="1:36" ht="15">
      <c r="A69" s="368"/>
      <c r="B69" s="314" t="s">
        <v>229</v>
      </c>
      <c r="C69" s="315">
        <v>29880</v>
      </c>
      <c r="D69" s="315">
        <v>1358.1818181818182</v>
      </c>
      <c r="E69" s="316">
        <v>1680</v>
      </c>
      <c r="F69" s="317">
        <v>1680</v>
      </c>
      <c r="G69" s="317">
        <v>1680</v>
      </c>
      <c r="H69" s="317">
        <v>1680</v>
      </c>
      <c r="I69" s="318"/>
      <c r="J69" s="317">
        <v>1680</v>
      </c>
      <c r="K69" s="317">
        <v>1680</v>
      </c>
      <c r="L69" s="316">
        <v>1680</v>
      </c>
      <c r="M69" s="317">
        <v>1680</v>
      </c>
      <c r="N69" s="317">
        <v>1680</v>
      </c>
      <c r="O69" s="317">
        <v>900</v>
      </c>
      <c r="P69" s="318"/>
      <c r="Q69" s="317">
        <v>900</v>
      </c>
      <c r="R69" s="317">
        <v>1120</v>
      </c>
      <c r="S69" s="316">
        <v>1120</v>
      </c>
      <c r="T69" s="317">
        <v>1120</v>
      </c>
      <c r="U69" s="317">
        <v>1200</v>
      </c>
      <c r="V69" s="317">
        <v>1200</v>
      </c>
      <c r="W69" s="318"/>
      <c r="X69" s="317">
        <v>1200</v>
      </c>
      <c r="Y69" s="317">
        <v>1200</v>
      </c>
      <c r="Z69" s="316">
        <v>1200</v>
      </c>
      <c r="AA69" s="317">
        <v>1200</v>
      </c>
      <c r="AB69" s="317">
        <v>1200</v>
      </c>
      <c r="AC69" s="317">
        <v>1200</v>
      </c>
      <c r="AD69" s="318"/>
      <c r="AE69" s="317">
        <v>1200</v>
      </c>
      <c r="AF69" s="317">
        <v>1200</v>
      </c>
      <c r="AG69" s="322">
        <v>1200</v>
      </c>
      <c r="AH69" s="323">
        <v>1200</v>
      </c>
      <c r="AI69" s="323">
        <v>1200</v>
      </c>
      <c r="AJ69" s="8"/>
    </row>
    <row r="70" spans="1:36" ht="15">
      <c r="A70" s="368"/>
      <c r="B70" s="324" t="s">
        <v>230</v>
      </c>
      <c r="C70" s="325">
        <v>27870</v>
      </c>
      <c r="D70" s="325">
        <v>1266.8181818181818</v>
      </c>
      <c r="E70" s="326">
        <v>1680</v>
      </c>
      <c r="F70" s="327">
        <v>1680</v>
      </c>
      <c r="G70" s="327">
        <v>1680</v>
      </c>
      <c r="H70" s="327">
        <v>1680</v>
      </c>
      <c r="I70" s="328"/>
      <c r="J70" s="327">
        <v>1780</v>
      </c>
      <c r="K70" s="327">
        <v>1680</v>
      </c>
      <c r="L70" s="326">
        <v>1680</v>
      </c>
      <c r="M70" s="327">
        <v>1680</v>
      </c>
      <c r="N70" s="327">
        <v>1500</v>
      </c>
      <c r="O70" s="327">
        <v>900</v>
      </c>
      <c r="P70" s="328"/>
      <c r="Q70" s="327">
        <v>900</v>
      </c>
      <c r="R70" s="327">
        <v>600</v>
      </c>
      <c r="S70" s="326">
        <v>1008</v>
      </c>
      <c r="T70" s="327">
        <v>1120</v>
      </c>
      <c r="U70" s="327">
        <v>550</v>
      </c>
      <c r="V70" s="327">
        <v>1101</v>
      </c>
      <c r="W70" s="328"/>
      <c r="X70" s="327">
        <v>901</v>
      </c>
      <c r="Y70" s="327">
        <v>850</v>
      </c>
      <c r="Z70" s="326">
        <v>1200</v>
      </c>
      <c r="AA70" s="327">
        <v>1200</v>
      </c>
      <c r="AB70" s="327">
        <v>1300</v>
      </c>
      <c r="AC70" s="327">
        <v>1200</v>
      </c>
      <c r="AD70" s="328"/>
      <c r="AE70" s="329"/>
      <c r="AF70" s="329"/>
      <c r="AG70" s="330"/>
      <c r="AH70" s="331"/>
      <c r="AI70" s="331"/>
      <c r="AJ70" s="8"/>
    </row>
    <row r="71" spans="1:36" ht="15">
      <c r="A71" s="368"/>
      <c r="B71" s="324" t="s">
        <v>231</v>
      </c>
      <c r="C71" s="332">
        <v>-2010</v>
      </c>
      <c r="D71" s="332">
        <v>-91.36363636363636</v>
      </c>
      <c r="E71" s="326">
        <v>0</v>
      </c>
      <c r="F71" s="327">
        <v>0</v>
      </c>
      <c r="G71" s="327">
        <v>0</v>
      </c>
      <c r="H71" s="327">
        <v>0</v>
      </c>
      <c r="I71" s="328"/>
      <c r="J71" s="327">
        <v>100</v>
      </c>
      <c r="K71" s="327">
        <v>0</v>
      </c>
      <c r="L71" s="326">
        <v>0</v>
      </c>
      <c r="M71" s="327">
        <v>0</v>
      </c>
      <c r="N71" s="329">
        <v>-180</v>
      </c>
      <c r="O71" s="327">
        <v>0</v>
      </c>
      <c r="P71" s="328"/>
      <c r="Q71" s="327">
        <v>0</v>
      </c>
      <c r="R71" s="329">
        <v>-520</v>
      </c>
      <c r="S71" s="328">
        <v>-112</v>
      </c>
      <c r="T71" s="327">
        <v>0</v>
      </c>
      <c r="U71" s="329">
        <v>-650</v>
      </c>
      <c r="V71" s="329">
        <v>-99</v>
      </c>
      <c r="W71" s="328"/>
      <c r="X71" s="329">
        <v>-299</v>
      </c>
      <c r="Y71" s="329">
        <v>-350</v>
      </c>
      <c r="Z71" s="326">
        <v>0</v>
      </c>
      <c r="AA71" s="327">
        <v>0</v>
      </c>
      <c r="AB71" s="327">
        <v>100</v>
      </c>
      <c r="AC71" s="327">
        <v>0</v>
      </c>
      <c r="AD71" s="328"/>
      <c r="AE71" s="329"/>
      <c r="AF71" s="329"/>
      <c r="AG71" s="330"/>
      <c r="AH71" s="331"/>
      <c r="AI71" s="331"/>
      <c r="AJ71" s="8"/>
    </row>
    <row r="72" spans="1:36" ht="15">
      <c r="A72" s="368"/>
      <c r="B72" s="324" t="s">
        <v>232</v>
      </c>
      <c r="C72" s="325">
        <v>176</v>
      </c>
      <c r="D72" s="325">
        <v>8</v>
      </c>
      <c r="E72" s="326">
        <v>8</v>
      </c>
      <c r="F72" s="327">
        <v>8</v>
      </c>
      <c r="G72" s="327">
        <v>8</v>
      </c>
      <c r="H72" s="327">
        <v>8</v>
      </c>
      <c r="I72" s="328"/>
      <c r="J72" s="327">
        <v>8</v>
      </c>
      <c r="K72" s="327">
        <v>8</v>
      </c>
      <c r="L72" s="326">
        <v>8</v>
      </c>
      <c r="M72" s="327">
        <v>8</v>
      </c>
      <c r="N72" s="327">
        <v>8</v>
      </c>
      <c r="O72" s="327">
        <v>8</v>
      </c>
      <c r="P72" s="328"/>
      <c r="Q72" s="327">
        <v>8</v>
      </c>
      <c r="R72" s="327">
        <v>8</v>
      </c>
      <c r="S72" s="326">
        <v>8</v>
      </c>
      <c r="T72" s="327">
        <v>8</v>
      </c>
      <c r="U72" s="327">
        <v>8</v>
      </c>
      <c r="V72" s="327">
        <v>8</v>
      </c>
      <c r="W72" s="328"/>
      <c r="X72" s="327">
        <v>8</v>
      </c>
      <c r="Y72" s="327">
        <v>8</v>
      </c>
      <c r="Z72" s="326">
        <v>8</v>
      </c>
      <c r="AA72" s="327">
        <v>8</v>
      </c>
      <c r="AB72" s="327">
        <v>8</v>
      </c>
      <c r="AC72" s="327">
        <v>8</v>
      </c>
      <c r="AD72" s="328"/>
      <c r="AE72" s="329"/>
      <c r="AF72" s="329"/>
      <c r="AG72" s="330"/>
      <c r="AH72" s="331"/>
      <c r="AI72" s="331"/>
      <c r="AJ72" s="8"/>
    </row>
    <row r="73" spans="1:36" ht="15">
      <c r="A73" s="368"/>
      <c r="B73" s="324" t="s">
        <v>233</v>
      </c>
      <c r="C73" s="325">
        <v>72</v>
      </c>
      <c r="D73" s="325">
        <v>72</v>
      </c>
      <c r="E73" s="326">
        <v>72</v>
      </c>
      <c r="F73" s="327">
        <v>74</v>
      </c>
      <c r="G73" s="327">
        <v>73</v>
      </c>
      <c r="H73" s="327">
        <v>71</v>
      </c>
      <c r="I73" s="328"/>
      <c r="J73" s="327">
        <v>71</v>
      </c>
      <c r="K73" s="327">
        <v>69</v>
      </c>
      <c r="L73" s="326">
        <v>69</v>
      </c>
      <c r="M73" s="327">
        <v>70</v>
      </c>
      <c r="N73" s="327">
        <v>71</v>
      </c>
      <c r="O73" s="327">
        <v>71</v>
      </c>
      <c r="P73" s="328"/>
      <c r="Q73" s="327">
        <v>71</v>
      </c>
      <c r="R73" s="327">
        <v>73</v>
      </c>
      <c r="S73" s="326">
        <v>72</v>
      </c>
      <c r="T73" s="327">
        <v>75</v>
      </c>
      <c r="U73" s="327">
        <v>74</v>
      </c>
      <c r="V73" s="327">
        <v>74</v>
      </c>
      <c r="W73" s="328"/>
      <c r="X73" s="327">
        <v>72</v>
      </c>
      <c r="Y73" s="327">
        <v>72</v>
      </c>
      <c r="Z73" s="326">
        <v>75</v>
      </c>
      <c r="AA73" s="327">
        <v>75</v>
      </c>
      <c r="AB73" s="327">
        <v>74</v>
      </c>
      <c r="AC73" s="327">
        <v>74</v>
      </c>
      <c r="AD73" s="328"/>
      <c r="AE73" s="329"/>
      <c r="AF73" s="329"/>
      <c r="AG73" s="330"/>
      <c r="AH73" s="331"/>
      <c r="AI73" s="331"/>
      <c r="AJ73" s="8"/>
    </row>
    <row r="74" spans="1:36" ht="15">
      <c r="A74" s="368"/>
      <c r="B74" s="324" t="s">
        <v>234</v>
      </c>
      <c r="C74" s="325">
        <v>158.35227272727272</v>
      </c>
      <c r="D74" s="325">
        <v>158.35227272727272</v>
      </c>
      <c r="E74" s="326">
        <v>210</v>
      </c>
      <c r="F74" s="327">
        <v>210</v>
      </c>
      <c r="G74" s="327">
        <v>210</v>
      </c>
      <c r="H74" s="327">
        <v>210</v>
      </c>
      <c r="I74" s="328"/>
      <c r="J74" s="327">
        <v>222.5</v>
      </c>
      <c r="K74" s="327">
        <v>210</v>
      </c>
      <c r="L74" s="326">
        <v>210</v>
      </c>
      <c r="M74" s="327">
        <v>210</v>
      </c>
      <c r="N74" s="327">
        <v>187.5</v>
      </c>
      <c r="O74" s="327">
        <v>112.5</v>
      </c>
      <c r="P74" s="328"/>
      <c r="Q74" s="327">
        <v>112.5</v>
      </c>
      <c r="R74" s="327">
        <v>75</v>
      </c>
      <c r="S74" s="326">
        <v>126</v>
      </c>
      <c r="T74" s="327">
        <v>140</v>
      </c>
      <c r="U74" s="327">
        <v>68.75</v>
      </c>
      <c r="V74" s="327">
        <v>137.625</v>
      </c>
      <c r="W74" s="328"/>
      <c r="X74" s="327">
        <v>112.625</v>
      </c>
      <c r="Y74" s="327">
        <v>106.25</v>
      </c>
      <c r="Z74" s="326">
        <v>150</v>
      </c>
      <c r="AA74" s="327">
        <v>150</v>
      </c>
      <c r="AB74" s="327">
        <v>162.5</v>
      </c>
      <c r="AC74" s="327">
        <v>150</v>
      </c>
      <c r="AD74" s="328"/>
      <c r="AE74" s="329"/>
      <c r="AF74" s="329"/>
      <c r="AG74" s="330"/>
      <c r="AH74" s="331"/>
      <c r="AI74" s="331"/>
      <c r="AJ74" s="8"/>
    </row>
    <row r="75" spans="1:36" ht="15">
      <c r="A75" s="369"/>
      <c r="B75" s="333" t="s">
        <v>235</v>
      </c>
      <c r="C75" s="334">
        <v>2.1993</v>
      </c>
      <c r="D75" s="334">
        <v>2.1993</v>
      </c>
      <c r="E75" s="335">
        <v>2.9167000000000001</v>
      </c>
      <c r="F75" s="334">
        <v>2.8378000000000001</v>
      </c>
      <c r="G75" s="334">
        <v>2.8767</v>
      </c>
      <c r="H75" s="334">
        <v>2.9577</v>
      </c>
      <c r="I75" s="336"/>
      <c r="J75" s="334">
        <v>3.1337999999999999</v>
      </c>
      <c r="K75" s="334">
        <v>3.0434999999999999</v>
      </c>
      <c r="L75" s="335">
        <v>3.0434999999999999</v>
      </c>
      <c r="M75" s="334">
        <v>3</v>
      </c>
      <c r="N75" s="334">
        <v>2.6408</v>
      </c>
      <c r="O75" s="334">
        <v>1.5845</v>
      </c>
      <c r="P75" s="336"/>
      <c r="Q75" s="334">
        <v>1.5845</v>
      </c>
      <c r="R75" s="334">
        <v>1.0274000000000001</v>
      </c>
      <c r="S75" s="335">
        <v>1.75</v>
      </c>
      <c r="T75" s="334">
        <v>1.8667</v>
      </c>
      <c r="U75" s="334">
        <v>0.92910000000000004</v>
      </c>
      <c r="V75" s="334">
        <v>1.8597999999999999</v>
      </c>
      <c r="W75" s="336"/>
      <c r="X75" s="334">
        <v>1.5642</v>
      </c>
      <c r="Y75" s="334">
        <v>1.4757</v>
      </c>
      <c r="Z75" s="335">
        <v>2</v>
      </c>
      <c r="AA75" s="334">
        <v>2</v>
      </c>
      <c r="AB75" s="334">
        <v>2.1959</v>
      </c>
      <c r="AC75" s="334">
        <v>2.0270000000000001</v>
      </c>
      <c r="AD75" s="336"/>
      <c r="AE75" s="337"/>
      <c r="AF75" s="337"/>
      <c r="AG75" s="338"/>
      <c r="AH75" s="339"/>
      <c r="AI75" s="339"/>
      <c r="AJ75" s="8"/>
    </row>
    <row r="76" spans="1:36" ht="15">
      <c r="A76" s="367" t="s">
        <v>244</v>
      </c>
      <c r="B76" s="314" t="s">
        <v>228</v>
      </c>
      <c r="C76" s="315">
        <v>36480</v>
      </c>
      <c r="D76" s="315">
        <v>1658.1818181818182</v>
      </c>
      <c r="E76" s="316">
        <v>1760</v>
      </c>
      <c r="F76" s="317">
        <v>1760</v>
      </c>
      <c r="G76" s="317">
        <v>1760</v>
      </c>
      <c r="H76" s="317">
        <v>1760</v>
      </c>
      <c r="I76" s="318"/>
      <c r="J76" s="317">
        <v>1760</v>
      </c>
      <c r="K76" s="317">
        <v>1760</v>
      </c>
      <c r="L76" s="316">
        <v>1760</v>
      </c>
      <c r="M76" s="317">
        <v>1760</v>
      </c>
      <c r="N76" s="317">
        <v>1760</v>
      </c>
      <c r="O76" s="317">
        <v>1760</v>
      </c>
      <c r="P76" s="318"/>
      <c r="Q76" s="317">
        <v>1760</v>
      </c>
      <c r="R76" s="317">
        <v>1600</v>
      </c>
      <c r="S76" s="316">
        <v>1600</v>
      </c>
      <c r="T76" s="317">
        <v>1560</v>
      </c>
      <c r="U76" s="317">
        <v>1520</v>
      </c>
      <c r="V76" s="317">
        <v>1520</v>
      </c>
      <c r="W76" s="318"/>
      <c r="X76" s="317">
        <v>1520</v>
      </c>
      <c r="Y76" s="317">
        <v>1520</v>
      </c>
      <c r="Z76" s="316">
        <v>1520</v>
      </c>
      <c r="AA76" s="317">
        <v>1552</v>
      </c>
      <c r="AB76" s="317">
        <v>1568</v>
      </c>
      <c r="AC76" s="317">
        <v>1640</v>
      </c>
      <c r="AD76" s="318"/>
      <c r="AE76" s="319"/>
      <c r="AF76" s="319"/>
      <c r="AG76" s="320"/>
      <c r="AH76" s="321"/>
      <c r="AI76" s="321"/>
      <c r="AJ76" s="8"/>
    </row>
    <row r="77" spans="1:36" ht="15">
      <c r="A77" s="368"/>
      <c r="B77" s="314" t="s">
        <v>229</v>
      </c>
      <c r="C77" s="315">
        <v>31720</v>
      </c>
      <c r="D77" s="315">
        <v>1441.8181818181818</v>
      </c>
      <c r="E77" s="316">
        <v>1200</v>
      </c>
      <c r="F77" s="317">
        <v>1600</v>
      </c>
      <c r="G77" s="317">
        <v>1600</v>
      </c>
      <c r="H77" s="317">
        <v>1600</v>
      </c>
      <c r="I77" s="318"/>
      <c r="J77" s="317">
        <v>1600</v>
      </c>
      <c r="K77" s="317">
        <v>1600</v>
      </c>
      <c r="L77" s="316">
        <v>1600</v>
      </c>
      <c r="M77" s="317">
        <v>1600</v>
      </c>
      <c r="N77" s="317">
        <v>1600</v>
      </c>
      <c r="O77" s="317">
        <v>1600</v>
      </c>
      <c r="P77" s="318"/>
      <c r="Q77" s="317">
        <v>1600</v>
      </c>
      <c r="R77" s="317">
        <v>1600</v>
      </c>
      <c r="S77" s="316">
        <v>1020</v>
      </c>
      <c r="T77" s="317">
        <v>1020</v>
      </c>
      <c r="U77" s="317">
        <v>1360</v>
      </c>
      <c r="V77" s="317">
        <v>1360</v>
      </c>
      <c r="W77" s="318"/>
      <c r="X77" s="317">
        <v>1360</v>
      </c>
      <c r="Y77" s="317">
        <v>1360</v>
      </c>
      <c r="Z77" s="316">
        <v>1360</v>
      </c>
      <c r="AA77" s="317">
        <v>1360</v>
      </c>
      <c r="AB77" s="317">
        <v>1360</v>
      </c>
      <c r="AC77" s="317">
        <v>1360</v>
      </c>
      <c r="AD77" s="318"/>
      <c r="AE77" s="317">
        <v>1360</v>
      </c>
      <c r="AF77" s="317">
        <v>1360</v>
      </c>
      <c r="AG77" s="322">
        <v>1360</v>
      </c>
      <c r="AH77" s="323">
        <v>1360</v>
      </c>
      <c r="AI77" s="323">
        <v>1360</v>
      </c>
      <c r="AJ77" s="8"/>
    </row>
    <row r="78" spans="1:36" ht="15">
      <c r="A78" s="368"/>
      <c r="B78" s="324" t="s">
        <v>230</v>
      </c>
      <c r="C78" s="325">
        <v>31735</v>
      </c>
      <c r="D78" s="325">
        <v>1442.5</v>
      </c>
      <c r="E78" s="326">
        <v>1200</v>
      </c>
      <c r="F78" s="327">
        <v>1601</v>
      </c>
      <c r="G78" s="327">
        <v>1600</v>
      </c>
      <c r="H78" s="327">
        <v>1601</v>
      </c>
      <c r="I78" s="328"/>
      <c r="J78" s="327">
        <v>1600</v>
      </c>
      <c r="K78" s="327">
        <v>1600</v>
      </c>
      <c r="L78" s="326">
        <v>1600</v>
      </c>
      <c r="M78" s="327">
        <v>1420</v>
      </c>
      <c r="N78" s="327">
        <v>1600</v>
      </c>
      <c r="O78" s="327">
        <v>1600</v>
      </c>
      <c r="P78" s="328"/>
      <c r="Q78" s="327">
        <v>1600</v>
      </c>
      <c r="R78" s="327">
        <v>1360</v>
      </c>
      <c r="S78" s="326">
        <v>1020</v>
      </c>
      <c r="T78" s="327">
        <v>1163</v>
      </c>
      <c r="U78" s="327">
        <v>1435</v>
      </c>
      <c r="V78" s="327">
        <v>1475</v>
      </c>
      <c r="W78" s="328"/>
      <c r="X78" s="327">
        <v>1460</v>
      </c>
      <c r="Y78" s="327">
        <v>1360</v>
      </c>
      <c r="Z78" s="326">
        <v>1360</v>
      </c>
      <c r="AA78" s="327">
        <v>1360</v>
      </c>
      <c r="AB78" s="327">
        <v>1360</v>
      </c>
      <c r="AC78" s="327">
        <v>1360</v>
      </c>
      <c r="AD78" s="328"/>
      <c r="AE78" s="329"/>
      <c r="AF78" s="329"/>
      <c r="AG78" s="330"/>
      <c r="AH78" s="331"/>
      <c r="AI78" s="331"/>
      <c r="AJ78" s="8"/>
    </row>
    <row r="79" spans="1:36" ht="15">
      <c r="A79" s="368"/>
      <c r="B79" s="324" t="s">
        <v>231</v>
      </c>
      <c r="C79" s="325">
        <v>15</v>
      </c>
      <c r="D79" s="325">
        <v>0.68181818181818177</v>
      </c>
      <c r="E79" s="326">
        <v>0</v>
      </c>
      <c r="F79" s="327">
        <v>1</v>
      </c>
      <c r="G79" s="327">
        <v>0</v>
      </c>
      <c r="H79" s="327">
        <v>1</v>
      </c>
      <c r="I79" s="328"/>
      <c r="J79" s="327">
        <v>0</v>
      </c>
      <c r="K79" s="327">
        <v>0</v>
      </c>
      <c r="L79" s="326">
        <v>0</v>
      </c>
      <c r="M79" s="329">
        <v>-180</v>
      </c>
      <c r="N79" s="327">
        <v>0</v>
      </c>
      <c r="O79" s="327">
        <v>0</v>
      </c>
      <c r="P79" s="328"/>
      <c r="Q79" s="327">
        <v>0</v>
      </c>
      <c r="R79" s="329">
        <v>-240</v>
      </c>
      <c r="S79" s="326">
        <v>0</v>
      </c>
      <c r="T79" s="327">
        <v>143</v>
      </c>
      <c r="U79" s="327">
        <v>75</v>
      </c>
      <c r="V79" s="327">
        <v>115</v>
      </c>
      <c r="W79" s="328"/>
      <c r="X79" s="327">
        <v>100</v>
      </c>
      <c r="Y79" s="327">
        <v>0</v>
      </c>
      <c r="Z79" s="326">
        <v>0</v>
      </c>
      <c r="AA79" s="327">
        <v>0</v>
      </c>
      <c r="AB79" s="327">
        <v>0</v>
      </c>
      <c r="AC79" s="327">
        <v>0</v>
      </c>
      <c r="AD79" s="328"/>
      <c r="AE79" s="329"/>
      <c r="AF79" s="329"/>
      <c r="AG79" s="330"/>
      <c r="AH79" s="331"/>
      <c r="AI79" s="331"/>
      <c r="AJ79" s="8"/>
    </row>
    <row r="80" spans="1:36" ht="15">
      <c r="A80" s="368"/>
      <c r="B80" s="324" t="s">
        <v>232</v>
      </c>
      <c r="C80" s="325">
        <v>176</v>
      </c>
      <c r="D80" s="325">
        <v>8</v>
      </c>
      <c r="E80" s="326">
        <v>8</v>
      </c>
      <c r="F80" s="327">
        <v>8</v>
      </c>
      <c r="G80" s="327">
        <v>8</v>
      </c>
      <c r="H80" s="327">
        <v>8</v>
      </c>
      <c r="I80" s="328"/>
      <c r="J80" s="327">
        <v>8</v>
      </c>
      <c r="K80" s="327">
        <v>8</v>
      </c>
      <c r="L80" s="326">
        <v>8</v>
      </c>
      <c r="M80" s="327">
        <v>8</v>
      </c>
      <c r="N80" s="327">
        <v>8</v>
      </c>
      <c r="O80" s="327">
        <v>8</v>
      </c>
      <c r="P80" s="328"/>
      <c r="Q80" s="327">
        <v>8</v>
      </c>
      <c r="R80" s="327">
        <v>8</v>
      </c>
      <c r="S80" s="326">
        <v>8</v>
      </c>
      <c r="T80" s="327">
        <v>8</v>
      </c>
      <c r="U80" s="327">
        <v>8</v>
      </c>
      <c r="V80" s="327">
        <v>8</v>
      </c>
      <c r="W80" s="328"/>
      <c r="X80" s="327">
        <v>8</v>
      </c>
      <c r="Y80" s="327">
        <v>8</v>
      </c>
      <c r="Z80" s="326">
        <v>8</v>
      </c>
      <c r="AA80" s="327">
        <v>8</v>
      </c>
      <c r="AB80" s="327">
        <v>8</v>
      </c>
      <c r="AC80" s="327">
        <v>8</v>
      </c>
      <c r="AD80" s="328"/>
      <c r="AE80" s="329"/>
      <c r="AF80" s="329"/>
      <c r="AG80" s="330"/>
      <c r="AH80" s="331"/>
      <c r="AI80" s="331"/>
      <c r="AJ80" s="8"/>
    </row>
    <row r="81" spans="1:36" ht="15">
      <c r="A81" s="368"/>
      <c r="B81" s="324" t="s">
        <v>233</v>
      </c>
      <c r="C81" s="325">
        <v>68</v>
      </c>
      <c r="D81" s="325">
        <v>68</v>
      </c>
      <c r="E81" s="326">
        <v>67</v>
      </c>
      <c r="F81" s="327">
        <v>65</v>
      </c>
      <c r="G81" s="327">
        <v>68</v>
      </c>
      <c r="H81" s="327">
        <v>67</v>
      </c>
      <c r="I81" s="328"/>
      <c r="J81" s="327">
        <v>64</v>
      </c>
      <c r="K81" s="327">
        <v>68</v>
      </c>
      <c r="L81" s="326">
        <v>67</v>
      </c>
      <c r="M81" s="327">
        <v>69</v>
      </c>
      <c r="N81" s="327">
        <v>68</v>
      </c>
      <c r="O81" s="327">
        <v>69</v>
      </c>
      <c r="P81" s="328"/>
      <c r="Q81" s="327">
        <v>68</v>
      </c>
      <c r="R81" s="327">
        <v>69</v>
      </c>
      <c r="S81" s="326">
        <v>72</v>
      </c>
      <c r="T81" s="327">
        <v>70</v>
      </c>
      <c r="U81" s="327">
        <v>69</v>
      </c>
      <c r="V81" s="327">
        <v>69</v>
      </c>
      <c r="W81" s="328"/>
      <c r="X81" s="327">
        <v>68</v>
      </c>
      <c r="Y81" s="327">
        <v>71</v>
      </c>
      <c r="Z81" s="326">
        <v>68</v>
      </c>
      <c r="AA81" s="327">
        <v>67</v>
      </c>
      <c r="AB81" s="327">
        <v>67</v>
      </c>
      <c r="AC81" s="327">
        <v>66</v>
      </c>
      <c r="AD81" s="328"/>
      <c r="AE81" s="329"/>
      <c r="AF81" s="329"/>
      <c r="AG81" s="330"/>
      <c r="AH81" s="331"/>
      <c r="AI81" s="331"/>
      <c r="AJ81" s="8"/>
    </row>
    <row r="82" spans="1:36" ht="15">
      <c r="A82" s="368"/>
      <c r="B82" s="324" t="s">
        <v>234</v>
      </c>
      <c r="C82" s="325">
        <v>180.3125</v>
      </c>
      <c r="D82" s="325">
        <v>180.3125</v>
      </c>
      <c r="E82" s="326">
        <v>150</v>
      </c>
      <c r="F82" s="327">
        <v>200.125</v>
      </c>
      <c r="G82" s="327">
        <v>200</v>
      </c>
      <c r="H82" s="327">
        <v>200.125</v>
      </c>
      <c r="I82" s="328"/>
      <c r="J82" s="327">
        <v>200</v>
      </c>
      <c r="K82" s="327">
        <v>200</v>
      </c>
      <c r="L82" s="326">
        <v>200</v>
      </c>
      <c r="M82" s="327">
        <v>177.5</v>
      </c>
      <c r="N82" s="327">
        <v>200</v>
      </c>
      <c r="O82" s="327">
        <v>200</v>
      </c>
      <c r="P82" s="328"/>
      <c r="Q82" s="327">
        <v>200</v>
      </c>
      <c r="R82" s="327">
        <v>170</v>
      </c>
      <c r="S82" s="326">
        <v>127.5</v>
      </c>
      <c r="T82" s="327">
        <v>145.375</v>
      </c>
      <c r="U82" s="327">
        <v>179.375</v>
      </c>
      <c r="V82" s="327">
        <v>184.375</v>
      </c>
      <c r="W82" s="328"/>
      <c r="X82" s="327">
        <v>182.5</v>
      </c>
      <c r="Y82" s="327">
        <v>170</v>
      </c>
      <c r="Z82" s="326">
        <v>170</v>
      </c>
      <c r="AA82" s="327">
        <v>170</v>
      </c>
      <c r="AB82" s="327">
        <v>170</v>
      </c>
      <c r="AC82" s="327">
        <v>170</v>
      </c>
      <c r="AD82" s="328"/>
      <c r="AE82" s="329"/>
      <c r="AF82" s="329"/>
      <c r="AG82" s="330"/>
      <c r="AH82" s="331"/>
      <c r="AI82" s="331"/>
      <c r="AJ82" s="8"/>
    </row>
    <row r="83" spans="1:36" ht="15">
      <c r="A83" s="369"/>
      <c r="B83" s="333" t="s">
        <v>235</v>
      </c>
      <c r="C83" s="334">
        <v>2.6516999999999999</v>
      </c>
      <c r="D83" s="334">
        <v>2.6516999999999999</v>
      </c>
      <c r="E83" s="335">
        <v>2.2387999999999999</v>
      </c>
      <c r="F83" s="334">
        <v>3.0788000000000002</v>
      </c>
      <c r="G83" s="334">
        <v>2.9412000000000003</v>
      </c>
      <c r="H83" s="334">
        <v>2.9868999999999999</v>
      </c>
      <c r="I83" s="336"/>
      <c r="J83" s="334">
        <v>3.125</v>
      </c>
      <c r="K83" s="334">
        <v>2.9412000000000003</v>
      </c>
      <c r="L83" s="335">
        <v>2.9851000000000001</v>
      </c>
      <c r="M83" s="334">
        <v>2.5724999999999998</v>
      </c>
      <c r="N83" s="334">
        <v>2.9412000000000003</v>
      </c>
      <c r="O83" s="334">
        <v>2.8986000000000001</v>
      </c>
      <c r="P83" s="336"/>
      <c r="Q83" s="334">
        <v>2.9412000000000003</v>
      </c>
      <c r="R83" s="334">
        <v>2.4638</v>
      </c>
      <c r="S83" s="335">
        <v>1.7707999999999999</v>
      </c>
      <c r="T83" s="334">
        <v>2.0768</v>
      </c>
      <c r="U83" s="334">
        <v>2.5996000000000001</v>
      </c>
      <c r="V83" s="334">
        <v>2.6720999999999999</v>
      </c>
      <c r="W83" s="336"/>
      <c r="X83" s="334">
        <v>2.6837999999999997</v>
      </c>
      <c r="Y83" s="334">
        <v>2.3944000000000001</v>
      </c>
      <c r="Z83" s="335">
        <v>2.5</v>
      </c>
      <c r="AA83" s="334">
        <v>2.5373000000000001</v>
      </c>
      <c r="AB83" s="334">
        <v>2.5373000000000001</v>
      </c>
      <c r="AC83" s="334">
        <v>2.5758000000000001</v>
      </c>
      <c r="AD83" s="336"/>
      <c r="AE83" s="337"/>
      <c r="AF83" s="337"/>
      <c r="AG83" s="338"/>
      <c r="AH83" s="339"/>
      <c r="AI83" s="339"/>
      <c r="AJ83" s="8"/>
    </row>
    <row r="84" spans="1:36" ht="15">
      <c r="A84" s="367" t="s">
        <v>245</v>
      </c>
      <c r="B84" s="314" t="s">
        <v>228</v>
      </c>
      <c r="C84" s="315">
        <v>38656</v>
      </c>
      <c r="D84" s="315">
        <v>1757.090909090909</v>
      </c>
      <c r="E84" s="316">
        <v>1760</v>
      </c>
      <c r="F84" s="317">
        <v>1760</v>
      </c>
      <c r="G84" s="317">
        <v>1760</v>
      </c>
      <c r="H84" s="317">
        <v>1760</v>
      </c>
      <c r="I84" s="318"/>
      <c r="J84" s="317">
        <v>1760</v>
      </c>
      <c r="K84" s="317">
        <v>1760</v>
      </c>
      <c r="L84" s="316">
        <v>1760</v>
      </c>
      <c r="M84" s="317">
        <v>1760</v>
      </c>
      <c r="N84" s="317">
        <v>1760</v>
      </c>
      <c r="O84" s="317">
        <v>1760</v>
      </c>
      <c r="P84" s="318"/>
      <c r="Q84" s="317">
        <v>1760</v>
      </c>
      <c r="R84" s="317">
        <v>1760</v>
      </c>
      <c r="S84" s="316">
        <v>1760</v>
      </c>
      <c r="T84" s="317">
        <v>1760</v>
      </c>
      <c r="U84" s="317">
        <v>1760</v>
      </c>
      <c r="V84" s="317">
        <v>1760</v>
      </c>
      <c r="W84" s="318"/>
      <c r="X84" s="317">
        <v>1760</v>
      </c>
      <c r="Y84" s="317">
        <v>1696</v>
      </c>
      <c r="Z84" s="316">
        <v>1760</v>
      </c>
      <c r="AA84" s="317">
        <v>1760</v>
      </c>
      <c r="AB84" s="317">
        <v>1760</v>
      </c>
      <c r="AC84" s="317">
        <v>1760</v>
      </c>
      <c r="AD84" s="318"/>
      <c r="AE84" s="319"/>
      <c r="AF84" s="319"/>
      <c r="AG84" s="320"/>
      <c r="AH84" s="321"/>
      <c r="AI84" s="321"/>
      <c r="AJ84" s="8"/>
    </row>
    <row r="85" spans="1:36" ht="15">
      <c r="A85" s="368"/>
      <c r="B85" s="314" t="s">
        <v>229</v>
      </c>
      <c r="C85" s="315">
        <v>36960</v>
      </c>
      <c r="D85" s="315">
        <v>1680</v>
      </c>
      <c r="E85" s="316">
        <v>1680</v>
      </c>
      <c r="F85" s="317">
        <v>1680</v>
      </c>
      <c r="G85" s="317">
        <v>1680</v>
      </c>
      <c r="H85" s="317">
        <v>1680</v>
      </c>
      <c r="I85" s="318"/>
      <c r="J85" s="317">
        <v>1680</v>
      </c>
      <c r="K85" s="317">
        <v>1680</v>
      </c>
      <c r="L85" s="316">
        <v>1680</v>
      </c>
      <c r="M85" s="317">
        <v>1680</v>
      </c>
      <c r="N85" s="317">
        <v>1680</v>
      </c>
      <c r="O85" s="317">
        <v>1680</v>
      </c>
      <c r="P85" s="318"/>
      <c r="Q85" s="317">
        <v>1680</v>
      </c>
      <c r="R85" s="317">
        <v>1680</v>
      </c>
      <c r="S85" s="316">
        <v>1680</v>
      </c>
      <c r="T85" s="317">
        <v>1680</v>
      </c>
      <c r="U85" s="317">
        <v>1680</v>
      </c>
      <c r="V85" s="317">
        <v>1680</v>
      </c>
      <c r="W85" s="318"/>
      <c r="X85" s="317">
        <v>1680</v>
      </c>
      <c r="Y85" s="317">
        <v>1680</v>
      </c>
      <c r="Z85" s="316">
        <v>1680</v>
      </c>
      <c r="AA85" s="317">
        <v>1680</v>
      </c>
      <c r="AB85" s="317">
        <v>1680</v>
      </c>
      <c r="AC85" s="317">
        <v>1680</v>
      </c>
      <c r="AD85" s="318"/>
      <c r="AE85" s="317">
        <v>1680</v>
      </c>
      <c r="AF85" s="317">
        <v>1680</v>
      </c>
      <c r="AG85" s="322">
        <v>1680</v>
      </c>
      <c r="AH85" s="323">
        <v>1680</v>
      </c>
      <c r="AI85" s="323">
        <v>1680</v>
      </c>
      <c r="AJ85" s="8"/>
    </row>
    <row r="86" spans="1:36" ht="15">
      <c r="A86" s="368"/>
      <c r="B86" s="324" t="s">
        <v>230</v>
      </c>
      <c r="C86" s="325">
        <v>34495</v>
      </c>
      <c r="D86" s="325">
        <v>1567.9545454545455</v>
      </c>
      <c r="E86" s="326">
        <v>1680</v>
      </c>
      <c r="F86" s="327">
        <v>1680</v>
      </c>
      <c r="G86" s="327">
        <v>1680</v>
      </c>
      <c r="H86" s="327">
        <v>1680</v>
      </c>
      <c r="I86" s="328"/>
      <c r="J86" s="327">
        <v>1680</v>
      </c>
      <c r="K86" s="327">
        <v>1681</v>
      </c>
      <c r="L86" s="326">
        <v>1680</v>
      </c>
      <c r="M86" s="327">
        <v>1430</v>
      </c>
      <c r="N86" s="327">
        <v>1680</v>
      </c>
      <c r="O86" s="327">
        <v>1600</v>
      </c>
      <c r="P86" s="328"/>
      <c r="Q86" s="327">
        <v>1263</v>
      </c>
      <c r="R86" s="327">
        <v>1696</v>
      </c>
      <c r="S86" s="326">
        <v>1400</v>
      </c>
      <c r="T86" s="327">
        <v>1300</v>
      </c>
      <c r="U86" s="327">
        <v>1414</v>
      </c>
      <c r="V86" s="327">
        <v>1680</v>
      </c>
      <c r="W86" s="328"/>
      <c r="X86" s="327">
        <v>1591</v>
      </c>
      <c r="Y86" s="327">
        <v>1680</v>
      </c>
      <c r="Z86" s="326">
        <v>1568</v>
      </c>
      <c r="AA86" s="327">
        <v>1380</v>
      </c>
      <c r="AB86" s="327">
        <v>1372</v>
      </c>
      <c r="AC86" s="327">
        <v>1680</v>
      </c>
      <c r="AD86" s="328"/>
      <c r="AE86" s="329"/>
      <c r="AF86" s="329"/>
      <c r="AG86" s="330"/>
      <c r="AH86" s="331"/>
      <c r="AI86" s="331"/>
      <c r="AJ86" s="8"/>
    </row>
    <row r="87" spans="1:36" ht="15">
      <c r="A87" s="368"/>
      <c r="B87" s="324" t="s">
        <v>231</v>
      </c>
      <c r="C87" s="332">
        <v>-2465</v>
      </c>
      <c r="D87" s="332">
        <v>-112.04545454545455</v>
      </c>
      <c r="E87" s="326">
        <v>0</v>
      </c>
      <c r="F87" s="327">
        <v>0</v>
      </c>
      <c r="G87" s="327">
        <v>0</v>
      </c>
      <c r="H87" s="327">
        <v>0</v>
      </c>
      <c r="I87" s="328"/>
      <c r="J87" s="327">
        <v>0</v>
      </c>
      <c r="K87" s="327">
        <v>1</v>
      </c>
      <c r="L87" s="326">
        <v>0</v>
      </c>
      <c r="M87" s="329">
        <v>-250</v>
      </c>
      <c r="N87" s="327">
        <v>0</v>
      </c>
      <c r="O87" s="329">
        <v>-80</v>
      </c>
      <c r="P87" s="328"/>
      <c r="Q87" s="329">
        <v>-417</v>
      </c>
      <c r="R87" s="327">
        <v>16</v>
      </c>
      <c r="S87" s="328">
        <v>-280</v>
      </c>
      <c r="T87" s="329">
        <v>-380</v>
      </c>
      <c r="U87" s="329">
        <v>-266</v>
      </c>
      <c r="V87" s="327">
        <v>0</v>
      </c>
      <c r="W87" s="328"/>
      <c r="X87" s="329">
        <v>-89</v>
      </c>
      <c r="Y87" s="327">
        <v>0</v>
      </c>
      <c r="Z87" s="328">
        <v>-112</v>
      </c>
      <c r="AA87" s="329">
        <v>-300</v>
      </c>
      <c r="AB87" s="329">
        <v>-308</v>
      </c>
      <c r="AC87" s="327">
        <v>0</v>
      </c>
      <c r="AD87" s="328"/>
      <c r="AE87" s="329"/>
      <c r="AF87" s="329"/>
      <c r="AG87" s="330"/>
      <c r="AH87" s="331"/>
      <c r="AI87" s="331"/>
      <c r="AJ87" s="8"/>
    </row>
    <row r="88" spans="1:36" ht="15">
      <c r="A88" s="368"/>
      <c r="B88" s="324" t="s">
        <v>232</v>
      </c>
      <c r="C88" s="325">
        <v>176</v>
      </c>
      <c r="D88" s="325">
        <v>8</v>
      </c>
      <c r="E88" s="326">
        <v>8</v>
      </c>
      <c r="F88" s="327">
        <v>8</v>
      </c>
      <c r="G88" s="327">
        <v>8</v>
      </c>
      <c r="H88" s="327">
        <v>8</v>
      </c>
      <c r="I88" s="328"/>
      <c r="J88" s="327">
        <v>8</v>
      </c>
      <c r="K88" s="327">
        <v>8</v>
      </c>
      <c r="L88" s="326">
        <v>8</v>
      </c>
      <c r="M88" s="327">
        <v>8</v>
      </c>
      <c r="N88" s="327">
        <v>8</v>
      </c>
      <c r="O88" s="327">
        <v>8</v>
      </c>
      <c r="P88" s="328"/>
      <c r="Q88" s="327">
        <v>8</v>
      </c>
      <c r="R88" s="327">
        <v>8</v>
      </c>
      <c r="S88" s="326">
        <v>8</v>
      </c>
      <c r="T88" s="327">
        <v>8</v>
      </c>
      <c r="U88" s="327">
        <v>8</v>
      </c>
      <c r="V88" s="327">
        <v>8</v>
      </c>
      <c r="W88" s="328"/>
      <c r="X88" s="327">
        <v>8</v>
      </c>
      <c r="Y88" s="327">
        <v>8</v>
      </c>
      <c r="Z88" s="326">
        <v>8</v>
      </c>
      <c r="AA88" s="327">
        <v>8</v>
      </c>
      <c r="AB88" s="327">
        <v>8</v>
      </c>
      <c r="AC88" s="327">
        <v>8</v>
      </c>
      <c r="AD88" s="328"/>
      <c r="AE88" s="329"/>
      <c r="AF88" s="329"/>
      <c r="AG88" s="330"/>
      <c r="AH88" s="331"/>
      <c r="AI88" s="331"/>
      <c r="AJ88" s="8"/>
    </row>
    <row r="89" spans="1:36" ht="15">
      <c r="A89" s="368"/>
      <c r="B89" s="324" t="s">
        <v>233</v>
      </c>
      <c r="C89" s="325">
        <v>66</v>
      </c>
      <c r="D89" s="325">
        <v>66</v>
      </c>
      <c r="E89" s="326">
        <v>67</v>
      </c>
      <c r="F89" s="327">
        <v>66</v>
      </c>
      <c r="G89" s="327">
        <v>68</v>
      </c>
      <c r="H89" s="327">
        <v>68</v>
      </c>
      <c r="I89" s="328"/>
      <c r="J89" s="327">
        <v>61</v>
      </c>
      <c r="K89" s="327">
        <v>68</v>
      </c>
      <c r="L89" s="326">
        <v>67</v>
      </c>
      <c r="M89" s="327">
        <v>66</v>
      </c>
      <c r="N89" s="327">
        <v>68</v>
      </c>
      <c r="O89" s="327">
        <v>68</v>
      </c>
      <c r="P89" s="328"/>
      <c r="Q89" s="327">
        <v>67</v>
      </c>
      <c r="R89" s="327">
        <v>66</v>
      </c>
      <c r="S89" s="326">
        <v>67</v>
      </c>
      <c r="T89" s="327">
        <v>67</v>
      </c>
      <c r="U89" s="327">
        <v>68</v>
      </c>
      <c r="V89" s="327">
        <v>66</v>
      </c>
      <c r="W89" s="328"/>
      <c r="X89" s="327">
        <v>65</v>
      </c>
      <c r="Y89" s="327">
        <v>66</v>
      </c>
      <c r="Z89" s="326">
        <v>66</v>
      </c>
      <c r="AA89" s="327">
        <v>65</v>
      </c>
      <c r="AB89" s="327">
        <v>65</v>
      </c>
      <c r="AC89" s="327">
        <v>66</v>
      </c>
      <c r="AD89" s="328"/>
      <c r="AE89" s="329"/>
      <c r="AF89" s="329"/>
      <c r="AG89" s="330"/>
      <c r="AH89" s="331"/>
      <c r="AI89" s="331"/>
      <c r="AJ89" s="8"/>
    </row>
    <row r="90" spans="1:36" ht="15">
      <c r="A90" s="368"/>
      <c r="B90" s="324" t="s">
        <v>234</v>
      </c>
      <c r="C90" s="325">
        <v>195.99431818181819</v>
      </c>
      <c r="D90" s="325">
        <v>195.99431818181819</v>
      </c>
      <c r="E90" s="326">
        <v>210</v>
      </c>
      <c r="F90" s="327">
        <v>210</v>
      </c>
      <c r="G90" s="327">
        <v>210</v>
      </c>
      <c r="H90" s="327">
        <v>210</v>
      </c>
      <c r="I90" s="328"/>
      <c r="J90" s="327">
        <v>210</v>
      </c>
      <c r="K90" s="327">
        <v>210.125</v>
      </c>
      <c r="L90" s="326">
        <v>210</v>
      </c>
      <c r="M90" s="327">
        <v>178.75</v>
      </c>
      <c r="N90" s="327">
        <v>210</v>
      </c>
      <c r="O90" s="327">
        <v>200</v>
      </c>
      <c r="P90" s="328"/>
      <c r="Q90" s="327">
        <v>157.875</v>
      </c>
      <c r="R90" s="327">
        <v>212</v>
      </c>
      <c r="S90" s="326">
        <v>175</v>
      </c>
      <c r="T90" s="327">
        <v>162.5</v>
      </c>
      <c r="U90" s="327">
        <v>176.75</v>
      </c>
      <c r="V90" s="327">
        <v>210</v>
      </c>
      <c r="W90" s="328"/>
      <c r="X90" s="327">
        <v>198.875</v>
      </c>
      <c r="Y90" s="327">
        <v>210</v>
      </c>
      <c r="Z90" s="326">
        <v>196</v>
      </c>
      <c r="AA90" s="327">
        <v>172.5</v>
      </c>
      <c r="AB90" s="327">
        <v>171.5</v>
      </c>
      <c r="AC90" s="327">
        <v>210</v>
      </c>
      <c r="AD90" s="328"/>
      <c r="AE90" s="329"/>
      <c r="AF90" s="329"/>
      <c r="AG90" s="330"/>
      <c r="AH90" s="331"/>
      <c r="AI90" s="331"/>
      <c r="AJ90" s="8"/>
    </row>
    <row r="91" spans="1:36" ht="15">
      <c r="A91" s="369"/>
      <c r="B91" s="333" t="s">
        <v>235</v>
      </c>
      <c r="C91" s="334">
        <v>2.9695999999999998</v>
      </c>
      <c r="D91" s="334">
        <v>2.9695999999999998</v>
      </c>
      <c r="E91" s="335">
        <v>3.1343000000000001</v>
      </c>
      <c r="F91" s="334">
        <v>3.1818</v>
      </c>
      <c r="G91" s="334">
        <v>3.0882000000000001</v>
      </c>
      <c r="H91" s="334">
        <v>3.0882000000000001</v>
      </c>
      <c r="I91" s="336"/>
      <c r="J91" s="334">
        <v>3.4426000000000001</v>
      </c>
      <c r="K91" s="334">
        <v>3.0901000000000001</v>
      </c>
      <c r="L91" s="335">
        <v>3.1343000000000001</v>
      </c>
      <c r="M91" s="334">
        <v>2.7082999999999999</v>
      </c>
      <c r="N91" s="334">
        <v>3.0882000000000001</v>
      </c>
      <c r="O91" s="334">
        <v>2.9412000000000003</v>
      </c>
      <c r="P91" s="336"/>
      <c r="Q91" s="334">
        <v>2.3563000000000001</v>
      </c>
      <c r="R91" s="334">
        <v>3.2121</v>
      </c>
      <c r="S91" s="335">
        <v>2.6118999999999999</v>
      </c>
      <c r="T91" s="334">
        <v>2.4253999999999998</v>
      </c>
      <c r="U91" s="334">
        <v>2.5992999999999999</v>
      </c>
      <c r="V91" s="334">
        <v>3.1818</v>
      </c>
      <c r="W91" s="336"/>
      <c r="X91" s="334">
        <v>3.0596000000000001</v>
      </c>
      <c r="Y91" s="334">
        <v>3.1818</v>
      </c>
      <c r="Z91" s="335">
        <v>2.9697</v>
      </c>
      <c r="AA91" s="334">
        <v>2.6537999999999999</v>
      </c>
      <c r="AB91" s="334">
        <v>2.6385000000000001</v>
      </c>
      <c r="AC91" s="334">
        <v>3.1818</v>
      </c>
      <c r="AD91" s="336"/>
      <c r="AE91" s="337"/>
      <c r="AF91" s="337"/>
      <c r="AG91" s="338"/>
      <c r="AH91" s="339"/>
      <c r="AI91" s="339"/>
      <c r="AJ91" s="8"/>
    </row>
    <row r="92" spans="1:36" ht="15">
      <c r="A92" s="367" t="s">
        <v>246</v>
      </c>
      <c r="B92" s="314" t="s">
        <v>228</v>
      </c>
      <c r="C92" s="315">
        <v>38720</v>
      </c>
      <c r="D92" s="315">
        <v>1760</v>
      </c>
      <c r="E92" s="316">
        <v>1760</v>
      </c>
      <c r="F92" s="317">
        <v>1760</v>
      </c>
      <c r="G92" s="317">
        <v>1760</v>
      </c>
      <c r="H92" s="317">
        <v>1760</v>
      </c>
      <c r="I92" s="318"/>
      <c r="J92" s="317">
        <v>1760</v>
      </c>
      <c r="K92" s="317">
        <v>1760</v>
      </c>
      <c r="L92" s="316">
        <v>1760</v>
      </c>
      <c r="M92" s="317">
        <v>1760</v>
      </c>
      <c r="N92" s="317">
        <v>1760</v>
      </c>
      <c r="O92" s="317">
        <v>1760</v>
      </c>
      <c r="P92" s="318"/>
      <c r="Q92" s="317">
        <v>1760</v>
      </c>
      <c r="R92" s="317">
        <v>1760</v>
      </c>
      <c r="S92" s="316">
        <v>1760</v>
      </c>
      <c r="T92" s="317">
        <v>1760</v>
      </c>
      <c r="U92" s="317">
        <v>1760</v>
      </c>
      <c r="V92" s="317">
        <v>1760</v>
      </c>
      <c r="W92" s="318"/>
      <c r="X92" s="317">
        <v>1760</v>
      </c>
      <c r="Y92" s="317">
        <v>1760</v>
      </c>
      <c r="Z92" s="316">
        <v>1760</v>
      </c>
      <c r="AA92" s="317">
        <v>1760</v>
      </c>
      <c r="AB92" s="317">
        <v>1760</v>
      </c>
      <c r="AC92" s="317">
        <v>1760</v>
      </c>
      <c r="AD92" s="318"/>
      <c r="AE92" s="319"/>
      <c r="AF92" s="319"/>
      <c r="AG92" s="320"/>
      <c r="AH92" s="321"/>
      <c r="AI92" s="321"/>
      <c r="AJ92" s="8"/>
    </row>
    <row r="93" spans="1:36" ht="15">
      <c r="A93" s="368"/>
      <c r="B93" s="314" t="s">
        <v>229</v>
      </c>
      <c r="C93" s="315">
        <v>36960</v>
      </c>
      <c r="D93" s="315">
        <v>1680</v>
      </c>
      <c r="E93" s="316">
        <v>1680</v>
      </c>
      <c r="F93" s="317">
        <v>1680</v>
      </c>
      <c r="G93" s="317">
        <v>1680</v>
      </c>
      <c r="H93" s="317">
        <v>1680</v>
      </c>
      <c r="I93" s="318"/>
      <c r="J93" s="317">
        <v>1680</v>
      </c>
      <c r="K93" s="317">
        <v>1680</v>
      </c>
      <c r="L93" s="316">
        <v>1680</v>
      </c>
      <c r="M93" s="317">
        <v>1680</v>
      </c>
      <c r="N93" s="317">
        <v>1680</v>
      </c>
      <c r="O93" s="317">
        <v>1680</v>
      </c>
      <c r="P93" s="318"/>
      <c r="Q93" s="317">
        <v>1680</v>
      </c>
      <c r="R93" s="317">
        <v>1680</v>
      </c>
      <c r="S93" s="316">
        <v>1680</v>
      </c>
      <c r="T93" s="317">
        <v>1680</v>
      </c>
      <c r="U93" s="317">
        <v>1680</v>
      </c>
      <c r="V93" s="317">
        <v>1680</v>
      </c>
      <c r="W93" s="318"/>
      <c r="X93" s="317">
        <v>1680</v>
      </c>
      <c r="Y93" s="317">
        <v>1680</v>
      </c>
      <c r="Z93" s="316">
        <v>1680</v>
      </c>
      <c r="AA93" s="317">
        <v>1680</v>
      </c>
      <c r="AB93" s="317">
        <v>1680</v>
      </c>
      <c r="AC93" s="317">
        <v>1680</v>
      </c>
      <c r="AD93" s="318"/>
      <c r="AE93" s="317">
        <v>1680</v>
      </c>
      <c r="AF93" s="317">
        <v>1680</v>
      </c>
      <c r="AG93" s="322">
        <v>1680</v>
      </c>
      <c r="AH93" s="323">
        <v>1680</v>
      </c>
      <c r="AI93" s="323">
        <v>1680</v>
      </c>
      <c r="AJ93" s="8"/>
    </row>
    <row r="94" spans="1:36" ht="15">
      <c r="A94" s="368"/>
      <c r="B94" s="324" t="s">
        <v>230</v>
      </c>
      <c r="C94" s="325">
        <v>34848</v>
      </c>
      <c r="D94" s="325">
        <v>1584</v>
      </c>
      <c r="E94" s="326">
        <v>1680</v>
      </c>
      <c r="F94" s="327">
        <v>1350</v>
      </c>
      <c r="G94" s="327">
        <v>1680</v>
      </c>
      <c r="H94" s="327">
        <v>1680</v>
      </c>
      <c r="I94" s="328"/>
      <c r="J94" s="327">
        <v>1680</v>
      </c>
      <c r="K94" s="327">
        <v>1680</v>
      </c>
      <c r="L94" s="326">
        <v>1680</v>
      </c>
      <c r="M94" s="327">
        <v>1530</v>
      </c>
      <c r="N94" s="327">
        <v>1680</v>
      </c>
      <c r="O94" s="327">
        <v>1640</v>
      </c>
      <c r="P94" s="328"/>
      <c r="Q94" s="327">
        <v>1680</v>
      </c>
      <c r="R94" s="327">
        <v>1540</v>
      </c>
      <c r="S94" s="326">
        <v>1680</v>
      </c>
      <c r="T94" s="327">
        <v>1250</v>
      </c>
      <c r="U94" s="327">
        <v>1370</v>
      </c>
      <c r="V94" s="327">
        <v>1628</v>
      </c>
      <c r="W94" s="328"/>
      <c r="X94" s="327">
        <v>1440</v>
      </c>
      <c r="Y94" s="327">
        <v>1680</v>
      </c>
      <c r="Z94" s="326">
        <v>1540</v>
      </c>
      <c r="AA94" s="327">
        <v>1590</v>
      </c>
      <c r="AB94" s="327">
        <v>1490</v>
      </c>
      <c r="AC94" s="327">
        <v>1680</v>
      </c>
      <c r="AD94" s="328"/>
      <c r="AE94" s="329"/>
      <c r="AF94" s="329"/>
      <c r="AG94" s="330"/>
      <c r="AH94" s="331"/>
      <c r="AI94" s="331"/>
      <c r="AJ94" s="8"/>
    </row>
    <row r="95" spans="1:36" ht="15">
      <c r="A95" s="368"/>
      <c r="B95" s="324" t="s">
        <v>231</v>
      </c>
      <c r="C95" s="332">
        <v>-2112</v>
      </c>
      <c r="D95" s="332">
        <v>-96</v>
      </c>
      <c r="E95" s="326">
        <v>0</v>
      </c>
      <c r="F95" s="329">
        <v>-330</v>
      </c>
      <c r="G95" s="327">
        <v>0</v>
      </c>
      <c r="H95" s="327">
        <v>0</v>
      </c>
      <c r="I95" s="328"/>
      <c r="J95" s="327">
        <v>0</v>
      </c>
      <c r="K95" s="327">
        <v>0</v>
      </c>
      <c r="L95" s="326">
        <v>0</v>
      </c>
      <c r="M95" s="329">
        <v>-150</v>
      </c>
      <c r="N95" s="327">
        <v>0</v>
      </c>
      <c r="O95" s="329">
        <v>-40</v>
      </c>
      <c r="P95" s="328"/>
      <c r="Q95" s="327">
        <v>0</v>
      </c>
      <c r="R95" s="329">
        <v>-140</v>
      </c>
      <c r="S95" s="326">
        <v>0</v>
      </c>
      <c r="T95" s="329">
        <v>-430</v>
      </c>
      <c r="U95" s="329">
        <v>-310</v>
      </c>
      <c r="V95" s="329">
        <v>-52</v>
      </c>
      <c r="W95" s="328"/>
      <c r="X95" s="329">
        <v>-240</v>
      </c>
      <c r="Y95" s="327">
        <v>0</v>
      </c>
      <c r="Z95" s="328">
        <v>-140</v>
      </c>
      <c r="AA95" s="329">
        <v>-90</v>
      </c>
      <c r="AB95" s="329">
        <v>-190</v>
      </c>
      <c r="AC95" s="327">
        <v>0</v>
      </c>
      <c r="AD95" s="328"/>
      <c r="AE95" s="329"/>
      <c r="AF95" s="329"/>
      <c r="AG95" s="330"/>
      <c r="AH95" s="331"/>
      <c r="AI95" s="331"/>
      <c r="AJ95" s="8"/>
    </row>
    <row r="96" spans="1:36" ht="15">
      <c r="A96" s="368"/>
      <c r="B96" s="324" t="s">
        <v>232</v>
      </c>
      <c r="C96" s="325">
        <v>176</v>
      </c>
      <c r="D96" s="325">
        <v>8</v>
      </c>
      <c r="E96" s="326">
        <v>8</v>
      </c>
      <c r="F96" s="327">
        <v>8</v>
      </c>
      <c r="G96" s="327">
        <v>8</v>
      </c>
      <c r="H96" s="327">
        <v>8</v>
      </c>
      <c r="I96" s="328"/>
      <c r="J96" s="327">
        <v>8</v>
      </c>
      <c r="K96" s="327">
        <v>8</v>
      </c>
      <c r="L96" s="326">
        <v>8</v>
      </c>
      <c r="M96" s="327">
        <v>8</v>
      </c>
      <c r="N96" s="327">
        <v>8</v>
      </c>
      <c r="O96" s="327">
        <v>8</v>
      </c>
      <c r="P96" s="328"/>
      <c r="Q96" s="327">
        <v>8</v>
      </c>
      <c r="R96" s="327">
        <v>8</v>
      </c>
      <c r="S96" s="326">
        <v>8</v>
      </c>
      <c r="T96" s="327">
        <v>8</v>
      </c>
      <c r="U96" s="327">
        <v>8</v>
      </c>
      <c r="V96" s="327">
        <v>8</v>
      </c>
      <c r="W96" s="328"/>
      <c r="X96" s="327">
        <v>8</v>
      </c>
      <c r="Y96" s="327">
        <v>8</v>
      </c>
      <c r="Z96" s="326">
        <v>8</v>
      </c>
      <c r="AA96" s="327">
        <v>8</v>
      </c>
      <c r="AB96" s="327">
        <v>8</v>
      </c>
      <c r="AC96" s="327">
        <v>8</v>
      </c>
      <c r="AD96" s="328"/>
      <c r="AE96" s="329"/>
      <c r="AF96" s="329"/>
      <c r="AG96" s="330"/>
      <c r="AH96" s="331"/>
      <c r="AI96" s="331"/>
      <c r="AJ96" s="8"/>
    </row>
    <row r="97" spans="1:36" ht="15">
      <c r="A97" s="368"/>
      <c r="B97" s="324" t="s">
        <v>233</v>
      </c>
      <c r="C97" s="325">
        <v>64</v>
      </c>
      <c r="D97" s="325">
        <v>64</v>
      </c>
      <c r="E97" s="326">
        <v>67</v>
      </c>
      <c r="F97" s="327">
        <v>63</v>
      </c>
      <c r="G97" s="327">
        <v>63</v>
      </c>
      <c r="H97" s="327">
        <v>62</v>
      </c>
      <c r="I97" s="328"/>
      <c r="J97" s="327">
        <v>62</v>
      </c>
      <c r="K97" s="327">
        <v>62</v>
      </c>
      <c r="L97" s="326">
        <v>64</v>
      </c>
      <c r="M97" s="327">
        <v>64</v>
      </c>
      <c r="N97" s="327">
        <v>64</v>
      </c>
      <c r="O97" s="327">
        <v>63</v>
      </c>
      <c r="P97" s="328"/>
      <c r="Q97" s="327">
        <v>65</v>
      </c>
      <c r="R97" s="327">
        <v>67</v>
      </c>
      <c r="S97" s="326">
        <v>67</v>
      </c>
      <c r="T97" s="327">
        <v>67</v>
      </c>
      <c r="U97" s="327">
        <v>67</v>
      </c>
      <c r="V97" s="327">
        <v>65</v>
      </c>
      <c r="W97" s="328"/>
      <c r="X97" s="327">
        <v>64</v>
      </c>
      <c r="Y97" s="327">
        <v>65</v>
      </c>
      <c r="Z97" s="326">
        <v>64</v>
      </c>
      <c r="AA97" s="327">
        <v>65</v>
      </c>
      <c r="AB97" s="327">
        <v>64</v>
      </c>
      <c r="AC97" s="327">
        <v>65</v>
      </c>
      <c r="AD97" s="328"/>
      <c r="AE97" s="329"/>
      <c r="AF97" s="329"/>
      <c r="AG97" s="330"/>
      <c r="AH97" s="331"/>
      <c r="AI97" s="331"/>
      <c r="AJ97" s="8"/>
    </row>
    <row r="98" spans="1:36" ht="15">
      <c r="A98" s="368"/>
      <c r="B98" s="324" t="s">
        <v>234</v>
      </c>
      <c r="C98" s="325">
        <v>198</v>
      </c>
      <c r="D98" s="325">
        <v>198</v>
      </c>
      <c r="E98" s="326">
        <v>210</v>
      </c>
      <c r="F98" s="327">
        <v>168.75</v>
      </c>
      <c r="G98" s="327">
        <v>210</v>
      </c>
      <c r="H98" s="327">
        <v>210</v>
      </c>
      <c r="I98" s="328"/>
      <c r="J98" s="327">
        <v>210</v>
      </c>
      <c r="K98" s="327">
        <v>210</v>
      </c>
      <c r="L98" s="326">
        <v>210</v>
      </c>
      <c r="M98" s="327">
        <v>191.25</v>
      </c>
      <c r="N98" s="327">
        <v>210</v>
      </c>
      <c r="O98" s="327">
        <v>205</v>
      </c>
      <c r="P98" s="328"/>
      <c r="Q98" s="327">
        <v>210</v>
      </c>
      <c r="R98" s="327">
        <v>192.5</v>
      </c>
      <c r="S98" s="326">
        <v>210</v>
      </c>
      <c r="T98" s="327">
        <v>156.25</v>
      </c>
      <c r="U98" s="327">
        <v>171.25</v>
      </c>
      <c r="V98" s="327">
        <v>203.5</v>
      </c>
      <c r="W98" s="328"/>
      <c r="X98" s="327">
        <v>180</v>
      </c>
      <c r="Y98" s="327">
        <v>210</v>
      </c>
      <c r="Z98" s="326">
        <v>192.5</v>
      </c>
      <c r="AA98" s="327">
        <v>198.75</v>
      </c>
      <c r="AB98" s="327">
        <v>186.25</v>
      </c>
      <c r="AC98" s="327">
        <v>210</v>
      </c>
      <c r="AD98" s="328"/>
      <c r="AE98" s="329"/>
      <c r="AF98" s="329"/>
      <c r="AG98" s="330"/>
      <c r="AH98" s="331"/>
      <c r="AI98" s="331"/>
      <c r="AJ98" s="8"/>
    </row>
    <row r="99" spans="1:36" ht="15">
      <c r="A99" s="369"/>
      <c r="B99" s="333" t="s">
        <v>235</v>
      </c>
      <c r="C99" s="334">
        <v>3.0937999999999999</v>
      </c>
      <c r="D99" s="334">
        <v>3.0937999999999999</v>
      </c>
      <c r="E99" s="335">
        <v>3.1343000000000001</v>
      </c>
      <c r="F99" s="334">
        <v>2.6785999999999999</v>
      </c>
      <c r="G99" s="334">
        <v>3.3332999999999999</v>
      </c>
      <c r="H99" s="334">
        <v>3.3871000000000002</v>
      </c>
      <c r="I99" s="336"/>
      <c r="J99" s="334">
        <v>3.3871000000000002</v>
      </c>
      <c r="K99" s="334">
        <v>3.3871000000000002</v>
      </c>
      <c r="L99" s="335">
        <v>3.2812999999999999</v>
      </c>
      <c r="M99" s="334">
        <v>2.9882999999999997</v>
      </c>
      <c r="N99" s="334">
        <v>3.2812999999999999</v>
      </c>
      <c r="O99" s="334">
        <v>3.254</v>
      </c>
      <c r="P99" s="336"/>
      <c r="Q99" s="334">
        <v>3.2307999999999999</v>
      </c>
      <c r="R99" s="334">
        <v>2.8731</v>
      </c>
      <c r="S99" s="335">
        <v>3.1343000000000001</v>
      </c>
      <c r="T99" s="334">
        <v>2.3321000000000001</v>
      </c>
      <c r="U99" s="334">
        <v>2.556</v>
      </c>
      <c r="V99" s="334">
        <v>3.1307999999999998</v>
      </c>
      <c r="W99" s="336"/>
      <c r="X99" s="334">
        <v>2.8125</v>
      </c>
      <c r="Y99" s="334">
        <v>3.2307999999999999</v>
      </c>
      <c r="Z99" s="335">
        <v>3.0078</v>
      </c>
      <c r="AA99" s="334">
        <v>3.0577000000000001</v>
      </c>
      <c r="AB99" s="334">
        <v>2.9102000000000001</v>
      </c>
      <c r="AC99" s="334">
        <v>3.2307999999999999</v>
      </c>
      <c r="AD99" s="336"/>
      <c r="AE99" s="337"/>
      <c r="AF99" s="337"/>
      <c r="AG99" s="338"/>
      <c r="AH99" s="339"/>
      <c r="AI99" s="339"/>
      <c r="AJ99" s="8"/>
    </row>
    <row r="100" spans="1:36" ht="15">
      <c r="A100" s="367" t="s">
        <v>247</v>
      </c>
      <c r="B100" s="314" t="s">
        <v>228</v>
      </c>
      <c r="C100" s="315">
        <v>38576</v>
      </c>
      <c r="D100" s="315">
        <v>1753.4545454545455</v>
      </c>
      <c r="E100" s="316">
        <v>1760</v>
      </c>
      <c r="F100" s="317">
        <v>1760</v>
      </c>
      <c r="G100" s="317">
        <v>1760</v>
      </c>
      <c r="H100" s="317">
        <v>1760</v>
      </c>
      <c r="I100" s="318"/>
      <c r="J100" s="317">
        <v>1760</v>
      </c>
      <c r="K100" s="317">
        <v>1760</v>
      </c>
      <c r="L100" s="316">
        <v>1760</v>
      </c>
      <c r="M100" s="317">
        <v>1760</v>
      </c>
      <c r="N100" s="317">
        <v>1760</v>
      </c>
      <c r="O100" s="317">
        <v>1760</v>
      </c>
      <c r="P100" s="318"/>
      <c r="Q100" s="317">
        <v>1760</v>
      </c>
      <c r="R100" s="317">
        <v>1760</v>
      </c>
      <c r="S100" s="316">
        <v>1760</v>
      </c>
      <c r="T100" s="317">
        <v>1712</v>
      </c>
      <c r="U100" s="317">
        <v>1760</v>
      </c>
      <c r="V100" s="317">
        <v>1760</v>
      </c>
      <c r="W100" s="318"/>
      <c r="X100" s="317">
        <v>1760</v>
      </c>
      <c r="Y100" s="317">
        <v>1664</v>
      </c>
      <c r="Z100" s="316">
        <v>1760</v>
      </c>
      <c r="AA100" s="317">
        <v>1760</v>
      </c>
      <c r="AB100" s="317">
        <v>1760</v>
      </c>
      <c r="AC100" s="317">
        <v>1760</v>
      </c>
      <c r="AD100" s="318"/>
      <c r="AE100" s="319"/>
      <c r="AF100" s="319"/>
      <c r="AG100" s="320"/>
      <c r="AH100" s="321"/>
      <c r="AI100" s="321"/>
      <c r="AJ100" s="8"/>
    </row>
    <row r="101" spans="1:36" ht="15">
      <c r="A101" s="368"/>
      <c r="B101" s="314" t="s">
        <v>229</v>
      </c>
      <c r="C101" s="315">
        <v>36540</v>
      </c>
      <c r="D101" s="315">
        <v>1660.909090909091</v>
      </c>
      <c r="E101" s="316">
        <v>1680</v>
      </c>
      <c r="F101" s="317">
        <v>1680</v>
      </c>
      <c r="G101" s="317">
        <v>1680</v>
      </c>
      <c r="H101" s="317">
        <v>1680</v>
      </c>
      <c r="I101" s="318"/>
      <c r="J101" s="317">
        <v>1680</v>
      </c>
      <c r="K101" s="317">
        <v>1680</v>
      </c>
      <c r="L101" s="316">
        <v>1680</v>
      </c>
      <c r="M101" s="317">
        <v>1680</v>
      </c>
      <c r="N101" s="317">
        <v>1680</v>
      </c>
      <c r="O101" s="317">
        <v>1260</v>
      </c>
      <c r="P101" s="318"/>
      <c r="Q101" s="317">
        <v>1680</v>
      </c>
      <c r="R101" s="317">
        <v>1680</v>
      </c>
      <c r="S101" s="316">
        <v>1680</v>
      </c>
      <c r="T101" s="317">
        <v>1680</v>
      </c>
      <c r="U101" s="317">
        <v>1680</v>
      </c>
      <c r="V101" s="317">
        <v>1680</v>
      </c>
      <c r="W101" s="318"/>
      <c r="X101" s="317">
        <v>1680</v>
      </c>
      <c r="Y101" s="317">
        <v>1680</v>
      </c>
      <c r="Z101" s="316">
        <v>1680</v>
      </c>
      <c r="AA101" s="317">
        <v>1680</v>
      </c>
      <c r="AB101" s="317">
        <v>1680</v>
      </c>
      <c r="AC101" s="317">
        <v>1680</v>
      </c>
      <c r="AD101" s="318"/>
      <c r="AE101" s="317">
        <v>1680</v>
      </c>
      <c r="AF101" s="317">
        <v>1680</v>
      </c>
      <c r="AG101" s="322">
        <v>1680</v>
      </c>
      <c r="AH101" s="323">
        <v>1680</v>
      </c>
      <c r="AI101" s="323">
        <v>1680</v>
      </c>
      <c r="AJ101" s="8"/>
    </row>
    <row r="102" spans="1:36" ht="15">
      <c r="A102" s="368"/>
      <c r="B102" s="324" t="s">
        <v>230</v>
      </c>
      <c r="C102" s="325">
        <v>35237</v>
      </c>
      <c r="D102" s="325">
        <v>1601.6818181818182</v>
      </c>
      <c r="E102" s="326">
        <v>1712</v>
      </c>
      <c r="F102" s="327">
        <v>1496</v>
      </c>
      <c r="G102" s="327">
        <v>1680</v>
      </c>
      <c r="H102" s="327">
        <v>1680</v>
      </c>
      <c r="I102" s="328"/>
      <c r="J102" s="327">
        <v>1680</v>
      </c>
      <c r="K102" s="327">
        <v>1680</v>
      </c>
      <c r="L102" s="326">
        <v>1680</v>
      </c>
      <c r="M102" s="327">
        <v>1580</v>
      </c>
      <c r="N102" s="327">
        <v>1680</v>
      </c>
      <c r="O102" s="327">
        <v>1310</v>
      </c>
      <c r="P102" s="328"/>
      <c r="Q102" s="327">
        <v>1680</v>
      </c>
      <c r="R102" s="327">
        <v>1680</v>
      </c>
      <c r="S102" s="326">
        <v>1380</v>
      </c>
      <c r="T102" s="327">
        <v>1680</v>
      </c>
      <c r="U102" s="327">
        <v>1560</v>
      </c>
      <c r="V102" s="327">
        <v>1620</v>
      </c>
      <c r="W102" s="328"/>
      <c r="X102" s="327">
        <v>1480</v>
      </c>
      <c r="Y102" s="327">
        <v>1680</v>
      </c>
      <c r="Z102" s="326">
        <v>1680</v>
      </c>
      <c r="AA102" s="327">
        <v>1519</v>
      </c>
      <c r="AB102" s="327">
        <v>1420</v>
      </c>
      <c r="AC102" s="327">
        <v>1680</v>
      </c>
      <c r="AD102" s="328"/>
      <c r="AE102" s="329"/>
      <c r="AF102" s="329"/>
      <c r="AG102" s="330"/>
      <c r="AH102" s="331"/>
      <c r="AI102" s="331"/>
      <c r="AJ102" s="8"/>
    </row>
    <row r="103" spans="1:36" ht="15">
      <c r="A103" s="368"/>
      <c r="B103" s="324" t="s">
        <v>231</v>
      </c>
      <c r="C103" s="332">
        <v>-1303</v>
      </c>
      <c r="D103" s="332">
        <v>-59.227272727272727</v>
      </c>
      <c r="E103" s="326">
        <v>32</v>
      </c>
      <c r="F103" s="329">
        <v>-184</v>
      </c>
      <c r="G103" s="327">
        <v>0</v>
      </c>
      <c r="H103" s="327">
        <v>0</v>
      </c>
      <c r="I103" s="328"/>
      <c r="J103" s="327">
        <v>0</v>
      </c>
      <c r="K103" s="327">
        <v>0</v>
      </c>
      <c r="L103" s="326">
        <v>0</v>
      </c>
      <c r="M103" s="329">
        <v>-100</v>
      </c>
      <c r="N103" s="327">
        <v>0</v>
      </c>
      <c r="O103" s="327">
        <v>50</v>
      </c>
      <c r="P103" s="328"/>
      <c r="Q103" s="327">
        <v>0</v>
      </c>
      <c r="R103" s="327">
        <v>0</v>
      </c>
      <c r="S103" s="328">
        <v>-300</v>
      </c>
      <c r="T103" s="327">
        <v>0</v>
      </c>
      <c r="U103" s="329">
        <v>-120</v>
      </c>
      <c r="V103" s="329">
        <v>-60</v>
      </c>
      <c r="W103" s="328"/>
      <c r="X103" s="329">
        <v>-200</v>
      </c>
      <c r="Y103" s="327">
        <v>0</v>
      </c>
      <c r="Z103" s="326">
        <v>0</v>
      </c>
      <c r="AA103" s="329">
        <v>-161</v>
      </c>
      <c r="AB103" s="329">
        <v>-260</v>
      </c>
      <c r="AC103" s="327">
        <v>0</v>
      </c>
      <c r="AD103" s="328"/>
      <c r="AE103" s="329"/>
      <c r="AF103" s="329"/>
      <c r="AG103" s="330"/>
      <c r="AH103" s="331"/>
      <c r="AI103" s="331"/>
      <c r="AJ103" s="8"/>
    </row>
    <row r="104" spans="1:36" ht="15">
      <c r="A104" s="368"/>
      <c r="B104" s="324" t="s">
        <v>232</v>
      </c>
      <c r="C104" s="325">
        <v>176</v>
      </c>
      <c r="D104" s="325">
        <v>8</v>
      </c>
      <c r="E104" s="326">
        <v>8</v>
      </c>
      <c r="F104" s="327">
        <v>8</v>
      </c>
      <c r="G104" s="327">
        <v>8</v>
      </c>
      <c r="H104" s="327">
        <v>8</v>
      </c>
      <c r="I104" s="328"/>
      <c r="J104" s="327">
        <v>8</v>
      </c>
      <c r="K104" s="327">
        <v>8</v>
      </c>
      <c r="L104" s="326">
        <v>8</v>
      </c>
      <c r="M104" s="327">
        <v>8</v>
      </c>
      <c r="N104" s="327">
        <v>8</v>
      </c>
      <c r="O104" s="327">
        <v>8</v>
      </c>
      <c r="P104" s="328"/>
      <c r="Q104" s="327">
        <v>8</v>
      </c>
      <c r="R104" s="327">
        <v>8</v>
      </c>
      <c r="S104" s="326">
        <v>8</v>
      </c>
      <c r="T104" s="327">
        <v>8</v>
      </c>
      <c r="U104" s="327">
        <v>8</v>
      </c>
      <c r="V104" s="327">
        <v>8</v>
      </c>
      <c r="W104" s="328"/>
      <c r="X104" s="327">
        <v>8</v>
      </c>
      <c r="Y104" s="327">
        <v>8</v>
      </c>
      <c r="Z104" s="326">
        <v>8</v>
      </c>
      <c r="AA104" s="327">
        <v>8</v>
      </c>
      <c r="AB104" s="327">
        <v>8</v>
      </c>
      <c r="AC104" s="327">
        <v>8</v>
      </c>
      <c r="AD104" s="328"/>
      <c r="AE104" s="329"/>
      <c r="AF104" s="329"/>
      <c r="AG104" s="330"/>
      <c r="AH104" s="331"/>
      <c r="AI104" s="331"/>
      <c r="AJ104" s="8"/>
    </row>
    <row r="105" spans="1:36" ht="15">
      <c r="A105" s="368"/>
      <c r="B105" s="324" t="s">
        <v>233</v>
      </c>
      <c r="C105" s="325">
        <v>64</v>
      </c>
      <c r="D105" s="325">
        <v>64</v>
      </c>
      <c r="E105" s="326">
        <v>65</v>
      </c>
      <c r="F105" s="327">
        <v>64</v>
      </c>
      <c r="G105" s="327">
        <v>64</v>
      </c>
      <c r="H105" s="327">
        <v>64</v>
      </c>
      <c r="I105" s="328"/>
      <c r="J105" s="327">
        <v>62</v>
      </c>
      <c r="K105" s="327">
        <v>65</v>
      </c>
      <c r="L105" s="326">
        <v>64</v>
      </c>
      <c r="M105" s="327">
        <v>63</v>
      </c>
      <c r="N105" s="327">
        <v>64</v>
      </c>
      <c r="O105" s="327">
        <v>64</v>
      </c>
      <c r="P105" s="328"/>
      <c r="Q105" s="327">
        <v>65</v>
      </c>
      <c r="R105" s="327">
        <v>64</v>
      </c>
      <c r="S105" s="326">
        <v>64</v>
      </c>
      <c r="T105" s="327">
        <v>65</v>
      </c>
      <c r="U105" s="327">
        <v>66</v>
      </c>
      <c r="V105" s="327">
        <v>66</v>
      </c>
      <c r="W105" s="328"/>
      <c r="X105" s="327">
        <v>65</v>
      </c>
      <c r="Y105" s="327">
        <v>66</v>
      </c>
      <c r="Z105" s="326">
        <v>66</v>
      </c>
      <c r="AA105" s="327">
        <v>67</v>
      </c>
      <c r="AB105" s="327">
        <v>66</v>
      </c>
      <c r="AC105" s="327">
        <v>66</v>
      </c>
      <c r="AD105" s="328"/>
      <c r="AE105" s="329"/>
      <c r="AF105" s="329"/>
      <c r="AG105" s="330"/>
      <c r="AH105" s="331"/>
      <c r="AI105" s="331"/>
      <c r="AJ105" s="8"/>
    </row>
    <row r="106" spans="1:36" ht="15">
      <c r="A106" s="368"/>
      <c r="B106" s="324" t="s">
        <v>234</v>
      </c>
      <c r="C106" s="325">
        <v>200.21022727272728</v>
      </c>
      <c r="D106" s="325">
        <v>200.21022727272728</v>
      </c>
      <c r="E106" s="326">
        <v>214</v>
      </c>
      <c r="F106" s="327">
        <v>187</v>
      </c>
      <c r="G106" s="327">
        <v>210</v>
      </c>
      <c r="H106" s="327">
        <v>210</v>
      </c>
      <c r="I106" s="328"/>
      <c r="J106" s="327">
        <v>210</v>
      </c>
      <c r="K106" s="327">
        <v>210</v>
      </c>
      <c r="L106" s="326">
        <v>210</v>
      </c>
      <c r="M106" s="327">
        <v>197.5</v>
      </c>
      <c r="N106" s="327">
        <v>210</v>
      </c>
      <c r="O106" s="327">
        <v>163.75</v>
      </c>
      <c r="P106" s="328"/>
      <c r="Q106" s="327">
        <v>210</v>
      </c>
      <c r="R106" s="327">
        <v>210</v>
      </c>
      <c r="S106" s="326">
        <v>172.5</v>
      </c>
      <c r="T106" s="327">
        <v>210</v>
      </c>
      <c r="U106" s="327">
        <v>195</v>
      </c>
      <c r="V106" s="327">
        <v>202.5</v>
      </c>
      <c r="W106" s="328"/>
      <c r="X106" s="327">
        <v>185</v>
      </c>
      <c r="Y106" s="327">
        <v>210</v>
      </c>
      <c r="Z106" s="326">
        <v>210</v>
      </c>
      <c r="AA106" s="327">
        <v>189.875</v>
      </c>
      <c r="AB106" s="327">
        <v>177.5</v>
      </c>
      <c r="AC106" s="327">
        <v>210</v>
      </c>
      <c r="AD106" s="328"/>
      <c r="AE106" s="329"/>
      <c r="AF106" s="329"/>
      <c r="AG106" s="330"/>
      <c r="AH106" s="331"/>
      <c r="AI106" s="331"/>
      <c r="AJ106" s="8"/>
    </row>
    <row r="107" spans="1:36" ht="15">
      <c r="A107" s="369"/>
      <c r="B107" s="333" t="s">
        <v>235</v>
      </c>
      <c r="C107" s="334">
        <v>3.1282999999999999</v>
      </c>
      <c r="D107" s="334">
        <v>3.1282999999999999</v>
      </c>
      <c r="E107" s="335">
        <v>3.2923</v>
      </c>
      <c r="F107" s="334">
        <v>2.9218999999999999</v>
      </c>
      <c r="G107" s="334">
        <v>3.2812999999999999</v>
      </c>
      <c r="H107" s="334">
        <v>3.2812999999999999</v>
      </c>
      <c r="I107" s="336"/>
      <c r="J107" s="334">
        <v>3.3871000000000002</v>
      </c>
      <c r="K107" s="334">
        <v>3.2307999999999999</v>
      </c>
      <c r="L107" s="335">
        <v>3.2812999999999999</v>
      </c>
      <c r="M107" s="334">
        <v>3.1349</v>
      </c>
      <c r="N107" s="334">
        <v>3.2812999999999999</v>
      </c>
      <c r="O107" s="334">
        <v>2.5586000000000002</v>
      </c>
      <c r="P107" s="336"/>
      <c r="Q107" s="334">
        <v>3.2307999999999999</v>
      </c>
      <c r="R107" s="334">
        <v>3.2812999999999999</v>
      </c>
      <c r="S107" s="335">
        <v>2.6953</v>
      </c>
      <c r="T107" s="334">
        <v>3.2307999999999999</v>
      </c>
      <c r="U107" s="334">
        <v>2.9544999999999999</v>
      </c>
      <c r="V107" s="334">
        <v>3.0682</v>
      </c>
      <c r="W107" s="336"/>
      <c r="X107" s="334">
        <v>2.8462000000000001</v>
      </c>
      <c r="Y107" s="334">
        <v>3.1818</v>
      </c>
      <c r="Z107" s="335">
        <v>3.1818</v>
      </c>
      <c r="AA107" s="334">
        <v>2.8340000000000001</v>
      </c>
      <c r="AB107" s="334">
        <v>2.6894</v>
      </c>
      <c r="AC107" s="334">
        <v>3.1818</v>
      </c>
      <c r="AD107" s="336"/>
      <c r="AE107" s="337"/>
      <c r="AF107" s="337"/>
      <c r="AG107" s="338"/>
      <c r="AH107" s="339"/>
      <c r="AI107" s="339"/>
      <c r="AJ107" s="8"/>
    </row>
    <row r="108" spans="1:36" ht="15">
      <c r="A108" s="367" t="s">
        <v>248</v>
      </c>
      <c r="B108" s="314" t="s">
        <v>228</v>
      </c>
      <c r="C108" s="315">
        <v>33136</v>
      </c>
      <c r="D108" s="315">
        <v>1506.1818181818182</v>
      </c>
      <c r="E108" s="316">
        <v>1440</v>
      </c>
      <c r="F108" s="317">
        <v>1440</v>
      </c>
      <c r="G108" s="317">
        <v>1440</v>
      </c>
      <c r="H108" s="317">
        <v>1440</v>
      </c>
      <c r="I108" s="318"/>
      <c r="J108" s="317">
        <v>1440</v>
      </c>
      <c r="K108" s="317">
        <v>1440</v>
      </c>
      <c r="L108" s="316">
        <v>1600</v>
      </c>
      <c r="M108" s="317">
        <v>1440</v>
      </c>
      <c r="N108" s="317">
        <v>1440</v>
      </c>
      <c r="O108" s="317">
        <v>1440</v>
      </c>
      <c r="P108" s="318"/>
      <c r="Q108" s="317">
        <v>1544</v>
      </c>
      <c r="R108" s="317">
        <v>1760</v>
      </c>
      <c r="S108" s="316">
        <v>1544</v>
      </c>
      <c r="T108" s="317">
        <v>1760</v>
      </c>
      <c r="U108" s="317">
        <v>1760</v>
      </c>
      <c r="V108" s="317">
        <v>1648</v>
      </c>
      <c r="W108" s="318"/>
      <c r="X108" s="317">
        <v>1760</v>
      </c>
      <c r="Y108" s="317">
        <v>1520</v>
      </c>
      <c r="Z108" s="316">
        <v>1440</v>
      </c>
      <c r="AA108" s="317">
        <v>1280</v>
      </c>
      <c r="AB108" s="317">
        <v>1280</v>
      </c>
      <c r="AC108" s="317">
        <v>1280</v>
      </c>
      <c r="AD108" s="318"/>
      <c r="AE108" s="319"/>
      <c r="AF108" s="319"/>
      <c r="AG108" s="320"/>
      <c r="AH108" s="321"/>
      <c r="AI108" s="321"/>
      <c r="AJ108" s="8"/>
    </row>
    <row r="109" spans="1:36" ht="15">
      <c r="A109" s="368"/>
      <c r="B109" s="314" t="s">
        <v>229</v>
      </c>
      <c r="C109" s="315">
        <v>29560</v>
      </c>
      <c r="D109" s="315">
        <v>1343.6363636363637</v>
      </c>
      <c r="E109" s="316">
        <v>1360</v>
      </c>
      <c r="F109" s="317">
        <v>1360</v>
      </c>
      <c r="G109" s="317">
        <v>1360</v>
      </c>
      <c r="H109" s="317">
        <v>1360</v>
      </c>
      <c r="I109" s="318"/>
      <c r="J109" s="317">
        <v>1360</v>
      </c>
      <c r="K109" s="317">
        <v>1360</v>
      </c>
      <c r="L109" s="316">
        <v>1360</v>
      </c>
      <c r="M109" s="317">
        <v>1360</v>
      </c>
      <c r="N109" s="317">
        <v>1360</v>
      </c>
      <c r="O109" s="317">
        <v>1360</v>
      </c>
      <c r="P109" s="318"/>
      <c r="Q109" s="317">
        <v>1260</v>
      </c>
      <c r="R109" s="317">
        <v>1260</v>
      </c>
      <c r="S109" s="316">
        <v>1680</v>
      </c>
      <c r="T109" s="317">
        <v>1680</v>
      </c>
      <c r="U109" s="317">
        <v>1680</v>
      </c>
      <c r="V109" s="317">
        <v>1680</v>
      </c>
      <c r="W109" s="318"/>
      <c r="X109" s="317">
        <v>960</v>
      </c>
      <c r="Y109" s="317">
        <v>960</v>
      </c>
      <c r="Z109" s="316">
        <v>960</v>
      </c>
      <c r="AA109" s="317">
        <v>1280</v>
      </c>
      <c r="AB109" s="317">
        <v>1280</v>
      </c>
      <c r="AC109" s="317">
        <v>1280</v>
      </c>
      <c r="AD109" s="318"/>
      <c r="AE109" s="317">
        <v>960</v>
      </c>
      <c r="AF109" s="317">
        <v>960</v>
      </c>
      <c r="AG109" s="322">
        <v>1280</v>
      </c>
      <c r="AH109" s="323">
        <v>1280</v>
      </c>
      <c r="AI109" s="323">
        <v>1280</v>
      </c>
      <c r="AJ109" s="8"/>
    </row>
    <row r="110" spans="1:36" ht="15">
      <c r="A110" s="368"/>
      <c r="B110" s="324" t="s">
        <v>230</v>
      </c>
      <c r="C110" s="325">
        <v>29588</v>
      </c>
      <c r="D110" s="325">
        <v>1344.909090909091</v>
      </c>
      <c r="E110" s="326">
        <v>1360</v>
      </c>
      <c r="F110" s="327">
        <v>1360</v>
      </c>
      <c r="G110" s="327">
        <v>1360</v>
      </c>
      <c r="H110" s="327">
        <v>1360</v>
      </c>
      <c r="I110" s="328"/>
      <c r="J110" s="327">
        <v>1360</v>
      </c>
      <c r="K110" s="327">
        <v>1360</v>
      </c>
      <c r="L110" s="326">
        <v>1360</v>
      </c>
      <c r="M110" s="327">
        <v>1360</v>
      </c>
      <c r="N110" s="327">
        <v>1360</v>
      </c>
      <c r="O110" s="327">
        <v>1360</v>
      </c>
      <c r="P110" s="328"/>
      <c r="Q110" s="327">
        <v>1260</v>
      </c>
      <c r="R110" s="327">
        <v>1260</v>
      </c>
      <c r="S110" s="326">
        <v>1908</v>
      </c>
      <c r="T110" s="327">
        <v>1680</v>
      </c>
      <c r="U110" s="327">
        <v>1680</v>
      </c>
      <c r="V110" s="327">
        <v>1680</v>
      </c>
      <c r="W110" s="328"/>
      <c r="X110" s="327">
        <v>960</v>
      </c>
      <c r="Y110" s="327">
        <v>960</v>
      </c>
      <c r="Z110" s="326">
        <v>960</v>
      </c>
      <c r="AA110" s="327">
        <v>1280</v>
      </c>
      <c r="AB110" s="327">
        <v>1280</v>
      </c>
      <c r="AC110" s="327">
        <v>1080</v>
      </c>
      <c r="AD110" s="328"/>
      <c r="AE110" s="329"/>
      <c r="AF110" s="329"/>
      <c r="AG110" s="330"/>
      <c r="AH110" s="331"/>
      <c r="AI110" s="331"/>
      <c r="AJ110" s="8"/>
    </row>
    <row r="111" spans="1:36" ht="15">
      <c r="A111" s="368"/>
      <c r="B111" s="324" t="s">
        <v>231</v>
      </c>
      <c r="C111" s="325">
        <v>28</v>
      </c>
      <c r="D111" s="325">
        <v>1.2727272727272727</v>
      </c>
      <c r="E111" s="326">
        <v>0</v>
      </c>
      <c r="F111" s="327">
        <v>0</v>
      </c>
      <c r="G111" s="327">
        <v>0</v>
      </c>
      <c r="H111" s="327">
        <v>0</v>
      </c>
      <c r="I111" s="328"/>
      <c r="J111" s="327">
        <v>0</v>
      </c>
      <c r="K111" s="327">
        <v>0</v>
      </c>
      <c r="L111" s="326">
        <v>0</v>
      </c>
      <c r="M111" s="327">
        <v>0</v>
      </c>
      <c r="N111" s="327">
        <v>0</v>
      </c>
      <c r="O111" s="327">
        <v>0</v>
      </c>
      <c r="P111" s="328"/>
      <c r="Q111" s="327">
        <v>0</v>
      </c>
      <c r="R111" s="327">
        <v>0</v>
      </c>
      <c r="S111" s="326">
        <v>228</v>
      </c>
      <c r="T111" s="327">
        <v>0</v>
      </c>
      <c r="U111" s="327">
        <v>0</v>
      </c>
      <c r="V111" s="327">
        <v>0</v>
      </c>
      <c r="W111" s="328"/>
      <c r="X111" s="327">
        <v>0</v>
      </c>
      <c r="Y111" s="327">
        <v>0</v>
      </c>
      <c r="Z111" s="326">
        <v>0</v>
      </c>
      <c r="AA111" s="327">
        <v>0</v>
      </c>
      <c r="AB111" s="327">
        <v>0</v>
      </c>
      <c r="AC111" s="329">
        <v>-200</v>
      </c>
      <c r="AD111" s="328"/>
      <c r="AE111" s="329"/>
      <c r="AF111" s="329"/>
      <c r="AG111" s="330"/>
      <c r="AH111" s="331"/>
      <c r="AI111" s="331"/>
      <c r="AJ111" s="8"/>
    </row>
    <row r="112" spans="1:36" ht="15">
      <c r="A112" s="368"/>
      <c r="B112" s="324" t="s">
        <v>232</v>
      </c>
      <c r="C112" s="325">
        <v>176</v>
      </c>
      <c r="D112" s="325">
        <v>8</v>
      </c>
      <c r="E112" s="326">
        <v>8</v>
      </c>
      <c r="F112" s="327">
        <v>8</v>
      </c>
      <c r="G112" s="327">
        <v>8</v>
      </c>
      <c r="H112" s="327">
        <v>8</v>
      </c>
      <c r="I112" s="328"/>
      <c r="J112" s="327">
        <v>8</v>
      </c>
      <c r="K112" s="327">
        <v>8</v>
      </c>
      <c r="L112" s="326">
        <v>8</v>
      </c>
      <c r="M112" s="327">
        <v>8</v>
      </c>
      <c r="N112" s="327">
        <v>8</v>
      </c>
      <c r="O112" s="327">
        <v>8</v>
      </c>
      <c r="P112" s="328"/>
      <c r="Q112" s="327">
        <v>8</v>
      </c>
      <c r="R112" s="327">
        <v>8</v>
      </c>
      <c r="S112" s="326">
        <v>8</v>
      </c>
      <c r="T112" s="327">
        <v>8</v>
      </c>
      <c r="U112" s="327">
        <v>8</v>
      </c>
      <c r="V112" s="327">
        <v>8</v>
      </c>
      <c r="W112" s="328"/>
      <c r="X112" s="327">
        <v>8</v>
      </c>
      <c r="Y112" s="327">
        <v>8</v>
      </c>
      <c r="Z112" s="326">
        <v>8</v>
      </c>
      <c r="AA112" s="327">
        <v>8</v>
      </c>
      <c r="AB112" s="327">
        <v>8</v>
      </c>
      <c r="AC112" s="327">
        <v>8</v>
      </c>
      <c r="AD112" s="328"/>
      <c r="AE112" s="329"/>
      <c r="AF112" s="329"/>
      <c r="AG112" s="330"/>
      <c r="AH112" s="331"/>
      <c r="AI112" s="331"/>
      <c r="AJ112" s="8"/>
    </row>
    <row r="113" spans="1:36" ht="15">
      <c r="A113" s="368"/>
      <c r="B113" s="324" t="s">
        <v>233</v>
      </c>
      <c r="C113" s="325">
        <v>65</v>
      </c>
      <c r="D113" s="325">
        <v>65</v>
      </c>
      <c r="E113" s="326">
        <v>63</v>
      </c>
      <c r="F113" s="327">
        <v>64</v>
      </c>
      <c r="G113" s="327">
        <v>66</v>
      </c>
      <c r="H113" s="327">
        <v>64</v>
      </c>
      <c r="I113" s="328"/>
      <c r="J113" s="327">
        <v>64</v>
      </c>
      <c r="K113" s="327">
        <v>65</v>
      </c>
      <c r="L113" s="326">
        <v>68</v>
      </c>
      <c r="M113" s="327">
        <v>63</v>
      </c>
      <c r="N113" s="327">
        <v>68</v>
      </c>
      <c r="O113" s="327">
        <v>66</v>
      </c>
      <c r="P113" s="328"/>
      <c r="Q113" s="327">
        <v>67</v>
      </c>
      <c r="R113" s="327">
        <v>69</v>
      </c>
      <c r="S113" s="326">
        <v>66</v>
      </c>
      <c r="T113" s="327">
        <v>67</v>
      </c>
      <c r="U113" s="327">
        <v>65</v>
      </c>
      <c r="V113" s="327">
        <v>64</v>
      </c>
      <c r="W113" s="328"/>
      <c r="X113" s="327">
        <v>64</v>
      </c>
      <c r="Y113" s="327">
        <v>65</v>
      </c>
      <c r="Z113" s="326">
        <v>66</v>
      </c>
      <c r="AA113" s="327">
        <v>69</v>
      </c>
      <c r="AB113" s="327">
        <v>67</v>
      </c>
      <c r="AC113" s="327">
        <v>65</v>
      </c>
      <c r="AD113" s="328"/>
      <c r="AE113" s="329"/>
      <c r="AF113" s="329"/>
      <c r="AG113" s="330"/>
      <c r="AH113" s="331"/>
      <c r="AI113" s="331"/>
      <c r="AJ113" s="8"/>
    </row>
    <row r="114" spans="1:36" ht="15">
      <c r="A114" s="368"/>
      <c r="B114" s="324" t="s">
        <v>234</v>
      </c>
      <c r="C114" s="325">
        <v>168.11363636363637</v>
      </c>
      <c r="D114" s="325">
        <v>168.11363636363637</v>
      </c>
      <c r="E114" s="326">
        <v>170</v>
      </c>
      <c r="F114" s="327">
        <v>170</v>
      </c>
      <c r="G114" s="327">
        <v>170</v>
      </c>
      <c r="H114" s="327">
        <v>170</v>
      </c>
      <c r="I114" s="328"/>
      <c r="J114" s="327">
        <v>170</v>
      </c>
      <c r="K114" s="327">
        <v>170</v>
      </c>
      <c r="L114" s="326">
        <v>170</v>
      </c>
      <c r="M114" s="327">
        <v>170</v>
      </c>
      <c r="N114" s="327">
        <v>170</v>
      </c>
      <c r="O114" s="327">
        <v>170</v>
      </c>
      <c r="P114" s="328"/>
      <c r="Q114" s="327">
        <v>157.5</v>
      </c>
      <c r="R114" s="327">
        <v>157.5</v>
      </c>
      <c r="S114" s="326">
        <v>238.5</v>
      </c>
      <c r="T114" s="327">
        <v>210</v>
      </c>
      <c r="U114" s="327">
        <v>210</v>
      </c>
      <c r="V114" s="327">
        <v>210</v>
      </c>
      <c r="W114" s="328"/>
      <c r="X114" s="327">
        <v>120</v>
      </c>
      <c r="Y114" s="327">
        <v>120</v>
      </c>
      <c r="Z114" s="326">
        <v>120</v>
      </c>
      <c r="AA114" s="327">
        <v>160</v>
      </c>
      <c r="AB114" s="327">
        <v>160</v>
      </c>
      <c r="AC114" s="327">
        <v>135</v>
      </c>
      <c r="AD114" s="328"/>
      <c r="AE114" s="329"/>
      <c r="AF114" s="329"/>
      <c r="AG114" s="330"/>
      <c r="AH114" s="331"/>
      <c r="AI114" s="331"/>
      <c r="AJ114" s="8"/>
    </row>
    <row r="115" spans="1:36" ht="15">
      <c r="A115" s="369"/>
      <c r="B115" s="333" t="s">
        <v>235</v>
      </c>
      <c r="C115" s="334">
        <v>2.5864000000000003</v>
      </c>
      <c r="D115" s="334">
        <v>2.5864000000000003</v>
      </c>
      <c r="E115" s="335">
        <v>2.6983999999999999</v>
      </c>
      <c r="F115" s="334">
        <v>2.6562999999999999</v>
      </c>
      <c r="G115" s="334">
        <v>2.5758000000000001</v>
      </c>
      <c r="H115" s="334">
        <v>2.6562999999999999</v>
      </c>
      <c r="I115" s="336"/>
      <c r="J115" s="334">
        <v>2.6562999999999999</v>
      </c>
      <c r="K115" s="334">
        <v>2.6154000000000002</v>
      </c>
      <c r="L115" s="335">
        <v>2.5</v>
      </c>
      <c r="M115" s="334">
        <v>2.6983999999999999</v>
      </c>
      <c r="N115" s="334">
        <v>2.5</v>
      </c>
      <c r="O115" s="334">
        <v>2.5758000000000001</v>
      </c>
      <c r="P115" s="336"/>
      <c r="Q115" s="334">
        <v>2.3506999999999998</v>
      </c>
      <c r="R115" s="334">
        <v>2.2826</v>
      </c>
      <c r="S115" s="335">
        <v>3.6135999999999999</v>
      </c>
      <c r="T115" s="334">
        <v>3.1343000000000001</v>
      </c>
      <c r="U115" s="334">
        <v>3.2307999999999999</v>
      </c>
      <c r="V115" s="334">
        <v>3.2812999999999999</v>
      </c>
      <c r="W115" s="336"/>
      <c r="X115" s="334">
        <v>1.875</v>
      </c>
      <c r="Y115" s="334">
        <v>1.8462000000000001</v>
      </c>
      <c r="Z115" s="335">
        <v>1.8182</v>
      </c>
      <c r="AA115" s="334">
        <v>2.3188</v>
      </c>
      <c r="AB115" s="334">
        <v>2.3881000000000001</v>
      </c>
      <c r="AC115" s="334">
        <v>2.0769000000000002</v>
      </c>
      <c r="AD115" s="336"/>
      <c r="AE115" s="337"/>
      <c r="AF115" s="337"/>
      <c r="AG115" s="338"/>
      <c r="AH115" s="339"/>
      <c r="AI115" s="339"/>
      <c r="AJ115" s="8"/>
    </row>
    <row r="116" spans="1:36" ht="15">
      <c r="A116" s="367" t="s">
        <v>249</v>
      </c>
      <c r="B116" s="314" t="s">
        <v>228</v>
      </c>
      <c r="C116" s="315">
        <v>35080</v>
      </c>
      <c r="D116" s="315">
        <v>1594.5454545454545</v>
      </c>
      <c r="E116" s="316">
        <v>1760</v>
      </c>
      <c r="F116" s="317">
        <v>1760</v>
      </c>
      <c r="G116" s="317">
        <v>1760</v>
      </c>
      <c r="H116" s="317">
        <v>1696</v>
      </c>
      <c r="I116" s="318"/>
      <c r="J116" s="317">
        <v>1680</v>
      </c>
      <c r="K116" s="317">
        <v>1760</v>
      </c>
      <c r="L116" s="316">
        <v>1760</v>
      </c>
      <c r="M116" s="317">
        <v>1760</v>
      </c>
      <c r="N116" s="317">
        <v>1760</v>
      </c>
      <c r="O116" s="317">
        <v>1760</v>
      </c>
      <c r="P116" s="318"/>
      <c r="Q116" s="317">
        <v>1760</v>
      </c>
      <c r="R116" s="317">
        <v>1760</v>
      </c>
      <c r="S116" s="316">
        <v>1760</v>
      </c>
      <c r="T116" s="317">
        <v>1760</v>
      </c>
      <c r="U116" s="317">
        <v>1472</v>
      </c>
      <c r="V116" s="317">
        <v>1280</v>
      </c>
      <c r="W116" s="318"/>
      <c r="X116" s="317">
        <v>1280</v>
      </c>
      <c r="Y116" s="317">
        <v>1344</v>
      </c>
      <c r="Z116" s="316">
        <v>1280</v>
      </c>
      <c r="AA116" s="317">
        <v>1368</v>
      </c>
      <c r="AB116" s="317">
        <v>1280</v>
      </c>
      <c r="AC116" s="317">
        <v>1280</v>
      </c>
      <c r="AD116" s="318"/>
      <c r="AE116" s="319"/>
      <c r="AF116" s="319"/>
      <c r="AG116" s="320"/>
      <c r="AH116" s="321"/>
      <c r="AI116" s="321"/>
      <c r="AJ116" s="8"/>
    </row>
    <row r="117" spans="1:36" ht="15">
      <c r="A117" s="368"/>
      <c r="B117" s="314" t="s">
        <v>229</v>
      </c>
      <c r="C117" s="315">
        <v>31120</v>
      </c>
      <c r="D117" s="315">
        <v>1414.5454545454545</v>
      </c>
      <c r="E117" s="316">
        <v>1680</v>
      </c>
      <c r="F117" s="317">
        <v>1680</v>
      </c>
      <c r="G117" s="317">
        <v>1680</v>
      </c>
      <c r="H117" s="317">
        <v>1680</v>
      </c>
      <c r="I117" s="318"/>
      <c r="J117" s="317">
        <v>1680</v>
      </c>
      <c r="K117" s="317">
        <v>1680</v>
      </c>
      <c r="L117" s="316">
        <v>1680</v>
      </c>
      <c r="M117" s="317">
        <v>1680</v>
      </c>
      <c r="N117" s="317">
        <v>1680</v>
      </c>
      <c r="O117" s="317">
        <v>1680</v>
      </c>
      <c r="P117" s="318"/>
      <c r="Q117" s="317">
        <v>1680</v>
      </c>
      <c r="R117" s="317">
        <v>960</v>
      </c>
      <c r="S117" s="316">
        <v>960</v>
      </c>
      <c r="T117" s="317">
        <v>960</v>
      </c>
      <c r="U117" s="317">
        <v>1200</v>
      </c>
      <c r="V117" s="317">
        <v>1200</v>
      </c>
      <c r="W117" s="318"/>
      <c r="X117" s="317">
        <v>1280</v>
      </c>
      <c r="Y117" s="317">
        <v>1280</v>
      </c>
      <c r="Z117" s="316">
        <v>1280</v>
      </c>
      <c r="AA117" s="317">
        <v>1280</v>
      </c>
      <c r="AB117" s="317">
        <v>1280</v>
      </c>
      <c r="AC117" s="317">
        <v>960</v>
      </c>
      <c r="AD117" s="318"/>
      <c r="AE117" s="317">
        <v>960</v>
      </c>
      <c r="AF117" s="317">
        <v>1280</v>
      </c>
      <c r="AG117" s="322">
        <v>1280</v>
      </c>
      <c r="AH117" s="323">
        <v>1280</v>
      </c>
      <c r="AI117" s="323">
        <v>1280</v>
      </c>
      <c r="AJ117" s="8"/>
    </row>
    <row r="118" spans="1:36" ht="15">
      <c r="A118" s="368"/>
      <c r="B118" s="324" t="s">
        <v>230</v>
      </c>
      <c r="C118" s="325">
        <v>30695</v>
      </c>
      <c r="D118" s="325">
        <v>1395.2272727272727</v>
      </c>
      <c r="E118" s="326">
        <v>1680</v>
      </c>
      <c r="F118" s="327">
        <v>1680</v>
      </c>
      <c r="G118" s="327">
        <v>1680</v>
      </c>
      <c r="H118" s="327">
        <v>1680</v>
      </c>
      <c r="I118" s="328"/>
      <c r="J118" s="327">
        <v>1680</v>
      </c>
      <c r="K118" s="327">
        <v>1680</v>
      </c>
      <c r="L118" s="326">
        <v>1680</v>
      </c>
      <c r="M118" s="327">
        <v>1255</v>
      </c>
      <c r="N118" s="327">
        <v>1680</v>
      </c>
      <c r="O118" s="327">
        <v>1680</v>
      </c>
      <c r="P118" s="328"/>
      <c r="Q118" s="327">
        <v>1680</v>
      </c>
      <c r="R118" s="327">
        <v>960</v>
      </c>
      <c r="S118" s="326">
        <v>960</v>
      </c>
      <c r="T118" s="327">
        <v>960</v>
      </c>
      <c r="U118" s="327">
        <v>1200</v>
      </c>
      <c r="V118" s="327">
        <v>1200</v>
      </c>
      <c r="W118" s="328"/>
      <c r="X118" s="327">
        <v>1280</v>
      </c>
      <c r="Y118" s="327">
        <v>1280</v>
      </c>
      <c r="Z118" s="326">
        <v>1280</v>
      </c>
      <c r="AA118" s="327">
        <v>1280</v>
      </c>
      <c r="AB118" s="327">
        <v>1280</v>
      </c>
      <c r="AC118" s="327">
        <v>960</v>
      </c>
      <c r="AD118" s="328"/>
      <c r="AE118" s="329"/>
      <c r="AF118" s="329"/>
      <c r="AG118" s="330"/>
      <c r="AH118" s="331"/>
      <c r="AI118" s="331"/>
      <c r="AJ118" s="8"/>
    </row>
    <row r="119" spans="1:36" ht="15">
      <c r="A119" s="368"/>
      <c r="B119" s="324" t="s">
        <v>231</v>
      </c>
      <c r="C119" s="332">
        <v>-425</v>
      </c>
      <c r="D119" s="332">
        <v>-19.318181818181817</v>
      </c>
      <c r="E119" s="326">
        <v>0</v>
      </c>
      <c r="F119" s="327">
        <v>0</v>
      </c>
      <c r="G119" s="327">
        <v>0</v>
      </c>
      <c r="H119" s="327">
        <v>0</v>
      </c>
      <c r="I119" s="328"/>
      <c r="J119" s="327">
        <v>0</v>
      </c>
      <c r="K119" s="327">
        <v>0</v>
      </c>
      <c r="L119" s="326">
        <v>0</v>
      </c>
      <c r="M119" s="329">
        <v>-425</v>
      </c>
      <c r="N119" s="327">
        <v>0</v>
      </c>
      <c r="O119" s="327">
        <v>0</v>
      </c>
      <c r="P119" s="328"/>
      <c r="Q119" s="327">
        <v>0</v>
      </c>
      <c r="R119" s="327">
        <v>0</v>
      </c>
      <c r="S119" s="326">
        <v>0</v>
      </c>
      <c r="T119" s="327">
        <v>0</v>
      </c>
      <c r="U119" s="327">
        <v>0</v>
      </c>
      <c r="V119" s="327">
        <v>0</v>
      </c>
      <c r="W119" s="328"/>
      <c r="X119" s="327">
        <v>0</v>
      </c>
      <c r="Y119" s="327">
        <v>0</v>
      </c>
      <c r="Z119" s="326">
        <v>0</v>
      </c>
      <c r="AA119" s="327">
        <v>0</v>
      </c>
      <c r="AB119" s="327">
        <v>0</v>
      </c>
      <c r="AC119" s="327">
        <v>0</v>
      </c>
      <c r="AD119" s="328"/>
      <c r="AE119" s="329"/>
      <c r="AF119" s="329"/>
      <c r="AG119" s="330"/>
      <c r="AH119" s="331"/>
      <c r="AI119" s="331"/>
      <c r="AJ119" s="8"/>
    </row>
    <row r="120" spans="1:36" ht="15">
      <c r="A120" s="368"/>
      <c r="B120" s="324" t="s">
        <v>232</v>
      </c>
      <c r="C120" s="325">
        <v>176</v>
      </c>
      <c r="D120" s="325">
        <v>8</v>
      </c>
      <c r="E120" s="326">
        <v>8</v>
      </c>
      <c r="F120" s="327">
        <v>8</v>
      </c>
      <c r="G120" s="327">
        <v>8</v>
      </c>
      <c r="H120" s="327">
        <v>8</v>
      </c>
      <c r="I120" s="328"/>
      <c r="J120" s="327">
        <v>8</v>
      </c>
      <c r="K120" s="327">
        <v>8</v>
      </c>
      <c r="L120" s="326">
        <v>8</v>
      </c>
      <c r="M120" s="327">
        <v>8</v>
      </c>
      <c r="N120" s="327">
        <v>8</v>
      </c>
      <c r="O120" s="327">
        <v>8</v>
      </c>
      <c r="P120" s="328"/>
      <c r="Q120" s="327">
        <v>8</v>
      </c>
      <c r="R120" s="327">
        <v>8</v>
      </c>
      <c r="S120" s="326">
        <v>8</v>
      </c>
      <c r="T120" s="327">
        <v>8</v>
      </c>
      <c r="U120" s="327">
        <v>8</v>
      </c>
      <c r="V120" s="327">
        <v>8</v>
      </c>
      <c r="W120" s="328"/>
      <c r="X120" s="327">
        <v>8</v>
      </c>
      <c r="Y120" s="327">
        <v>8</v>
      </c>
      <c r="Z120" s="326">
        <v>8</v>
      </c>
      <c r="AA120" s="327">
        <v>8</v>
      </c>
      <c r="AB120" s="327">
        <v>8</v>
      </c>
      <c r="AC120" s="327">
        <v>8</v>
      </c>
      <c r="AD120" s="328"/>
      <c r="AE120" s="329"/>
      <c r="AF120" s="329"/>
      <c r="AG120" s="330"/>
      <c r="AH120" s="331"/>
      <c r="AI120" s="331"/>
      <c r="AJ120" s="8"/>
    </row>
    <row r="121" spans="1:36" ht="15">
      <c r="A121" s="368"/>
      <c r="B121" s="324" t="s">
        <v>233</v>
      </c>
      <c r="C121" s="325">
        <v>68</v>
      </c>
      <c r="D121" s="325">
        <v>68</v>
      </c>
      <c r="E121" s="326">
        <v>70</v>
      </c>
      <c r="F121" s="327">
        <v>69</v>
      </c>
      <c r="G121" s="327">
        <v>71</v>
      </c>
      <c r="H121" s="327">
        <v>71</v>
      </c>
      <c r="I121" s="328"/>
      <c r="J121" s="327">
        <v>68</v>
      </c>
      <c r="K121" s="327">
        <v>70</v>
      </c>
      <c r="L121" s="326">
        <v>70</v>
      </c>
      <c r="M121" s="327">
        <v>70</v>
      </c>
      <c r="N121" s="327">
        <v>70</v>
      </c>
      <c r="O121" s="327">
        <v>68</v>
      </c>
      <c r="P121" s="328"/>
      <c r="Q121" s="327">
        <v>64</v>
      </c>
      <c r="R121" s="327">
        <v>68</v>
      </c>
      <c r="S121" s="326">
        <v>69</v>
      </c>
      <c r="T121" s="327">
        <v>70</v>
      </c>
      <c r="U121" s="327">
        <v>69</v>
      </c>
      <c r="V121" s="327">
        <v>67</v>
      </c>
      <c r="W121" s="328"/>
      <c r="X121" s="327">
        <v>67</v>
      </c>
      <c r="Y121" s="327">
        <v>68</v>
      </c>
      <c r="Z121" s="326">
        <v>69</v>
      </c>
      <c r="AA121" s="327">
        <v>68</v>
      </c>
      <c r="AB121" s="327">
        <v>69</v>
      </c>
      <c r="AC121" s="327">
        <v>67</v>
      </c>
      <c r="AD121" s="328"/>
      <c r="AE121" s="329"/>
      <c r="AF121" s="329"/>
      <c r="AG121" s="330"/>
      <c r="AH121" s="331"/>
      <c r="AI121" s="331"/>
      <c r="AJ121" s="8"/>
    </row>
    <row r="122" spans="1:36" ht="15">
      <c r="A122" s="368"/>
      <c r="B122" s="324" t="s">
        <v>234</v>
      </c>
      <c r="C122" s="325">
        <v>174.40340909090909</v>
      </c>
      <c r="D122" s="325">
        <v>174.40340909090909</v>
      </c>
      <c r="E122" s="326">
        <v>210</v>
      </c>
      <c r="F122" s="327">
        <v>210</v>
      </c>
      <c r="G122" s="327">
        <v>210</v>
      </c>
      <c r="H122" s="327">
        <v>210</v>
      </c>
      <c r="I122" s="328"/>
      <c r="J122" s="327">
        <v>210</v>
      </c>
      <c r="K122" s="327">
        <v>210</v>
      </c>
      <c r="L122" s="326">
        <v>210</v>
      </c>
      <c r="M122" s="327">
        <v>156.875</v>
      </c>
      <c r="N122" s="327">
        <v>210</v>
      </c>
      <c r="O122" s="327">
        <v>210</v>
      </c>
      <c r="P122" s="328"/>
      <c r="Q122" s="327">
        <v>210</v>
      </c>
      <c r="R122" s="327">
        <v>120</v>
      </c>
      <c r="S122" s="326">
        <v>120</v>
      </c>
      <c r="T122" s="327">
        <v>120</v>
      </c>
      <c r="U122" s="327">
        <v>150</v>
      </c>
      <c r="V122" s="327">
        <v>150</v>
      </c>
      <c r="W122" s="328"/>
      <c r="X122" s="327">
        <v>160</v>
      </c>
      <c r="Y122" s="327">
        <v>160</v>
      </c>
      <c r="Z122" s="326">
        <v>160</v>
      </c>
      <c r="AA122" s="327">
        <v>160</v>
      </c>
      <c r="AB122" s="327">
        <v>160</v>
      </c>
      <c r="AC122" s="327">
        <v>120</v>
      </c>
      <c r="AD122" s="328"/>
      <c r="AE122" s="329"/>
      <c r="AF122" s="329"/>
      <c r="AG122" s="330"/>
      <c r="AH122" s="331"/>
      <c r="AI122" s="331"/>
      <c r="AJ122" s="8"/>
    </row>
    <row r="123" spans="1:36" ht="15">
      <c r="A123" s="369"/>
      <c r="B123" s="333" t="s">
        <v>235</v>
      </c>
      <c r="C123" s="334">
        <v>2.5648</v>
      </c>
      <c r="D123" s="334">
        <v>2.5648</v>
      </c>
      <c r="E123" s="335">
        <v>3</v>
      </c>
      <c r="F123" s="334">
        <v>3.0434999999999999</v>
      </c>
      <c r="G123" s="334">
        <v>2.9577</v>
      </c>
      <c r="H123" s="334">
        <v>2.9577</v>
      </c>
      <c r="I123" s="336"/>
      <c r="J123" s="334">
        <v>3.0882000000000001</v>
      </c>
      <c r="K123" s="334">
        <v>3</v>
      </c>
      <c r="L123" s="335">
        <v>3</v>
      </c>
      <c r="M123" s="334">
        <v>2.2410999999999999</v>
      </c>
      <c r="N123" s="334">
        <v>3</v>
      </c>
      <c r="O123" s="334">
        <v>3.0882000000000001</v>
      </c>
      <c r="P123" s="336"/>
      <c r="Q123" s="334">
        <v>3.2812999999999999</v>
      </c>
      <c r="R123" s="334">
        <v>1.7646999999999999</v>
      </c>
      <c r="S123" s="335">
        <v>1.7391000000000001</v>
      </c>
      <c r="T123" s="334">
        <v>1.7143000000000002</v>
      </c>
      <c r="U123" s="334">
        <v>2.1739000000000002</v>
      </c>
      <c r="V123" s="334">
        <v>2.2387999999999999</v>
      </c>
      <c r="W123" s="336"/>
      <c r="X123" s="334">
        <v>2.3881000000000001</v>
      </c>
      <c r="Y123" s="334">
        <v>2.3529</v>
      </c>
      <c r="Z123" s="335">
        <v>2.3188</v>
      </c>
      <c r="AA123" s="334">
        <v>2.3529</v>
      </c>
      <c r="AB123" s="334">
        <v>2.3188</v>
      </c>
      <c r="AC123" s="334">
        <v>1.7909999999999999</v>
      </c>
      <c r="AD123" s="336"/>
      <c r="AE123" s="337"/>
      <c r="AF123" s="337"/>
      <c r="AG123" s="338"/>
      <c r="AH123" s="339"/>
      <c r="AI123" s="339"/>
      <c r="AJ123" s="8"/>
    </row>
    <row r="124" spans="1:36" ht="15">
      <c r="A124" s="367" t="s">
        <v>250</v>
      </c>
      <c r="B124" s="314" t="s">
        <v>228</v>
      </c>
      <c r="C124" s="315">
        <v>38128</v>
      </c>
      <c r="D124" s="315">
        <v>1733.090909090909</v>
      </c>
      <c r="E124" s="316">
        <v>1760</v>
      </c>
      <c r="F124" s="317">
        <v>1760</v>
      </c>
      <c r="G124" s="317">
        <v>1760</v>
      </c>
      <c r="H124" s="317">
        <v>1760</v>
      </c>
      <c r="I124" s="318"/>
      <c r="J124" s="317">
        <v>1760</v>
      </c>
      <c r="K124" s="317">
        <v>1760</v>
      </c>
      <c r="L124" s="316">
        <v>1760</v>
      </c>
      <c r="M124" s="317">
        <v>1760</v>
      </c>
      <c r="N124" s="317">
        <v>1760</v>
      </c>
      <c r="O124" s="317">
        <v>1760</v>
      </c>
      <c r="P124" s="318"/>
      <c r="Q124" s="317">
        <v>1760</v>
      </c>
      <c r="R124" s="317">
        <v>1760</v>
      </c>
      <c r="S124" s="316">
        <v>1760</v>
      </c>
      <c r="T124" s="317">
        <v>1760</v>
      </c>
      <c r="U124" s="317">
        <v>1760</v>
      </c>
      <c r="V124" s="317">
        <v>1760</v>
      </c>
      <c r="W124" s="318"/>
      <c r="X124" s="317">
        <v>1760</v>
      </c>
      <c r="Y124" s="317">
        <v>1760</v>
      </c>
      <c r="Z124" s="316">
        <v>1760</v>
      </c>
      <c r="AA124" s="317">
        <v>1648</v>
      </c>
      <c r="AB124" s="317">
        <v>1600</v>
      </c>
      <c r="AC124" s="317">
        <v>1440</v>
      </c>
      <c r="AD124" s="318"/>
      <c r="AE124" s="319"/>
      <c r="AF124" s="319"/>
      <c r="AG124" s="320"/>
      <c r="AH124" s="321"/>
      <c r="AI124" s="321"/>
      <c r="AJ124" s="8"/>
    </row>
    <row r="125" spans="1:36" ht="15">
      <c r="A125" s="368"/>
      <c r="B125" s="314" t="s">
        <v>229</v>
      </c>
      <c r="C125" s="315">
        <v>30500</v>
      </c>
      <c r="D125" s="315">
        <v>1386.3636363636363</v>
      </c>
      <c r="E125" s="316">
        <v>1520</v>
      </c>
      <c r="F125" s="317">
        <v>1520</v>
      </c>
      <c r="G125" s="317">
        <v>1520</v>
      </c>
      <c r="H125" s="317">
        <v>1520</v>
      </c>
      <c r="I125" s="318"/>
      <c r="J125" s="317">
        <v>1520</v>
      </c>
      <c r="K125" s="317">
        <v>1520</v>
      </c>
      <c r="L125" s="316">
        <v>1520</v>
      </c>
      <c r="M125" s="317">
        <v>1520</v>
      </c>
      <c r="N125" s="317">
        <v>1520</v>
      </c>
      <c r="O125" s="317">
        <v>1520</v>
      </c>
      <c r="P125" s="318"/>
      <c r="Q125" s="317">
        <v>1520</v>
      </c>
      <c r="R125" s="317">
        <v>1140</v>
      </c>
      <c r="S125" s="316">
        <v>1140</v>
      </c>
      <c r="T125" s="317">
        <v>1520</v>
      </c>
      <c r="U125" s="317">
        <v>1520</v>
      </c>
      <c r="V125" s="317">
        <v>1520</v>
      </c>
      <c r="W125" s="318"/>
      <c r="X125" s="317">
        <v>1520</v>
      </c>
      <c r="Y125" s="317">
        <v>1520</v>
      </c>
      <c r="Z125" s="316">
        <v>900</v>
      </c>
      <c r="AA125" s="317">
        <v>900</v>
      </c>
      <c r="AB125" s="317">
        <v>900</v>
      </c>
      <c r="AC125" s="317">
        <v>1200</v>
      </c>
      <c r="AD125" s="318"/>
      <c r="AE125" s="317">
        <v>1200</v>
      </c>
      <c r="AF125" s="317">
        <v>1200</v>
      </c>
      <c r="AG125" s="322">
        <v>1200</v>
      </c>
      <c r="AH125" s="323">
        <v>1200</v>
      </c>
      <c r="AI125" s="323">
        <v>1200</v>
      </c>
      <c r="AJ125" s="8"/>
    </row>
    <row r="126" spans="1:36" ht="15">
      <c r="A126" s="368"/>
      <c r="B126" s="324" t="s">
        <v>230</v>
      </c>
      <c r="C126" s="325">
        <v>29916</v>
      </c>
      <c r="D126" s="325">
        <v>1359.8181818181818</v>
      </c>
      <c r="E126" s="326">
        <v>1520</v>
      </c>
      <c r="F126" s="327">
        <v>1520</v>
      </c>
      <c r="G126" s="327">
        <v>1520</v>
      </c>
      <c r="H126" s="327">
        <v>1520</v>
      </c>
      <c r="I126" s="328"/>
      <c r="J126" s="327">
        <v>1520</v>
      </c>
      <c r="K126" s="327">
        <v>1520</v>
      </c>
      <c r="L126" s="326">
        <v>1520</v>
      </c>
      <c r="M126" s="327">
        <v>1520</v>
      </c>
      <c r="N126" s="327">
        <v>1520</v>
      </c>
      <c r="O126" s="327">
        <v>1520</v>
      </c>
      <c r="P126" s="328"/>
      <c r="Q126" s="327">
        <v>1520</v>
      </c>
      <c r="R126" s="327">
        <v>1140</v>
      </c>
      <c r="S126" s="326">
        <v>1356</v>
      </c>
      <c r="T126" s="327">
        <v>1520</v>
      </c>
      <c r="U126" s="327">
        <v>1520</v>
      </c>
      <c r="V126" s="327">
        <v>1520</v>
      </c>
      <c r="W126" s="328"/>
      <c r="X126" s="327">
        <v>1520</v>
      </c>
      <c r="Y126" s="327">
        <v>1520</v>
      </c>
      <c r="Z126" s="326">
        <v>900</v>
      </c>
      <c r="AA126" s="327">
        <v>900</v>
      </c>
      <c r="AB126" s="327">
        <v>500</v>
      </c>
      <c r="AC126" s="327">
        <v>800</v>
      </c>
      <c r="AD126" s="328"/>
      <c r="AE126" s="329"/>
      <c r="AF126" s="329"/>
      <c r="AG126" s="330"/>
      <c r="AH126" s="331"/>
      <c r="AI126" s="331"/>
      <c r="AJ126" s="8"/>
    </row>
    <row r="127" spans="1:36" ht="15">
      <c r="A127" s="368"/>
      <c r="B127" s="324" t="s">
        <v>231</v>
      </c>
      <c r="C127" s="332">
        <v>-584</v>
      </c>
      <c r="D127" s="332">
        <v>-26.545454545454547</v>
      </c>
      <c r="E127" s="326">
        <v>0</v>
      </c>
      <c r="F127" s="327">
        <v>0</v>
      </c>
      <c r="G127" s="327">
        <v>0</v>
      </c>
      <c r="H127" s="327">
        <v>0</v>
      </c>
      <c r="I127" s="328"/>
      <c r="J127" s="327">
        <v>0</v>
      </c>
      <c r="K127" s="327">
        <v>0</v>
      </c>
      <c r="L127" s="326">
        <v>0</v>
      </c>
      <c r="M127" s="327">
        <v>0</v>
      </c>
      <c r="N127" s="327">
        <v>0</v>
      </c>
      <c r="O127" s="327">
        <v>0</v>
      </c>
      <c r="P127" s="328"/>
      <c r="Q127" s="327">
        <v>0</v>
      </c>
      <c r="R127" s="327">
        <v>0</v>
      </c>
      <c r="S127" s="326">
        <v>216</v>
      </c>
      <c r="T127" s="327">
        <v>0</v>
      </c>
      <c r="U127" s="327">
        <v>0</v>
      </c>
      <c r="V127" s="327">
        <v>0</v>
      </c>
      <c r="W127" s="328"/>
      <c r="X127" s="327">
        <v>0</v>
      </c>
      <c r="Y127" s="327">
        <v>0</v>
      </c>
      <c r="Z127" s="326">
        <v>0</v>
      </c>
      <c r="AA127" s="327">
        <v>0</v>
      </c>
      <c r="AB127" s="329">
        <v>-400</v>
      </c>
      <c r="AC127" s="329">
        <v>-400</v>
      </c>
      <c r="AD127" s="328"/>
      <c r="AE127" s="329"/>
      <c r="AF127" s="329"/>
      <c r="AG127" s="330"/>
      <c r="AH127" s="331"/>
      <c r="AI127" s="331"/>
      <c r="AJ127" s="8"/>
    </row>
    <row r="128" spans="1:36" ht="15">
      <c r="A128" s="368"/>
      <c r="B128" s="324" t="s">
        <v>232</v>
      </c>
      <c r="C128" s="325">
        <v>176</v>
      </c>
      <c r="D128" s="325">
        <v>8</v>
      </c>
      <c r="E128" s="326">
        <v>8</v>
      </c>
      <c r="F128" s="327">
        <v>8</v>
      </c>
      <c r="G128" s="327">
        <v>8</v>
      </c>
      <c r="H128" s="327">
        <v>8</v>
      </c>
      <c r="I128" s="328"/>
      <c r="J128" s="327">
        <v>8</v>
      </c>
      <c r="K128" s="327">
        <v>8</v>
      </c>
      <c r="L128" s="326">
        <v>8</v>
      </c>
      <c r="M128" s="327">
        <v>8</v>
      </c>
      <c r="N128" s="327">
        <v>8</v>
      </c>
      <c r="O128" s="327">
        <v>8</v>
      </c>
      <c r="P128" s="328"/>
      <c r="Q128" s="327">
        <v>8</v>
      </c>
      <c r="R128" s="327">
        <v>8</v>
      </c>
      <c r="S128" s="326">
        <v>8</v>
      </c>
      <c r="T128" s="327">
        <v>8</v>
      </c>
      <c r="U128" s="327">
        <v>8</v>
      </c>
      <c r="V128" s="327">
        <v>8</v>
      </c>
      <c r="W128" s="328"/>
      <c r="X128" s="327">
        <v>8</v>
      </c>
      <c r="Y128" s="327">
        <v>8</v>
      </c>
      <c r="Z128" s="326">
        <v>8</v>
      </c>
      <c r="AA128" s="327">
        <v>8</v>
      </c>
      <c r="AB128" s="327">
        <v>8</v>
      </c>
      <c r="AC128" s="327">
        <v>8</v>
      </c>
      <c r="AD128" s="328"/>
      <c r="AE128" s="329"/>
      <c r="AF128" s="329"/>
      <c r="AG128" s="330"/>
      <c r="AH128" s="331"/>
      <c r="AI128" s="331"/>
      <c r="AJ128" s="8"/>
    </row>
    <row r="129" spans="1:36" ht="15">
      <c r="A129" s="368"/>
      <c r="B129" s="324" t="s">
        <v>233</v>
      </c>
      <c r="C129" s="325">
        <v>63</v>
      </c>
      <c r="D129" s="325">
        <v>63</v>
      </c>
      <c r="E129" s="326">
        <v>64</v>
      </c>
      <c r="F129" s="327">
        <v>64</v>
      </c>
      <c r="G129" s="327">
        <v>63</v>
      </c>
      <c r="H129" s="327">
        <v>65</v>
      </c>
      <c r="I129" s="328"/>
      <c r="J129" s="327">
        <v>64</v>
      </c>
      <c r="K129" s="327">
        <v>62</v>
      </c>
      <c r="L129" s="326">
        <v>63</v>
      </c>
      <c r="M129" s="327">
        <v>64</v>
      </c>
      <c r="N129" s="327">
        <v>64</v>
      </c>
      <c r="O129" s="327">
        <v>65</v>
      </c>
      <c r="P129" s="328"/>
      <c r="Q129" s="327">
        <v>62</v>
      </c>
      <c r="R129" s="327">
        <v>64</v>
      </c>
      <c r="S129" s="326">
        <v>64</v>
      </c>
      <c r="T129" s="327">
        <v>62</v>
      </c>
      <c r="U129" s="327">
        <v>63</v>
      </c>
      <c r="V129" s="327">
        <v>62</v>
      </c>
      <c r="W129" s="328"/>
      <c r="X129" s="327">
        <v>61</v>
      </c>
      <c r="Y129" s="327">
        <v>62</v>
      </c>
      <c r="Z129" s="326">
        <v>64</v>
      </c>
      <c r="AA129" s="327">
        <v>63</v>
      </c>
      <c r="AB129" s="327">
        <v>62</v>
      </c>
      <c r="AC129" s="327">
        <v>62</v>
      </c>
      <c r="AD129" s="328"/>
      <c r="AE129" s="329"/>
      <c r="AF129" s="329"/>
      <c r="AG129" s="330"/>
      <c r="AH129" s="331"/>
      <c r="AI129" s="331"/>
      <c r="AJ129" s="8"/>
    </row>
    <row r="130" spans="1:36" ht="15">
      <c r="A130" s="368"/>
      <c r="B130" s="324" t="s">
        <v>234</v>
      </c>
      <c r="C130" s="325">
        <v>169.97727272727272</v>
      </c>
      <c r="D130" s="325">
        <v>169.97727272727272</v>
      </c>
      <c r="E130" s="326">
        <v>190</v>
      </c>
      <c r="F130" s="327">
        <v>190</v>
      </c>
      <c r="G130" s="327">
        <v>190</v>
      </c>
      <c r="H130" s="327">
        <v>190</v>
      </c>
      <c r="I130" s="328"/>
      <c r="J130" s="327">
        <v>190</v>
      </c>
      <c r="K130" s="327">
        <v>190</v>
      </c>
      <c r="L130" s="326">
        <v>190</v>
      </c>
      <c r="M130" s="327">
        <v>190</v>
      </c>
      <c r="N130" s="327">
        <v>190</v>
      </c>
      <c r="O130" s="327">
        <v>190</v>
      </c>
      <c r="P130" s="328"/>
      <c r="Q130" s="327">
        <v>190</v>
      </c>
      <c r="R130" s="327">
        <v>142.5</v>
      </c>
      <c r="S130" s="326">
        <v>169.5</v>
      </c>
      <c r="T130" s="327">
        <v>190</v>
      </c>
      <c r="U130" s="327">
        <v>190</v>
      </c>
      <c r="V130" s="327">
        <v>190</v>
      </c>
      <c r="W130" s="328"/>
      <c r="X130" s="327">
        <v>190</v>
      </c>
      <c r="Y130" s="327">
        <v>190</v>
      </c>
      <c r="Z130" s="326">
        <v>112.5</v>
      </c>
      <c r="AA130" s="327">
        <v>112.5</v>
      </c>
      <c r="AB130" s="327">
        <v>62.5</v>
      </c>
      <c r="AC130" s="327">
        <v>100</v>
      </c>
      <c r="AD130" s="328"/>
      <c r="AE130" s="329"/>
      <c r="AF130" s="329"/>
      <c r="AG130" s="330"/>
      <c r="AH130" s="331"/>
      <c r="AI130" s="331"/>
      <c r="AJ130" s="8"/>
    </row>
    <row r="131" spans="1:36" ht="15">
      <c r="A131" s="369"/>
      <c r="B131" s="333" t="s">
        <v>235</v>
      </c>
      <c r="C131" s="334">
        <v>2.6981000000000002</v>
      </c>
      <c r="D131" s="334">
        <v>2.6981000000000002</v>
      </c>
      <c r="E131" s="335">
        <v>2.9687999999999999</v>
      </c>
      <c r="F131" s="334">
        <v>2.9687999999999999</v>
      </c>
      <c r="G131" s="334">
        <v>3.0158999999999998</v>
      </c>
      <c r="H131" s="334">
        <v>2.9230999999999998</v>
      </c>
      <c r="I131" s="336"/>
      <c r="J131" s="334">
        <v>2.9687999999999999</v>
      </c>
      <c r="K131" s="334">
        <v>3.0644999999999998</v>
      </c>
      <c r="L131" s="335">
        <v>3.0158999999999998</v>
      </c>
      <c r="M131" s="334">
        <v>2.9687999999999999</v>
      </c>
      <c r="N131" s="334">
        <v>2.9687999999999999</v>
      </c>
      <c r="O131" s="334">
        <v>2.9230999999999998</v>
      </c>
      <c r="P131" s="336"/>
      <c r="Q131" s="334">
        <v>3.0644999999999998</v>
      </c>
      <c r="R131" s="334">
        <v>2.2265999999999999</v>
      </c>
      <c r="S131" s="335">
        <v>2.6484000000000001</v>
      </c>
      <c r="T131" s="334">
        <v>3.0644999999999998</v>
      </c>
      <c r="U131" s="334">
        <v>3.0158999999999998</v>
      </c>
      <c r="V131" s="334">
        <v>3.0644999999999998</v>
      </c>
      <c r="W131" s="336"/>
      <c r="X131" s="334">
        <v>3.1147999999999998</v>
      </c>
      <c r="Y131" s="334">
        <v>3.0644999999999998</v>
      </c>
      <c r="Z131" s="335">
        <v>1.7578</v>
      </c>
      <c r="AA131" s="334">
        <v>1.7856999999999998</v>
      </c>
      <c r="AB131" s="334">
        <v>1.0081</v>
      </c>
      <c r="AC131" s="334">
        <v>1.6129</v>
      </c>
      <c r="AD131" s="336"/>
      <c r="AE131" s="337"/>
      <c r="AF131" s="337"/>
      <c r="AG131" s="338"/>
      <c r="AH131" s="339"/>
      <c r="AI131" s="339"/>
      <c r="AJ131" s="8"/>
    </row>
    <row r="132" spans="1:36" ht="15">
      <c r="A132" s="367" t="s">
        <v>251</v>
      </c>
      <c r="B132" s="314" t="s">
        <v>228</v>
      </c>
      <c r="C132" s="315">
        <v>38560</v>
      </c>
      <c r="D132" s="315">
        <v>1752.7272727272727</v>
      </c>
      <c r="E132" s="316">
        <v>1760</v>
      </c>
      <c r="F132" s="317">
        <v>1760</v>
      </c>
      <c r="G132" s="317">
        <v>1760</v>
      </c>
      <c r="H132" s="317">
        <v>1760</v>
      </c>
      <c r="I132" s="318"/>
      <c r="J132" s="317">
        <v>1760</v>
      </c>
      <c r="K132" s="317">
        <v>1760</v>
      </c>
      <c r="L132" s="316">
        <v>1760</v>
      </c>
      <c r="M132" s="317">
        <v>1760</v>
      </c>
      <c r="N132" s="317">
        <v>1760</v>
      </c>
      <c r="O132" s="317">
        <v>1760</v>
      </c>
      <c r="P132" s="318"/>
      <c r="Q132" s="317">
        <v>1760</v>
      </c>
      <c r="R132" s="317">
        <v>1760</v>
      </c>
      <c r="S132" s="316">
        <v>1760</v>
      </c>
      <c r="T132" s="317">
        <v>1760</v>
      </c>
      <c r="U132" s="317">
        <v>1760</v>
      </c>
      <c r="V132" s="317">
        <v>1760</v>
      </c>
      <c r="W132" s="318"/>
      <c r="X132" s="317">
        <v>1760</v>
      </c>
      <c r="Y132" s="317">
        <v>1760</v>
      </c>
      <c r="Z132" s="316">
        <v>1760</v>
      </c>
      <c r="AA132" s="317">
        <v>1760</v>
      </c>
      <c r="AB132" s="317">
        <v>1760</v>
      </c>
      <c r="AC132" s="317">
        <v>1600</v>
      </c>
      <c r="AD132" s="318"/>
      <c r="AE132" s="319"/>
      <c r="AF132" s="319"/>
      <c r="AG132" s="320"/>
      <c r="AH132" s="321"/>
      <c r="AI132" s="321"/>
      <c r="AJ132" s="8"/>
    </row>
    <row r="133" spans="1:36" ht="15">
      <c r="A133" s="368"/>
      <c r="B133" s="314" t="s">
        <v>229</v>
      </c>
      <c r="C133" s="315">
        <v>30960</v>
      </c>
      <c r="D133" s="315">
        <v>1407.2727272727273</v>
      </c>
      <c r="E133" s="316">
        <v>1440</v>
      </c>
      <c r="F133" s="317">
        <v>1440</v>
      </c>
      <c r="G133" s="317">
        <v>1440</v>
      </c>
      <c r="H133" s="317">
        <v>1440</v>
      </c>
      <c r="I133" s="318"/>
      <c r="J133" s="317">
        <v>1440</v>
      </c>
      <c r="K133" s="317">
        <v>1440</v>
      </c>
      <c r="L133" s="316">
        <v>1440</v>
      </c>
      <c r="M133" s="317">
        <v>1440</v>
      </c>
      <c r="N133" s="317">
        <v>1440</v>
      </c>
      <c r="O133" s="317">
        <v>1440</v>
      </c>
      <c r="P133" s="318"/>
      <c r="Q133" s="317">
        <v>1440</v>
      </c>
      <c r="R133" s="317">
        <v>1440</v>
      </c>
      <c r="S133" s="316">
        <v>1440</v>
      </c>
      <c r="T133" s="317">
        <v>1440</v>
      </c>
      <c r="U133" s="317">
        <v>1080</v>
      </c>
      <c r="V133" s="317">
        <v>1080</v>
      </c>
      <c r="W133" s="318"/>
      <c r="X133" s="317">
        <v>1440</v>
      </c>
      <c r="Y133" s="317">
        <v>1440</v>
      </c>
      <c r="Z133" s="316">
        <v>1440</v>
      </c>
      <c r="AA133" s="317">
        <v>1440</v>
      </c>
      <c r="AB133" s="317">
        <v>1440</v>
      </c>
      <c r="AC133" s="317">
        <v>1440</v>
      </c>
      <c r="AD133" s="318"/>
      <c r="AE133" s="317">
        <v>1440</v>
      </c>
      <c r="AF133" s="317">
        <v>1440</v>
      </c>
      <c r="AG133" s="322">
        <v>1440</v>
      </c>
      <c r="AH133" s="323">
        <v>1440</v>
      </c>
      <c r="AI133" s="323">
        <v>1440</v>
      </c>
      <c r="AJ133" s="8"/>
    </row>
    <row r="134" spans="1:36" ht="15">
      <c r="A134" s="368"/>
      <c r="B134" s="324" t="s">
        <v>230</v>
      </c>
      <c r="C134" s="325">
        <v>30345</v>
      </c>
      <c r="D134" s="325">
        <v>1379.3181818181818</v>
      </c>
      <c r="E134" s="326">
        <v>1440</v>
      </c>
      <c r="F134" s="327">
        <v>1500</v>
      </c>
      <c r="G134" s="327">
        <v>1546</v>
      </c>
      <c r="H134" s="327">
        <v>1445</v>
      </c>
      <c r="I134" s="328"/>
      <c r="J134" s="327">
        <v>1441</v>
      </c>
      <c r="K134" s="327">
        <v>1440</v>
      </c>
      <c r="L134" s="326">
        <v>1440</v>
      </c>
      <c r="M134" s="327">
        <v>1440</v>
      </c>
      <c r="N134" s="327">
        <v>950</v>
      </c>
      <c r="O134" s="327">
        <v>1440</v>
      </c>
      <c r="P134" s="328"/>
      <c r="Q134" s="327">
        <v>1440</v>
      </c>
      <c r="R134" s="327">
        <v>1140</v>
      </c>
      <c r="S134" s="326">
        <v>1440</v>
      </c>
      <c r="T134" s="327">
        <v>1440</v>
      </c>
      <c r="U134" s="327">
        <v>1081</v>
      </c>
      <c r="V134" s="327">
        <v>1080</v>
      </c>
      <c r="W134" s="328"/>
      <c r="X134" s="327">
        <v>1440</v>
      </c>
      <c r="Y134" s="327">
        <v>1440</v>
      </c>
      <c r="Z134" s="326">
        <v>1440</v>
      </c>
      <c r="AA134" s="327">
        <v>1440</v>
      </c>
      <c r="AB134" s="327">
        <v>1442</v>
      </c>
      <c r="AC134" s="327">
        <v>1440</v>
      </c>
      <c r="AD134" s="328"/>
      <c r="AE134" s="329"/>
      <c r="AF134" s="329"/>
      <c r="AG134" s="330"/>
      <c r="AH134" s="331"/>
      <c r="AI134" s="331"/>
      <c r="AJ134" s="8"/>
    </row>
    <row r="135" spans="1:36" ht="15">
      <c r="A135" s="368"/>
      <c r="B135" s="324" t="s">
        <v>231</v>
      </c>
      <c r="C135" s="332">
        <v>-615</v>
      </c>
      <c r="D135" s="332">
        <v>-27.954545454545453</v>
      </c>
      <c r="E135" s="326">
        <v>0</v>
      </c>
      <c r="F135" s="327">
        <v>60</v>
      </c>
      <c r="G135" s="327">
        <v>106</v>
      </c>
      <c r="H135" s="327">
        <v>5</v>
      </c>
      <c r="I135" s="328"/>
      <c r="J135" s="327">
        <v>1</v>
      </c>
      <c r="K135" s="327">
        <v>0</v>
      </c>
      <c r="L135" s="326">
        <v>0</v>
      </c>
      <c r="M135" s="327">
        <v>0</v>
      </c>
      <c r="N135" s="329">
        <v>-490</v>
      </c>
      <c r="O135" s="327">
        <v>0</v>
      </c>
      <c r="P135" s="328"/>
      <c r="Q135" s="327">
        <v>0</v>
      </c>
      <c r="R135" s="329">
        <v>-300</v>
      </c>
      <c r="S135" s="326">
        <v>0</v>
      </c>
      <c r="T135" s="327">
        <v>0</v>
      </c>
      <c r="U135" s="327">
        <v>1</v>
      </c>
      <c r="V135" s="327">
        <v>0</v>
      </c>
      <c r="W135" s="328"/>
      <c r="X135" s="327">
        <v>0</v>
      </c>
      <c r="Y135" s="327">
        <v>0</v>
      </c>
      <c r="Z135" s="326">
        <v>0</v>
      </c>
      <c r="AA135" s="327">
        <v>0</v>
      </c>
      <c r="AB135" s="327">
        <v>2</v>
      </c>
      <c r="AC135" s="327">
        <v>0</v>
      </c>
      <c r="AD135" s="328"/>
      <c r="AE135" s="329"/>
      <c r="AF135" s="329"/>
      <c r="AG135" s="330"/>
      <c r="AH135" s="331"/>
      <c r="AI135" s="331"/>
      <c r="AJ135" s="8"/>
    </row>
    <row r="136" spans="1:36" ht="15">
      <c r="A136" s="368"/>
      <c r="B136" s="324" t="s">
        <v>232</v>
      </c>
      <c r="C136" s="325">
        <v>176</v>
      </c>
      <c r="D136" s="325">
        <v>8</v>
      </c>
      <c r="E136" s="326">
        <v>8</v>
      </c>
      <c r="F136" s="327">
        <v>8</v>
      </c>
      <c r="G136" s="327">
        <v>8</v>
      </c>
      <c r="H136" s="327">
        <v>8</v>
      </c>
      <c r="I136" s="328"/>
      <c r="J136" s="327">
        <v>8</v>
      </c>
      <c r="K136" s="327">
        <v>8</v>
      </c>
      <c r="L136" s="326">
        <v>8</v>
      </c>
      <c r="M136" s="327">
        <v>8</v>
      </c>
      <c r="N136" s="327">
        <v>8</v>
      </c>
      <c r="O136" s="327">
        <v>8</v>
      </c>
      <c r="P136" s="328"/>
      <c r="Q136" s="327">
        <v>8</v>
      </c>
      <c r="R136" s="327">
        <v>8</v>
      </c>
      <c r="S136" s="326">
        <v>8</v>
      </c>
      <c r="T136" s="327">
        <v>8</v>
      </c>
      <c r="U136" s="327">
        <v>8</v>
      </c>
      <c r="V136" s="327">
        <v>8</v>
      </c>
      <c r="W136" s="328"/>
      <c r="X136" s="327">
        <v>8</v>
      </c>
      <c r="Y136" s="327">
        <v>8</v>
      </c>
      <c r="Z136" s="326">
        <v>8</v>
      </c>
      <c r="AA136" s="327">
        <v>8</v>
      </c>
      <c r="AB136" s="327">
        <v>8</v>
      </c>
      <c r="AC136" s="327">
        <v>8</v>
      </c>
      <c r="AD136" s="328"/>
      <c r="AE136" s="329"/>
      <c r="AF136" s="329"/>
      <c r="AG136" s="330"/>
      <c r="AH136" s="331"/>
      <c r="AI136" s="331"/>
      <c r="AJ136" s="8"/>
    </row>
    <row r="137" spans="1:36" ht="15">
      <c r="A137" s="368"/>
      <c r="B137" s="324" t="s">
        <v>233</v>
      </c>
      <c r="C137" s="325">
        <v>63</v>
      </c>
      <c r="D137" s="325">
        <v>63</v>
      </c>
      <c r="E137" s="326">
        <v>65</v>
      </c>
      <c r="F137" s="327">
        <v>66</v>
      </c>
      <c r="G137" s="327">
        <v>65</v>
      </c>
      <c r="H137" s="327">
        <v>65</v>
      </c>
      <c r="I137" s="328"/>
      <c r="J137" s="327">
        <v>67</v>
      </c>
      <c r="K137" s="327">
        <v>67</v>
      </c>
      <c r="L137" s="326">
        <v>64</v>
      </c>
      <c r="M137" s="327">
        <v>63</v>
      </c>
      <c r="N137" s="327">
        <v>63</v>
      </c>
      <c r="O137" s="327">
        <v>63</v>
      </c>
      <c r="P137" s="328"/>
      <c r="Q137" s="327">
        <v>64</v>
      </c>
      <c r="R137" s="327">
        <v>64</v>
      </c>
      <c r="S137" s="326">
        <v>61</v>
      </c>
      <c r="T137" s="327">
        <v>62</v>
      </c>
      <c r="U137" s="327">
        <v>62</v>
      </c>
      <c r="V137" s="327">
        <v>61</v>
      </c>
      <c r="W137" s="328"/>
      <c r="X137" s="327">
        <v>59</v>
      </c>
      <c r="Y137" s="327">
        <v>61</v>
      </c>
      <c r="Z137" s="326">
        <v>60</v>
      </c>
      <c r="AA137" s="327">
        <v>62</v>
      </c>
      <c r="AB137" s="327">
        <v>61</v>
      </c>
      <c r="AC137" s="327">
        <v>61</v>
      </c>
      <c r="AD137" s="328"/>
      <c r="AE137" s="329"/>
      <c r="AF137" s="329"/>
      <c r="AG137" s="330"/>
      <c r="AH137" s="331"/>
      <c r="AI137" s="331"/>
      <c r="AJ137" s="8"/>
    </row>
    <row r="138" spans="1:36" ht="15">
      <c r="A138" s="368"/>
      <c r="B138" s="324" t="s">
        <v>234</v>
      </c>
      <c r="C138" s="325">
        <v>172.41477272727272</v>
      </c>
      <c r="D138" s="325">
        <v>172.41477272727272</v>
      </c>
      <c r="E138" s="326">
        <v>180</v>
      </c>
      <c r="F138" s="327">
        <v>187.5</v>
      </c>
      <c r="G138" s="327">
        <v>193.25</v>
      </c>
      <c r="H138" s="327">
        <v>180.625</v>
      </c>
      <c r="I138" s="328"/>
      <c r="J138" s="327">
        <v>180.125</v>
      </c>
      <c r="K138" s="327">
        <v>180</v>
      </c>
      <c r="L138" s="326">
        <v>180</v>
      </c>
      <c r="M138" s="327">
        <v>180</v>
      </c>
      <c r="N138" s="327">
        <v>118.75</v>
      </c>
      <c r="O138" s="327">
        <v>180</v>
      </c>
      <c r="P138" s="328"/>
      <c r="Q138" s="327">
        <v>180</v>
      </c>
      <c r="R138" s="327">
        <v>142.5</v>
      </c>
      <c r="S138" s="326">
        <v>180</v>
      </c>
      <c r="T138" s="327">
        <v>180</v>
      </c>
      <c r="U138" s="327">
        <v>135.125</v>
      </c>
      <c r="V138" s="327">
        <v>135</v>
      </c>
      <c r="W138" s="328"/>
      <c r="X138" s="327">
        <v>180</v>
      </c>
      <c r="Y138" s="327">
        <v>180</v>
      </c>
      <c r="Z138" s="326">
        <v>180</v>
      </c>
      <c r="AA138" s="327">
        <v>180</v>
      </c>
      <c r="AB138" s="327">
        <v>180.25</v>
      </c>
      <c r="AC138" s="327">
        <v>180</v>
      </c>
      <c r="AD138" s="328"/>
      <c r="AE138" s="329"/>
      <c r="AF138" s="329"/>
      <c r="AG138" s="330"/>
      <c r="AH138" s="331"/>
      <c r="AI138" s="331"/>
      <c r="AJ138" s="8"/>
    </row>
    <row r="139" spans="1:36" ht="15">
      <c r="A139" s="369"/>
      <c r="B139" s="333" t="s">
        <v>235</v>
      </c>
      <c r="C139" s="334">
        <v>2.7366999999999999</v>
      </c>
      <c r="D139" s="334">
        <v>2.7366999999999999</v>
      </c>
      <c r="E139" s="335">
        <v>2.7692000000000001</v>
      </c>
      <c r="F139" s="334">
        <v>2.8409</v>
      </c>
      <c r="G139" s="334">
        <v>2.9731000000000001</v>
      </c>
      <c r="H139" s="334">
        <v>2.7787999999999999</v>
      </c>
      <c r="I139" s="336"/>
      <c r="J139" s="334">
        <v>2.6884000000000001</v>
      </c>
      <c r="K139" s="334">
        <v>2.6865999999999999</v>
      </c>
      <c r="L139" s="335">
        <v>2.8125</v>
      </c>
      <c r="M139" s="334">
        <v>2.8571</v>
      </c>
      <c r="N139" s="334">
        <v>1.8849</v>
      </c>
      <c r="O139" s="334">
        <v>2.8571</v>
      </c>
      <c r="P139" s="336"/>
      <c r="Q139" s="334">
        <v>2.8125</v>
      </c>
      <c r="R139" s="334">
        <v>2.2265999999999999</v>
      </c>
      <c r="S139" s="335">
        <v>2.9508000000000001</v>
      </c>
      <c r="T139" s="334">
        <v>2.9032</v>
      </c>
      <c r="U139" s="334">
        <v>2.1794000000000002</v>
      </c>
      <c r="V139" s="334">
        <v>2.2130999999999998</v>
      </c>
      <c r="W139" s="336"/>
      <c r="X139" s="334">
        <v>3.0508000000000002</v>
      </c>
      <c r="Y139" s="334">
        <v>2.9508000000000001</v>
      </c>
      <c r="Z139" s="335">
        <v>3</v>
      </c>
      <c r="AA139" s="334">
        <v>2.9032</v>
      </c>
      <c r="AB139" s="334">
        <v>2.9548999999999999</v>
      </c>
      <c r="AC139" s="334">
        <v>2.9508000000000001</v>
      </c>
      <c r="AD139" s="336"/>
      <c r="AE139" s="337"/>
      <c r="AF139" s="337"/>
      <c r="AG139" s="338"/>
      <c r="AH139" s="339"/>
      <c r="AI139" s="339"/>
      <c r="AJ139" s="8"/>
    </row>
    <row r="140" spans="1:36" ht="15">
      <c r="A140" s="367" t="s">
        <v>252</v>
      </c>
      <c r="B140" s="314" t="s">
        <v>45</v>
      </c>
      <c r="C140" s="315">
        <v>34800</v>
      </c>
      <c r="D140" s="315">
        <v>1581.8181818181818</v>
      </c>
      <c r="E140" s="316">
        <v>1760</v>
      </c>
      <c r="F140" s="317">
        <v>1760</v>
      </c>
      <c r="G140" s="317">
        <v>1760</v>
      </c>
      <c r="H140" s="317">
        <v>1760</v>
      </c>
      <c r="I140" s="318"/>
      <c r="J140" s="317">
        <v>1760</v>
      </c>
      <c r="K140" s="317">
        <v>1760</v>
      </c>
      <c r="L140" s="316">
        <v>1760</v>
      </c>
      <c r="M140" s="317">
        <v>1760</v>
      </c>
      <c r="N140" s="317">
        <v>1760</v>
      </c>
      <c r="O140" s="317">
        <v>1760</v>
      </c>
      <c r="P140" s="318"/>
      <c r="Q140" s="317">
        <v>1760</v>
      </c>
      <c r="R140" s="317">
        <v>1760</v>
      </c>
      <c r="S140" s="316">
        <v>1760</v>
      </c>
      <c r="T140" s="317">
        <v>1520</v>
      </c>
      <c r="U140" s="317">
        <v>1440</v>
      </c>
      <c r="V140" s="317">
        <v>1280</v>
      </c>
      <c r="W140" s="318"/>
      <c r="X140" s="317">
        <v>1280</v>
      </c>
      <c r="Y140" s="317">
        <v>1280</v>
      </c>
      <c r="Z140" s="316">
        <v>1280</v>
      </c>
      <c r="AA140" s="317">
        <v>1280</v>
      </c>
      <c r="AB140" s="317">
        <v>1280</v>
      </c>
      <c r="AC140" s="317">
        <v>1280</v>
      </c>
      <c r="AD140" s="318"/>
      <c r="AE140" s="319"/>
      <c r="AF140" s="319"/>
      <c r="AG140" s="320"/>
      <c r="AH140" s="321"/>
      <c r="AI140" s="321"/>
      <c r="AJ140" s="8"/>
    </row>
    <row r="141" spans="1:36" ht="15">
      <c r="A141" s="368"/>
      <c r="B141" s="314" t="s">
        <v>229</v>
      </c>
      <c r="C141" s="315">
        <v>31880</v>
      </c>
      <c r="D141" s="315">
        <v>1449.090909090909</v>
      </c>
      <c r="E141" s="316">
        <v>1680</v>
      </c>
      <c r="F141" s="317">
        <v>1680</v>
      </c>
      <c r="G141" s="317">
        <v>1680</v>
      </c>
      <c r="H141" s="317">
        <v>1680</v>
      </c>
      <c r="I141" s="318"/>
      <c r="J141" s="317">
        <v>1680</v>
      </c>
      <c r="K141" s="317">
        <v>1680</v>
      </c>
      <c r="L141" s="316">
        <v>1680</v>
      </c>
      <c r="M141" s="317">
        <v>1680</v>
      </c>
      <c r="N141" s="317">
        <v>1680</v>
      </c>
      <c r="O141" s="317">
        <v>1680</v>
      </c>
      <c r="P141" s="318"/>
      <c r="Q141" s="317">
        <v>1680</v>
      </c>
      <c r="R141" s="317">
        <v>1680</v>
      </c>
      <c r="S141" s="316">
        <v>1680</v>
      </c>
      <c r="T141" s="317">
        <v>900</v>
      </c>
      <c r="U141" s="317">
        <v>900</v>
      </c>
      <c r="V141" s="317">
        <v>1120</v>
      </c>
      <c r="W141" s="318"/>
      <c r="X141" s="317">
        <v>1120</v>
      </c>
      <c r="Y141" s="317">
        <v>1200</v>
      </c>
      <c r="Z141" s="316">
        <v>1200</v>
      </c>
      <c r="AA141" s="317">
        <v>1200</v>
      </c>
      <c r="AB141" s="317">
        <v>1200</v>
      </c>
      <c r="AC141" s="317">
        <v>1200</v>
      </c>
      <c r="AD141" s="318"/>
      <c r="AE141" s="317">
        <v>1200</v>
      </c>
      <c r="AF141" s="317">
        <v>1200</v>
      </c>
      <c r="AG141" s="322">
        <v>1200</v>
      </c>
      <c r="AH141" s="323">
        <v>1200</v>
      </c>
      <c r="AI141" s="323">
        <v>1200</v>
      </c>
      <c r="AJ141" s="8"/>
    </row>
    <row r="142" spans="1:36" ht="15">
      <c r="A142" s="368"/>
      <c r="B142" s="324" t="s">
        <v>47</v>
      </c>
      <c r="C142" s="325">
        <v>28920</v>
      </c>
      <c r="D142" s="325">
        <v>1314.5454545454545</v>
      </c>
      <c r="E142" s="326">
        <v>1680</v>
      </c>
      <c r="F142" s="327">
        <v>1680</v>
      </c>
      <c r="G142" s="327">
        <v>1680</v>
      </c>
      <c r="H142" s="327">
        <v>1680</v>
      </c>
      <c r="I142" s="328"/>
      <c r="J142" s="327">
        <v>1680</v>
      </c>
      <c r="K142" s="327">
        <v>1500</v>
      </c>
      <c r="L142" s="326">
        <v>1250</v>
      </c>
      <c r="M142" s="327">
        <v>1620</v>
      </c>
      <c r="N142" s="327">
        <v>1680</v>
      </c>
      <c r="O142" s="327">
        <v>1500</v>
      </c>
      <c r="P142" s="328"/>
      <c r="Q142" s="327">
        <v>1680</v>
      </c>
      <c r="R142" s="327">
        <v>1680</v>
      </c>
      <c r="S142" s="326">
        <v>1680</v>
      </c>
      <c r="T142" s="327">
        <v>525</v>
      </c>
      <c r="U142" s="327">
        <v>850</v>
      </c>
      <c r="V142" s="327">
        <v>855</v>
      </c>
      <c r="W142" s="328"/>
      <c r="X142" s="327">
        <v>730</v>
      </c>
      <c r="Y142" s="327">
        <v>800</v>
      </c>
      <c r="Z142" s="326">
        <v>880</v>
      </c>
      <c r="AA142" s="327">
        <v>1050</v>
      </c>
      <c r="AB142" s="327">
        <v>1120</v>
      </c>
      <c r="AC142" s="327">
        <v>1120</v>
      </c>
      <c r="AD142" s="328"/>
      <c r="AE142" s="329"/>
      <c r="AF142" s="329"/>
      <c r="AG142" s="330"/>
      <c r="AH142" s="331"/>
      <c r="AI142" s="331"/>
      <c r="AJ142" s="8"/>
    </row>
    <row r="143" spans="1:36" ht="15">
      <c r="A143" s="368"/>
      <c r="B143" s="324" t="s">
        <v>48</v>
      </c>
      <c r="C143" s="332">
        <v>-2960</v>
      </c>
      <c r="D143" s="332">
        <v>-134.54545454545453</v>
      </c>
      <c r="E143" s="326">
        <v>0</v>
      </c>
      <c r="F143" s="327">
        <v>0</v>
      </c>
      <c r="G143" s="327">
        <v>0</v>
      </c>
      <c r="H143" s="327">
        <v>0</v>
      </c>
      <c r="I143" s="328"/>
      <c r="J143" s="327">
        <v>0</v>
      </c>
      <c r="K143" s="329">
        <v>-180</v>
      </c>
      <c r="L143" s="328">
        <v>-430</v>
      </c>
      <c r="M143" s="329">
        <v>-60</v>
      </c>
      <c r="N143" s="327">
        <v>0</v>
      </c>
      <c r="O143" s="329">
        <v>-180</v>
      </c>
      <c r="P143" s="328"/>
      <c r="Q143" s="327">
        <v>0</v>
      </c>
      <c r="R143" s="327">
        <v>0</v>
      </c>
      <c r="S143" s="326">
        <v>0</v>
      </c>
      <c r="T143" s="329">
        <v>-375</v>
      </c>
      <c r="U143" s="329">
        <v>-50</v>
      </c>
      <c r="V143" s="329">
        <v>-265</v>
      </c>
      <c r="W143" s="328"/>
      <c r="X143" s="329">
        <v>-390</v>
      </c>
      <c r="Y143" s="329">
        <v>-400</v>
      </c>
      <c r="Z143" s="328">
        <v>-320</v>
      </c>
      <c r="AA143" s="329">
        <v>-150</v>
      </c>
      <c r="AB143" s="329">
        <v>-80</v>
      </c>
      <c r="AC143" s="329">
        <v>-80</v>
      </c>
      <c r="AD143" s="328"/>
      <c r="AE143" s="329"/>
      <c r="AF143" s="329"/>
      <c r="AG143" s="330"/>
      <c r="AH143" s="331"/>
      <c r="AI143" s="331"/>
      <c r="AJ143" s="8"/>
    </row>
    <row r="144" spans="1:36" ht="15">
      <c r="A144" s="368"/>
      <c r="B144" s="324" t="s">
        <v>253</v>
      </c>
      <c r="C144" s="325">
        <v>176</v>
      </c>
      <c r="D144" s="325">
        <v>8</v>
      </c>
      <c r="E144" s="326">
        <v>8</v>
      </c>
      <c r="F144" s="327">
        <v>8</v>
      </c>
      <c r="G144" s="327">
        <v>8</v>
      </c>
      <c r="H144" s="327">
        <v>8</v>
      </c>
      <c r="I144" s="328"/>
      <c r="J144" s="327">
        <v>8</v>
      </c>
      <c r="K144" s="327">
        <v>8</v>
      </c>
      <c r="L144" s="326">
        <v>8</v>
      </c>
      <c r="M144" s="327">
        <v>8</v>
      </c>
      <c r="N144" s="327">
        <v>8</v>
      </c>
      <c r="O144" s="327">
        <v>8</v>
      </c>
      <c r="P144" s="328"/>
      <c r="Q144" s="327">
        <v>8</v>
      </c>
      <c r="R144" s="327">
        <v>8</v>
      </c>
      <c r="S144" s="326">
        <v>8</v>
      </c>
      <c r="T144" s="327">
        <v>8</v>
      </c>
      <c r="U144" s="327">
        <v>8</v>
      </c>
      <c r="V144" s="327">
        <v>8</v>
      </c>
      <c r="W144" s="328"/>
      <c r="X144" s="327">
        <v>8</v>
      </c>
      <c r="Y144" s="327">
        <v>8</v>
      </c>
      <c r="Z144" s="326">
        <v>8</v>
      </c>
      <c r="AA144" s="327">
        <v>8</v>
      </c>
      <c r="AB144" s="327">
        <v>8</v>
      </c>
      <c r="AC144" s="327">
        <v>8</v>
      </c>
      <c r="AD144" s="328"/>
      <c r="AE144" s="329"/>
      <c r="AF144" s="329"/>
      <c r="AG144" s="330"/>
      <c r="AH144" s="331"/>
      <c r="AI144" s="331"/>
      <c r="AJ144" s="8"/>
    </row>
    <row r="145" spans="1:36" ht="15">
      <c r="A145" s="368"/>
      <c r="B145" s="324" t="s">
        <v>50</v>
      </c>
      <c r="C145" s="325">
        <v>76</v>
      </c>
      <c r="D145" s="325">
        <v>76</v>
      </c>
      <c r="E145" s="326">
        <v>72</v>
      </c>
      <c r="F145" s="327">
        <v>74</v>
      </c>
      <c r="G145" s="327">
        <v>73</v>
      </c>
      <c r="H145" s="327">
        <v>73</v>
      </c>
      <c r="I145" s="328"/>
      <c r="J145" s="327">
        <v>71</v>
      </c>
      <c r="K145" s="327">
        <v>71</v>
      </c>
      <c r="L145" s="326">
        <v>72</v>
      </c>
      <c r="M145" s="327">
        <v>70</v>
      </c>
      <c r="N145" s="327">
        <v>77</v>
      </c>
      <c r="O145" s="327">
        <v>81</v>
      </c>
      <c r="P145" s="328"/>
      <c r="Q145" s="327">
        <v>81</v>
      </c>
      <c r="R145" s="327">
        <v>81</v>
      </c>
      <c r="S145" s="326">
        <v>80</v>
      </c>
      <c r="T145" s="327">
        <v>77</v>
      </c>
      <c r="U145" s="327">
        <v>82</v>
      </c>
      <c r="V145" s="327">
        <v>78</v>
      </c>
      <c r="W145" s="328"/>
      <c r="X145" s="327">
        <v>79</v>
      </c>
      <c r="Y145" s="327">
        <v>78</v>
      </c>
      <c r="Z145" s="326">
        <v>78</v>
      </c>
      <c r="AA145" s="327">
        <v>77</v>
      </c>
      <c r="AB145" s="327">
        <v>78</v>
      </c>
      <c r="AC145" s="327">
        <v>76</v>
      </c>
      <c r="AD145" s="328"/>
      <c r="AE145" s="329"/>
      <c r="AF145" s="329"/>
      <c r="AG145" s="330"/>
      <c r="AH145" s="331"/>
      <c r="AI145" s="331"/>
      <c r="AJ145" s="8"/>
    </row>
    <row r="146" spans="1:36" ht="15">
      <c r="A146" s="368"/>
      <c r="B146" s="324" t="s">
        <v>51</v>
      </c>
      <c r="C146" s="325">
        <v>164.31818181818181</v>
      </c>
      <c r="D146" s="325">
        <v>164.31818181818181</v>
      </c>
      <c r="E146" s="326">
        <v>210</v>
      </c>
      <c r="F146" s="327">
        <v>210</v>
      </c>
      <c r="G146" s="327">
        <v>210</v>
      </c>
      <c r="H146" s="327">
        <v>210</v>
      </c>
      <c r="I146" s="328"/>
      <c r="J146" s="327">
        <v>210</v>
      </c>
      <c r="K146" s="327">
        <v>187.5</v>
      </c>
      <c r="L146" s="326">
        <v>156.25</v>
      </c>
      <c r="M146" s="327">
        <v>202.5</v>
      </c>
      <c r="N146" s="327">
        <v>210</v>
      </c>
      <c r="O146" s="327">
        <v>187.5</v>
      </c>
      <c r="P146" s="328"/>
      <c r="Q146" s="327">
        <v>210</v>
      </c>
      <c r="R146" s="327">
        <v>210</v>
      </c>
      <c r="S146" s="326">
        <v>210</v>
      </c>
      <c r="T146" s="327">
        <v>65.625</v>
      </c>
      <c r="U146" s="327">
        <v>106.25</v>
      </c>
      <c r="V146" s="327">
        <v>106.875</v>
      </c>
      <c r="W146" s="328"/>
      <c r="X146" s="327">
        <v>91.25</v>
      </c>
      <c r="Y146" s="327">
        <v>100</v>
      </c>
      <c r="Z146" s="326">
        <v>110</v>
      </c>
      <c r="AA146" s="327">
        <v>131.25</v>
      </c>
      <c r="AB146" s="327">
        <v>140</v>
      </c>
      <c r="AC146" s="327">
        <v>140</v>
      </c>
      <c r="AD146" s="328"/>
      <c r="AE146" s="329"/>
      <c r="AF146" s="329"/>
      <c r="AG146" s="330"/>
      <c r="AH146" s="331"/>
      <c r="AI146" s="331"/>
      <c r="AJ146" s="8"/>
    </row>
    <row r="147" spans="1:36" ht="15">
      <c r="A147" s="369"/>
      <c r="B147" s="333" t="s">
        <v>52</v>
      </c>
      <c r="C147" s="334">
        <v>2.1621000000000001</v>
      </c>
      <c r="D147" s="334">
        <v>2.1621000000000001</v>
      </c>
      <c r="E147" s="335">
        <v>2.9167000000000001</v>
      </c>
      <c r="F147" s="334">
        <v>2.8378000000000001</v>
      </c>
      <c r="G147" s="334">
        <v>2.8767</v>
      </c>
      <c r="H147" s="334">
        <v>2.8767</v>
      </c>
      <c r="I147" s="336"/>
      <c r="J147" s="334">
        <v>2.9577</v>
      </c>
      <c r="K147" s="334">
        <v>2.6408</v>
      </c>
      <c r="L147" s="335">
        <v>2.1701000000000001</v>
      </c>
      <c r="M147" s="334">
        <v>2.8929</v>
      </c>
      <c r="N147" s="334">
        <v>2.7273000000000001</v>
      </c>
      <c r="O147" s="334">
        <v>2.3148</v>
      </c>
      <c r="P147" s="336"/>
      <c r="Q147" s="334">
        <v>2.5926</v>
      </c>
      <c r="R147" s="334">
        <v>2.5926</v>
      </c>
      <c r="S147" s="335">
        <v>2.625</v>
      </c>
      <c r="T147" s="334">
        <v>0.85229999999999995</v>
      </c>
      <c r="U147" s="334">
        <v>1.2957000000000001</v>
      </c>
      <c r="V147" s="334">
        <v>1.3702000000000001</v>
      </c>
      <c r="W147" s="336"/>
      <c r="X147" s="334">
        <v>1.1551</v>
      </c>
      <c r="Y147" s="334">
        <v>1.2821</v>
      </c>
      <c r="Z147" s="335">
        <v>1.4102999999999999</v>
      </c>
      <c r="AA147" s="334">
        <v>1.7044999999999999</v>
      </c>
      <c r="AB147" s="334">
        <v>1.7949000000000002</v>
      </c>
      <c r="AC147" s="334">
        <v>1.8420999999999998</v>
      </c>
      <c r="AD147" s="336"/>
      <c r="AE147" s="337"/>
      <c r="AF147" s="337"/>
      <c r="AG147" s="338"/>
      <c r="AH147" s="339"/>
      <c r="AI147" s="339"/>
      <c r="AJ147" s="8"/>
    </row>
    <row r="148" spans="1:36" ht="15">
      <c r="A148" s="367" t="s">
        <v>254</v>
      </c>
      <c r="B148" s="314" t="s">
        <v>45</v>
      </c>
      <c r="C148" s="315">
        <v>34240</v>
      </c>
      <c r="D148" s="315">
        <v>1556.3636363636363</v>
      </c>
      <c r="E148" s="316">
        <v>1760</v>
      </c>
      <c r="F148" s="317">
        <v>1760</v>
      </c>
      <c r="G148" s="317">
        <v>1760</v>
      </c>
      <c r="H148" s="317">
        <v>1760</v>
      </c>
      <c r="I148" s="318"/>
      <c r="J148" s="317">
        <v>1760</v>
      </c>
      <c r="K148" s="317">
        <v>1760</v>
      </c>
      <c r="L148" s="316">
        <v>1760</v>
      </c>
      <c r="M148" s="317">
        <v>1760</v>
      </c>
      <c r="N148" s="317">
        <v>1760</v>
      </c>
      <c r="O148" s="317">
        <v>1760</v>
      </c>
      <c r="P148" s="318"/>
      <c r="Q148" s="317">
        <v>1760</v>
      </c>
      <c r="R148" s="317">
        <v>1760</v>
      </c>
      <c r="S148" s="316">
        <v>1600</v>
      </c>
      <c r="T148" s="317">
        <v>1280</v>
      </c>
      <c r="U148" s="317">
        <v>1280</v>
      </c>
      <c r="V148" s="317">
        <v>1280</v>
      </c>
      <c r="W148" s="318"/>
      <c r="X148" s="317">
        <v>1280</v>
      </c>
      <c r="Y148" s="317">
        <v>1280</v>
      </c>
      <c r="Z148" s="316">
        <v>1280</v>
      </c>
      <c r="AA148" s="317">
        <v>1280</v>
      </c>
      <c r="AB148" s="317">
        <v>1280</v>
      </c>
      <c r="AC148" s="317">
        <v>1280</v>
      </c>
      <c r="AD148" s="318"/>
      <c r="AE148" s="319"/>
      <c r="AF148" s="319"/>
      <c r="AG148" s="320"/>
      <c r="AH148" s="321"/>
      <c r="AI148" s="321"/>
      <c r="AJ148" s="8"/>
    </row>
    <row r="149" spans="1:36" ht="15">
      <c r="A149" s="368"/>
      <c r="B149" s="314" t="s">
        <v>46</v>
      </c>
      <c r="C149" s="315">
        <v>31800</v>
      </c>
      <c r="D149" s="315">
        <v>1445.4545454545455</v>
      </c>
      <c r="E149" s="316">
        <v>1680</v>
      </c>
      <c r="F149" s="317">
        <v>1680</v>
      </c>
      <c r="G149" s="317">
        <v>1680</v>
      </c>
      <c r="H149" s="317">
        <v>1680</v>
      </c>
      <c r="I149" s="318"/>
      <c r="J149" s="317">
        <v>1680</v>
      </c>
      <c r="K149" s="317">
        <v>1680</v>
      </c>
      <c r="L149" s="316">
        <v>1680</v>
      </c>
      <c r="M149" s="317">
        <v>1680</v>
      </c>
      <c r="N149" s="317">
        <v>1680</v>
      </c>
      <c r="O149" s="317">
        <v>1680</v>
      </c>
      <c r="P149" s="318"/>
      <c r="Q149" s="317">
        <v>1680</v>
      </c>
      <c r="R149" s="317">
        <v>1680</v>
      </c>
      <c r="S149" s="316">
        <v>1680</v>
      </c>
      <c r="T149" s="317">
        <v>900</v>
      </c>
      <c r="U149" s="317">
        <v>900</v>
      </c>
      <c r="V149" s="317">
        <v>1120</v>
      </c>
      <c r="W149" s="318"/>
      <c r="X149" s="317">
        <v>1120</v>
      </c>
      <c r="Y149" s="317">
        <v>1120</v>
      </c>
      <c r="Z149" s="316">
        <v>1200</v>
      </c>
      <c r="AA149" s="317">
        <v>1200</v>
      </c>
      <c r="AB149" s="317">
        <v>1200</v>
      </c>
      <c r="AC149" s="317">
        <v>1200</v>
      </c>
      <c r="AD149" s="318"/>
      <c r="AE149" s="317">
        <v>1200</v>
      </c>
      <c r="AF149" s="317">
        <v>1200</v>
      </c>
      <c r="AG149" s="322">
        <v>1200</v>
      </c>
      <c r="AH149" s="323">
        <v>1200</v>
      </c>
      <c r="AI149" s="323">
        <v>1200</v>
      </c>
      <c r="AJ149" s="8"/>
    </row>
    <row r="150" spans="1:36" ht="15">
      <c r="A150" s="368"/>
      <c r="B150" s="324" t="s">
        <v>47</v>
      </c>
      <c r="C150" s="325">
        <v>28075</v>
      </c>
      <c r="D150" s="325">
        <v>1276.1363636363637</v>
      </c>
      <c r="E150" s="326">
        <v>1680</v>
      </c>
      <c r="F150" s="327">
        <v>1680</v>
      </c>
      <c r="G150" s="327">
        <v>1580</v>
      </c>
      <c r="H150" s="327">
        <v>1710</v>
      </c>
      <c r="I150" s="328"/>
      <c r="J150" s="327">
        <v>1680</v>
      </c>
      <c r="K150" s="327">
        <v>1685</v>
      </c>
      <c r="L150" s="326">
        <v>1580</v>
      </c>
      <c r="M150" s="327">
        <v>1600</v>
      </c>
      <c r="N150" s="327">
        <v>1680</v>
      </c>
      <c r="O150" s="327">
        <v>1640</v>
      </c>
      <c r="P150" s="328"/>
      <c r="Q150" s="327">
        <v>1680</v>
      </c>
      <c r="R150" s="327">
        <v>1050</v>
      </c>
      <c r="S150" s="326">
        <v>440</v>
      </c>
      <c r="T150" s="327">
        <v>650</v>
      </c>
      <c r="U150" s="327">
        <v>850</v>
      </c>
      <c r="V150" s="327">
        <v>910</v>
      </c>
      <c r="W150" s="328"/>
      <c r="X150" s="327">
        <v>770</v>
      </c>
      <c r="Y150" s="327">
        <v>840</v>
      </c>
      <c r="Z150" s="326">
        <v>880</v>
      </c>
      <c r="AA150" s="327">
        <v>1120</v>
      </c>
      <c r="AB150" s="327">
        <v>1170</v>
      </c>
      <c r="AC150" s="327">
        <v>1200</v>
      </c>
      <c r="AD150" s="328"/>
      <c r="AE150" s="329"/>
      <c r="AF150" s="329"/>
      <c r="AG150" s="330"/>
      <c r="AH150" s="331"/>
      <c r="AI150" s="331"/>
      <c r="AJ150" s="8"/>
    </row>
    <row r="151" spans="1:36" ht="15">
      <c r="A151" s="368"/>
      <c r="B151" s="324" t="s">
        <v>48</v>
      </c>
      <c r="C151" s="332">
        <v>-3725</v>
      </c>
      <c r="D151" s="332">
        <v>-169.31818181818181</v>
      </c>
      <c r="E151" s="326">
        <v>0</v>
      </c>
      <c r="F151" s="327">
        <v>0</v>
      </c>
      <c r="G151" s="329">
        <v>-100</v>
      </c>
      <c r="H151" s="327">
        <v>30</v>
      </c>
      <c r="I151" s="328"/>
      <c r="J151" s="327">
        <v>0</v>
      </c>
      <c r="K151" s="327">
        <v>5</v>
      </c>
      <c r="L151" s="328">
        <v>-100</v>
      </c>
      <c r="M151" s="329">
        <v>-80</v>
      </c>
      <c r="N151" s="327">
        <v>0</v>
      </c>
      <c r="O151" s="329">
        <v>-40</v>
      </c>
      <c r="P151" s="328"/>
      <c r="Q151" s="327">
        <v>0</v>
      </c>
      <c r="R151" s="329">
        <v>-630</v>
      </c>
      <c r="S151" s="328">
        <v>-1240</v>
      </c>
      <c r="T151" s="329">
        <v>-250</v>
      </c>
      <c r="U151" s="329">
        <v>-50</v>
      </c>
      <c r="V151" s="329">
        <v>-210</v>
      </c>
      <c r="W151" s="328"/>
      <c r="X151" s="329">
        <v>-350</v>
      </c>
      <c r="Y151" s="329">
        <v>-280</v>
      </c>
      <c r="Z151" s="328">
        <v>-320</v>
      </c>
      <c r="AA151" s="329">
        <v>-80</v>
      </c>
      <c r="AB151" s="329">
        <v>-30</v>
      </c>
      <c r="AC151" s="327">
        <v>0</v>
      </c>
      <c r="AD151" s="328"/>
      <c r="AE151" s="329"/>
      <c r="AF151" s="329"/>
      <c r="AG151" s="330"/>
      <c r="AH151" s="331"/>
      <c r="AI151" s="331"/>
      <c r="AJ151" s="8"/>
    </row>
    <row r="152" spans="1:36" ht="15">
      <c r="A152" s="368"/>
      <c r="B152" s="324" t="s">
        <v>49</v>
      </c>
      <c r="C152" s="325">
        <v>176</v>
      </c>
      <c r="D152" s="325">
        <v>8</v>
      </c>
      <c r="E152" s="326">
        <v>8</v>
      </c>
      <c r="F152" s="327">
        <v>8</v>
      </c>
      <c r="G152" s="327">
        <v>8</v>
      </c>
      <c r="H152" s="327">
        <v>8</v>
      </c>
      <c r="I152" s="328"/>
      <c r="J152" s="327">
        <v>8</v>
      </c>
      <c r="K152" s="327">
        <v>8</v>
      </c>
      <c r="L152" s="326">
        <v>8</v>
      </c>
      <c r="M152" s="327">
        <v>8</v>
      </c>
      <c r="N152" s="327">
        <v>8</v>
      </c>
      <c r="O152" s="327">
        <v>8</v>
      </c>
      <c r="P152" s="328"/>
      <c r="Q152" s="327">
        <v>8</v>
      </c>
      <c r="R152" s="327">
        <v>8</v>
      </c>
      <c r="S152" s="326">
        <v>8</v>
      </c>
      <c r="T152" s="327">
        <v>8</v>
      </c>
      <c r="U152" s="327">
        <v>8</v>
      </c>
      <c r="V152" s="327">
        <v>8</v>
      </c>
      <c r="W152" s="328"/>
      <c r="X152" s="327">
        <v>8</v>
      </c>
      <c r="Y152" s="327">
        <v>8</v>
      </c>
      <c r="Z152" s="326">
        <v>8</v>
      </c>
      <c r="AA152" s="327">
        <v>8</v>
      </c>
      <c r="AB152" s="327">
        <v>8</v>
      </c>
      <c r="AC152" s="327">
        <v>8</v>
      </c>
      <c r="AD152" s="328"/>
      <c r="AE152" s="329"/>
      <c r="AF152" s="329"/>
      <c r="AG152" s="330"/>
      <c r="AH152" s="331"/>
      <c r="AI152" s="331"/>
      <c r="AJ152" s="8"/>
    </row>
    <row r="153" spans="1:36" ht="15">
      <c r="A153" s="368"/>
      <c r="B153" s="324" t="s">
        <v>50</v>
      </c>
      <c r="C153" s="325">
        <v>74</v>
      </c>
      <c r="D153" s="325">
        <v>74</v>
      </c>
      <c r="E153" s="326">
        <v>75</v>
      </c>
      <c r="F153" s="327">
        <v>75</v>
      </c>
      <c r="G153" s="327">
        <v>75</v>
      </c>
      <c r="H153" s="327">
        <v>74</v>
      </c>
      <c r="I153" s="328"/>
      <c r="J153" s="327">
        <v>76</v>
      </c>
      <c r="K153" s="327">
        <v>74</v>
      </c>
      <c r="L153" s="326">
        <v>75</v>
      </c>
      <c r="M153" s="327">
        <v>74</v>
      </c>
      <c r="N153" s="327">
        <v>77</v>
      </c>
      <c r="O153" s="327">
        <v>77</v>
      </c>
      <c r="P153" s="328"/>
      <c r="Q153" s="327">
        <v>75</v>
      </c>
      <c r="R153" s="327">
        <v>77</v>
      </c>
      <c r="S153" s="326">
        <v>77</v>
      </c>
      <c r="T153" s="327">
        <v>76</v>
      </c>
      <c r="U153" s="327">
        <v>76</v>
      </c>
      <c r="V153" s="327">
        <v>76</v>
      </c>
      <c r="W153" s="328"/>
      <c r="X153" s="327">
        <v>75</v>
      </c>
      <c r="Y153" s="327">
        <v>71</v>
      </c>
      <c r="Z153" s="326">
        <v>73</v>
      </c>
      <c r="AA153" s="327">
        <v>75</v>
      </c>
      <c r="AB153" s="327">
        <v>75</v>
      </c>
      <c r="AC153" s="327">
        <v>71</v>
      </c>
      <c r="AD153" s="328"/>
      <c r="AE153" s="329"/>
      <c r="AF153" s="329"/>
      <c r="AG153" s="330"/>
      <c r="AH153" s="331"/>
      <c r="AI153" s="331"/>
      <c r="AJ153" s="8"/>
    </row>
    <row r="154" spans="1:36" ht="15">
      <c r="A154" s="368"/>
      <c r="B154" s="324" t="s">
        <v>51</v>
      </c>
      <c r="C154" s="325">
        <v>159.51704545454547</v>
      </c>
      <c r="D154" s="325">
        <v>159.51704545454547</v>
      </c>
      <c r="E154" s="326">
        <v>210</v>
      </c>
      <c r="F154" s="327">
        <v>210</v>
      </c>
      <c r="G154" s="327">
        <v>197.5</v>
      </c>
      <c r="H154" s="327">
        <v>213.75</v>
      </c>
      <c r="I154" s="328"/>
      <c r="J154" s="327">
        <v>210</v>
      </c>
      <c r="K154" s="327">
        <v>210.625</v>
      </c>
      <c r="L154" s="326">
        <v>197.5</v>
      </c>
      <c r="M154" s="327">
        <v>200</v>
      </c>
      <c r="N154" s="327">
        <v>210</v>
      </c>
      <c r="O154" s="327">
        <v>205</v>
      </c>
      <c r="P154" s="328"/>
      <c r="Q154" s="327">
        <v>210</v>
      </c>
      <c r="R154" s="327">
        <v>131.25</v>
      </c>
      <c r="S154" s="326">
        <v>55</v>
      </c>
      <c r="T154" s="327">
        <v>81.25</v>
      </c>
      <c r="U154" s="327">
        <v>106.25</v>
      </c>
      <c r="V154" s="327">
        <v>113.75</v>
      </c>
      <c r="W154" s="328"/>
      <c r="X154" s="327">
        <v>96.25</v>
      </c>
      <c r="Y154" s="327">
        <v>105</v>
      </c>
      <c r="Z154" s="326">
        <v>110</v>
      </c>
      <c r="AA154" s="327">
        <v>140</v>
      </c>
      <c r="AB154" s="327">
        <v>146.25</v>
      </c>
      <c r="AC154" s="327">
        <v>150</v>
      </c>
      <c r="AD154" s="328"/>
      <c r="AE154" s="329"/>
      <c r="AF154" s="329"/>
      <c r="AG154" s="330"/>
      <c r="AH154" s="331"/>
      <c r="AI154" s="331"/>
      <c r="AJ154" s="8"/>
    </row>
    <row r="155" spans="1:36" ht="15">
      <c r="A155" s="369"/>
      <c r="B155" s="333" t="s">
        <v>52</v>
      </c>
      <c r="C155" s="334">
        <v>2.1556000000000002</v>
      </c>
      <c r="D155" s="334">
        <v>2.1556000000000002</v>
      </c>
      <c r="E155" s="335">
        <v>2.8</v>
      </c>
      <c r="F155" s="334">
        <v>2.8</v>
      </c>
      <c r="G155" s="334">
        <v>2.6333000000000002</v>
      </c>
      <c r="H155" s="334">
        <v>2.8885000000000001</v>
      </c>
      <c r="I155" s="336"/>
      <c r="J155" s="334">
        <v>2.7631999999999999</v>
      </c>
      <c r="K155" s="334">
        <v>2.8463000000000003</v>
      </c>
      <c r="L155" s="335">
        <v>2.6333000000000002</v>
      </c>
      <c r="M155" s="334">
        <v>2.7027000000000001</v>
      </c>
      <c r="N155" s="334">
        <v>2.7273000000000001</v>
      </c>
      <c r="O155" s="334">
        <v>2.6623000000000001</v>
      </c>
      <c r="P155" s="336"/>
      <c r="Q155" s="334">
        <v>2.8</v>
      </c>
      <c r="R155" s="334">
        <v>1.7044999999999999</v>
      </c>
      <c r="S155" s="335">
        <v>0.71430000000000005</v>
      </c>
      <c r="T155" s="334">
        <v>1.0690999999999999</v>
      </c>
      <c r="U155" s="334">
        <v>1.3980000000000001</v>
      </c>
      <c r="V155" s="334">
        <v>1.4966999999999999</v>
      </c>
      <c r="W155" s="336"/>
      <c r="X155" s="334">
        <v>1.2833000000000001</v>
      </c>
      <c r="Y155" s="334">
        <v>1.4788999999999999</v>
      </c>
      <c r="Z155" s="335">
        <v>1.5068000000000001</v>
      </c>
      <c r="AA155" s="334">
        <v>1.8667</v>
      </c>
      <c r="AB155" s="334">
        <v>1.95</v>
      </c>
      <c r="AC155" s="334">
        <v>2.1126999999999998</v>
      </c>
      <c r="AD155" s="336"/>
      <c r="AE155" s="337"/>
      <c r="AF155" s="337"/>
      <c r="AG155" s="338"/>
      <c r="AH155" s="339"/>
      <c r="AI155" s="339"/>
      <c r="AJ155" s="8"/>
    </row>
    <row r="156" spans="1:36" ht="15">
      <c r="A156" s="367" t="s">
        <v>255</v>
      </c>
      <c r="B156" s="314" t="s">
        <v>45</v>
      </c>
      <c r="C156" s="315">
        <v>35328</v>
      </c>
      <c r="D156" s="315">
        <v>1605.8181818181818</v>
      </c>
      <c r="E156" s="316">
        <v>1680</v>
      </c>
      <c r="F156" s="317">
        <v>1648</v>
      </c>
      <c r="G156" s="317">
        <v>1760</v>
      </c>
      <c r="H156" s="317">
        <v>1520</v>
      </c>
      <c r="I156" s="318"/>
      <c r="J156" s="317">
        <v>1760</v>
      </c>
      <c r="K156" s="317">
        <v>1760</v>
      </c>
      <c r="L156" s="316">
        <v>1760</v>
      </c>
      <c r="M156" s="317">
        <v>1760</v>
      </c>
      <c r="N156" s="317">
        <v>1760</v>
      </c>
      <c r="O156" s="317">
        <v>1760</v>
      </c>
      <c r="P156" s="318"/>
      <c r="Q156" s="317">
        <v>1760</v>
      </c>
      <c r="R156" s="317">
        <v>1760</v>
      </c>
      <c r="S156" s="316">
        <v>1760</v>
      </c>
      <c r="T156" s="317">
        <v>1760</v>
      </c>
      <c r="U156" s="317">
        <v>1760</v>
      </c>
      <c r="V156" s="317">
        <v>1520</v>
      </c>
      <c r="W156" s="318"/>
      <c r="X156" s="317">
        <v>1440</v>
      </c>
      <c r="Y156" s="317">
        <v>1280</v>
      </c>
      <c r="Z156" s="316">
        <v>1280</v>
      </c>
      <c r="AA156" s="317">
        <v>1280</v>
      </c>
      <c r="AB156" s="317">
        <v>1280</v>
      </c>
      <c r="AC156" s="317">
        <v>1280</v>
      </c>
      <c r="AD156" s="318"/>
      <c r="AE156" s="319"/>
      <c r="AF156" s="319"/>
      <c r="AG156" s="320"/>
      <c r="AH156" s="321"/>
      <c r="AI156" s="321"/>
      <c r="AJ156" s="8"/>
    </row>
    <row r="157" spans="1:36" ht="15">
      <c r="A157" s="368"/>
      <c r="B157" s="314" t="s">
        <v>46</v>
      </c>
      <c r="C157" s="315">
        <v>31800</v>
      </c>
      <c r="D157" s="315">
        <v>1445.4545454545455</v>
      </c>
      <c r="E157" s="316">
        <v>1680</v>
      </c>
      <c r="F157" s="317">
        <v>1680</v>
      </c>
      <c r="G157" s="317">
        <v>1680</v>
      </c>
      <c r="H157" s="317">
        <v>1680</v>
      </c>
      <c r="I157" s="318"/>
      <c r="J157" s="317">
        <v>1680</v>
      </c>
      <c r="K157" s="317">
        <v>1680</v>
      </c>
      <c r="L157" s="316">
        <v>1680</v>
      </c>
      <c r="M157" s="317">
        <v>1680</v>
      </c>
      <c r="N157" s="317">
        <v>1680</v>
      </c>
      <c r="O157" s="317">
        <v>1680</v>
      </c>
      <c r="P157" s="318"/>
      <c r="Q157" s="317">
        <v>1680</v>
      </c>
      <c r="R157" s="317">
        <v>1680</v>
      </c>
      <c r="S157" s="316">
        <v>1680</v>
      </c>
      <c r="T157" s="317">
        <v>900</v>
      </c>
      <c r="U157" s="317">
        <v>900</v>
      </c>
      <c r="V157" s="317">
        <v>1120</v>
      </c>
      <c r="W157" s="318"/>
      <c r="X157" s="317">
        <v>1120</v>
      </c>
      <c r="Y157" s="317">
        <v>1120</v>
      </c>
      <c r="Z157" s="316">
        <v>1200</v>
      </c>
      <c r="AA157" s="317">
        <v>1200</v>
      </c>
      <c r="AB157" s="317">
        <v>1200</v>
      </c>
      <c r="AC157" s="317">
        <v>1200</v>
      </c>
      <c r="AD157" s="318"/>
      <c r="AE157" s="317">
        <v>1200</v>
      </c>
      <c r="AF157" s="317">
        <v>1200</v>
      </c>
      <c r="AG157" s="322">
        <v>1200</v>
      </c>
      <c r="AH157" s="323">
        <v>1200</v>
      </c>
      <c r="AI157" s="323">
        <v>1200</v>
      </c>
      <c r="AJ157" s="8"/>
    </row>
    <row r="158" spans="1:36" ht="15">
      <c r="A158" s="368"/>
      <c r="B158" s="324" t="s">
        <v>47</v>
      </c>
      <c r="C158" s="325">
        <v>30575</v>
      </c>
      <c r="D158" s="325">
        <v>1389.7727272727273</v>
      </c>
      <c r="E158" s="326">
        <v>1200</v>
      </c>
      <c r="F158" s="327">
        <v>1680</v>
      </c>
      <c r="G158" s="327">
        <v>1680</v>
      </c>
      <c r="H158" s="327">
        <v>1700</v>
      </c>
      <c r="I158" s="328"/>
      <c r="J158" s="327">
        <v>1730</v>
      </c>
      <c r="K158" s="327">
        <v>1740</v>
      </c>
      <c r="L158" s="326">
        <v>1680</v>
      </c>
      <c r="M158" s="327">
        <v>1500</v>
      </c>
      <c r="N158" s="327">
        <v>1510</v>
      </c>
      <c r="O158" s="327">
        <v>1680</v>
      </c>
      <c r="P158" s="328"/>
      <c r="Q158" s="327">
        <v>1680</v>
      </c>
      <c r="R158" s="327">
        <v>1680</v>
      </c>
      <c r="S158" s="326">
        <v>1625</v>
      </c>
      <c r="T158" s="327">
        <v>1680</v>
      </c>
      <c r="U158" s="327">
        <v>1680</v>
      </c>
      <c r="V158" s="327">
        <v>710</v>
      </c>
      <c r="W158" s="328"/>
      <c r="X158" s="327">
        <v>420</v>
      </c>
      <c r="Y158" s="327">
        <v>800</v>
      </c>
      <c r="Z158" s="326">
        <v>840</v>
      </c>
      <c r="AA158" s="327">
        <v>1050</v>
      </c>
      <c r="AB158" s="327">
        <v>1150</v>
      </c>
      <c r="AC158" s="327">
        <v>1160</v>
      </c>
      <c r="AD158" s="328"/>
      <c r="AE158" s="329"/>
      <c r="AF158" s="329"/>
      <c r="AG158" s="330"/>
      <c r="AH158" s="331"/>
      <c r="AI158" s="331"/>
      <c r="AJ158" s="8"/>
    </row>
    <row r="159" spans="1:36" ht="15">
      <c r="A159" s="368"/>
      <c r="B159" s="324" t="s">
        <v>48</v>
      </c>
      <c r="C159" s="332">
        <v>-1225</v>
      </c>
      <c r="D159" s="332">
        <v>-55.68181818181818</v>
      </c>
      <c r="E159" s="328">
        <v>-480</v>
      </c>
      <c r="F159" s="327">
        <v>0</v>
      </c>
      <c r="G159" s="327">
        <v>0</v>
      </c>
      <c r="H159" s="327">
        <v>20</v>
      </c>
      <c r="I159" s="328"/>
      <c r="J159" s="327">
        <v>50</v>
      </c>
      <c r="K159" s="327">
        <v>60</v>
      </c>
      <c r="L159" s="326">
        <v>0</v>
      </c>
      <c r="M159" s="329">
        <v>-180</v>
      </c>
      <c r="N159" s="329">
        <v>-170</v>
      </c>
      <c r="O159" s="327">
        <v>0</v>
      </c>
      <c r="P159" s="328"/>
      <c r="Q159" s="327">
        <v>0</v>
      </c>
      <c r="R159" s="327">
        <v>0</v>
      </c>
      <c r="S159" s="328">
        <v>-55</v>
      </c>
      <c r="T159" s="327">
        <v>780</v>
      </c>
      <c r="U159" s="327">
        <v>780</v>
      </c>
      <c r="V159" s="329">
        <v>-410</v>
      </c>
      <c r="W159" s="328"/>
      <c r="X159" s="329">
        <v>-700</v>
      </c>
      <c r="Y159" s="329">
        <v>-320</v>
      </c>
      <c r="Z159" s="328">
        <v>-360</v>
      </c>
      <c r="AA159" s="329">
        <v>-150</v>
      </c>
      <c r="AB159" s="329">
        <v>-50</v>
      </c>
      <c r="AC159" s="329">
        <v>-40</v>
      </c>
      <c r="AD159" s="328"/>
      <c r="AE159" s="329"/>
      <c r="AF159" s="329"/>
      <c r="AG159" s="330"/>
      <c r="AH159" s="331"/>
      <c r="AI159" s="331"/>
      <c r="AJ159" s="8"/>
    </row>
    <row r="160" spans="1:36" ht="15">
      <c r="A160" s="368"/>
      <c r="B160" s="324" t="s">
        <v>49</v>
      </c>
      <c r="C160" s="325">
        <v>176</v>
      </c>
      <c r="D160" s="325">
        <v>8</v>
      </c>
      <c r="E160" s="326">
        <v>8</v>
      </c>
      <c r="F160" s="327">
        <v>8</v>
      </c>
      <c r="G160" s="327">
        <v>8</v>
      </c>
      <c r="H160" s="327">
        <v>8</v>
      </c>
      <c r="I160" s="328"/>
      <c r="J160" s="327">
        <v>8</v>
      </c>
      <c r="K160" s="327">
        <v>8</v>
      </c>
      <c r="L160" s="326">
        <v>8</v>
      </c>
      <c r="M160" s="327">
        <v>8</v>
      </c>
      <c r="N160" s="327">
        <v>8</v>
      </c>
      <c r="O160" s="327">
        <v>8</v>
      </c>
      <c r="P160" s="328"/>
      <c r="Q160" s="327">
        <v>8</v>
      </c>
      <c r="R160" s="327">
        <v>8</v>
      </c>
      <c r="S160" s="326">
        <v>8</v>
      </c>
      <c r="T160" s="327">
        <v>8</v>
      </c>
      <c r="U160" s="327">
        <v>8</v>
      </c>
      <c r="V160" s="327">
        <v>8</v>
      </c>
      <c r="W160" s="328"/>
      <c r="X160" s="327">
        <v>8</v>
      </c>
      <c r="Y160" s="327">
        <v>8</v>
      </c>
      <c r="Z160" s="326">
        <v>8</v>
      </c>
      <c r="AA160" s="327">
        <v>8</v>
      </c>
      <c r="AB160" s="327">
        <v>8</v>
      </c>
      <c r="AC160" s="327">
        <v>8</v>
      </c>
      <c r="AD160" s="328"/>
      <c r="AE160" s="329"/>
      <c r="AF160" s="329"/>
      <c r="AG160" s="330"/>
      <c r="AH160" s="331"/>
      <c r="AI160" s="331"/>
      <c r="AJ160" s="8"/>
    </row>
    <row r="161" spans="1:36" ht="15">
      <c r="A161" s="368"/>
      <c r="B161" s="324" t="s">
        <v>50</v>
      </c>
      <c r="C161" s="325">
        <v>68</v>
      </c>
      <c r="D161" s="325">
        <v>68</v>
      </c>
      <c r="E161" s="326">
        <v>66</v>
      </c>
      <c r="F161" s="327">
        <v>67</v>
      </c>
      <c r="G161" s="327">
        <v>67</v>
      </c>
      <c r="H161" s="327">
        <v>67</v>
      </c>
      <c r="I161" s="328"/>
      <c r="J161" s="327">
        <v>63</v>
      </c>
      <c r="K161" s="327">
        <v>64</v>
      </c>
      <c r="L161" s="326">
        <v>64</v>
      </c>
      <c r="M161" s="327">
        <v>64</v>
      </c>
      <c r="N161" s="327">
        <v>70</v>
      </c>
      <c r="O161" s="327">
        <v>72</v>
      </c>
      <c r="P161" s="328"/>
      <c r="Q161" s="327">
        <v>71</v>
      </c>
      <c r="R161" s="327">
        <v>72</v>
      </c>
      <c r="S161" s="326">
        <v>73</v>
      </c>
      <c r="T161" s="327">
        <v>72</v>
      </c>
      <c r="U161" s="327">
        <v>71</v>
      </c>
      <c r="V161" s="327">
        <v>71</v>
      </c>
      <c r="W161" s="328"/>
      <c r="X161" s="327">
        <v>70</v>
      </c>
      <c r="Y161" s="327">
        <v>69</v>
      </c>
      <c r="Z161" s="326">
        <v>69</v>
      </c>
      <c r="AA161" s="327">
        <v>69</v>
      </c>
      <c r="AB161" s="327">
        <v>67</v>
      </c>
      <c r="AC161" s="327">
        <v>67</v>
      </c>
      <c r="AD161" s="328"/>
      <c r="AE161" s="329"/>
      <c r="AF161" s="329"/>
      <c r="AG161" s="330"/>
      <c r="AH161" s="331"/>
      <c r="AI161" s="331"/>
      <c r="AJ161" s="8"/>
    </row>
    <row r="162" spans="1:36" ht="15">
      <c r="A162" s="368"/>
      <c r="B162" s="324" t="s">
        <v>51</v>
      </c>
      <c r="C162" s="325">
        <v>173.72159090909091</v>
      </c>
      <c r="D162" s="325">
        <v>173.72159090909091</v>
      </c>
      <c r="E162" s="326">
        <v>150</v>
      </c>
      <c r="F162" s="327">
        <v>210</v>
      </c>
      <c r="G162" s="327">
        <v>210</v>
      </c>
      <c r="H162" s="327">
        <v>212.5</v>
      </c>
      <c r="I162" s="328"/>
      <c r="J162" s="327">
        <v>216.25</v>
      </c>
      <c r="K162" s="327">
        <v>217.5</v>
      </c>
      <c r="L162" s="326">
        <v>210</v>
      </c>
      <c r="M162" s="327">
        <v>187.5</v>
      </c>
      <c r="N162" s="327">
        <v>188.75</v>
      </c>
      <c r="O162" s="327">
        <v>210</v>
      </c>
      <c r="P162" s="328"/>
      <c r="Q162" s="327">
        <v>210</v>
      </c>
      <c r="R162" s="327">
        <v>210</v>
      </c>
      <c r="S162" s="326">
        <v>203.125</v>
      </c>
      <c r="T162" s="327">
        <v>210</v>
      </c>
      <c r="U162" s="327">
        <v>210</v>
      </c>
      <c r="V162" s="327">
        <v>88.75</v>
      </c>
      <c r="W162" s="328"/>
      <c r="X162" s="327">
        <v>52.5</v>
      </c>
      <c r="Y162" s="327">
        <v>100</v>
      </c>
      <c r="Z162" s="326">
        <v>105</v>
      </c>
      <c r="AA162" s="327">
        <v>131.25</v>
      </c>
      <c r="AB162" s="327">
        <v>143.75</v>
      </c>
      <c r="AC162" s="327">
        <v>145</v>
      </c>
      <c r="AD162" s="328"/>
      <c r="AE162" s="329"/>
      <c r="AF162" s="329"/>
      <c r="AG162" s="330"/>
      <c r="AH162" s="331"/>
      <c r="AI162" s="331"/>
      <c r="AJ162" s="8"/>
    </row>
    <row r="163" spans="1:36" ht="15">
      <c r="A163" s="369"/>
      <c r="B163" s="333" t="s">
        <v>52</v>
      </c>
      <c r="C163" s="334">
        <v>2.5547</v>
      </c>
      <c r="D163" s="334">
        <v>2.5547</v>
      </c>
      <c r="E163" s="335">
        <v>2.2726999999999999</v>
      </c>
      <c r="F163" s="334">
        <v>3.1343000000000001</v>
      </c>
      <c r="G163" s="334">
        <v>3.1343000000000001</v>
      </c>
      <c r="H163" s="334">
        <v>3.1716000000000002</v>
      </c>
      <c r="I163" s="336"/>
      <c r="J163" s="334">
        <v>3.4325000000000001</v>
      </c>
      <c r="K163" s="334">
        <v>3.3984000000000001</v>
      </c>
      <c r="L163" s="335">
        <v>3.2812999999999999</v>
      </c>
      <c r="M163" s="334">
        <v>2.9297</v>
      </c>
      <c r="N163" s="334">
        <v>2.6964000000000001</v>
      </c>
      <c r="O163" s="334">
        <v>2.9167000000000001</v>
      </c>
      <c r="P163" s="336"/>
      <c r="Q163" s="334">
        <v>2.9577</v>
      </c>
      <c r="R163" s="334">
        <v>2.9167000000000001</v>
      </c>
      <c r="S163" s="335">
        <v>2.7824999999999998</v>
      </c>
      <c r="T163" s="334">
        <v>2.9167000000000001</v>
      </c>
      <c r="U163" s="334">
        <v>2.9577</v>
      </c>
      <c r="V163" s="334">
        <v>1.25</v>
      </c>
      <c r="W163" s="336"/>
      <c r="X163" s="334">
        <v>0.75</v>
      </c>
      <c r="Y163" s="334">
        <v>1.4493</v>
      </c>
      <c r="Z163" s="335">
        <v>1.5217000000000001</v>
      </c>
      <c r="AA163" s="334">
        <v>1.9022000000000001</v>
      </c>
      <c r="AB163" s="334">
        <v>2.1455000000000002</v>
      </c>
      <c r="AC163" s="334">
        <v>2.1642000000000001</v>
      </c>
      <c r="AD163" s="336"/>
      <c r="AE163" s="337"/>
      <c r="AF163" s="337"/>
      <c r="AG163" s="338"/>
      <c r="AH163" s="339"/>
      <c r="AI163" s="339"/>
      <c r="AJ163" s="8"/>
    </row>
    <row r="164" spans="1:36" ht="15">
      <c r="A164" s="367" t="s">
        <v>256</v>
      </c>
      <c r="B164" s="314" t="s">
        <v>45</v>
      </c>
      <c r="C164" s="315">
        <v>36320</v>
      </c>
      <c r="D164" s="315">
        <v>1650.909090909091</v>
      </c>
      <c r="E164" s="316">
        <v>1760</v>
      </c>
      <c r="F164" s="317">
        <v>1760</v>
      </c>
      <c r="G164" s="317">
        <v>1760</v>
      </c>
      <c r="H164" s="317">
        <v>1760</v>
      </c>
      <c r="I164" s="318"/>
      <c r="J164" s="317">
        <v>1760</v>
      </c>
      <c r="K164" s="317">
        <v>1760</v>
      </c>
      <c r="L164" s="316">
        <v>1760</v>
      </c>
      <c r="M164" s="317">
        <v>1760</v>
      </c>
      <c r="N164" s="317">
        <v>1760</v>
      </c>
      <c r="O164" s="317">
        <v>1760</v>
      </c>
      <c r="P164" s="318"/>
      <c r="Q164" s="317">
        <v>1760</v>
      </c>
      <c r="R164" s="317">
        <v>1760</v>
      </c>
      <c r="S164" s="316">
        <v>1760</v>
      </c>
      <c r="T164" s="317">
        <v>1760</v>
      </c>
      <c r="U164" s="317">
        <v>1520</v>
      </c>
      <c r="V164" s="317">
        <v>1760</v>
      </c>
      <c r="W164" s="318"/>
      <c r="X164" s="317">
        <v>1520</v>
      </c>
      <c r="Y164" s="317">
        <v>1520</v>
      </c>
      <c r="Z164" s="316">
        <v>1520</v>
      </c>
      <c r="AA164" s="317">
        <v>1280</v>
      </c>
      <c r="AB164" s="317">
        <v>1280</v>
      </c>
      <c r="AC164" s="317">
        <v>1280</v>
      </c>
      <c r="AD164" s="318"/>
      <c r="AE164" s="319"/>
      <c r="AF164" s="319"/>
      <c r="AG164" s="320"/>
      <c r="AH164" s="321"/>
      <c r="AI164" s="321"/>
      <c r="AJ164" s="8"/>
    </row>
    <row r="165" spans="1:36" ht="15">
      <c r="A165" s="368"/>
      <c r="B165" s="314" t="s">
        <v>46</v>
      </c>
      <c r="C165" s="315">
        <v>31880</v>
      </c>
      <c r="D165" s="315">
        <v>1449.090909090909</v>
      </c>
      <c r="E165" s="316">
        <v>1680</v>
      </c>
      <c r="F165" s="317">
        <v>1680</v>
      </c>
      <c r="G165" s="317">
        <v>1680</v>
      </c>
      <c r="H165" s="317">
        <v>1680</v>
      </c>
      <c r="I165" s="318"/>
      <c r="J165" s="317">
        <v>1680</v>
      </c>
      <c r="K165" s="317">
        <v>1680</v>
      </c>
      <c r="L165" s="316">
        <v>1680</v>
      </c>
      <c r="M165" s="317">
        <v>1680</v>
      </c>
      <c r="N165" s="317">
        <v>1680</v>
      </c>
      <c r="O165" s="317">
        <v>1680</v>
      </c>
      <c r="P165" s="318"/>
      <c r="Q165" s="317">
        <v>1680</v>
      </c>
      <c r="R165" s="317">
        <v>1680</v>
      </c>
      <c r="S165" s="316">
        <v>1680</v>
      </c>
      <c r="T165" s="317">
        <v>900</v>
      </c>
      <c r="U165" s="317">
        <v>900</v>
      </c>
      <c r="V165" s="317">
        <v>1120</v>
      </c>
      <c r="W165" s="318"/>
      <c r="X165" s="317">
        <v>1120</v>
      </c>
      <c r="Y165" s="317">
        <v>1200</v>
      </c>
      <c r="Z165" s="316">
        <v>1200</v>
      </c>
      <c r="AA165" s="317">
        <v>1200</v>
      </c>
      <c r="AB165" s="317">
        <v>1200</v>
      </c>
      <c r="AC165" s="317">
        <v>1200</v>
      </c>
      <c r="AD165" s="318"/>
      <c r="AE165" s="317">
        <v>1200</v>
      </c>
      <c r="AF165" s="317">
        <v>1200</v>
      </c>
      <c r="AG165" s="322">
        <v>1200</v>
      </c>
      <c r="AH165" s="323">
        <v>1200</v>
      </c>
      <c r="AI165" s="323">
        <v>1200</v>
      </c>
      <c r="AJ165" s="8"/>
    </row>
    <row r="166" spans="1:36" ht="15">
      <c r="A166" s="368"/>
      <c r="B166" s="324" t="s">
        <v>47</v>
      </c>
      <c r="C166" s="325">
        <v>32450</v>
      </c>
      <c r="D166" s="325">
        <v>1475</v>
      </c>
      <c r="E166" s="326">
        <v>1730</v>
      </c>
      <c r="F166" s="327">
        <v>1700</v>
      </c>
      <c r="G166" s="327">
        <v>1680</v>
      </c>
      <c r="H166" s="327">
        <v>1680</v>
      </c>
      <c r="I166" s="328"/>
      <c r="J166" s="327">
        <v>1680</v>
      </c>
      <c r="K166" s="327">
        <v>1680</v>
      </c>
      <c r="L166" s="326">
        <v>1555</v>
      </c>
      <c r="M166" s="327">
        <v>1685</v>
      </c>
      <c r="N166" s="327">
        <v>1680</v>
      </c>
      <c r="O166" s="327">
        <v>1725</v>
      </c>
      <c r="P166" s="328"/>
      <c r="Q166" s="327">
        <v>1685</v>
      </c>
      <c r="R166" s="327">
        <v>1680</v>
      </c>
      <c r="S166" s="326">
        <v>1680</v>
      </c>
      <c r="T166" s="327">
        <v>1610</v>
      </c>
      <c r="U166" s="327">
        <v>1680</v>
      </c>
      <c r="V166" s="327">
        <v>1500</v>
      </c>
      <c r="W166" s="328"/>
      <c r="X166" s="327">
        <v>1000</v>
      </c>
      <c r="Y166" s="327">
        <v>660</v>
      </c>
      <c r="Z166" s="326">
        <v>880</v>
      </c>
      <c r="AA166" s="327">
        <v>1080</v>
      </c>
      <c r="AB166" s="327">
        <v>1120</v>
      </c>
      <c r="AC166" s="327">
        <v>1080</v>
      </c>
      <c r="AD166" s="328"/>
      <c r="AE166" s="329"/>
      <c r="AF166" s="329"/>
      <c r="AG166" s="330"/>
      <c r="AH166" s="331"/>
      <c r="AI166" s="331"/>
      <c r="AJ166" s="8"/>
    </row>
    <row r="167" spans="1:36" ht="15">
      <c r="A167" s="368"/>
      <c r="B167" s="324" t="s">
        <v>48</v>
      </c>
      <c r="C167" s="325">
        <v>570</v>
      </c>
      <c r="D167" s="325">
        <v>25.90909090909091</v>
      </c>
      <c r="E167" s="326">
        <v>50</v>
      </c>
      <c r="F167" s="327">
        <v>20</v>
      </c>
      <c r="G167" s="327">
        <v>0</v>
      </c>
      <c r="H167" s="327">
        <v>0</v>
      </c>
      <c r="I167" s="328"/>
      <c r="J167" s="327">
        <v>0</v>
      </c>
      <c r="K167" s="327">
        <v>0</v>
      </c>
      <c r="L167" s="328">
        <v>-125</v>
      </c>
      <c r="M167" s="327">
        <v>5</v>
      </c>
      <c r="N167" s="327">
        <v>0</v>
      </c>
      <c r="O167" s="327">
        <v>45</v>
      </c>
      <c r="P167" s="328"/>
      <c r="Q167" s="327">
        <v>5</v>
      </c>
      <c r="R167" s="327">
        <v>0</v>
      </c>
      <c r="S167" s="326">
        <v>0</v>
      </c>
      <c r="T167" s="327">
        <v>710</v>
      </c>
      <c r="U167" s="327">
        <v>780</v>
      </c>
      <c r="V167" s="327">
        <v>380</v>
      </c>
      <c r="W167" s="328"/>
      <c r="X167" s="329">
        <v>-120</v>
      </c>
      <c r="Y167" s="329">
        <v>-540</v>
      </c>
      <c r="Z167" s="328">
        <v>-320</v>
      </c>
      <c r="AA167" s="329">
        <v>-120</v>
      </c>
      <c r="AB167" s="329">
        <v>-80</v>
      </c>
      <c r="AC167" s="329">
        <v>-120</v>
      </c>
      <c r="AD167" s="328"/>
      <c r="AE167" s="329"/>
      <c r="AF167" s="329"/>
      <c r="AG167" s="330"/>
      <c r="AH167" s="331"/>
      <c r="AI167" s="331"/>
      <c r="AJ167" s="8"/>
    </row>
    <row r="168" spans="1:36" ht="15">
      <c r="A168" s="368"/>
      <c r="B168" s="324" t="s">
        <v>49</v>
      </c>
      <c r="C168" s="325">
        <v>176</v>
      </c>
      <c r="D168" s="325">
        <v>8</v>
      </c>
      <c r="E168" s="326">
        <v>8</v>
      </c>
      <c r="F168" s="327">
        <v>8</v>
      </c>
      <c r="G168" s="327">
        <v>8</v>
      </c>
      <c r="H168" s="327">
        <v>8</v>
      </c>
      <c r="I168" s="328"/>
      <c r="J168" s="327">
        <v>8</v>
      </c>
      <c r="K168" s="327">
        <v>8</v>
      </c>
      <c r="L168" s="326">
        <v>8</v>
      </c>
      <c r="M168" s="327">
        <v>8</v>
      </c>
      <c r="N168" s="327">
        <v>8</v>
      </c>
      <c r="O168" s="327">
        <v>8</v>
      </c>
      <c r="P168" s="328"/>
      <c r="Q168" s="327">
        <v>8</v>
      </c>
      <c r="R168" s="327">
        <v>8</v>
      </c>
      <c r="S168" s="326">
        <v>8</v>
      </c>
      <c r="T168" s="327">
        <v>8</v>
      </c>
      <c r="U168" s="327">
        <v>8</v>
      </c>
      <c r="V168" s="327">
        <v>8</v>
      </c>
      <c r="W168" s="328"/>
      <c r="X168" s="327">
        <v>8</v>
      </c>
      <c r="Y168" s="327">
        <v>8</v>
      </c>
      <c r="Z168" s="326">
        <v>8</v>
      </c>
      <c r="AA168" s="327">
        <v>8</v>
      </c>
      <c r="AB168" s="327">
        <v>8</v>
      </c>
      <c r="AC168" s="327">
        <v>8</v>
      </c>
      <c r="AD168" s="328"/>
      <c r="AE168" s="329"/>
      <c r="AF168" s="329"/>
      <c r="AG168" s="330"/>
      <c r="AH168" s="331"/>
      <c r="AI168" s="331"/>
      <c r="AJ168" s="8"/>
    </row>
    <row r="169" spans="1:36" ht="15">
      <c r="A169" s="368"/>
      <c r="B169" s="324" t="s">
        <v>50</v>
      </c>
      <c r="C169" s="325">
        <v>67</v>
      </c>
      <c r="D169" s="325">
        <v>67</v>
      </c>
      <c r="E169" s="326">
        <v>66</v>
      </c>
      <c r="F169" s="327">
        <v>67</v>
      </c>
      <c r="G169" s="327">
        <v>66</v>
      </c>
      <c r="H169" s="327">
        <v>64</v>
      </c>
      <c r="I169" s="328"/>
      <c r="J169" s="327">
        <v>64</v>
      </c>
      <c r="K169" s="327">
        <v>64</v>
      </c>
      <c r="L169" s="326">
        <v>66</v>
      </c>
      <c r="M169" s="327">
        <v>66</v>
      </c>
      <c r="N169" s="327">
        <v>66</v>
      </c>
      <c r="O169" s="327">
        <v>69</v>
      </c>
      <c r="P169" s="328"/>
      <c r="Q169" s="327">
        <v>70</v>
      </c>
      <c r="R169" s="327">
        <v>71</v>
      </c>
      <c r="S169" s="326">
        <v>70</v>
      </c>
      <c r="T169" s="327">
        <v>70</v>
      </c>
      <c r="U169" s="327">
        <v>68</v>
      </c>
      <c r="V169" s="327">
        <v>67</v>
      </c>
      <c r="W169" s="328"/>
      <c r="X169" s="327">
        <v>68</v>
      </c>
      <c r="Y169" s="327">
        <v>67</v>
      </c>
      <c r="Z169" s="326">
        <v>67</v>
      </c>
      <c r="AA169" s="327">
        <v>67</v>
      </c>
      <c r="AB169" s="327">
        <v>67</v>
      </c>
      <c r="AC169" s="327">
        <v>65</v>
      </c>
      <c r="AD169" s="328"/>
      <c r="AE169" s="329"/>
      <c r="AF169" s="329"/>
      <c r="AG169" s="330"/>
      <c r="AH169" s="331"/>
      <c r="AI169" s="331"/>
      <c r="AJ169" s="8"/>
    </row>
    <row r="170" spans="1:36" ht="15">
      <c r="A170" s="368"/>
      <c r="B170" s="324" t="s">
        <v>51</v>
      </c>
      <c r="C170" s="325">
        <v>184.375</v>
      </c>
      <c r="D170" s="325">
        <v>184.375</v>
      </c>
      <c r="E170" s="326">
        <v>216.25</v>
      </c>
      <c r="F170" s="327">
        <v>212.5</v>
      </c>
      <c r="G170" s="327">
        <v>210</v>
      </c>
      <c r="H170" s="327">
        <v>210</v>
      </c>
      <c r="I170" s="328"/>
      <c r="J170" s="327">
        <v>210</v>
      </c>
      <c r="K170" s="327">
        <v>210</v>
      </c>
      <c r="L170" s="326">
        <v>194.375</v>
      </c>
      <c r="M170" s="327">
        <v>210.625</v>
      </c>
      <c r="N170" s="327">
        <v>210</v>
      </c>
      <c r="O170" s="327">
        <v>215.625</v>
      </c>
      <c r="P170" s="328"/>
      <c r="Q170" s="327">
        <v>210.625</v>
      </c>
      <c r="R170" s="327">
        <v>210</v>
      </c>
      <c r="S170" s="326">
        <v>210</v>
      </c>
      <c r="T170" s="327">
        <v>201.25</v>
      </c>
      <c r="U170" s="327">
        <v>210</v>
      </c>
      <c r="V170" s="327">
        <v>187.5</v>
      </c>
      <c r="W170" s="328"/>
      <c r="X170" s="327">
        <v>125</v>
      </c>
      <c r="Y170" s="327">
        <v>82.5</v>
      </c>
      <c r="Z170" s="326">
        <v>110</v>
      </c>
      <c r="AA170" s="327">
        <v>135</v>
      </c>
      <c r="AB170" s="327">
        <v>140</v>
      </c>
      <c r="AC170" s="327">
        <v>135</v>
      </c>
      <c r="AD170" s="328"/>
      <c r="AE170" s="329"/>
      <c r="AF170" s="329"/>
      <c r="AG170" s="330"/>
      <c r="AH170" s="331"/>
      <c r="AI170" s="331"/>
      <c r="AJ170" s="8"/>
    </row>
    <row r="171" spans="1:36" ht="15">
      <c r="A171" s="369"/>
      <c r="B171" s="333" t="s">
        <v>52</v>
      </c>
      <c r="C171" s="334">
        <v>2.7519</v>
      </c>
      <c r="D171" s="334">
        <v>2.7519</v>
      </c>
      <c r="E171" s="335">
        <v>3.2765</v>
      </c>
      <c r="F171" s="334">
        <v>3.1716000000000002</v>
      </c>
      <c r="G171" s="334">
        <v>3.1818</v>
      </c>
      <c r="H171" s="334">
        <v>3.2812999999999999</v>
      </c>
      <c r="I171" s="336"/>
      <c r="J171" s="334">
        <v>3.2812999999999999</v>
      </c>
      <c r="K171" s="334">
        <v>3.2812999999999999</v>
      </c>
      <c r="L171" s="335">
        <v>2.9451000000000001</v>
      </c>
      <c r="M171" s="334">
        <v>3.1913</v>
      </c>
      <c r="N171" s="334">
        <v>3.1818</v>
      </c>
      <c r="O171" s="334">
        <v>3.125</v>
      </c>
      <c r="P171" s="336"/>
      <c r="Q171" s="334">
        <v>3.0089000000000001</v>
      </c>
      <c r="R171" s="334">
        <v>2.9577</v>
      </c>
      <c r="S171" s="335">
        <v>3</v>
      </c>
      <c r="T171" s="334">
        <v>2.875</v>
      </c>
      <c r="U171" s="334">
        <v>3.0882000000000001</v>
      </c>
      <c r="V171" s="334">
        <v>2.7984999999999998</v>
      </c>
      <c r="W171" s="336"/>
      <c r="X171" s="334">
        <v>1.8382000000000001</v>
      </c>
      <c r="Y171" s="334">
        <v>1.2313000000000001</v>
      </c>
      <c r="Z171" s="335">
        <v>1.6417999999999999</v>
      </c>
      <c r="AA171" s="334">
        <v>2.0148999999999999</v>
      </c>
      <c r="AB171" s="334">
        <v>2.0895999999999999</v>
      </c>
      <c r="AC171" s="334">
        <v>2.0769000000000002</v>
      </c>
      <c r="AD171" s="336"/>
      <c r="AE171" s="337"/>
      <c r="AF171" s="337"/>
      <c r="AG171" s="338"/>
      <c r="AH171" s="339"/>
      <c r="AI171" s="339"/>
      <c r="AJ171" s="8"/>
    </row>
    <row r="172" spans="1:36" ht="15">
      <c r="A172" s="367" t="s">
        <v>257</v>
      </c>
      <c r="B172" s="314" t="s">
        <v>45</v>
      </c>
      <c r="C172" s="315">
        <v>50384</v>
      </c>
      <c r="D172" s="315">
        <v>2290.181818181818</v>
      </c>
      <c r="E172" s="316">
        <v>2480</v>
      </c>
      <c r="F172" s="317">
        <v>2480</v>
      </c>
      <c r="G172" s="317">
        <v>2480</v>
      </c>
      <c r="H172" s="317">
        <v>2480</v>
      </c>
      <c r="I172" s="318"/>
      <c r="J172" s="317">
        <v>2480</v>
      </c>
      <c r="K172" s="317">
        <v>2480</v>
      </c>
      <c r="L172" s="316">
        <v>2480</v>
      </c>
      <c r="M172" s="317">
        <v>2480</v>
      </c>
      <c r="N172" s="317">
        <v>2480</v>
      </c>
      <c r="O172" s="317">
        <v>2480</v>
      </c>
      <c r="P172" s="318"/>
      <c r="Q172" s="317">
        <v>2480</v>
      </c>
      <c r="R172" s="317">
        <v>2480</v>
      </c>
      <c r="S172" s="316">
        <v>2480</v>
      </c>
      <c r="T172" s="317">
        <v>2480</v>
      </c>
      <c r="U172" s="317">
        <v>2480</v>
      </c>
      <c r="V172" s="317">
        <v>2480</v>
      </c>
      <c r="W172" s="318"/>
      <c r="X172" s="317">
        <v>2272</v>
      </c>
      <c r="Y172" s="317">
        <v>1856</v>
      </c>
      <c r="Z172" s="316">
        <v>1920</v>
      </c>
      <c r="AA172" s="317">
        <v>1568</v>
      </c>
      <c r="AB172" s="317">
        <v>1648</v>
      </c>
      <c r="AC172" s="317">
        <v>1440</v>
      </c>
      <c r="AD172" s="318"/>
      <c r="AE172" s="319"/>
      <c r="AF172" s="319"/>
      <c r="AG172" s="320"/>
      <c r="AH172" s="321"/>
      <c r="AI172" s="321"/>
      <c r="AJ172" s="8"/>
    </row>
    <row r="173" spans="1:36" ht="15">
      <c r="A173" s="368"/>
      <c r="B173" s="314" t="s">
        <v>46</v>
      </c>
      <c r="C173" s="315">
        <v>45880</v>
      </c>
      <c r="D173" s="315">
        <v>2085.4545454545455</v>
      </c>
      <c r="E173" s="316">
        <v>2400</v>
      </c>
      <c r="F173" s="317">
        <v>2400</v>
      </c>
      <c r="G173" s="317">
        <v>2400</v>
      </c>
      <c r="H173" s="317">
        <v>2400</v>
      </c>
      <c r="I173" s="318"/>
      <c r="J173" s="317">
        <v>2400</v>
      </c>
      <c r="K173" s="317">
        <v>2400</v>
      </c>
      <c r="L173" s="316">
        <v>2400</v>
      </c>
      <c r="M173" s="317">
        <v>2400</v>
      </c>
      <c r="N173" s="317">
        <v>2400</v>
      </c>
      <c r="O173" s="317">
        <v>2400</v>
      </c>
      <c r="P173" s="318"/>
      <c r="Q173" s="317">
        <v>2400</v>
      </c>
      <c r="R173" s="317">
        <v>2400</v>
      </c>
      <c r="S173" s="316">
        <v>2400</v>
      </c>
      <c r="T173" s="317">
        <v>2400</v>
      </c>
      <c r="U173" s="317">
        <v>2400</v>
      </c>
      <c r="V173" s="317">
        <v>2400</v>
      </c>
      <c r="W173" s="318"/>
      <c r="X173" s="317">
        <v>1020</v>
      </c>
      <c r="Y173" s="317">
        <v>1020</v>
      </c>
      <c r="Z173" s="316">
        <v>1360</v>
      </c>
      <c r="AA173" s="317">
        <v>1360</v>
      </c>
      <c r="AB173" s="317">
        <v>1360</v>
      </c>
      <c r="AC173" s="317">
        <v>1360</v>
      </c>
      <c r="AD173" s="318"/>
      <c r="AE173" s="317">
        <v>1360</v>
      </c>
      <c r="AF173" s="317">
        <v>1360</v>
      </c>
      <c r="AG173" s="322">
        <v>1360</v>
      </c>
      <c r="AH173" s="323">
        <v>1360</v>
      </c>
      <c r="AI173" s="323">
        <v>1360</v>
      </c>
      <c r="AJ173" s="8"/>
    </row>
    <row r="174" spans="1:36" ht="15">
      <c r="A174" s="368"/>
      <c r="B174" s="324" t="s">
        <v>47</v>
      </c>
      <c r="C174" s="325">
        <v>46120</v>
      </c>
      <c r="D174" s="325">
        <v>2096.3636363636365</v>
      </c>
      <c r="E174" s="326">
        <v>2000</v>
      </c>
      <c r="F174" s="327">
        <v>2500</v>
      </c>
      <c r="G174" s="327">
        <v>2500</v>
      </c>
      <c r="H174" s="327">
        <v>2600</v>
      </c>
      <c r="I174" s="328"/>
      <c r="J174" s="327">
        <v>4000</v>
      </c>
      <c r="K174" s="327">
        <v>3100</v>
      </c>
      <c r="L174" s="326">
        <v>2400</v>
      </c>
      <c r="M174" s="327">
        <v>2400</v>
      </c>
      <c r="N174" s="327">
        <v>2400</v>
      </c>
      <c r="O174" s="327">
        <v>2400</v>
      </c>
      <c r="P174" s="328"/>
      <c r="Q174" s="327">
        <v>2400</v>
      </c>
      <c r="R174" s="327">
        <v>1700</v>
      </c>
      <c r="S174" s="326">
        <v>2000</v>
      </c>
      <c r="T174" s="327">
        <v>1800</v>
      </c>
      <c r="U174" s="327">
        <v>2400</v>
      </c>
      <c r="V174" s="327">
        <v>2400</v>
      </c>
      <c r="W174" s="328"/>
      <c r="X174" s="327">
        <v>1020</v>
      </c>
      <c r="Y174" s="327">
        <v>1020</v>
      </c>
      <c r="Z174" s="326">
        <v>1360</v>
      </c>
      <c r="AA174" s="327">
        <v>1360</v>
      </c>
      <c r="AB174" s="327">
        <v>1360</v>
      </c>
      <c r="AC174" s="327">
        <v>1000</v>
      </c>
      <c r="AD174" s="328"/>
      <c r="AE174" s="329"/>
      <c r="AF174" s="329"/>
      <c r="AG174" s="330"/>
      <c r="AH174" s="331"/>
      <c r="AI174" s="331"/>
      <c r="AJ174" s="8"/>
    </row>
    <row r="175" spans="1:36" ht="15">
      <c r="A175" s="368"/>
      <c r="B175" s="324" t="s">
        <v>48</v>
      </c>
      <c r="C175" s="325">
        <v>240</v>
      </c>
      <c r="D175" s="325">
        <v>10.909090909090908</v>
      </c>
      <c r="E175" s="328">
        <v>-400</v>
      </c>
      <c r="F175" s="327">
        <v>100</v>
      </c>
      <c r="G175" s="327">
        <v>100</v>
      </c>
      <c r="H175" s="327">
        <v>200</v>
      </c>
      <c r="I175" s="328"/>
      <c r="J175" s="327">
        <v>1600</v>
      </c>
      <c r="K175" s="327">
        <v>700</v>
      </c>
      <c r="L175" s="326">
        <v>0</v>
      </c>
      <c r="M175" s="327">
        <v>0</v>
      </c>
      <c r="N175" s="327">
        <v>0</v>
      </c>
      <c r="O175" s="327">
        <v>0</v>
      </c>
      <c r="P175" s="328"/>
      <c r="Q175" s="327">
        <v>0</v>
      </c>
      <c r="R175" s="329">
        <v>-700</v>
      </c>
      <c r="S175" s="328">
        <v>-400</v>
      </c>
      <c r="T175" s="329">
        <v>-600</v>
      </c>
      <c r="U175" s="327">
        <v>0</v>
      </c>
      <c r="V175" s="327">
        <v>0</v>
      </c>
      <c r="W175" s="328"/>
      <c r="X175" s="327">
        <v>0</v>
      </c>
      <c r="Y175" s="327">
        <v>0</v>
      </c>
      <c r="Z175" s="326">
        <v>0</v>
      </c>
      <c r="AA175" s="327">
        <v>0</v>
      </c>
      <c r="AB175" s="327">
        <v>0</v>
      </c>
      <c r="AC175" s="329">
        <v>-360</v>
      </c>
      <c r="AD175" s="328"/>
      <c r="AE175" s="329"/>
      <c r="AF175" s="329"/>
      <c r="AG175" s="330"/>
      <c r="AH175" s="331"/>
      <c r="AI175" s="331"/>
      <c r="AJ175" s="8"/>
    </row>
    <row r="176" spans="1:36" ht="15">
      <c r="A176" s="368"/>
      <c r="B176" s="324" t="s">
        <v>49</v>
      </c>
      <c r="C176" s="325">
        <v>176</v>
      </c>
      <c r="D176" s="325">
        <v>8</v>
      </c>
      <c r="E176" s="326">
        <v>8</v>
      </c>
      <c r="F176" s="327">
        <v>8</v>
      </c>
      <c r="G176" s="327">
        <v>8</v>
      </c>
      <c r="H176" s="327">
        <v>8</v>
      </c>
      <c r="I176" s="328"/>
      <c r="J176" s="327">
        <v>8</v>
      </c>
      <c r="K176" s="327">
        <v>8</v>
      </c>
      <c r="L176" s="326">
        <v>8</v>
      </c>
      <c r="M176" s="327">
        <v>8</v>
      </c>
      <c r="N176" s="327">
        <v>8</v>
      </c>
      <c r="O176" s="327">
        <v>8</v>
      </c>
      <c r="P176" s="328"/>
      <c r="Q176" s="327">
        <v>8</v>
      </c>
      <c r="R176" s="327">
        <v>8</v>
      </c>
      <c r="S176" s="326">
        <v>8</v>
      </c>
      <c r="T176" s="327">
        <v>8</v>
      </c>
      <c r="U176" s="327">
        <v>8</v>
      </c>
      <c r="V176" s="327">
        <v>8</v>
      </c>
      <c r="W176" s="328"/>
      <c r="X176" s="327">
        <v>8</v>
      </c>
      <c r="Y176" s="327">
        <v>8</v>
      </c>
      <c r="Z176" s="326">
        <v>8</v>
      </c>
      <c r="AA176" s="327">
        <v>8</v>
      </c>
      <c r="AB176" s="327">
        <v>8</v>
      </c>
      <c r="AC176" s="327">
        <v>8</v>
      </c>
      <c r="AD176" s="328"/>
      <c r="AE176" s="329"/>
      <c r="AF176" s="329"/>
      <c r="AG176" s="330"/>
      <c r="AH176" s="331"/>
      <c r="AI176" s="331"/>
      <c r="AJ176" s="8"/>
    </row>
    <row r="177" spans="1:36" ht="15">
      <c r="A177" s="368"/>
      <c r="B177" s="324" t="s">
        <v>50</v>
      </c>
      <c r="C177" s="325">
        <v>135</v>
      </c>
      <c r="D177" s="325">
        <v>135</v>
      </c>
      <c r="E177" s="326">
        <v>138</v>
      </c>
      <c r="F177" s="327">
        <v>137</v>
      </c>
      <c r="G177" s="327">
        <v>137</v>
      </c>
      <c r="H177" s="327">
        <v>139</v>
      </c>
      <c r="I177" s="328"/>
      <c r="J177" s="327">
        <v>134</v>
      </c>
      <c r="K177" s="327">
        <v>136</v>
      </c>
      <c r="L177" s="326">
        <v>136</v>
      </c>
      <c r="M177" s="327">
        <v>136</v>
      </c>
      <c r="N177" s="327">
        <v>136</v>
      </c>
      <c r="O177" s="327">
        <v>134</v>
      </c>
      <c r="P177" s="328"/>
      <c r="Q177" s="327">
        <v>132</v>
      </c>
      <c r="R177" s="327">
        <v>134</v>
      </c>
      <c r="S177" s="326">
        <v>135</v>
      </c>
      <c r="T177" s="327">
        <v>131</v>
      </c>
      <c r="U177" s="327">
        <v>137</v>
      </c>
      <c r="V177" s="327">
        <v>133</v>
      </c>
      <c r="W177" s="328"/>
      <c r="X177" s="327">
        <v>134</v>
      </c>
      <c r="Y177" s="327">
        <v>135</v>
      </c>
      <c r="Z177" s="326">
        <v>135</v>
      </c>
      <c r="AA177" s="327">
        <v>134</v>
      </c>
      <c r="AB177" s="327">
        <v>134</v>
      </c>
      <c r="AC177" s="327">
        <v>133</v>
      </c>
      <c r="AD177" s="328"/>
      <c r="AE177" s="329"/>
      <c r="AF177" s="329"/>
      <c r="AG177" s="330"/>
      <c r="AH177" s="331"/>
      <c r="AI177" s="331"/>
      <c r="AJ177" s="8"/>
    </row>
    <row r="178" spans="1:36" ht="15">
      <c r="A178" s="368"/>
      <c r="B178" s="324" t="s">
        <v>51</v>
      </c>
      <c r="C178" s="325">
        <v>262.04545454545456</v>
      </c>
      <c r="D178" s="325">
        <v>262.04545454545456</v>
      </c>
      <c r="E178" s="326">
        <v>250</v>
      </c>
      <c r="F178" s="327">
        <v>312.5</v>
      </c>
      <c r="G178" s="327">
        <v>312.5</v>
      </c>
      <c r="H178" s="327">
        <v>325</v>
      </c>
      <c r="I178" s="328"/>
      <c r="J178" s="327">
        <v>500</v>
      </c>
      <c r="K178" s="327">
        <v>387.5</v>
      </c>
      <c r="L178" s="326">
        <v>300</v>
      </c>
      <c r="M178" s="327">
        <v>300</v>
      </c>
      <c r="N178" s="327">
        <v>300</v>
      </c>
      <c r="O178" s="327">
        <v>300</v>
      </c>
      <c r="P178" s="328"/>
      <c r="Q178" s="327">
        <v>300</v>
      </c>
      <c r="R178" s="327">
        <v>212.5</v>
      </c>
      <c r="S178" s="326">
        <v>250</v>
      </c>
      <c r="T178" s="327">
        <v>225</v>
      </c>
      <c r="U178" s="327">
        <v>300</v>
      </c>
      <c r="V178" s="327">
        <v>300</v>
      </c>
      <c r="W178" s="328"/>
      <c r="X178" s="327">
        <v>127.5</v>
      </c>
      <c r="Y178" s="327">
        <v>127.5</v>
      </c>
      <c r="Z178" s="326">
        <v>170</v>
      </c>
      <c r="AA178" s="327">
        <v>170</v>
      </c>
      <c r="AB178" s="327">
        <v>170</v>
      </c>
      <c r="AC178" s="327">
        <v>125</v>
      </c>
      <c r="AD178" s="328"/>
      <c r="AE178" s="329"/>
      <c r="AF178" s="329"/>
      <c r="AG178" s="330"/>
      <c r="AH178" s="331"/>
      <c r="AI178" s="331"/>
      <c r="AJ178" s="8"/>
    </row>
    <row r="179" spans="1:36" ht="15">
      <c r="A179" s="369"/>
      <c r="B179" s="333" t="s">
        <v>52</v>
      </c>
      <c r="C179" s="334">
        <v>1.9411</v>
      </c>
      <c r="D179" s="334">
        <v>1.9411</v>
      </c>
      <c r="E179" s="335">
        <v>1.8115999999999999</v>
      </c>
      <c r="F179" s="334">
        <v>2.2810000000000001</v>
      </c>
      <c r="G179" s="334">
        <v>2.2810000000000001</v>
      </c>
      <c r="H179" s="334">
        <v>2.3380999999999998</v>
      </c>
      <c r="I179" s="336"/>
      <c r="J179" s="334">
        <v>3.7313000000000001</v>
      </c>
      <c r="K179" s="334">
        <v>2.8492999999999999</v>
      </c>
      <c r="L179" s="335">
        <v>2.2059000000000002</v>
      </c>
      <c r="M179" s="334">
        <v>2.2059000000000002</v>
      </c>
      <c r="N179" s="334">
        <v>2.2059000000000002</v>
      </c>
      <c r="O179" s="334">
        <v>2.2387999999999999</v>
      </c>
      <c r="P179" s="336"/>
      <c r="Q179" s="334">
        <v>2.2726999999999999</v>
      </c>
      <c r="R179" s="334">
        <v>1.5857999999999999</v>
      </c>
      <c r="S179" s="335">
        <v>1.8519000000000001</v>
      </c>
      <c r="T179" s="334">
        <v>1.7176</v>
      </c>
      <c r="U179" s="334">
        <v>2.1898</v>
      </c>
      <c r="V179" s="334">
        <v>2.2555999999999998</v>
      </c>
      <c r="W179" s="336"/>
      <c r="X179" s="334">
        <v>0.95150000000000001</v>
      </c>
      <c r="Y179" s="334">
        <v>0.94440000000000002</v>
      </c>
      <c r="Z179" s="335">
        <v>1.2593000000000001</v>
      </c>
      <c r="AA179" s="334">
        <v>1.2686999999999999</v>
      </c>
      <c r="AB179" s="334">
        <v>1.2686999999999999</v>
      </c>
      <c r="AC179" s="334">
        <v>0.93979999999999997</v>
      </c>
      <c r="AD179" s="336"/>
      <c r="AE179" s="337"/>
      <c r="AF179" s="337"/>
      <c r="AG179" s="338"/>
      <c r="AH179" s="339"/>
      <c r="AI179" s="339"/>
      <c r="AJ179" s="8"/>
    </row>
  </sheetData>
  <mergeCells count="24">
    <mergeCell ref="A28:A35"/>
    <mergeCell ref="A36:A43"/>
    <mergeCell ref="A44:A51"/>
    <mergeCell ref="A1:B1"/>
    <mergeCell ref="A2:AE2"/>
    <mergeCell ref="A4:A11"/>
    <mergeCell ref="A12:A19"/>
    <mergeCell ref="A20:A27"/>
    <mergeCell ref="A52:A59"/>
    <mergeCell ref="A60:A67"/>
    <mergeCell ref="A68:A75"/>
    <mergeCell ref="A76:A83"/>
    <mergeCell ref="A84:A91"/>
    <mergeCell ref="A92:A99"/>
    <mergeCell ref="A100:A107"/>
    <mergeCell ref="A108:A115"/>
    <mergeCell ref="A116:A123"/>
    <mergeCell ref="A124:A131"/>
    <mergeCell ref="A172:A179"/>
    <mergeCell ref="A132:A139"/>
    <mergeCell ref="A140:A147"/>
    <mergeCell ref="A148:A155"/>
    <mergeCell ref="A156:A163"/>
    <mergeCell ref="A164:A171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47"/>
  <sheetViews>
    <sheetView topLeftCell="A127" workbookViewId="0">
      <selection activeCell="I142" sqref="I142"/>
    </sheetView>
  </sheetViews>
  <sheetFormatPr defaultRowHeight="15.75"/>
  <cols>
    <col min="1" max="1" width="10.42578125" style="73" customWidth="1"/>
    <col min="4" max="4" width="8.42578125" style="71" customWidth="1"/>
    <col min="5" max="5" width="4.7109375" style="70" customWidth="1"/>
    <col min="6" max="8" width="4.7109375" style="169" customWidth="1"/>
    <col min="9" max="9" width="4.7109375" style="70" customWidth="1"/>
    <col min="10" max="11" width="4.7109375" style="169" customWidth="1"/>
    <col min="12" max="12" width="4.7109375" style="70" customWidth="1"/>
    <col min="13" max="15" width="4.7109375" style="169" customWidth="1"/>
    <col min="16" max="16" width="4.7109375" style="70" customWidth="1"/>
    <col min="17" max="18" width="4.7109375" style="169" customWidth="1"/>
    <col min="19" max="19" width="4.7109375" style="70" customWidth="1"/>
    <col min="20" max="22" width="4.7109375" style="169" customWidth="1"/>
    <col min="23" max="23" width="4.7109375" style="70" customWidth="1"/>
    <col min="24" max="25" width="4.7109375" style="169" customWidth="1"/>
    <col min="26" max="26" width="4.7109375" style="70" customWidth="1"/>
    <col min="27" max="29" width="4.7109375" style="169" customWidth="1"/>
    <col min="30" max="30" width="4.7109375" style="70" customWidth="1"/>
    <col min="31" max="32" width="4.7109375" style="169" customWidth="1"/>
    <col min="33" max="33" width="4.7109375" style="70" customWidth="1"/>
    <col min="34" max="35" width="4.7109375" customWidth="1"/>
  </cols>
  <sheetData>
    <row r="1" spans="1:36" ht="27.75">
      <c r="A1" s="344" t="s">
        <v>4</v>
      </c>
      <c r="B1" s="345"/>
    </row>
    <row r="2" spans="1:36" s="8" customFormat="1" ht="30">
      <c r="A2" s="363" t="s">
        <v>172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170"/>
      <c r="AG2" s="74"/>
    </row>
    <row r="3" spans="1:36" s="8" customFormat="1" ht="16.5">
      <c r="A3" s="72" t="s">
        <v>173</v>
      </c>
      <c r="B3" s="226" t="s">
        <v>174</v>
      </c>
      <c r="C3" s="227" t="s">
        <v>44</v>
      </c>
      <c r="D3" s="228" t="s">
        <v>97</v>
      </c>
      <c r="E3" s="229">
        <v>1</v>
      </c>
      <c r="F3" s="230">
        <v>2</v>
      </c>
      <c r="G3" s="230">
        <v>3</v>
      </c>
      <c r="H3" s="230">
        <v>4</v>
      </c>
      <c r="I3" s="231">
        <v>5</v>
      </c>
      <c r="J3" s="230">
        <v>6</v>
      </c>
      <c r="K3" s="230">
        <v>7</v>
      </c>
      <c r="L3" s="229">
        <v>8</v>
      </c>
      <c r="M3" s="230">
        <v>9</v>
      </c>
      <c r="N3" s="230">
        <v>10</v>
      </c>
      <c r="O3" s="230">
        <v>11</v>
      </c>
      <c r="P3" s="231">
        <v>12</v>
      </c>
      <c r="Q3" s="230">
        <v>13</v>
      </c>
      <c r="R3" s="230">
        <v>14</v>
      </c>
      <c r="S3" s="229">
        <v>15</v>
      </c>
      <c r="T3" s="230">
        <v>16</v>
      </c>
      <c r="U3" s="230">
        <v>17</v>
      </c>
      <c r="V3" s="230">
        <v>18</v>
      </c>
      <c r="W3" s="231">
        <v>19</v>
      </c>
      <c r="X3" s="230">
        <v>20</v>
      </c>
      <c r="Y3" s="230">
        <v>21</v>
      </c>
      <c r="Z3" s="229">
        <v>22</v>
      </c>
      <c r="AA3" s="230">
        <v>23</v>
      </c>
      <c r="AB3" s="230">
        <v>24</v>
      </c>
      <c r="AC3" s="230">
        <v>25</v>
      </c>
      <c r="AD3" s="231">
        <v>26</v>
      </c>
      <c r="AE3" s="230">
        <v>27</v>
      </c>
      <c r="AF3" s="230">
        <v>28</v>
      </c>
      <c r="AG3" s="232">
        <v>29</v>
      </c>
      <c r="AH3" s="233">
        <v>30</v>
      </c>
      <c r="AI3" s="233">
        <v>31</v>
      </c>
    </row>
    <row r="4" spans="1:36" s="8" customFormat="1" ht="15">
      <c r="A4" s="367" t="s">
        <v>44</v>
      </c>
      <c r="B4" s="234" t="s">
        <v>175</v>
      </c>
      <c r="C4" s="235">
        <v>611312</v>
      </c>
      <c r="D4" s="235">
        <v>29110.09523809524</v>
      </c>
      <c r="E4" s="238">
        <v>29712</v>
      </c>
      <c r="F4" s="239">
        <v>29984</v>
      </c>
      <c r="G4" s="239">
        <v>29896</v>
      </c>
      <c r="H4" s="239">
        <v>29776</v>
      </c>
      <c r="I4" s="236"/>
      <c r="J4" s="239">
        <v>30040</v>
      </c>
      <c r="K4" s="239">
        <v>30200</v>
      </c>
      <c r="L4" s="238">
        <v>30000</v>
      </c>
      <c r="M4" s="239">
        <v>29960</v>
      </c>
      <c r="N4" s="239">
        <v>29920</v>
      </c>
      <c r="O4" s="239">
        <v>29920</v>
      </c>
      <c r="P4" s="236"/>
      <c r="Q4" s="239">
        <v>29576</v>
      </c>
      <c r="R4" s="239">
        <v>29128</v>
      </c>
      <c r="S4" s="238">
        <v>29016</v>
      </c>
      <c r="T4" s="239">
        <v>28320</v>
      </c>
      <c r="U4" s="239">
        <v>28512</v>
      </c>
      <c r="V4" s="239">
        <v>28320</v>
      </c>
      <c r="W4" s="236"/>
      <c r="X4" s="239">
        <v>28160</v>
      </c>
      <c r="Y4" s="239">
        <v>27960</v>
      </c>
      <c r="Z4" s="238">
        <v>27632</v>
      </c>
      <c r="AA4" s="239">
        <v>27664</v>
      </c>
      <c r="AB4" s="239">
        <v>27616</v>
      </c>
      <c r="AC4" s="237"/>
      <c r="AD4" s="236"/>
      <c r="AE4" s="237"/>
      <c r="AF4" s="237"/>
      <c r="AG4" s="240"/>
      <c r="AH4" s="241"/>
      <c r="AI4" s="241"/>
    </row>
    <row r="5" spans="1:36" s="8" customFormat="1" ht="15">
      <c r="A5" s="368"/>
      <c r="B5" s="234" t="s">
        <v>176</v>
      </c>
      <c r="C5" s="235">
        <v>561740</v>
      </c>
      <c r="D5" s="235">
        <v>26749.523809523809</v>
      </c>
      <c r="E5" s="238">
        <v>27860</v>
      </c>
      <c r="F5" s="239">
        <v>26750</v>
      </c>
      <c r="G5" s="239">
        <v>27790</v>
      </c>
      <c r="H5" s="239">
        <v>28520</v>
      </c>
      <c r="I5" s="236"/>
      <c r="J5" s="239">
        <v>28520</v>
      </c>
      <c r="K5" s="239">
        <v>28520</v>
      </c>
      <c r="L5" s="238">
        <v>28520</v>
      </c>
      <c r="M5" s="239">
        <v>28000</v>
      </c>
      <c r="N5" s="239">
        <v>28440</v>
      </c>
      <c r="O5" s="239">
        <v>27200</v>
      </c>
      <c r="P5" s="236"/>
      <c r="Q5" s="239">
        <v>26300</v>
      </c>
      <c r="R5" s="239">
        <v>27000</v>
      </c>
      <c r="S5" s="238">
        <v>24620</v>
      </c>
      <c r="T5" s="239">
        <v>25380</v>
      </c>
      <c r="U5" s="239">
        <v>26520</v>
      </c>
      <c r="V5" s="239">
        <v>26020</v>
      </c>
      <c r="W5" s="236"/>
      <c r="X5" s="239">
        <v>25360</v>
      </c>
      <c r="Y5" s="239">
        <v>24340</v>
      </c>
      <c r="Z5" s="238">
        <v>24870</v>
      </c>
      <c r="AA5" s="239">
        <v>25210</v>
      </c>
      <c r="AB5" s="239">
        <v>26000</v>
      </c>
      <c r="AC5" s="239">
        <v>25440</v>
      </c>
      <c r="AD5" s="236"/>
      <c r="AE5" s="239">
        <v>25840</v>
      </c>
      <c r="AF5" s="239">
        <v>24990</v>
      </c>
      <c r="AG5" s="257">
        <v>24470</v>
      </c>
      <c r="AH5" s="258">
        <v>24480</v>
      </c>
      <c r="AI5" s="258">
        <v>24640</v>
      </c>
    </row>
    <row r="6" spans="1:36" s="8" customFormat="1" ht="15">
      <c r="A6" s="368"/>
      <c r="B6" s="242" t="s">
        <v>177</v>
      </c>
      <c r="C6" s="243">
        <v>559638</v>
      </c>
      <c r="D6" s="243">
        <v>26649.428571428569</v>
      </c>
      <c r="E6" s="246">
        <v>27860</v>
      </c>
      <c r="F6" s="247">
        <v>26864</v>
      </c>
      <c r="G6" s="247">
        <v>27570</v>
      </c>
      <c r="H6" s="247">
        <v>28474</v>
      </c>
      <c r="I6" s="244"/>
      <c r="J6" s="247">
        <v>28520</v>
      </c>
      <c r="K6" s="247">
        <v>28520</v>
      </c>
      <c r="L6" s="246">
        <v>28522</v>
      </c>
      <c r="M6" s="247">
        <v>26520</v>
      </c>
      <c r="N6" s="247">
        <v>28104</v>
      </c>
      <c r="O6" s="247">
        <v>27031</v>
      </c>
      <c r="P6" s="244"/>
      <c r="Q6" s="247">
        <v>26680</v>
      </c>
      <c r="R6" s="247">
        <v>26960</v>
      </c>
      <c r="S6" s="246">
        <v>24388</v>
      </c>
      <c r="T6" s="247">
        <v>25136</v>
      </c>
      <c r="U6" s="247">
        <v>26510</v>
      </c>
      <c r="V6" s="247">
        <v>26079</v>
      </c>
      <c r="W6" s="244"/>
      <c r="X6" s="247">
        <v>25430</v>
      </c>
      <c r="Y6" s="247">
        <v>24519</v>
      </c>
      <c r="Z6" s="246">
        <v>24875</v>
      </c>
      <c r="AA6" s="247">
        <v>25534</v>
      </c>
      <c r="AB6" s="247">
        <v>25542</v>
      </c>
      <c r="AC6" s="245"/>
      <c r="AD6" s="244"/>
      <c r="AE6" s="245"/>
      <c r="AF6" s="245"/>
      <c r="AG6" s="248"/>
      <c r="AH6" s="249"/>
      <c r="AI6" s="249"/>
    </row>
    <row r="7" spans="1:36" s="8" customFormat="1" ht="15">
      <c r="A7" s="368"/>
      <c r="B7" s="242" t="s">
        <v>178</v>
      </c>
      <c r="C7" s="259">
        <v>-2102</v>
      </c>
      <c r="D7" s="259">
        <v>-100.09523809523813</v>
      </c>
      <c r="E7" s="246">
        <v>0</v>
      </c>
      <c r="F7" s="247">
        <v>114</v>
      </c>
      <c r="G7" s="245">
        <v>-220</v>
      </c>
      <c r="H7" s="245">
        <v>-46</v>
      </c>
      <c r="I7" s="244"/>
      <c r="J7" s="247">
        <v>0</v>
      </c>
      <c r="K7" s="247">
        <v>0</v>
      </c>
      <c r="L7" s="246">
        <v>2</v>
      </c>
      <c r="M7" s="245">
        <v>-1480</v>
      </c>
      <c r="N7" s="245">
        <v>-336</v>
      </c>
      <c r="O7" s="245">
        <v>-169</v>
      </c>
      <c r="P7" s="244"/>
      <c r="Q7" s="247">
        <v>380</v>
      </c>
      <c r="R7" s="245">
        <v>-40</v>
      </c>
      <c r="S7" s="244">
        <v>-232</v>
      </c>
      <c r="T7" s="245">
        <v>-244</v>
      </c>
      <c r="U7" s="245">
        <v>-10</v>
      </c>
      <c r="V7" s="247">
        <v>59</v>
      </c>
      <c r="W7" s="244"/>
      <c r="X7" s="247">
        <v>70</v>
      </c>
      <c r="Y7" s="247">
        <v>179</v>
      </c>
      <c r="Z7" s="246">
        <v>5</v>
      </c>
      <c r="AA7" s="247">
        <v>324</v>
      </c>
      <c r="AB7" s="245">
        <v>-458</v>
      </c>
      <c r="AC7" s="245"/>
      <c r="AD7" s="244"/>
      <c r="AE7" s="245"/>
      <c r="AF7" s="245"/>
      <c r="AG7" s="248"/>
      <c r="AH7" s="249"/>
      <c r="AI7" s="249"/>
    </row>
    <row r="8" spans="1:36" s="8" customFormat="1" ht="15">
      <c r="A8" s="368"/>
      <c r="B8" s="242" t="s">
        <v>179</v>
      </c>
      <c r="C8" s="243">
        <v>168</v>
      </c>
      <c r="D8" s="243">
        <v>8</v>
      </c>
      <c r="E8" s="246">
        <v>8</v>
      </c>
      <c r="F8" s="247">
        <v>8</v>
      </c>
      <c r="G8" s="247">
        <v>8</v>
      </c>
      <c r="H8" s="247">
        <v>8</v>
      </c>
      <c r="I8" s="244"/>
      <c r="J8" s="247">
        <v>8</v>
      </c>
      <c r="K8" s="247">
        <v>8</v>
      </c>
      <c r="L8" s="246">
        <v>8</v>
      </c>
      <c r="M8" s="247">
        <v>8</v>
      </c>
      <c r="N8" s="247">
        <v>8</v>
      </c>
      <c r="O8" s="247">
        <v>8</v>
      </c>
      <c r="P8" s="244"/>
      <c r="Q8" s="247">
        <v>8</v>
      </c>
      <c r="R8" s="247">
        <v>8</v>
      </c>
      <c r="S8" s="246">
        <v>8</v>
      </c>
      <c r="T8" s="247">
        <v>8</v>
      </c>
      <c r="U8" s="247">
        <v>8</v>
      </c>
      <c r="V8" s="247">
        <v>8</v>
      </c>
      <c r="W8" s="244"/>
      <c r="X8" s="247">
        <v>8</v>
      </c>
      <c r="Y8" s="247">
        <v>8</v>
      </c>
      <c r="Z8" s="246">
        <v>8</v>
      </c>
      <c r="AA8" s="247">
        <v>8</v>
      </c>
      <c r="AB8" s="247">
        <v>8</v>
      </c>
      <c r="AC8" s="245"/>
      <c r="AD8" s="244"/>
      <c r="AE8" s="245"/>
      <c r="AF8" s="245"/>
      <c r="AG8" s="248"/>
      <c r="AH8" s="249"/>
      <c r="AI8" s="249"/>
    </row>
    <row r="9" spans="1:36" s="8" customFormat="1" ht="15">
      <c r="A9" s="368"/>
      <c r="B9" s="242" t="s">
        <v>180</v>
      </c>
      <c r="C9" s="243">
        <v>1179</v>
      </c>
      <c r="D9" s="243">
        <v>1179</v>
      </c>
      <c r="E9" s="246">
        <v>1186</v>
      </c>
      <c r="F9" s="247">
        <v>1186</v>
      </c>
      <c r="G9" s="247">
        <v>1192</v>
      </c>
      <c r="H9" s="247">
        <v>1174</v>
      </c>
      <c r="I9" s="244"/>
      <c r="J9" s="247">
        <v>1162</v>
      </c>
      <c r="K9" s="247">
        <v>1174</v>
      </c>
      <c r="L9" s="246">
        <v>1175</v>
      </c>
      <c r="M9" s="247">
        <v>1178</v>
      </c>
      <c r="N9" s="247">
        <v>1184</v>
      </c>
      <c r="O9" s="247">
        <v>1191</v>
      </c>
      <c r="P9" s="244"/>
      <c r="Q9" s="247">
        <v>1188</v>
      </c>
      <c r="R9" s="247">
        <v>1198</v>
      </c>
      <c r="S9" s="246">
        <v>1196</v>
      </c>
      <c r="T9" s="247">
        <v>1187</v>
      </c>
      <c r="U9" s="247">
        <v>1182</v>
      </c>
      <c r="V9" s="247">
        <v>1180</v>
      </c>
      <c r="W9" s="244"/>
      <c r="X9" s="247">
        <v>1175</v>
      </c>
      <c r="Y9" s="247">
        <v>1175</v>
      </c>
      <c r="Z9" s="246">
        <v>1193</v>
      </c>
      <c r="AA9" s="247">
        <v>1196</v>
      </c>
      <c r="AB9" s="247">
        <v>1190</v>
      </c>
      <c r="AC9" s="245"/>
      <c r="AD9" s="244"/>
      <c r="AE9" s="245"/>
      <c r="AF9" s="245"/>
      <c r="AG9" s="248"/>
      <c r="AH9" s="249"/>
      <c r="AI9" s="249"/>
    </row>
    <row r="10" spans="1:36" s="8" customFormat="1" ht="15">
      <c r="A10" s="368"/>
      <c r="B10" s="242" t="s">
        <v>181</v>
      </c>
      <c r="C10" s="243">
        <v>3331.1785714285711</v>
      </c>
      <c r="D10" s="243">
        <v>3331.1785714285711</v>
      </c>
      <c r="E10" s="246">
        <v>3482.5</v>
      </c>
      <c r="F10" s="247">
        <v>3358</v>
      </c>
      <c r="G10" s="247">
        <v>3446.25</v>
      </c>
      <c r="H10" s="247">
        <v>3559.25</v>
      </c>
      <c r="I10" s="244"/>
      <c r="J10" s="247">
        <v>3565</v>
      </c>
      <c r="K10" s="247">
        <v>3565</v>
      </c>
      <c r="L10" s="246">
        <v>3565.25</v>
      </c>
      <c r="M10" s="247">
        <v>3315</v>
      </c>
      <c r="N10" s="247">
        <v>3513</v>
      </c>
      <c r="O10" s="247">
        <v>3378.875</v>
      </c>
      <c r="P10" s="244"/>
      <c r="Q10" s="247">
        <v>3335</v>
      </c>
      <c r="R10" s="247">
        <v>3370</v>
      </c>
      <c r="S10" s="246">
        <v>3048.5</v>
      </c>
      <c r="T10" s="247">
        <v>3142</v>
      </c>
      <c r="U10" s="247">
        <v>3313.75</v>
      </c>
      <c r="V10" s="247">
        <v>3259.875</v>
      </c>
      <c r="W10" s="244"/>
      <c r="X10" s="247">
        <v>3178.75</v>
      </c>
      <c r="Y10" s="247">
        <v>3064.875</v>
      </c>
      <c r="Z10" s="246">
        <v>3109.375</v>
      </c>
      <c r="AA10" s="247">
        <v>3191.75</v>
      </c>
      <c r="AB10" s="247">
        <v>3192.75</v>
      </c>
      <c r="AC10" s="245"/>
      <c r="AD10" s="244"/>
      <c r="AE10" s="245"/>
      <c r="AF10" s="245"/>
      <c r="AG10" s="248"/>
      <c r="AH10" s="249"/>
      <c r="AI10" s="249"/>
    </row>
    <row r="11" spans="1:36" s="8" customFormat="1" ht="15">
      <c r="A11" s="369"/>
      <c r="B11" s="250" t="s">
        <v>182</v>
      </c>
      <c r="C11" s="251">
        <v>2.8254271174118504</v>
      </c>
      <c r="D11" s="251">
        <v>2.8254271174118495</v>
      </c>
      <c r="E11" s="254">
        <v>2.9363406408094437</v>
      </c>
      <c r="F11" s="251">
        <v>2.8313659359190555</v>
      </c>
      <c r="G11" s="251">
        <v>2.8911493288590604</v>
      </c>
      <c r="H11" s="251">
        <v>3.0317291311754686</v>
      </c>
      <c r="I11" s="252"/>
      <c r="J11" s="251">
        <v>3.0679862306368331</v>
      </c>
      <c r="K11" s="251">
        <v>3.036626916524702</v>
      </c>
      <c r="L11" s="254">
        <v>3.0342553191489361</v>
      </c>
      <c r="M11" s="251">
        <v>2.8140916808149408</v>
      </c>
      <c r="N11" s="251">
        <v>2.967060810810811</v>
      </c>
      <c r="O11" s="251">
        <v>2.8370067170445004</v>
      </c>
      <c r="P11" s="252"/>
      <c r="Q11" s="251">
        <v>2.8072390572390571</v>
      </c>
      <c r="R11" s="251">
        <v>2.8130217028380633</v>
      </c>
      <c r="S11" s="254">
        <v>2.5489130434782608</v>
      </c>
      <c r="T11" s="251">
        <v>2.6470092670598149</v>
      </c>
      <c r="U11" s="251">
        <v>2.8035109983079525</v>
      </c>
      <c r="V11" s="251">
        <v>2.7626059322033898</v>
      </c>
      <c r="W11" s="252"/>
      <c r="X11" s="251">
        <v>2.7053191489361703</v>
      </c>
      <c r="Y11" s="251">
        <v>2.6084042553191491</v>
      </c>
      <c r="Z11" s="254">
        <v>2.6063495389773679</v>
      </c>
      <c r="AA11" s="251">
        <v>2.6686872909698995</v>
      </c>
      <c r="AB11" s="251">
        <v>2.6829831932773107</v>
      </c>
      <c r="AC11" s="253"/>
      <c r="AD11" s="252"/>
      <c r="AE11" s="253"/>
      <c r="AF11" s="253"/>
      <c r="AG11" s="255"/>
      <c r="AH11" s="256"/>
      <c r="AI11" s="256"/>
    </row>
    <row r="12" spans="1:36" ht="15">
      <c r="A12" s="367" t="s">
        <v>183</v>
      </c>
      <c r="B12" s="234" t="s">
        <v>175</v>
      </c>
      <c r="C12" s="235">
        <v>36184</v>
      </c>
      <c r="D12" s="235">
        <v>1723.047619047619</v>
      </c>
      <c r="E12" s="238">
        <v>1760</v>
      </c>
      <c r="F12" s="239">
        <v>1760</v>
      </c>
      <c r="G12" s="239">
        <v>1760</v>
      </c>
      <c r="H12" s="239">
        <v>1760</v>
      </c>
      <c r="I12" s="236"/>
      <c r="J12" s="239">
        <v>1760</v>
      </c>
      <c r="K12" s="239">
        <v>1760</v>
      </c>
      <c r="L12" s="238">
        <v>1760</v>
      </c>
      <c r="M12" s="239">
        <v>1760</v>
      </c>
      <c r="N12" s="239">
        <v>1760</v>
      </c>
      <c r="O12" s="239">
        <v>1760</v>
      </c>
      <c r="P12" s="236"/>
      <c r="Q12" s="239">
        <v>1760</v>
      </c>
      <c r="R12" s="239">
        <v>1760</v>
      </c>
      <c r="S12" s="238">
        <v>1760</v>
      </c>
      <c r="T12" s="239">
        <v>1704</v>
      </c>
      <c r="U12" s="239">
        <v>1696</v>
      </c>
      <c r="V12" s="239">
        <v>1680</v>
      </c>
      <c r="W12" s="236"/>
      <c r="X12" s="239">
        <v>1680</v>
      </c>
      <c r="Y12" s="239">
        <v>1680</v>
      </c>
      <c r="Z12" s="238">
        <v>1504</v>
      </c>
      <c r="AA12" s="239">
        <v>1680</v>
      </c>
      <c r="AB12" s="239">
        <v>1680</v>
      </c>
      <c r="AC12" s="237"/>
      <c r="AD12" s="236"/>
      <c r="AE12" s="237"/>
      <c r="AF12" s="237"/>
      <c r="AG12" s="240"/>
      <c r="AH12" s="241"/>
      <c r="AI12" s="241"/>
      <c r="AJ12" s="8"/>
    </row>
    <row r="13" spans="1:36" ht="15">
      <c r="A13" s="368"/>
      <c r="B13" s="234" t="s">
        <v>176</v>
      </c>
      <c r="C13" s="235">
        <v>30920</v>
      </c>
      <c r="D13" s="235">
        <v>1472.3809523809523</v>
      </c>
      <c r="E13" s="238">
        <v>1520</v>
      </c>
      <c r="F13" s="239">
        <v>1520</v>
      </c>
      <c r="G13" s="239">
        <v>1520</v>
      </c>
      <c r="H13" s="239">
        <v>1520</v>
      </c>
      <c r="I13" s="236"/>
      <c r="J13" s="239">
        <v>1520</v>
      </c>
      <c r="K13" s="239">
        <v>1520</v>
      </c>
      <c r="L13" s="238">
        <v>1520</v>
      </c>
      <c r="M13" s="239">
        <v>1520</v>
      </c>
      <c r="N13" s="239">
        <v>1520</v>
      </c>
      <c r="O13" s="239">
        <v>1520</v>
      </c>
      <c r="P13" s="236"/>
      <c r="Q13" s="239">
        <v>1520</v>
      </c>
      <c r="R13" s="239">
        <v>1520</v>
      </c>
      <c r="S13" s="238">
        <v>1520</v>
      </c>
      <c r="T13" s="239">
        <v>1080</v>
      </c>
      <c r="U13" s="239">
        <v>1440</v>
      </c>
      <c r="V13" s="239">
        <v>1440</v>
      </c>
      <c r="W13" s="236"/>
      <c r="X13" s="239">
        <v>1440</v>
      </c>
      <c r="Y13" s="239">
        <v>1440</v>
      </c>
      <c r="Z13" s="238">
        <v>1440</v>
      </c>
      <c r="AA13" s="239">
        <v>1440</v>
      </c>
      <c r="AB13" s="239">
        <v>1440</v>
      </c>
      <c r="AC13" s="239">
        <v>1440</v>
      </c>
      <c r="AD13" s="236"/>
      <c r="AE13" s="239">
        <v>1440</v>
      </c>
      <c r="AF13" s="239">
        <v>1440</v>
      </c>
      <c r="AG13" s="257">
        <v>1440</v>
      </c>
      <c r="AH13" s="258">
        <v>1440</v>
      </c>
      <c r="AI13" s="258">
        <v>1440</v>
      </c>
      <c r="AJ13" s="8"/>
    </row>
    <row r="14" spans="1:36" ht="15">
      <c r="A14" s="368"/>
      <c r="B14" s="242" t="s">
        <v>177</v>
      </c>
      <c r="C14" s="243">
        <v>31466</v>
      </c>
      <c r="D14" s="243">
        <v>1498.3809523809523</v>
      </c>
      <c r="E14" s="246">
        <v>1520</v>
      </c>
      <c r="F14" s="247">
        <v>1520</v>
      </c>
      <c r="G14" s="247">
        <v>1600</v>
      </c>
      <c r="H14" s="247">
        <v>1520</v>
      </c>
      <c r="I14" s="244"/>
      <c r="J14" s="247">
        <v>1520</v>
      </c>
      <c r="K14" s="247">
        <v>1740</v>
      </c>
      <c r="L14" s="246">
        <v>1520</v>
      </c>
      <c r="M14" s="247">
        <v>1520</v>
      </c>
      <c r="N14" s="247">
        <v>1520</v>
      </c>
      <c r="O14" s="247">
        <v>1520</v>
      </c>
      <c r="P14" s="244"/>
      <c r="Q14" s="247">
        <v>1520</v>
      </c>
      <c r="R14" s="247">
        <v>1520</v>
      </c>
      <c r="S14" s="246">
        <v>1520</v>
      </c>
      <c r="T14" s="247">
        <v>1280</v>
      </c>
      <c r="U14" s="247">
        <v>1440</v>
      </c>
      <c r="V14" s="247">
        <v>1486</v>
      </c>
      <c r="W14" s="244"/>
      <c r="X14" s="247">
        <v>1440</v>
      </c>
      <c r="Y14" s="247">
        <v>1440</v>
      </c>
      <c r="Z14" s="246">
        <v>1440</v>
      </c>
      <c r="AA14" s="247">
        <v>1440</v>
      </c>
      <c r="AB14" s="247">
        <v>1440</v>
      </c>
      <c r="AC14" s="245"/>
      <c r="AD14" s="244"/>
      <c r="AE14" s="245"/>
      <c r="AF14" s="245"/>
      <c r="AG14" s="248"/>
      <c r="AH14" s="249"/>
      <c r="AI14" s="249"/>
      <c r="AJ14" s="8"/>
    </row>
    <row r="15" spans="1:36" ht="15">
      <c r="A15" s="368"/>
      <c r="B15" s="242" t="s">
        <v>178</v>
      </c>
      <c r="C15" s="243">
        <v>546</v>
      </c>
      <c r="D15" s="243">
        <v>26</v>
      </c>
      <c r="E15" s="246">
        <v>0</v>
      </c>
      <c r="F15" s="247">
        <v>0</v>
      </c>
      <c r="G15" s="247">
        <v>80</v>
      </c>
      <c r="H15" s="247">
        <v>0</v>
      </c>
      <c r="I15" s="244"/>
      <c r="J15" s="247">
        <v>0</v>
      </c>
      <c r="K15" s="247">
        <v>220</v>
      </c>
      <c r="L15" s="246">
        <v>0</v>
      </c>
      <c r="M15" s="247">
        <v>0</v>
      </c>
      <c r="N15" s="247">
        <v>0</v>
      </c>
      <c r="O15" s="247">
        <v>0</v>
      </c>
      <c r="P15" s="244"/>
      <c r="Q15" s="247">
        <v>0</v>
      </c>
      <c r="R15" s="247">
        <v>0</v>
      </c>
      <c r="S15" s="246">
        <v>0</v>
      </c>
      <c r="T15" s="247">
        <v>200</v>
      </c>
      <c r="U15" s="247">
        <v>0</v>
      </c>
      <c r="V15" s="247">
        <v>46</v>
      </c>
      <c r="W15" s="244"/>
      <c r="X15" s="247">
        <v>0</v>
      </c>
      <c r="Y15" s="247">
        <v>0</v>
      </c>
      <c r="Z15" s="246">
        <v>0</v>
      </c>
      <c r="AA15" s="247">
        <v>0</v>
      </c>
      <c r="AB15" s="247">
        <v>0</v>
      </c>
      <c r="AC15" s="245"/>
      <c r="AD15" s="244"/>
      <c r="AE15" s="245"/>
      <c r="AF15" s="245"/>
      <c r="AG15" s="248"/>
      <c r="AH15" s="249"/>
      <c r="AI15" s="249"/>
      <c r="AJ15" s="8"/>
    </row>
    <row r="16" spans="1:36" ht="15">
      <c r="A16" s="368"/>
      <c r="B16" s="242" t="s">
        <v>179</v>
      </c>
      <c r="C16" s="243">
        <v>168</v>
      </c>
      <c r="D16" s="243">
        <v>8</v>
      </c>
      <c r="E16" s="246">
        <v>8</v>
      </c>
      <c r="F16" s="247">
        <v>8</v>
      </c>
      <c r="G16" s="247">
        <v>8</v>
      </c>
      <c r="H16" s="247">
        <v>8</v>
      </c>
      <c r="I16" s="244"/>
      <c r="J16" s="247">
        <v>8</v>
      </c>
      <c r="K16" s="247">
        <v>8</v>
      </c>
      <c r="L16" s="246">
        <v>8</v>
      </c>
      <c r="M16" s="247">
        <v>8</v>
      </c>
      <c r="N16" s="247">
        <v>8</v>
      </c>
      <c r="O16" s="247">
        <v>8</v>
      </c>
      <c r="P16" s="244"/>
      <c r="Q16" s="247">
        <v>8</v>
      </c>
      <c r="R16" s="247">
        <v>8</v>
      </c>
      <c r="S16" s="246">
        <v>8</v>
      </c>
      <c r="T16" s="247">
        <v>8</v>
      </c>
      <c r="U16" s="247">
        <v>8</v>
      </c>
      <c r="V16" s="247">
        <v>8</v>
      </c>
      <c r="W16" s="244"/>
      <c r="X16" s="247">
        <v>8</v>
      </c>
      <c r="Y16" s="247">
        <v>8</v>
      </c>
      <c r="Z16" s="246">
        <v>8</v>
      </c>
      <c r="AA16" s="247">
        <v>8</v>
      </c>
      <c r="AB16" s="247">
        <v>8</v>
      </c>
      <c r="AC16" s="245"/>
      <c r="AD16" s="244"/>
      <c r="AE16" s="245"/>
      <c r="AF16" s="245"/>
      <c r="AG16" s="248"/>
      <c r="AH16" s="249"/>
      <c r="AI16" s="249"/>
      <c r="AJ16" s="8"/>
    </row>
    <row r="17" spans="1:36" ht="15">
      <c r="A17" s="368"/>
      <c r="B17" s="242" t="s">
        <v>180</v>
      </c>
      <c r="C17" s="243">
        <v>65</v>
      </c>
      <c r="D17" s="243">
        <v>65</v>
      </c>
      <c r="E17" s="246">
        <v>66</v>
      </c>
      <c r="F17" s="247">
        <v>65</v>
      </c>
      <c r="G17" s="247">
        <v>66</v>
      </c>
      <c r="H17" s="247">
        <v>63</v>
      </c>
      <c r="I17" s="244"/>
      <c r="J17" s="247">
        <v>65</v>
      </c>
      <c r="K17" s="247">
        <v>65</v>
      </c>
      <c r="L17" s="246">
        <v>64</v>
      </c>
      <c r="M17" s="247">
        <v>64</v>
      </c>
      <c r="N17" s="247">
        <v>65</v>
      </c>
      <c r="O17" s="247">
        <v>66</v>
      </c>
      <c r="P17" s="244"/>
      <c r="Q17" s="247">
        <v>65</v>
      </c>
      <c r="R17" s="247">
        <v>66</v>
      </c>
      <c r="S17" s="246">
        <v>66</v>
      </c>
      <c r="T17" s="247">
        <v>66</v>
      </c>
      <c r="U17" s="247">
        <v>66</v>
      </c>
      <c r="V17" s="247">
        <v>65</v>
      </c>
      <c r="W17" s="244"/>
      <c r="X17" s="247">
        <v>66</v>
      </c>
      <c r="Y17" s="247">
        <v>65</v>
      </c>
      <c r="Z17" s="246">
        <v>67</v>
      </c>
      <c r="AA17" s="247">
        <v>65</v>
      </c>
      <c r="AB17" s="247">
        <v>67</v>
      </c>
      <c r="AC17" s="245"/>
      <c r="AD17" s="244"/>
      <c r="AE17" s="245"/>
      <c r="AF17" s="245"/>
      <c r="AG17" s="248"/>
      <c r="AH17" s="249"/>
      <c r="AI17" s="249"/>
      <c r="AJ17" s="8"/>
    </row>
    <row r="18" spans="1:36" ht="15">
      <c r="A18" s="368"/>
      <c r="B18" s="242" t="s">
        <v>181</v>
      </c>
      <c r="C18" s="243">
        <v>187.29761904761904</v>
      </c>
      <c r="D18" s="243">
        <v>187.29761904761904</v>
      </c>
      <c r="E18" s="246">
        <v>190</v>
      </c>
      <c r="F18" s="247">
        <v>190</v>
      </c>
      <c r="G18" s="247">
        <v>200</v>
      </c>
      <c r="H18" s="247">
        <v>190</v>
      </c>
      <c r="I18" s="244"/>
      <c r="J18" s="247">
        <v>190</v>
      </c>
      <c r="K18" s="247">
        <v>217.5</v>
      </c>
      <c r="L18" s="246">
        <v>190</v>
      </c>
      <c r="M18" s="247">
        <v>190</v>
      </c>
      <c r="N18" s="247">
        <v>190</v>
      </c>
      <c r="O18" s="247">
        <v>190</v>
      </c>
      <c r="P18" s="244"/>
      <c r="Q18" s="247">
        <v>190</v>
      </c>
      <c r="R18" s="247">
        <v>190</v>
      </c>
      <c r="S18" s="246">
        <v>190</v>
      </c>
      <c r="T18" s="247">
        <v>160</v>
      </c>
      <c r="U18" s="247">
        <v>180</v>
      </c>
      <c r="V18" s="247">
        <v>185.75</v>
      </c>
      <c r="W18" s="244"/>
      <c r="X18" s="247">
        <v>180</v>
      </c>
      <c r="Y18" s="247">
        <v>180</v>
      </c>
      <c r="Z18" s="246">
        <v>180</v>
      </c>
      <c r="AA18" s="247">
        <v>180</v>
      </c>
      <c r="AB18" s="247">
        <v>180</v>
      </c>
      <c r="AC18" s="245"/>
      <c r="AD18" s="244"/>
      <c r="AE18" s="245"/>
      <c r="AF18" s="245"/>
      <c r="AG18" s="248"/>
      <c r="AH18" s="249"/>
      <c r="AI18" s="249"/>
      <c r="AJ18" s="8"/>
    </row>
    <row r="19" spans="1:36" ht="15">
      <c r="A19" s="369"/>
      <c r="B19" s="250" t="s">
        <v>182</v>
      </c>
      <c r="C19" s="251">
        <v>2.8815</v>
      </c>
      <c r="D19" s="251">
        <v>2.8815</v>
      </c>
      <c r="E19" s="254">
        <v>2.8788</v>
      </c>
      <c r="F19" s="251">
        <v>2.9230999999999998</v>
      </c>
      <c r="G19" s="251">
        <v>3.0303</v>
      </c>
      <c r="H19" s="251">
        <v>3.0158999999999998</v>
      </c>
      <c r="I19" s="252"/>
      <c r="J19" s="251">
        <v>2.9230999999999998</v>
      </c>
      <c r="K19" s="251">
        <v>3.3462000000000001</v>
      </c>
      <c r="L19" s="254">
        <v>2.9687999999999999</v>
      </c>
      <c r="M19" s="251">
        <v>2.9687999999999999</v>
      </c>
      <c r="N19" s="251">
        <v>2.9230999999999998</v>
      </c>
      <c r="O19" s="251">
        <v>2.8788</v>
      </c>
      <c r="P19" s="252"/>
      <c r="Q19" s="251">
        <v>2.9230999999999998</v>
      </c>
      <c r="R19" s="251">
        <v>2.8788</v>
      </c>
      <c r="S19" s="254">
        <v>2.8788</v>
      </c>
      <c r="T19" s="251">
        <v>2.4241999999999999</v>
      </c>
      <c r="U19" s="251">
        <v>2.7273000000000001</v>
      </c>
      <c r="V19" s="251">
        <v>2.8576999999999999</v>
      </c>
      <c r="W19" s="252"/>
      <c r="X19" s="251">
        <v>2.7273000000000001</v>
      </c>
      <c r="Y19" s="251">
        <v>2.7692000000000001</v>
      </c>
      <c r="Z19" s="254">
        <v>2.6865999999999999</v>
      </c>
      <c r="AA19" s="251">
        <v>2.7692000000000001</v>
      </c>
      <c r="AB19" s="251">
        <v>2.6865999999999999</v>
      </c>
      <c r="AC19" s="253"/>
      <c r="AD19" s="252"/>
      <c r="AE19" s="253"/>
      <c r="AF19" s="253"/>
      <c r="AG19" s="255"/>
      <c r="AH19" s="256"/>
      <c r="AI19" s="256"/>
      <c r="AJ19" s="8"/>
    </row>
    <row r="20" spans="1:36" ht="15">
      <c r="A20" s="367" t="s">
        <v>184</v>
      </c>
      <c r="B20" s="234" t="s">
        <v>175</v>
      </c>
      <c r="C20" s="235">
        <v>36632</v>
      </c>
      <c r="D20" s="235">
        <v>1744.3809523809523</v>
      </c>
      <c r="E20" s="238">
        <v>1760</v>
      </c>
      <c r="F20" s="239">
        <v>1760</v>
      </c>
      <c r="G20" s="239">
        <v>1688</v>
      </c>
      <c r="H20" s="239">
        <v>1576</v>
      </c>
      <c r="I20" s="236"/>
      <c r="J20" s="239">
        <v>1760</v>
      </c>
      <c r="K20" s="239">
        <v>1760</v>
      </c>
      <c r="L20" s="238">
        <v>1760</v>
      </c>
      <c r="M20" s="239">
        <v>1760</v>
      </c>
      <c r="N20" s="239">
        <v>1760</v>
      </c>
      <c r="O20" s="239">
        <v>1760</v>
      </c>
      <c r="P20" s="236"/>
      <c r="Q20" s="239">
        <v>1760</v>
      </c>
      <c r="R20" s="239">
        <v>1760</v>
      </c>
      <c r="S20" s="238">
        <v>1760</v>
      </c>
      <c r="T20" s="239">
        <v>1688</v>
      </c>
      <c r="U20" s="239">
        <v>1760</v>
      </c>
      <c r="V20" s="239">
        <v>1760</v>
      </c>
      <c r="W20" s="236"/>
      <c r="X20" s="239">
        <v>1760</v>
      </c>
      <c r="Y20" s="239">
        <v>1760</v>
      </c>
      <c r="Z20" s="238">
        <v>1760</v>
      </c>
      <c r="AA20" s="239">
        <v>1760</v>
      </c>
      <c r="AB20" s="239">
        <v>1760</v>
      </c>
      <c r="AC20" s="237"/>
      <c r="AD20" s="236"/>
      <c r="AE20" s="237"/>
      <c r="AF20" s="237"/>
      <c r="AG20" s="240"/>
      <c r="AH20" s="241"/>
      <c r="AI20" s="241"/>
      <c r="AJ20" s="8"/>
    </row>
    <row r="21" spans="1:36" ht="15">
      <c r="A21" s="368"/>
      <c r="B21" s="234" t="s">
        <v>176</v>
      </c>
      <c r="C21" s="235">
        <v>34860</v>
      </c>
      <c r="D21" s="235">
        <v>1660</v>
      </c>
      <c r="E21" s="238">
        <v>1680</v>
      </c>
      <c r="F21" s="239">
        <v>1680</v>
      </c>
      <c r="G21" s="239">
        <v>1680</v>
      </c>
      <c r="H21" s="239">
        <v>1680</v>
      </c>
      <c r="I21" s="236"/>
      <c r="J21" s="239">
        <v>1680</v>
      </c>
      <c r="K21" s="239">
        <v>1680</v>
      </c>
      <c r="L21" s="238">
        <v>1680</v>
      </c>
      <c r="M21" s="239">
        <v>1680</v>
      </c>
      <c r="N21" s="239">
        <v>1680</v>
      </c>
      <c r="O21" s="239">
        <v>1260</v>
      </c>
      <c r="P21" s="236"/>
      <c r="Q21" s="239">
        <v>1680</v>
      </c>
      <c r="R21" s="239">
        <v>1680</v>
      </c>
      <c r="S21" s="238">
        <v>1680</v>
      </c>
      <c r="T21" s="239">
        <v>1680</v>
      </c>
      <c r="U21" s="239">
        <v>1680</v>
      </c>
      <c r="V21" s="239">
        <v>1680</v>
      </c>
      <c r="W21" s="236"/>
      <c r="X21" s="239">
        <v>1680</v>
      </c>
      <c r="Y21" s="239">
        <v>1680</v>
      </c>
      <c r="Z21" s="238">
        <v>1680</v>
      </c>
      <c r="AA21" s="239">
        <v>1680</v>
      </c>
      <c r="AB21" s="239">
        <v>1680</v>
      </c>
      <c r="AC21" s="239">
        <v>1680</v>
      </c>
      <c r="AD21" s="236"/>
      <c r="AE21" s="239">
        <v>1680</v>
      </c>
      <c r="AF21" s="239">
        <v>1680</v>
      </c>
      <c r="AG21" s="257">
        <v>1680</v>
      </c>
      <c r="AH21" s="258">
        <v>1680</v>
      </c>
      <c r="AI21" s="258">
        <v>1680</v>
      </c>
      <c r="AJ21" s="8"/>
    </row>
    <row r="22" spans="1:36" ht="15">
      <c r="A22" s="368"/>
      <c r="B22" s="242" t="s">
        <v>177</v>
      </c>
      <c r="C22" s="243">
        <v>34344</v>
      </c>
      <c r="D22" s="243">
        <v>1635.4285714285713</v>
      </c>
      <c r="E22" s="246">
        <v>1680</v>
      </c>
      <c r="F22" s="247">
        <v>1680</v>
      </c>
      <c r="G22" s="247">
        <v>1680</v>
      </c>
      <c r="H22" s="247">
        <v>1584</v>
      </c>
      <c r="I22" s="244"/>
      <c r="J22" s="247">
        <v>1680</v>
      </c>
      <c r="K22" s="247">
        <v>1460</v>
      </c>
      <c r="L22" s="246">
        <v>1680</v>
      </c>
      <c r="M22" s="247">
        <v>1444</v>
      </c>
      <c r="N22" s="247">
        <v>1512</v>
      </c>
      <c r="O22" s="247">
        <v>1680</v>
      </c>
      <c r="P22" s="244"/>
      <c r="Q22" s="247">
        <v>1680</v>
      </c>
      <c r="R22" s="247">
        <v>1680</v>
      </c>
      <c r="S22" s="246">
        <v>1680</v>
      </c>
      <c r="T22" s="247">
        <v>1680</v>
      </c>
      <c r="U22" s="247">
        <v>1680</v>
      </c>
      <c r="V22" s="247">
        <v>1680</v>
      </c>
      <c r="W22" s="244"/>
      <c r="X22" s="247">
        <v>1680</v>
      </c>
      <c r="Y22" s="247">
        <v>1500</v>
      </c>
      <c r="Z22" s="246">
        <v>1560</v>
      </c>
      <c r="AA22" s="247">
        <v>1728</v>
      </c>
      <c r="AB22" s="247">
        <v>1716</v>
      </c>
      <c r="AC22" s="245"/>
      <c r="AD22" s="244"/>
      <c r="AE22" s="245"/>
      <c r="AF22" s="245"/>
      <c r="AG22" s="248"/>
      <c r="AH22" s="249"/>
      <c r="AI22" s="249"/>
      <c r="AJ22" s="8"/>
    </row>
    <row r="23" spans="1:36" ht="15">
      <c r="A23" s="368"/>
      <c r="B23" s="242" t="s">
        <v>178</v>
      </c>
      <c r="C23" s="259">
        <v>-516</v>
      </c>
      <c r="D23" s="259">
        <v>-24.571428571428573</v>
      </c>
      <c r="E23" s="246">
        <v>0</v>
      </c>
      <c r="F23" s="247">
        <v>0</v>
      </c>
      <c r="G23" s="247">
        <v>0</v>
      </c>
      <c r="H23" s="245">
        <v>-96</v>
      </c>
      <c r="I23" s="244"/>
      <c r="J23" s="247">
        <v>0</v>
      </c>
      <c r="K23" s="245">
        <v>-220</v>
      </c>
      <c r="L23" s="246">
        <v>0</v>
      </c>
      <c r="M23" s="245">
        <v>-236</v>
      </c>
      <c r="N23" s="245">
        <v>-168</v>
      </c>
      <c r="O23" s="247">
        <v>420</v>
      </c>
      <c r="P23" s="244"/>
      <c r="Q23" s="247">
        <v>0</v>
      </c>
      <c r="R23" s="247">
        <v>0</v>
      </c>
      <c r="S23" s="246">
        <v>0</v>
      </c>
      <c r="T23" s="247">
        <v>0</v>
      </c>
      <c r="U23" s="247">
        <v>0</v>
      </c>
      <c r="V23" s="247">
        <v>0</v>
      </c>
      <c r="W23" s="244"/>
      <c r="X23" s="247">
        <v>0</v>
      </c>
      <c r="Y23" s="245">
        <v>-180</v>
      </c>
      <c r="Z23" s="244">
        <v>-120</v>
      </c>
      <c r="AA23" s="247">
        <v>48</v>
      </c>
      <c r="AB23" s="247">
        <v>36</v>
      </c>
      <c r="AC23" s="245"/>
      <c r="AD23" s="244"/>
      <c r="AE23" s="245"/>
      <c r="AF23" s="245"/>
      <c r="AG23" s="248"/>
      <c r="AH23" s="249"/>
      <c r="AI23" s="249"/>
      <c r="AJ23" s="8"/>
    </row>
    <row r="24" spans="1:36" ht="15">
      <c r="A24" s="368"/>
      <c r="B24" s="242" t="s">
        <v>179</v>
      </c>
      <c r="C24" s="243">
        <v>168</v>
      </c>
      <c r="D24" s="243">
        <v>8</v>
      </c>
      <c r="E24" s="246">
        <v>8</v>
      </c>
      <c r="F24" s="247">
        <v>8</v>
      </c>
      <c r="G24" s="247">
        <v>8</v>
      </c>
      <c r="H24" s="247">
        <v>8</v>
      </c>
      <c r="I24" s="244"/>
      <c r="J24" s="247">
        <v>8</v>
      </c>
      <c r="K24" s="247">
        <v>8</v>
      </c>
      <c r="L24" s="246">
        <v>8</v>
      </c>
      <c r="M24" s="247">
        <v>8</v>
      </c>
      <c r="N24" s="247">
        <v>8</v>
      </c>
      <c r="O24" s="247">
        <v>8</v>
      </c>
      <c r="P24" s="244"/>
      <c r="Q24" s="247">
        <v>8</v>
      </c>
      <c r="R24" s="247">
        <v>8</v>
      </c>
      <c r="S24" s="246">
        <v>8</v>
      </c>
      <c r="T24" s="247">
        <v>8</v>
      </c>
      <c r="U24" s="247">
        <v>8</v>
      </c>
      <c r="V24" s="247">
        <v>8</v>
      </c>
      <c r="W24" s="244"/>
      <c r="X24" s="247">
        <v>8</v>
      </c>
      <c r="Y24" s="247">
        <v>8</v>
      </c>
      <c r="Z24" s="246">
        <v>8</v>
      </c>
      <c r="AA24" s="247">
        <v>8</v>
      </c>
      <c r="AB24" s="247">
        <v>8</v>
      </c>
      <c r="AC24" s="245"/>
      <c r="AD24" s="244"/>
      <c r="AE24" s="245"/>
      <c r="AF24" s="245"/>
      <c r="AG24" s="248"/>
      <c r="AH24" s="249"/>
      <c r="AI24" s="249"/>
      <c r="AJ24" s="8"/>
    </row>
    <row r="25" spans="1:36" ht="15">
      <c r="A25" s="368"/>
      <c r="B25" s="242" t="s">
        <v>180</v>
      </c>
      <c r="C25" s="243">
        <v>69</v>
      </c>
      <c r="D25" s="243">
        <v>69</v>
      </c>
      <c r="E25" s="246">
        <v>72</v>
      </c>
      <c r="F25" s="247">
        <v>68</v>
      </c>
      <c r="G25" s="247">
        <v>70</v>
      </c>
      <c r="H25" s="247">
        <v>70</v>
      </c>
      <c r="I25" s="244"/>
      <c r="J25" s="247">
        <v>69</v>
      </c>
      <c r="K25" s="247">
        <v>66</v>
      </c>
      <c r="L25" s="246">
        <v>68</v>
      </c>
      <c r="M25" s="247">
        <v>71</v>
      </c>
      <c r="N25" s="247">
        <v>69</v>
      </c>
      <c r="O25" s="247">
        <v>71</v>
      </c>
      <c r="P25" s="244"/>
      <c r="Q25" s="247">
        <v>70</v>
      </c>
      <c r="R25" s="247">
        <v>72</v>
      </c>
      <c r="S25" s="246">
        <v>72</v>
      </c>
      <c r="T25" s="247">
        <v>69</v>
      </c>
      <c r="U25" s="247">
        <v>68</v>
      </c>
      <c r="V25" s="247">
        <v>70</v>
      </c>
      <c r="W25" s="244"/>
      <c r="X25" s="247">
        <v>68</v>
      </c>
      <c r="Y25" s="247">
        <v>65</v>
      </c>
      <c r="Z25" s="246">
        <v>69</v>
      </c>
      <c r="AA25" s="247">
        <v>68</v>
      </c>
      <c r="AB25" s="247">
        <v>69</v>
      </c>
      <c r="AC25" s="245"/>
      <c r="AD25" s="244"/>
      <c r="AE25" s="245"/>
      <c r="AF25" s="245"/>
      <c r="AG25" s="248"/>
      <c r="AH25" s="249"/>
      <c r="AI25" s="249"/>
      <c r="AJ25" s="8"/>
    </row>
    <row r="26" spans="1:36" ht="15">
      <c r="A26" s="368"/>
      <c r="B26" s="242" t="s">
        <v>181</v>
      </c>
      <c r="C26" s="243">
        <v>204.42857142857142</v>
      </c>
      <c r="D26" s="243">
        <v>204.42857142857142</v>
      </c>
      <c r="E26" s="246">
        <v>210</v>
      </c>
      <c r="F26" s="247">
        <v>210</v>
      </c>
      <c r="G26" s="247">
        <v>210</v>
      </c>
      <c r="H26" s="247">
        <v>198</v>
      </c>
      <c r="I26" s="244"/>
      <c r="J26" s="247">
        <v>210</v>
      </c>
      <c r="K26" s="247">
        <v>182.5</v>
      </c>
      <c r="L26" s="246">
        <v>210</v>
      </c>
      <c r="M26" s="247">
        <v>180.5</v>
      </c>
      <c r="N26" s="247">
        <v>189</v>
      </c>
      <c r="O26" s="247">
        <v>210</v>
      </c>
      <c r="P26" s="244"/>
      <c r="Q26" s="247">
        <v>210</v>
      </c>
      <c r="R26" s="247">
        <v>210</v>
      </c>
      <c r="S26" s="246">
        <v>210</v>
      </c>
      <c r="T26" s="247">
        <v>210</v>
      </c>
      <c r="U26" s="247">
        <v>210</v>
      </c>
      <c r="V26" s="247">
        <v>210</v>
      </c>
      <c r="W26" s="244"/>
      <c r="X26" s="247">
        <v>210</v>
      </c>
      <c r="Y26" s="247">
        <v>187.5</v>
      </c>
      <c r="Z26" s="246">
        <v>195</v>
      </c>
      <c r="AA26" s="247">
        <v>216</v>
      </c>
      <c r="AB26" s="247">
        <v>214.5</v>
      </c>
      <c r="AC26" s="245"/>
      <c r="AD26" s="244"/>
      <c r="AE26" s="245"/>
      <c r="AF26" s="245"/>
      <c r="AG26" s="248"/>
      <c r="AH26" s="249"/>
      <c r="AI26" s="249"/>
      <c r="AJ26" s="8"/>
    </row>
    <row r="27" spans="1:36" ht="15">
      <c r="A27" s="369"/>
      <c r="B27" s="250" t="s">
        <v>182</v>
      </c>
      <c r="C27" s="251">
        <v>2.9626999999999999</v>
      </c>
      <c r="D27" s="251">
        <v>2.9626999999999999</v>
      </c>
      <c r="E27" s="254">
        <v>2.9167000000000001</v>
      </c>
      <c r="F27" s="251">
        <v>3.0882000000000001</v>
      </c>
      <c r="G27" s="251">
        <v>3</v>
      </c>
      <c r="H27" s="251">
        <v>2.8285999999999998</v>
      </c>
      <c r="I27" s="252"/>
      <c r="J27" s="251">
        <v>3.0434999999999999</v>
      </c>
      <c r="K27" s="251">
        <v>2.7652000000000001</v>
      </c>
      <c r="L27" s="254">
        <v>3.0882000000000001</v>
      </c>
      <c r="M27" s="251">
        <v>2.5423</v>
      </c>
      <c r="N27" s="251">
        <v>2.7391000000000001</v>
      </c>
      <c r="O27" s="251">
        <v>2.9577</v>
      </c>
      <c r="P27" s="252"/>
      <c r="Q27" s="251">
        <v>3</v>
      </c>
      <c r="R27" s="251">
        <v>2.9167000000000001</v>
      </c>
      <c r="S27" s="254">
        <v>2.9167000000000001</v>
      </c>
      <c r="T27" s="251">
        <v>3.0434999999999999</v>
      </c>
      <c r="U27" s="251">
        <v>3.0882000000000001</v>
      </c>
      <c r="V27" s="251">
        <v>3</v>
      </c>
      <c r="W27" s="252"/>
      <c r="X27" s="251">
        <v>3.0882000000000001</v>
      </c>
      <c r="Y27" s="251">
        <v>2.8845999999999998</v>
      </c>
      <c r="Z27" s="254">
        <v>2.8260999999999998</v>
      </c>
      <c r="AA27" s="251">
        <v>3.1764999999999999</v>
      </c>
      <c r="AB27" s="251">
        <v>3.1086999999999998</v>
      </c>
      <c r="AC27" s="253"/>
      <c r="AD27" s="252"/>
      <c r="AE27" s="253"/>
      <c r="AF27" s="253"/>
      <c r="AG27" s="255"/>
      <c r="AH27" s="256"/>
      <c r="AI27" s="256"/>
      <c r="AJ27" s="8"/>
    </row>
    <row r="28" spans="1:36" ht="15">
      <c r="A28" s="367" t="s">
        <v>185</v>
      </c>
      <c r="B28" s="234" t="s">
        <v>186</v>
      </c>
      <c r="C28" s="235">
        <v>36712</v>
      </c>
      <c r="D28" s="235">
        <v>1748.1904761904761</v>
      </c>
      <c r="E28" s="238">
        <v>1760</v>
      </c>
      <c r="F28" s="239">
        <v>1760</v>
      </c>
      <c r="G28" s="239">
        <v>1760</v>
      </c>
      <c r="H28" s="239">
        <v>1760</v>
      </c>
      <c r="I28" s="236"/>
      <c r="J28" s="239">
        <v>1760</v>
      </c>
      <c r="K28" s="239">
        <v>1760</v>
      </c>
      <c r="L28" s="238">
        <v>1760</v>
      </c>
      <c r="M28" s="239">
        <v>1760</v>
      </c>
      <c r="N28" s="239">
        <v>1760</v>
      </c>
      <c r="O28" s="239">
        <v>1760</v>
      </c>
      <c r="P28" s="236"/>
      <c r="Q28" s="239">
        <v>1760</v>
      </c>
      <c r="R28" s="239">
        <v>1760</v>
      </c>
      <c r="S28" s="238">
        <v>1696</v>
      </c>
      <c r="T28" s="239">
        <v>1688</v>
      </c>
      <c r="U28" s="239">
        <v>1728</v>
      </c>
      <c r="V28" s="239">
        <v>1720</v>
      </c>
      <c r="W28" s="236"/>
      <c r="X28" s="239">
        <v>1760</v>
      </c>
      <c r="Y28" s="239">
        <v>1720</v>
      </c>
      <c r="Z28" s="238">
        <v>1760</v>
      </c>
      <c r="AA28" s="239">
        <v>1760</v>
      </c>
      <c r="AB28" s="239">
        <v>1760</v>
      </c>
      <c r="AC28" s="237"/>
      <c r="AD28" s="236"/>
      <c r="AE28" s="237"/>
      <c r="AF28" s="237"/>
      <c r="AG28" s="240"/>
      <c r="AH28" s="241"/>
      <c r="AI28" s="241"/>
      <c r="AJ28" s="8"/>
    </row>
    <row r="29" spans="1:36" ht="15">
      <c r="A29" s="368"/>
      <c r="B29" s="234" t="s">
        <v>187</v>
      </c>
      <c r="C29" s="235">
        <v>34020</v>
      </c>
      <c r="D29" s="235">
        <v>1620</v>
      </c>
      <c r="E29" s="238">
        <v>1680</v>
      </c>
      <c r="F29" s="239">
        <v>1680</v>
      </c>
      <c r="G29" s="239">
        <v>1680</v>
      </c>
      <c r="H29" s="239">
        <v>1680</v>
      </c>
      <c r="I29" s="236"/>
      <c r="J29" s="239">
        <v>1680</v>
      </c>
      <c r="K29" s="239">
        <v>1680</v>
      </c>
      <c r="L29" s="238">
        <v>1680</v>
      </c>
      <c r="M29" s="239">
        <v>1680</v>
      </c>
      <c r="N29" s="239">
        <v>1680</v>
      </c>
      <c r="O29" s="239">
        <v>1680</v>
      </c>
      <c r="P29" s="236"/>
      <c r="Q29" s="239">
        <v>1080</v>
      </c>
      <c r="R29" s="239">
        <v>1440</v>
      </c>
      <c r="S29" s="238">
        <v>1260</v>
      </c>
      <c r="T29" s="239">
        <v>1680</v>
      </c>
      <c r="U29" s="239">
        <v>1680</v>
      </c>
      <c r="V29" s="239">
        <v>1680</v>
      </c>
      <c r="W29" s="236"/>
      <c r="X29" s="239">
        <v>1680</v>
      </c>
      <c r="Y29" s="239">
        <v>1680</v>
      </c>
      <c r="Z29" s="238">
        <v>1680</v>
      </c>
      <c r="AA29" s="239">
        <v>1680</v>
      </c>
      <c r="AB29" s="239">
        <v>1680</v>
      </c>
      <c r="AC29" s="239">
        <v>1680</v>
      </c>
      <c r="AD29" s="236"/>
      <c r="AE29" s="239">
        <v>1680</v>
      </c>
      <c r="AF29" s="239">
        <v>1680</v>
      </c>
      <c r="AG29" s="257">
        <v>1680</v>
      </c>
      <c r="AH29" s="258">
        <v>1680</v>
      </c>
      <c r="AI29" s="258">
        <v>1680</v>
      </c>
      <c r="AJ29" s="8"/>
    </row>
    <row r="30" spans="1:36" ht="15">
      <c r="A30" s="368"/>
      <c r="B30" s="242" t="s">
        <v>188</v>
      </c>
      <c r="C30" s="243">
        <v>33218</v>
      </c>
      <c r="D30" s="243">
        <v>1581.8095238095239</v>
      </c>
      <c r="E30" s="246">
        <v>1680</v>
      </c>
      <c r="F30" s="247">
        <v>1680</v>
      </c>
      <c r="G30" s="247">
        <v>1680</v>
      </c>
      <c r="H30" s="247">
        <v>1680</v>
      </c>
      <c r="I30" s="244"/>
      <c r="J30" s="247">
        <v>1680</v>
      </c>
      <c r="K30" s="247">
        <v>1680</v>
      </c>
      <c r="L30" s="246">
        <v>1680</v>
      </c>
      <c r="M30" s="247">
        <v>1383</v>
      </c>
      <c r="N30" s="247">
        <v>1680</v>
      </c>
      <c r="O30" s="247">
        <v>1680</v>
      </c>
      <c r="P30" s="244"/>
      <c r="Q30" s="247">
        <v>1380</v>
      </c>
      <c r="R30" s="247">
        <v>1440</v>
      </c>
      <c r="S30" s="246">
        <v>1014</v>
      </c>
      <c r="T30" s="247">
        <v>1236</v>
      </c>
      <c r="U30" s="247">
        <v>1444</v>
      </c>
      <c r="V30" s="247">
        <v>1680</v>
      </c>
      <c r="W30" s="244"/>
      <c r="X30" s="247">
        <v>1680</v>
      </c>
      <c r="Y30" s="247">
        <v>1701</v>
      </c>
      <c r="Z30" s="246">
        <v>1680</v>
      </c>
      <c r="AA30" s="247">
        <v>1730</v>
      </c>
      <c r="AB30" s="247">
        <v>1730</v>
      </c>
      <c r="AC30" s="245"/>
      <c r="AD30" s="244"/>
      <c r="AE30" s="245"/>
      <c r="AF30" s="245"/>
      <c r="AG30" s="248"/>
      <c r="AH30" s="249"/>
      <c r="AI30" s="249"/>
      <c r="AJ30" s="8"/>
    </row>
    <row r="31" spans="1:36" ht="15">
      <c r="A31" s="368"/>
      <c r="B31" s="242" t="s">
        <v>189</v>
      </c>
      <c r="C31" s="259">
        <v>-802</v>
      </c>
      <c r="D31" s="259">
        <v>-38.19047619047619</v>
      </c>
      <c r="E31" s="246">
        <v>0</v>
      </c>
      <c r="F31" s="247">
        <v>0</v>
      </c>
      <c r="G31" s="247">
        <v>0</v>
      </c>
      <c r="H31" s="247">
        <v>0</v>
      </c>
      <c r="I31" s="244"/>
      <c r="J31" s="247">
        <v>0</v>
      </c>
      <c r="K31" s="247">
        <v>0</v>
      </c>
      <c r="L31" s="246">
        <v>0</v>
      </c>
      <c r="M31" s="245">
        <v>-297</v>
      </c>
      <c r="N31" s="247">
        <v>0</v>
      </c>
      <c r="O31" s="247">
        <v>0</v>
      </c>
      <c r="P31" s="244"/>
      <c r="Q31" s="247">
        <v>300</v>
      </c>
      <c r="R31" s="247">
        <v>0</v>
      </c>
      <c r="S31" s="244">
        <v>-246</v>
      </c>
      <c r="T31" s="245">
        <v>-444</v>
      </c>
      <c r="U31" s="245">
        <v>-236</v>
      </c>
      <c r="V31" s="247">
        <v>0</v>
      </c>
      <c r="W31" s="244"/>
      <c r="X31" s="247">
        <v>0</v>
      </c>
      <c r="Y31" s="247">
        <v>21</v>
      </c>
      <c r="Z31" s="246">
        <v>0</v>
      </c>
      <c r="AA31" s="247">
        <v>50</v>
      </c>
      <c r="AB31" s="247">
        <v>50</v>
      </c>
      <c r="AC31" s="245"/>
      <c r="AD31" s="244"/>
      <c r="AE31" s="245"/>
      <c r="AF31" s="245"/>
      <c r="AG31" s="248"/>
      <c r="AH31" s="249"/>
      <c r="AI31" s="249"/>
      <c r="AJ31" s="8"/>
    </row>
    <row r="32" spans="1:36" ht="15">
      <c r="A32" s="368"/>
      <c r="B32" s="242" t="s">
        <v>190</v>
      </c>
      <c r="C32" s="243">
        <v>168</v>
      </c>
      <c r="D32" s="243">
        <v>8</v>
      </c>
      <c r="E32" s="246">
        <v>8</v>
      </c>
      <c r="F32" s="247">
        <v>8</v>
      </c>
      <c r="G32" s="247">
        <v>8</v>
      </c>
      <c r="H32" s="247">
        <v>8</v>
      </c>
      <c r="I32" s="244"/>
      <c r="J32" s="247">
        <v>8</v>
      </c>
      <c r="K32" s="247">
        <v>8</v>
      </c>
      <c r="L32" s="246">
        <v>8</v>
      </c>
      <c r="M32" s="247">
        <v>8</v>
      </c>
      <c r="N32" s="247">
        <v>8</v>
      </c>
      <c r="O32" s="247">
        <v>8</v>
      </c>
      <c r="P32" s="244"/>
      <c r="Q32" s="247">
        <v>8</v>
      </c>
      <c r="R32" s="247">
        <v>8</v>
      </c>
      <c r="S32" s="246">
        <v>8</v>
      </c>
      <c r="T32" s="247">
        <v>8</v>
      </c>
      <c r="U32" s="247">
        <v>8</v>
      </c>
      <c r="V32" s="247">
        <v>8</v>
      </c>
      <c r="W32" s="244"/>
      <c r="X32" s="247">
        <v>8</v>
      </c>
      <c r="Y32" s="247">
        <v>8</v>
      </c>
      <c r="Z32" s="246">
        <v>8</v>
      </c>
      <c r="AA32" s="247">
        <v>8</v>
      </c>
      <c r="AB32" s="247">
        <v>8</v>
      </c>
      <c r="AC32" s="245"/>
      <c r="AD32" s="244"/>
      <c r="AE32" s="245"/>
      <c r="AF32" s="245"/>
      <c r="AG32" s="248"/>
      <c r="AH32" s="249"/>
      <c r="AI32" s="249"/>
      <c r="AJ32" s="8"/>
    </row>
    <row r="33" spans="1:36" ht="15">
      <c r="A33" s="368"/>
      <c r="B33" s="242" t="s">
        <v>191</v>
      </c>
      <c r="C33" s="243">
        <v>67</v>
      </c>
      <c r="D33" s="243">
        <v>67</v>
      </c>
      <c r="E33" s="246">
        <v>70</v>
      </c>
      <c r="F33" s="247">
        <v>68</v>
      </c>
      <c r="G33" s="247">
        <v>70</v>
      </c>
      <c r="H33" s="247">
        <v>70</v>
      </c>
      <c r="I33" s="244"/>
      <c r="J33" s="247">
        <v>70</v>
      </c>
      <c r="K33" s="247">
        <v>69</v>
      </c>
      <c r="L33" s="246">
        <v>68</v>
      </c>
      <c r="M33" s="247">
        <v>65</v>
      </c>
      <c r="N33" s="247">
        <v>65</v>
      </c>
      <c r="O33" s="247">
        <v>67</v>
      </c>
      <c r="P33" s="244"/>
      <c r="Q33" s="247">
        <v>69</v>
      </c>
      <c r="R33" s="247">
        <v>69</v>
      </c>
      <c r="S33" s="246">
        <v>67</v>
      </c>
      <c r="T33" s="247">
        <v>68</v>
      </c>
      <c r="U33" s="247">
        <v>68</v>
      </c>
      <c r="V33" s="247">
        <v>69</v>
      </c>
      <c r="W33" s="244"/>
      <c r="X33" s="247">
        <v>64</v>
      </c>
      <c r="Y33" s="247">
        <v>68</v>
      </c>
      <c r="Z33" s="246">
        <v>67</v>
      </c>
      <c r="AA33" s="247">
        <v>67</v>
      </c>
      <c r="AB33" s="247">
        <v>66</v>
      </c>
      <c r="AC33" s="245"/>
      <c r="AD33" s="244"/>
      <c r="AE33" s="245"/>
      <c r="AF33" s="245"/>
      <c r="AG33" s="248"/>
      <c r="AH33" s="249"/>
      <c r="AI33" s="249"/>
      <c r="AJ33" s="8"/>
    </row>
    <row r="34" spans="1:36" ht="15">
      <c r="A34" s="368"/>
      <c r="B34" s="242" t="s">
        <v>192</v>
      </c>
      <c r="C34" s="243">
        <v>197.72619047619048</v>
      </c>
      <c r="D34" s="243">
        <v>197.72619047619048</v>
      </c>
      <c r="E34" s="246">
        <v>210</v>
      </c>
      <c r="F34" s="247">
        <v>210</v>
      </c>
      <c r="G34" s="247">
        <v>210</v>
      </c>
      <c r="H34" s="247">
        <v>210</v>
      </c>
      <c r="I34" s="244"/>
      <c r="J34" s="247">
        <v>210</v>
      </c>
      <c r="K34" s="247">
        <v>210</v>
      </c>
      <c r="L34" s="246">
        <v>210</v>
      </c>
      <c r="M34" s="247">
        <v>172.875</v>
      </c>
      <c r="N34" s="247">
        <v>210</v>
      </c>
      <c r="O34" s="247">
        <v>210</v>
      </c>
      <c r="P34" s="244"/>
      <c r="Q34" s="247">
        <v>172.5</v>
      </c>
      <c r="R34" s="247">
        <v>180</v>
      </c>
      <c r="S34" s="246">
        <v>126.75</v>
      </c>
      <c r="T34" s="247">
        <v>154.5</v>
      </c>
      <c r="U34" s="247">
        <v>180.5</v>
      </c>
      <c r="V34" s="247">
        <v>210</v>
      </c>
      <c r="W34" s="244"/>
      <c r="X34" s="247">
        <v>210</v>
      </c>
      <c r="Y34" s="247">
        <v>212.625</v>
      </c>
      <c r="Z34" s="246">
        <v>210</v>
      </c>
      <c r="AA34" s="247">
        <v>216.25</v>
      </c>
      <c r="AB34" s="247">
        <v>216.25</v>
      </c>
      <c r="AC34" s="245"/>
      <c r="AD34" s="244"/>
      <c r="AE34" s="245"/>
      <c r="AF34" s="245"/>
      <c r="AG34" s="248"/>
      <c r="AH34" s="249"/>
      <c r="AI34" s="249"/>
      <c r="AJ34" s="8"/>
    </row>
    <row r="35" spans="1:36" ht="15">
      <c r="A35" s="369"/>
      <c r="B35" s="250" t="s">
        <v>193</v>
      </c>
      <c r="C35" s="251">
        <v>2.9510999999999998</v>
      </c>
      <c r="D35" s="251">
        <v>2.9510999999999998</v>
      </c>
      <c r="E35" s="254">
        <v>3</v>
      </c>
      <c r="F35" s="251">
        <v>3.0882000000000001</v>
      </c>
      <c r="G35" s="251">
        <v>3</v>
      </c>
      <c r="H35" s="251">
        <v>3</v>
      </c>
      <c r="I35" s="252"/>
      <c r="J35" s="251">
        <v>3</v>
      </c>
      <c r="K35" s="251">
        <v>3.0434999999999999</v>
      </c>
      <c r="L35" s="254">
        <v>3.0882000000000001</v>
      </c>
      <c r="M35" s="251">
        <v>2.6596000000000002</v>
      </c>
      <c r="N35" s="251">
        <v>3.2307999999999999</v>
      </c>
      <c r="O35" s="251">
        <v>3.1343000000000001</v>
      </c>
      <c r="P35" s="252"/>
      <c r="Q35" s="251">
        <v>2.5</v>
      </c>
      <c r="R35" s="251">
        <v>2.6086999999999998</v>
      </c>
      <c r="S35" s="254">
        <v>1.8917999999999999</v>
      </c>
      <c r="T35" s="251">
        <v>2.2721</v>
      </c>
      <c r="U35" s="251">
        <v>2.6543999999999999</v>
      </c>
      <c r="V35" s="251">
        <v>3.0434999999999999</v>
      </c>
      <c r="W35" s="252"/>
      <c r="X35" s="251">
        <v>3.2812999999999999</v>
      </c>
      <c r="Y35" s="251">
        <v>3.1267999999999998</v>
      </c>
      <c r="Z35" s="254">
        <v>3.1343000000000001</v>
      </c>
      <c r="AA35" s="251">
        <v>3.2275999999999998</v>
      </c>
      <c r="AB35" s="251">
        <v>3.2765</v>
      </c>
      <c r="AC35" s="253"/>
      <c r="AD35" s="252"/>
      <c r="AE35" s="253"/>
      <c r="AF35" s="253"/>
      <c r="AG35" s="255"/>
      <c r="AH35" s="256"/>
      <c r="AI35" s="256"/>
      <c r="AJ35" s="8"/>
    </row>
    <row r="36" spans="1:36" ht="15">
      <c r="A36" s="367" t="s">
        <v>194</v>
      </c>
      <c r="B36" s="234" t="s">
        <v>175</v>
      </c>
      <c r="C36" s="235">
        <v>28280</v>
      </c>
      <c r="D36" s="235">
        <v>1346.6666666666667</v>
      </c>
      <c r="E36" s="238">
        <v>1760</v>
      </c>
      <c r="F36" s="239">
        <v>1760</v>
      </c>
      <c r="G36" s="239">
        <v>1440</v>
      </c>
      <c r="H36" s="239">
        <v>1320</v>
      </c>
      <c r="I36" s="236"/>
      <c r="J36" s="239">
        <v>1320</v>
      </c>
      <c r="K36" s="239">
        <v>1480</v>
      </c>
      <c r="L36" s="238">
        <v>1280</v>
      </c>
      <c r="M36" s="239">
        <v>1280</v>
      </c>
      <c r="N36" s="239">
        <v>1280</v>
      </c>
      <c r="O36" s="239">
        <v>1280</v>
      </c>
      <c r="P36" s="236"/>
      <c r="Q36" s="239">
        <v>1280</v>
      </c>
      <c r="R36" s="239">
        <v>1280</v>
      </c>
      <c r="S36" s="238">
        <v>1280</v>
      </c>
      <c r="T36" s="239">
        <v>1280</v>
      </c>
      <c r="U36" s="239">
        <v>1280</v>
      </c>
      <c r="V36" s="239">
        <v>1280</v>
      </c>
      <c r="W36" s="236"/>
      <c r="X36" s="239">
        <v>1280</v>
      </c>
      <c r="Y36" s="239">
        <v>1280</v>
      </c>
      <c r="Z36" s="238">
        <v>1280</v>
      </c>
      <c r="AA36" s="239">
        <v>1280</v>
      </c>
      <c r="AB36" s="239">
        <v>1280</v>
      </c>
      <c r="AC36" s="237"/>
      <c r="AD36" s="236"/>
      <c r="AE36" s="237"/>
      <c r="AF36" s="237"/>
      <c r="AG36" s="240"/>
      <c r="AH36" s="241"/>
      <c r="AI36" s="241"/>
      <c r="AJ36" s="8"/>
    </row>
    <row r="37" spans="1:36" ht="15">
      <c r="A37" s="368"/>
      <c r="B37" s="234" t="s">
        <v>176</v>
      </c>
      <c r="C37" s="235">
        <v>25860</v>
      </c>
      <c r="D37" s="235">
        <v>1231.4285714285713</v>
      </c>
      <c r="E37" s="238">
        <v>1680</v>
      </c>
      <c r="F37" s="239">
        <v>930</v>
      </c>
      <c r="G37" s="239">
        <v>930</v>
      </c>
      <c r="H37" s="239">
        <v>1240</v>
      </c>
      <c r="I37" s="236"/>
      <c r="J37" s="239">
        <v>1240</v>
      </c>
      <c r="K37" s="239">
        <v>1240</v>
      </c>
      <c r="L37" s="238">
        <v>1240</v>
      </c>
      <c r="M37" s="239">
        <v>1240</v>
      </c>
      <c r="N37" s="239">
        <v>1240</v>
      </c>
      <c r="O37" s="239">
        <v>1240</v>
      </c>
      <c r="P37" s="236"/>
      <c r="Q37" s="239">
        <v>1240</v>
      </c>
      <c r="R37" s="239">
        <v>1240</v>
      </c>
      <c r="S37" s="238">
        <v>1240</v>
      </c>
      <c r="T37" s="239">
        <v>1240</v>
      </c>
      <c r="U37" s="239">
        <v>1240</v>
      </c>
      <c r="V37" s="239">
        <v>1240</v>
      </c>
      <c r="W37" s="236"/>
      <c r="X37" s="239">
        <v>1240</v>
      </c>
      <c r="Y37" s="239">
        <v>1240</v>
      </c>
      <c r="Z37" s="238">
        <v>1240</v>
      </c>
      <c r="AA37" s="239">
        <v>1240</v>
      </c>
      <c r="AB37" s="239">
        <v>1240</v>
      </c>
      <c r="AC37" s="239">
        <v>1240</v>
      </c>
      <c r="AD37" s="236"/>
      <c r="AE37" s="239">
        <v>1240</v>
      </c>
      <c r="AF37" s="239">
        <v>1240</v>
      </c>
      <c r="AG37" s="257">
        <v>1240</v>
      </c>
      <c r="AH37" s="258">
        <v>1240</v>
      </c>
      <c r="AI37" s="258">
        <v>1240</v>
      </c>
      <c r="AJ37" s="8"/>
    </row>
    <row r="38" spans="1:36" ht="15">
      <c r="A38" s="368"/>
      <c r="B38" s="242" t="s">
        <v>177</v>
      </c>
      <c r="C38" s="243">
        <v>25869</v>
      </c>
      <c r="D38" s="243">
        <v>1231.8571428571429</v>
      </c>
      <c r="E38" s="246">
        <v>1680</v>
      </c>
      <c r="F38" s="247">
        <v>1042</v>
      </c>
      <c r="G38" s="247">
        <v>930</v>
      </c>
      <c r="H38" s="247">
        <v>1240</v>
      </c>
      <c r="I38" s="244"/>
      <c r="J38" s="247">
        <v>1240</v>
      </c>
      <c r="K38" s="247">
        <v>1240</v>
      </c>
      <c r="L38" s="246">
        <v>1240</v>
      </c>
      <c r="M38" s="247">
        <v>803</v>
      </c>
      <c r="N38" s="247">
        <v>1240</v>
      </c>
      <c r="O38" s="247">
        <v>1240</v>
      </c>
      <c r="P38" s="244"/>
      <c r="Q38" s="247">
        <v>1240</v>
      </c>
      <c r="R38" s="247">
        <v>1200</v>
      </c>
      <c r="S38" s="246">
        <v>1060</v>
      </c>
      <c r="T38" s="247">
        <v>1240</v>
      </c>
      <c r="U38" s="247">
        <v>1466</v>
      </c>
      <c r="V38" s="247">
        <v>1242</v>
      </c>
      <c r="W38" s="244"/>
      <c r="X38" s="247">
        <v>1310</v>
      </c>
      <c r="Y38" s="247">
        <v>1354</v>
      </c>
      <c r="Z38" s="246">
        <v>1312</v>
      </c>
      <c r="AA38" s="247">
        <v>1310</v>
      </c>
      <c r="AB38" s="247">
        <v>1240</v>
      </c>
      <c r="AC38" s="245"/>
      <c r="AD38" s="244"/>
      <c r="AE38" s="245"/>
      <c r="AF38" s="245"/>
      <c r="AG38" s="248"/>
      <c r="AH38" s="249"/>
      <c r="AI38" s="249"/>
      <c r="AJ38" s="8"/>
    </row>
    <row r="39" spans="1:36" ht="15">
      <c r="A39" s="368"/>
      <c r="B39" s="242" t="s">
        <v>178</v>
      </c>
      <c r="C39" s="243">
        <v>9</v>
      </c>
      <c r="D39" s="243">
        <v>0.42857142857142855</v>
      </c>
      <c r="E39" s="246">
        <v>0</v>
      </c>
      <c r="F39" s="247">
        <v>112</v>
      </c>
      <c r="G39" s="247">
        <v>0</v>
      </c>
      <c r="H39" s="247">
        <v>0</v>
      </c>
      <c r="I39" s="244"/>
      <c r="J39" s="247">
        <v>0</v>
      </c>
      <c r="K39" s="247">
        <v>0</v>
      </c>
      <c r="L39" s="246">
        <v>0</v>
      </c>
      <c r="M39" s="245">
        <v>-437</v>
      </c>
      <c r="N39" s="247">
        <v>0</v>
      </c>
      <c r="O39" s="247">
        <v>0</v>
      </c>
      <c r="P39" s="244"/>
      <c r="Q39" s="247">
        <v>0</v>
      </c>
      <c r="R39" s="245">
        <v>-40</v>
      </c>
      <c r="S39" s="244">
        <v>-180</v>
      </c>
      <c r="T39" s="247">
        <v>0</v>
      </c>
      <c r="U39" s="247">
        <v>226</v>
      </c>
      <c r="V39" s="247">
        <v>2</v>
      </c>
      <c r="W39" s="244"/>
      <c r="X39" s="247">
        <v>70</v>
      </c>
      <c r="Y39" s="247">
        <v>114</v>
      </c>
      <c r="Z39" s="246">
        <v>72</v>
      </c>
      <c r="AA39" s="247">
        <v>70</v>
      </c>
      <c r="AB39" s="247">
        <v>0</v>
      </c>
      <c r="AC39" s="245"/>
      <c r="AD39" s="244"/>
      <c r="AE39" s="245"/>
      <c r="AF39" s="245"/>
      <c r="AG39" s="248"/>
      <c r="AH39" s="249"/>
      <c r="AI39" s="249"/>
      <c r="AJ39" s="8"/>
    </row>
    <row r="40" spans="1:36" ht="15">
      <c r="A40" s="368"/>
      <c r="B40" s="242" t="s">
        <v>179</v>
      </c>
      <c r="C40" s="243">
        <v>168</v>
      </c>
      <c r="D40" s="243">
        <v>8</v>
      </c>
      <c r="E40" s="246">
        <v>8</v>
      </c>
      <c r="F40" s="247">
        <v>8</v>
      </c>
      <c r="G40" s="247">
        <v>8</v>
      </c>
      <c r="H40" s="247">
        <v>8</v>
      </c>
      <c r="I40" s="244"/>
      <c r="J40" s="247">
        <v>8</v>
      </c>
      <c r="K40" s="247">
        <v>8</v>
      </c>
      <c r="L40" s="246">
        <v>8</v>
      </c>
      <c r="M40" s="247">
        <v>8</v>
      </c>
      <c r="N40" s="247">
        <v>8</v>
      </c>
      <c r="O40" s="247">
        <v>8</v>
      </c>
      <c r="P40" s="244"/>
      <c r="Q40" s="247">
        <v>8</v>
      </c>
      <c r="R40" s="247">
        <v>8</v>
      </c>
      <c r="S40" s="246">
        <v>8</v>
      </c>
      <c r="T40" s="247">
        <v>8</v>
      </c>
      <c r="U40" s="247">
        <v>8</v>
      </c>
      <c r="V40" s="247">
        <v>8</v>
      </c>
      <c r="W40" s="244"/>
      <c r="X40" s="247">
        <v>8</v>
      </c>
      <c r="Y40" s="247">
        <v>8</v>
      </c>
      <c r="Z40" s="246">
        <v>8</v>
      </c>
      <c r="AA40" s="247">
        <v>8</v>
      </c>
      <c r="AB40" s="247">
        <v>8</v>
      </c>
      <c r="AC40" s="245"/>
      <c r="AD40" s="244"/>
      <c r="AE40" s="245"/>
      <c r="AF40" s="245"/>
      <c r="AG40" s="248"/>
      <c r="AH40" s="249"/>
      <c r="AI40" s="249"/>
      <c r="AJ40" s="8"/>
    </row>
    <row r="41" spans="1:36" ht="15">
      <c r="A41" s="368"/>
      <c r="B41" s="242" t="s">
        <v>180</v>
      </c>
      <c r="C41" s="243">
        <v>69</v>
      </c>
      <c r="D41" s="243">
        <v>69</v>
      </c>
      <c r="E41" s="246">
        <v>70</v>
      </c>
      <c r="F41" s="247">
        <v>71</v>
      </c>
      <c r="G41" s="247">
        <v>71</v>
      </c>
      <c r="H41" s="247">
        <v>70</v>
      </c>
      <c r="I41" s="244"/>
      <c r="J41" s="247">
        <v>68</v>
      </c>
      <c r="K41" s="247">
        <v>70</v>
      </c>
      <c r="L41" s="246">
        <v>71</v>
      </c>
      <c r="M41" s="247">
        <v>66</v>
      </c>
      <c r="N41" s="247">
        <v>66</v>
      </c>
      <c r="O41" s="247">
        <v>69</v>
      </c>
      <c r="P41" s="244"/>
      <c r="Q41" s="247">
        <v>67</v>
      </c>
      <c r="R41" s="247">
        <v>68</v>
      </c>
      <c r="S41" s="246">
        <v>70</v>
      </c>
      <c r="T41" s="247">
        <v>67</v>
      </c>
      <c r="U41" s="247">
        <v>69</v>
      </c>
      <c r="V41" s="247">
        <v>67</v>
      </c>
      <c r="W41" s="244"/>
      <c r="X41" s="247">
        <v>69</v>
      </c>
      <c r="Y41" s="247">
        <v>70</v>
      </c>
      <c r="Z41" s="246">
        <v>70</v>
      </c>
      <c r="AA41" s="247">
        <v>70</v>
      </c>
      <c r="AB41" s="247">
        <v>70</v>
      </c>
      <c r="AC41" s="245"/>
      <c r="AD41" s="244"/>
      <c r="AE41" s="245"/>
      <c r="AF41" s="245"/>
      <c r="AG41" s="248"/>
      <c r="AH41" s="249"/>
      <c r="AI41" s="249"/>
      <c r="AJ41" s="8"/>
    </row>
    <row r="42" spans="1:36" ht="15">
      <c r="A42" s="368"/>
      <c r="B42" s="242" t="s">
        <v>181</v>
      </c>
      <c r="C42" s="243">
        <v>153.98214285714286</v>
      </c>
      <c r="D42" s="243">
        <v>153.98214285714286</v>
      </c>
      <c r="E42" s="246">
        <v>210</v>
      </c>
      <c r="F42" s="247">
        <v>130.25</v>
      </c>
      <c r="G42" s="247">
        <v>116.25</v>
      </c>
      <c r="H42" s="247">
        <v>155</v>
      </c>
      <c r="I42" s="244"/>
      <c r="J42" s="247">
        <v>155</v>
      </c>
      <c r="K42" s="247">
        <v>155</v>
      </c>
      <c r="L42" s="246">
        <v>155</v>
      </c>
      <c r="M42" s="247">
        <v>100.375</v>
      </c>
      <c r="N42" s="247">
        <v>155</v>
      </c>
      <c r="O42" s="247">
        <v>155</v>
      </c>
      <c r="P42" s="244"/>
      <c r="Q42" s="247">
        <v>155</v>
      </c>
      <c r="R42" s="247">
        <v>150</v>
      </c>
      <c r="S42" s="246">
        <v>132.5</v>
      </c>
      <c r="T42" s="247">
        <v>155</v>
      </c>
      <c r="U42" s="247">
        <v>183.25</v>
      </c>
      <c r="V42" s="247">
        <v>155.25</v>
      </c>
      <c r="W42" s="244"/>
      <c r="X42" s="247">
        <v>163.75</v>
      </c>
      <c r="Y42" s="247">
        <v>169.25</v>
      </c>
      <c r="Z42" s="246">
        <v>164</v>
      </c>
      <c r="AA42" s="247">
        <v>163.75</v>
      </c>
      <c r="AB42" s="247">
        <v>155</v>
      </c>
      <c r="AC42" s="245"/>
      <c r="AD42" s="244"/>
      <c r="AE42" s="245"/>
      <c r="AF42" s="245"/>
      <c r="AG42" s="248"/>
      <c r="AH42" s="249"/>
      <c r="AI42" s="249"/>
      <c r="AJ42" s="8"/>
    </row>
    <row r="43" spans="1:36" ht="15">
      <c r="A43" s="369"/>
      <c r="B43" s="250" t="s">
        <v>182</v>
      </c>
      <c r="C43" s="251">
        <v>2.2315999999999998</v>
      </c>
      <c r="D43" s="251">
        <v>2.2315999999999998</v>
      </c>
      <c r="E43" s="254">
        <v>3</v>
      </c>
      <c r="F43" s="251">
        <v>1.8345</v>
      </c>
      <c r="G43" s="251">
        <v>1.6373</v>
      </c>
      <c r="H43" s="251">
        <v>2.2143000000000002</v>
      </c>
      <c r="I43" s="252"/>
      <c r="J43" s="251">
        <v>2.2793999999999999</v>
      </c>
      <c r="K43" s="251">
        <v>2.2143000000000002</v>
      </c>
      <c r="L43" s="254">
        <v>2.1831</v>
      </c>
      <c r="M43" s="251">
        <v>1.5207999999999999</v>
      </c>
      <c r="N43" s="251">
        <v>2.3485</v>
      </c>
      <c r="O43" s="251">
        <v>2.2464</v>
      </c>
      <c r="P43" s="252"/>
      <c r="Q43" s="251">
        <v>2.3134000000000001</v>
      </c>
      <c r="R43" s="251">
        <v>2.2059000000000002</v>
      </c>
      <c r="S43" s="254">
        <v>1.8929</v>
      </c>
      <c r="T43" s="251">
        <v>2.3134000000000001</v>
      </c>
      <c r="U43" s="251">
        <v>2.6558000000000002</v>
      </c>
      <c r="V43" s="251">
        <v>2.3172000000000001</v>
      </c>
      <c r="W43" s="252"/>
      <c r="X43" s="251">
        <v>2.3731999999999998</v>
      </c>
      <c r="Y43" s="251">
        <v>2.4178999999999999</v>
      </c>
      <c r="Z43" s="254">
        <v>2.3429000000000002</v>
      </c>
      <c r="AA43" s="251">
        <v>2.3393000000000002</v>
      </c>
      <c r="AB43" s="251">
        <v>2.2143000000000002</v>
      </c>
      <c r="AC43" s="253"/>
      <c r="AD43" s="252"/>
      <c r="AE43" s="253"/>
      <c r="AF43" s="253"/>
      <c r="AG43" s="255"/>
      <c r="AH43" s="256"/>
      <c r="AI43" s="256"/>
      <c r="AJ43" s="8"/>
    </row>
    <row r="44" spans="1:36" ht="15">
      <c r="A44" s="367" t="s">
        <v>195</v>
      </c>
      <c r="B44" s="234" t="s">
        <v>175</v>
      </c>
      <c r="C44" s="235">
        <v>36960</v>
      </c>
      <c r="D44" s="235">
        <v>1760</v>
      </c>
      <c r="E44" s="238">
        <v>1760</v>
      </c>
      <c r="F44" s="239">
        <v>1760</v>
      </c>
      <c r="G44" s="239">
        <v>1760</v>
      </c>
      <c r="H44" s="239">
        <v>1760</v>
      </c>
      <c r="I44" s="236"/>
      <c r="J44" s="239">
        <v>1760</v>
      </c>
      <c r="K44" s="239">
        <v>1760</v>
      </c>
      <c r="L44" s="238">
        <v>1760</v>
      </c>
      <c r="M44" s="239">
        <v>1760</v>
      </c>
      <c r="N44" s="239">
        <v>1760</v>
      </c>
      <c r="O44" s="239">
        <v>1760</v>
      </c>
      <c r="P44" s="236"/>
      <c r="Q44" s="239">
        <v>1760</v>
      </c>
      <c r="R44" s="239">
        <v>1760</v>
      </c>
      <c r="S44" s="238">
        <v>1760</v>
      </c>
      <c r="T44" s="239">
        <v>1760</v>
      </c>
      <c r="U44" s="239">
        <v>1760</v>
      </c>
      <c r="V44" s="239">
        <v>1760</v>
      </c>
      <c r="W44" s="236"/>
      <c r="X44" s="239">
        <v>1760</v>
      </c>
      <c r="Y44" s="239">
        <v>1760</v>
      </c>
      <c r="Z44" s="238">
        <v>1760</v>
      </c>
      <c r="AA44" s="239">
        <v>1760</v>
      </c>
      <c r="AB44" s="239">
        <v>1760</v>
      </c>
      <c r="AC44" s="237"/>
      <c r="AD44" s="236"/>
      <c r="AE44" s="237"/>
      <c r="AF44" s="237"/>
      <c r="AG44" s="240"/>
      <c r="AH44" s="241"/>
      <c r="AI44" s="241"/>
      <c r="AJ44" s="8"/>
    </row>
    <row r="45" spans="1:36" ht="15">
      <c r="A45" s="368"/>
      <c r="B45" s="234" t="s">
        <v>176</v>
      </c>
      <c r="C45" s="235">
        <v>35280</v>
      </c>
      <c r="D45" s="235">
        <v>1680</v>
      </c>
      <c r="E45" s="238">
        <v>1680</v>
      </c>
      <c r="F45" s="239">
        <v>1680</v>
      </c>
      <c r="G45" s="239">
        <v>1680</v>
      </c>
      <c r="H45" s="239">
        <v>1680</v>
      </c>
      <c r="I45" s="236"/>
      <c r="J45" s="239">
        <v>1680</v>
      </c>
      <c r="K45" s="239">
        <v>1680</v>
      </c>
      <c r="L45" s="238">
        <v>1680</v>
      </c>
      <c r="M45" s="239">
        <v>1680</v>
      </c>
      <c r="N45" s="239">
        <v>1680</v>
      </c>
      <c r="O45" s="239">
        <v>1680</v>
      </c>
      <c r="P45" s="236"/>
      <c r="Q45" s="239">
        <v>1680</v>
      </c>
      <c r="R45" s="239">
        <v>1680</v>
      </c>
      <c r="S45" s="238">
        <v>1680</v>
      </c>
      <c r="T45" s="239">
        <v>1680</v>
      </c>
      <c r="U45" s="239">
        <v>1680</v>
      </c>
      <c r="V45" s="239">
        <v>1680</v>
      </c>
      <c r="W45" s="236"/>
      <c r="X45" s="239">
        <v>1680</v>
      </c>
      <c r="Y45" s="239">
        <v>1680</v>
      </c>
      <c r="Z45" s="238">
        <v>1680</v>
      </c>
      <c r="AA45" s="239">
        <v>1680</v>
      </c>
      <c r="AB45" s="239">
        <v>1680</v>
      </c>
      <c r="AC45" s="239">
        <v>1680</v>
      </c>
      <c r="AD45" s="236"/>
      <c r="AE45" s="239">
        <v>1680</v>
      </c>
      <c r="AF45" s="239">
        <v>1680</v>
      </c>
      <c r="AG45" s="257">
        <v>1680</v>
      </c>
      <c r="AH45" s="258">
        <v>1680</v>
      </c>
      <c r="AI45" s="258">
        <v>1680</v>
      </c>
      <c r="AJ45" s="8"/>
    </row>
    <row r="46" spans="1:36" ht="15">
      <c r="A46" s="368"/>
      <c r="B46" s="242" t="s">
        <v>177</v>
      </c>
      <c r="C46" s="243">
        <v>34770</v>
      </c>
      <c r="D46" s="243">
        <v>1655.7142857142858</v>
      </c>
      <c r="E46" s="246">
        <v>1680</v>
      </c>
      <c r="F46" s="247">
        <v>1680</v>
      </c>
      <c r="G46" s="247">
        <v>1680</v>
      </c>
      <c r="H46" s="247">
        <v>1680</v>
      </c>
      <c r="I46" s="244"/>
      <c r="J46" s="247">
        <v>1680</v>
      </c>
      <c r="K46" s="247">
        <v>1680</v>
      </c>
      <c r="L46" s="246">
        <v>1680</v>
      </c>
      <c r="M46" s="247">
        <v>1170</v>
      </c>
      <c r="N46" s="247">
        <v>1512</v>
      </c>
      <c r="O46" s="247">
        <v>1680</v>
      </c>
      <c r="P46" s="244"/>
      <c r="Q46" s="247">
        <v>1520</v>
      </c>
      <c r="R46" s="247">
        <v>1680</v>
      </c>
      <c r="S46" s="246">
        <v>1524</v>
      </c>
      <c r="T46" s="247">
        <v>1680</v>
      </c>
      <c r="U46" s="247">
        <v>1680</v>
      </c>
      <c r="V46" s="247">
        <v>1680</v>
      </c>
      <c r="W46" s="244"/>
      <c r="X46" s="247">
        <v>1680</v>
      </c>
      <c r="Y46" s="247">
        <v>1804</v>
      </c>
      <c r="Z46" s="246">
        <v>1728</v>
      </c>
      <c r="AA46" s="247">
        <v>1836</v>
      </c>
      <c r="AB46" s="247">
        <v>1836</v>
      </c>
      <c r="AC46" s="245"/>
      <c r="AD46" s="244"/>
      <c r="AE46" s="245"/>
      <c r="AF46" s="245"/>
      <c r="AG46" s="248"/>
      <c r="AH46" s="249"/>
      <c r="AI46" s="249"/>
      <c r="AJ46" s="8"/>
    </row>
    <row r="47" spans="1:36" ht="15">
      <c r="A47" s="368"/>
      <c r="B47" s="242" t="s">
        <v>178</v>
      </c>
      <c r="C47" s="259">
        <v>-510</v>
      </c>
      <c r="D47" s="259">
        <v>-24.285714285714285</v>
      </c>
      <c r="E47" s="246">
        <v>0</v>
      </c>
      <c r="F47" s="247">
        <v>0</v>
      </c>
      <c r="G47" s="247">
        <v>0</v>
      </c>
      <c r="H47" s="247">
        <v>0</v>
      </c>
      <c r="I47" s="244"/>
      <c r="J47" s="247">
        <v>0</v>
      </c>
      <c r="K47" s="247">
        <v>0</v>
      </c>
      <c r="L47" s="246">
        <v>0</v>
      </c>
      <c r="M47" s="245">
        <v>-510</v>
      </c>
      <c r="N47" s="245">
        <v>-168</v>
      </c>
      <c r="O47" s="247">
        <v>0</v>
      </c>
      <c r="P47" s="244"/>
      <c r="Q47" s="245">
        <v>-160</v>
      </c>
      <c r="R47" s="247">
        <v>0</v>
      </c>
      <c r="S47" s="244">
        <v>-156</v>
      </c>
      <c r="T47" s="247">
        <v>0</v>
      </c>
      <c r="U47" s="247">
        <v>0</v>
      </c>
      <c r="V47" s="247">
        <v>0</v>
      </c>
      <c r="W47" s="244"/>
      <c r="X47" s="247">
        <v>0</v>
      </c>
      <c r="Y47" s="247">
        <v>124</v>
      </c>
      <c r="Z47" s="246">
        <v>48</v>
      </c>
      <c r="AA47" s="247">
        <v>156</v>
      </c>
      <c r="AB47" s="247">
        <v>156</v>
      </c>
      <c r="AC47" s="245"/>
      <c r="AD47" s="244"/>
      <c r="AE47" s="245"/>
      <c r="AF47" s="245"/>
      <c r="AG47" s="248"/>
      <c r="AH47" s="249"/>
      <c r="AI47" s="249"/>
      <c r="AJ47" s="8"/>
    </row>
    <row r="48" spans="1:36" ht="15">
      <c r="A48" s="368"/>
      <c r="B48" s="242" t="s">
        <v>179</v>
      </c>
      <c r="C48" s="243">
        <v>168</v>
      </c>
      <c r="D48" s="243">
        <v>8</v>
      </c>
      <c r="E48" s="246">
        <v>8</v>
      </c>
      <c r="F48" s="247">
        <v>8</v>
      </c>
      <c r="G48" s="247">
        <v>8</v>
      </c>
      <c r="H48" s="247">
        <v>8</v>
      </c>
      <c r="I48" s="244"/>
      <c r="J48" s="247">
        <v>8</v>
      </c>
      <c r="K48" s="247">
        <v>8</v>
      </c>
      <c r="L48" s="246">
        <v>8</v>
      </c>
      <c r="M48" s="247">
        <v>8</v>
      </c>
      <c r="N48" s="247">
        <v>8</v>
      </c>
      <c r="O48" s="247">
        <v>8</v>
      </c>
      <c r="P48" s="244"/>
      <c r="Q48" s="247">
        <v>8</v>
      </c>
      <c r="R48" s="247">
        <v>8</v>
      </c>
      <c r="S48" s="246">
        <v>8</v>
      </c>
      <c r="T48" s="247">
        <v>8</v>
      </c>
      <c r="U48" s="247">
        <v>8</v>
      </c>
      <c r="V48" s="247">
        <v>8</v>
      </c>
      <c r="W48" s="244"/>
      <c r="X48" s="247">
        <v>8</v>
      </c>
      <c r="Y48" s="247">
        <v>8</v>
      </c>
      <c r="Z48" s="246">
        <v>8</v>
      </c>
      <c r="AA48" s="247">
        <v>8</v>
      </c>
      <c r="AB48" s="247">
        <v>8</v>
      </c>
      <c r="AC48" s="245"/>
      <c r="AD48" s="244"/>
      <c r="AE48" s="245"/>
      <c r="AF48" s="245"/>
      <c r="AG48" s="248"/>
      <c r="AH48" s="249"/>
      <c r="AI48" s="249"/>
      <c r="AJ48" s="8"/>
    </row>
    <row r="49" spans="1:36" ht="15">
      <c r="A49" s="368"/>
      <c r="B49" s="242" t="s">
        <v>180</v>
      </c>
      <c r="C49" s="243">
        <v>66</v>
      </c>
      <c r="D49" s="243">
        <v>66</v>
      </c>
      <c r="E49" s="246">
        <v>68</v>
      </c>
      <c r="F49" s="247">
        <v>65</v>
      </c>
      <c r="G49" s="247">
        <v>66</v>
      </c>
      <c r="H49" s="247">
        <v>64</v>
      </c>
      <c r="I49" s="244"/>
      <c r="J49" s="247">
        <v>64</v>
      </c>
      <c r="K49" s="247">
        <v>67</v>
      </c>
      <c r="L49" s="246">
        <v>66</v>
      </c>
      <c r="M49" s="247">
        <v>68</v>
      </c>
      <c r="N49" s="247">
        <v>66</v>
      </c>
      <c r="O49" s="247">
        <v>68</v>
      </c>
      <c r="P49" s="244"/>
      <c r="Q49" s="247">
        <v>64</v>
      </c>
      <c r="R49" s="247">
        <v>66</v>
      </c>
      <c r="S49" s="246">
        <v>66</v>
      </c>
      <c r="T49" s="247">
        <v>65</v>
      </c>
      <c r="U49" s="247">
        <v>65</v>
      </c>
      <c r="V49" s="247">
        <v>66</v>
      </c>
      <c r="W49" s="244"/>
      <c r="X49" s="247">
        <v>66</v>
      </c>
      <c r="Y49" s="247">
        <v>67</v>
      </c>
      <c r="Z49" s="246">
        <v>68</v>
      </c>
      <c r="AA49" s="247">
        <v>68</v>
      </c>
      <c r="AB49" s="247">
        <v>67</v>
      </c>
      <c r="AC49" s="245"/>
      <c r="AD49" s="244"/>
      <c r="AE49" s="245"/>
      <c r="AF49" s="245"/>
      <c r="AG49" s="248"/>
      <c r="AH49" s="249"/>
      <c r="AI49" s="249"/>
      <c r="AJ49" s="8"/>
    </row>
    <row r="50" spans="1:36" ht="15">
      <c r="A50" s="368"/>
      <c r="B50" s="242" t="s">
        <v>181</v>
      </c>
      <c r="C50" s="243">
        <v>206.96428571428572</v>
      </c>
      <c r="D50" s="243">
        <v>206.96428571428572</v>
      </c>
      <c r="E50" s="246">
        <v>210</v>
      </c>
      <c r="F50" s="247">
        <v>210</v>
      </c>
      <c r="G50" s="247">
        <v>210</v>
      </c>
      <c r="H50" s="247">
        <v>210</v>
      </c>
      <c r="I50" s="244"/>
      <c r="J50" s="247">
        <v>210</v>
      </c>
      <c r="K50" s="247">
        <v>210</v>
      </c>
      <c r="L50" s="246">
        <v>210</v>
      </c>
      <c r="M50" s="247">
        <v>146.25</v>
      </c>
      <c r="N50" s="247">
        <v>189</v>
      </c>
      <c r="O50" s="247">
        <v>210</v>
      </c>
      <c r="P50" s="244"/>
      <c r="Q50" s="247">
        <v>190</v>
      </c>
      <c r="R50" s="247">
        <v>210</v>
      </c>
      <c r="S50" s="246">
        <v>190.5</v>
      </c>
      <c r="T50" s="247">
        <v>210</v>
      </c>
      <c r="U50" s="247">
        <v>210</v>
      </c>
      <c r="V50" s="247">
        <v>210</v>
      </c>
      <c r="W50" s="244"/>
      <c r="X50" s="247">
        <v>210</v>
      </c>
      <c r="Y50" s="247">
        <v>225.5</v>
      </c>
      <c r="Z50" s="246">
        <v>216</v>
      </c>
      <c r="AA50" s="247">
        <v>229.5</v>
      </c>
      <c r="AB50" s="247">
        <v>229.5</v>
      </c>
      <c r="AC50" s="245"/>
      <c r="AD50" s="244"/>
      <c r="AE50" s="245"/>
      <c r="AF50" s="245"/>
      <c r="AG50" s="248"/>
      <c r="AH50" s="249"/>
      <c r="AI50" s="249"/>
      <c r="AJ50" s="8"/>
    </row>
    <row r="51" spans="1:36" ht="15">
      <c r="A51" s="369"/>
      <c r="B51" s="250" t="s">
        <v>182</v>
      </c>
      <c r="C51" s="251">
        <v>3.1358000000000001</v>
      </c>
      <c r="D51" s="251">
        <v>3.1358000000000001</v>
      </c>
      <c r="E51" s="254">
        <v>3.0882000000000001</v>
      </c>
      <c r="F51" s="251">
        <v>3.2307999999999999</v>
      </c>
      <c r="G51" s="251">
        <v>3.1818</v>
      </c>
      <c r="H51" s="251">
        <v>3.2812999999999999</v>
      </c>
      <c r="I51" s="252"/>
      <c r="J51" s="251">
        <v>3.2812999999999999</v>
      </c>
      <c r="K51" s="251">
        <v>3.1343000000000001</v>
      </c>
      <c r="L51" s="254">
        <v>3.1818</v>
      </c>
      <c r="M51" s="251">
        <v>2.1507000000000001</v>
      </c>
      <c r="N51" s="251">
        <v>2.8635999999999999</v>
      </c>
      <c r="O51" s="251">
        <v>3.0882000000000001</v>
      </c>
      <c r="P51" s="252"/>
      <c r="Q51" s="251">
        <v>2.9687999999999999</v>
      </c>
      <c r="R51" s="251">
        <v>3.1818</v>
      </c>
      <c r="S51" s="254">
        <v>2.8864000000000001</v>
      </c>
      <c r="T51" s="251">
        <v>3.2307999999999999</v>
      </c>
      <c r="U51" s="251">
        <v>3.2307999999999999</v>
      </c>
      <c r="V51" s="251">
        <v>3.1818</v>
      </c>
      <c r="W51" s="252"/>
      <c r="X51" s="251">
        <v>3.1818</v>
      </c>
      <c r="Y51" s="251">
        <v>3.3656999999999999</v>
      </c>
      <c r="Z51" s="254">
        <v>3.1764999999999999</v>
      </c>
      <c r="AA51" s="251">
        <v>3.375</v>
      </c>
      <c r="AB51" s="251">
        <v>3.4253999999999998</v>
      </c>
      <c r="AC51" s="253"/>
      <c r="AD51" s="252"/>
      <c r="AE51" s="253"/>
      <c r="AF51" s="253"/>
      <c r="AG51" s="255"/>
      <c r="AH51" s="256"/>
      <c r="AI51" s="256"/>
      <c r="AJ51" s="8"/>
    </row>
    <row r="52" spans="1:36" ht="15">
      <c r="A52" s="367" t="s">
        <v>196</v>
      </c>
      <c r="B52" s="234" t="s">
        <v>175</v>
      </c>
      <c r="C52" s="235">
        <v>38792</v>
      </c>
      <c r="D52" s="235">
        <v>1847.2380952380952</v>
      </c>
      <c r="E52" s="238">
        <v>1760</v>
      </c>
      <c r="F52" s="239">
        <v>1760</v>
      </c>
      <c r="G52" s="239">
        <v>1864</v>
      </c>
      <c r="H52" s="239">
        <v>1896</v>
      </c>
      <c r="I52" s="236"/>
      <c r="J52" s="239">
        <v>1920</v>
      </c>
      <c r="K52" s="239">
        <v>1920</v>
      </c>
      <c r="L52" s="238">
        <v>1920</v>
      </c>
      <c r="M52" s="239">
        <v>1920</v>
      </c>
      <c r="N52" s="239">
        <v>1920</v>
      </c>
      <c r="O52" s="239">
        <v>1920</v>
      </c>
      <c r="P52" s="236"/>
      <c r="Q52" s="239">
        <v>1920</v>
      </c>
      <c r="R52" s="239">
        <v>1920</v>
      </c>
      <c r="S52" s="238">
        <v>1920</v>
      </c>
      <c r="T52" s="239">
        <v>1864</v>
      </c>
      <c r="U52" s="239">
        <v>1808</v>
      </c>
      <c r="V52" s="239">
        <v>1760</v>
      </c>
      <c r="W52" s="236"/>
      <c r="X52" s="239">
        <v>1760</v>
      </c>
      <c r="Y52" s="239">
        <v>1760</v>
      </c>
      <c r="Z52" s="238">
        <v>1760</v>
      </c>
      <c r="AA52" s="239">
        <v>1760</v>
      </c>
      <c r="AB52" s="239">
        <v>1760</v>
      </c>
      <c r="AC52" s="237"/>
      <c r="AD52" s="236"/>
      <c r="AE52" s="237"/>
      <c r="AF52" s="237"/>
      <c r="AG52" s="240"/>
      <c r="AH52" s="241"/>
      <c r="AI52" s="241"/>
      <c r="AJ52" s="8"/>
    </row>
    <row r="53" spans="1:36" ht="15">
      <c r="A53" s="368"/>
      <c r="B53" s="234" t="s">
        <v>176</v>
      </c>
      <c r="C53" s="235">
        <v>35740</v>
      </c>
      <c r="D53" s="235">
        <v>1701.9047619047619</v>
      </c>
      <c r="E53" s="238">
        <v>1680</v>
      </c>
      <c r="F53" s="239">
        <v>1380</v>
      </c>
      <c r="G53" s="239">
        <v>1840</v>
      </c>
      <c r="H53" s="239">
        <v>1840</v>
      </c>
      <c r="I53" s="236"/>
      <c r="J53" s="239">
        <v>1840</v>
      </c>
      <c r="K53" s="239">
        <v>1840</v>
      </c>
      <c r="L53" s="238">
        <v>1840</v>
      </c>
      <c r="M53" s="239">
        <v>1840</v>
      </c>
      <c r="N53" s="239">
        <v>1840</v>
      </c>
      <c r="O53" s="239">
        <v>1840</v>
      </c>
      <c r="P53" s="236"/>
      <c r="Q53" s="239">
        <v>1840</v>
      </c>
      <c r="R53" s="239">
        <v>1840</v>
      </c>
      <c r="S53" s="238">
        <v>1260</v>
      </c>
      <c r="T53" s="239">
        <v>1260</v>
      </c>
      <c r="U53" s="239">
        <v>1680</v>
      </c>
      <c r="V53" s="239">
        <v>1680</v>
      </c>
      <c r="W53" s="236"/>
      <c r="X53" s="239">
        <v>1680</v>
      </c>
      <c r="Y53" s="239">
        <v>1680</v>
      </c>
      <c r="Z53" s="238">
        <v>1680</v>
      </c>
      <c r="AA53" s="239">
        <v>1680</v>
      </c>
      <c r="AB53" s="239">
        <v>1680</v>
      </c>
      <c r="AC53" s="239">
        <v>1680</v>
      </c>
      <c r="AD53" s="236"/>
      <c r="AE53" s="239">
        <v>1680</v>
      </c>
      <c r="AF53" s="239">
        <v>1680</v>
      </c>
      <c r="AG53" s="257">
        <v>1680</v>
      </c>
      <c r="AH53" s="258">
        <v>1680</v>
      </c>
      <c r="AI53" s="258">
        <v>1680</v>
      </c>
      <c r="AJ53" s="8"/>
    </row>
    <row r="54" spans="1:36" ht="15">
      <c r="A54" s="368"/>
      <c r="B54" s="242" t="s">
        <v>177</v>
      </c>
      <c r="C54" s="243">
        <v>34640</v>
      </c>
      <c r="D54" s="243">
        <v>1649.5238095238096</v>
      </c>
      <c r="E54" s="246">
        <v>1680</v>
      </c>
      <c r="F54" s="247">
        <v>1380</v>
      </c>
      <c r="G54" s="247">
        <v>1540</v>
      </c>
      <c r="H54" s="247">
        <v>1840</v>
      </c>
      <c r="I54" s="244"/>
      <c r="J54" s="247">
        <v>1840</v>
      </c>
      <c r="K54" s="247">
        <v>1840</v>
      </c>
      <c r="L54" s="246">
        <v>1840</v>
      </c>
      <c r="M54" s="247">
        <v>1840</v>
      </c>
      <c r="N54" s="247">
        <v>1840</v>
      </c>
      <c r="O54" s="247">
        <v>1840</v>
      </c>
      <c r="P54" s="244"/>
      <c r="Q54" s="247">
        <v>1840</v>
      </c>
      <c r="R54" s="247">
        <v>1840</v>
      </c>
      <c r="S54" s="246">
        <v>1260</v>
      </c>
      <c r="T54" s="247">
        <v>1260</v>
      </c>
      <c r="U54" s="247">
        <v>1480</v>
      </c>
      <c r="V54" s="247">
        <v>1580</v>
      </c>
      <c r="W54" s="244"/>
      <c r="X54" s="247">
        <v>1580</v>
      </c>
      <c r="Y54" s="247">
        <v>1580</v>
      </c>
      <c r="Z54" s="246">
        <v>1480</v>
      </c>
      <c r="AA54" s="247">
        <v>1680</v>
      </c>
      <c r="AB54" s="247">
        <v>1580</v>
      </c>
      <c r="AC54" s="245"/>
      <c r="AD54" s="244"/>
      <c r="AE54" s="245"/>
      <c r="AF54" s="245"/>
      <c r="AG54" s="248"/>
      <c r="AH54" s="249"/>
      <c r="AI54" s="249"/>
      <c r="AJ54" s="8"/>
    </row>
    <row r="55" spans="1:36" ht="15">
      <c r="A55" s="368"/>
      <c r="B55" s="242" t="s">
        <v>178</v>
      </c>
      <c r="C55" s="259">
        <v>-1100</v>
      </c>
      <c r="D55" s="259">
        <v>-52.38095238095238</v>
      </c>
      <c r="E55" s="246">
        <v>0</v>
      </c>
      <c r="F55" s="247">
        <v>0</v>
      </c>
      <c r="G55" s="245">
        <v>-300</v>
      </c>
      <c r="H55" s="247">
        <v>0</v>
      </c>
      <c r="I55" s="244"/>
      <c r="J55" s="247">
        <v>0</v>
      </c>
      <c r="K55" s="247">
        <v>0</v>
      </c>
      <c r="L55" s="246">
        <v>0</v>
      </c>
      <c r="M55" s="247">
        <v>0</v>
      </c>
      <c r="N55" s="247">
        <v>0</v>
      </c>
      <c r="O55" s="247">
        <v>0</v>
      </c>
      <c r="P55" s="244"/>
      <c r="Q55" s="247">
        <v>0</v>
      </c>
      <c r="R55" s="247">
        <v>0</v>
      </c>
      <c r="S55" s="246">
        <v>0</v>
      </c>
      <c r="T55" s="247">
        <v>0</v>
      </c>
      <c r="U55" s="245">
        <v>-200</v>
      </c>
      <c r="V55" s="245">
        <v>-100</v>
      </c>
      <c r="W55" s="244"/>
      <c r="X55" s="245">
        <v>-100</v>
      </c>
      <c r="Y55" s="245">
        <v>-100</v>
      </c>
      <c r="Z55" s="244">
        <v>-200</v>
      </c>
      <c r="AA55" s="247">
        <v>0</v>
      </c>
      <c r="AB55" s="245">
        <v>-100</v>
      </c>
      <c r="AC55" s="245"/>
      <c r="AD55" s="244"/>
      <c r="AE55" s="245"/>
      <c r="AF55" s="245"/>
      <c r="AG55" s="248"/>
      <c r="AH55" s="249"/>
      <c r="AI55" s="249"/>
      <c r="AJ55" s="8"/>
    </row>
    <row r="56" spans="1:36" ht="15">
      <c r="A56" s="368"/>
      <c r="B56" s="242" t="s">
        <v>179</v>
      </c>
      <c r="C56" s="243">
        <v>168</v>
      </c>
      <c r="D56" s="243">
        <v>8</v>
      </c>
      <c r="E56" s="246">
        <v>8</v>
      </c>
      <c r="F56" s="247">
        <v>8</v>
      </c>
      <c r="G56" s="247">
        <v>8</v>
      </c>
      <c r="H56" s="247">
        <v>8</v>
      </c>
      <c r="I56" s="244"/>
      <c r="J56" s="247">
        <v>8</v>
      </c>
      <c r="K56" s="247">
        <v>8</v>
      </c>
      <c r="L56" s="246">
        <v>8</v>
      </c>
      <c r="M56" s="247">
        <v>8</v>
      </c>
      <c r="N56" s="247">
        <v>8</v>
      </c>
      <c r="O56" s="247">
        <v>8</v>
      </c>
      <c r="P56" s="244"/>
      <c r="Q56" s="247">
        <v>8</v>
      </c>
      <c r="R56" s="247">
        <v>8</v>
      </c>
      <c r="S56" s="246">
        <v>8</v>
      </c>
      <c r="T56" s="247">
        <v>8</v>
      </c>
      <c r="U56" s="247">
        <v>8</v>
      </c>
      <c r="V56" s="247">
        <v>8</v>
      </c>
      <c r="W56" s="244"/>
      <c r="X56" s="247">
        <v>8</v>
      </c>
      <c r="Y56" s="247">
        <v>8</v>
      </c>
      <c r="Z56" s="246">
        <v>8</v>
      </c>
      <c r="AA56" s="247">
        <v>8</v>
      </c>
      <c r="AB56" s="247">
        <v>8</v>
      </c>
      <c r="AC56" s="245"/>
      <c r="AD56" s="244"/>
      <c r="AE56" s="245"/>
      <c r="AF56" s="245"/>
      <c r="AG56" s="248"/>
      <c r="AH56" s="249"/>
      <c r="AI56" s="249"/>
      <c r="AJ56" s="8"/>
    </row>
    <row r="57" spans="1:36" ht="15">
      <c r="A57" s="368"/>
      <c r="B57" s="242" t="s">
        <v>180</v>
      </c>
      <c r="C57" s="243">
        <v>72</v>
      </c>
      <c r="D57" s="243">
        <v>72</v>
      </c>
      <c r="E57" s="246">
        <v>74</v>
      </c>
      <c r="F57" s="247">
        <v>73</v>
      </c>
      <c r="G57" s="247">
        <v>74</v>
      </c>
      <c r="H57" s="247">
        <v>74</v>
      </c>
      <c r="I57" s="244"/>
      <c r="J57" s="247">
        <v>72</v>
      </c>
      <c r="K57" s="247">
        <v>73</v>
      </c>
      <c r="L57" s="246">
        <v>73</v>
      </c>
      <c r="M57" s="247">
        <v>72</v>
      </c>
      <c r="N57" s="247">
        <v>74</v>
      </c>
      <c r="O57" s="247">
        <v>71</v>
      </c>
      <c r="P57" s="244"/>
      <c r="Q57" s="247">
        <v>70</v>
      </c>
      <c r="R57" s="247">
        <v>69</v>
      </c>
      <c r="S57" s="246">
        <v>71</v>
      </c>
      <c r="T57" s="247">
        <v>71</v>
      </c>
      <c r="U57" s="247">
        <v>71</v>
      </c>
      <c r="V57" s="247">
        <v>73</v>
      </c>
      <c r="W57" s="244"/>
      <c r="X57" s="247">
        <v>72</v>
      </c>
      <c r="Y57" s="247">
        <v>71</v>
      </c>
      <c r="Z57" s="246">
        <v>74</v>
      </c>
      <c r="AA57" s="247">
        <v>73</v>
      </c>
      <c r="AB57" s="247">
        <v>72</v>
      </c>
      <c r="AC57" s="245"/>
      <c r="AD57" s="244"/>
      <c r="AE57" s="245"/>
      <c r="AF57" s="245"/>
      <c r="AG57" s="248"/>
      <c r="AH57" s="249"/>
      <c r="AI57" s="249"/>
      <c r="AJ57" s="8"/>
    </row>
    <row r="58" spans="1:36" ht="15">
      <c r="A58" s="368"/>
      <c r="B58" s="242" t="s">
        <v>181</v>
      </c>
      <c r="C58" s="243">
        <v>206.1904761904762</v>
      </c>
      <c r="D58" s="243">
        <v>206.1904761904762</v>
      </c>
      <c r="E58" s="246">
        <v>210</v>
      </c>
      <c r="F58" s="247">
        <v>172.5</v>
      </c>
      <c r="G58" s="247">
        <v>192.5</v>
      </c>
      <c r="H58" s="247">
        <v>230</v>
      </c>
      <c r="I58" s="244"/>
      <c r="J58" s="247">
        <v>230</v>
      </c>
      <c r="K58" s="247">
        <v>230</v>
      </c>
      <c r="L58" s="246">
        <v>230</v>
      </c>
      <c r="M58" s="247">
        <v>230</v>
      </c>
      <c r="N58" s="247">
        <v>230</v>
      </c>
      <c r="O58" s="247">
        <v>230</v>
      </c>
      <c r="P58" s="244"/>
      <c r="Q58" s="247">
        <v>230</v>
      </c>
      <c r="R58" s="247">
        <v>230</v>
      </c>
      <c r="S58" s="246">
        <v>157.5</v>
      </c>
      <c r="T58" s="247">
        <v>157.5</v>
      </c>
      <c r="U58" s="247">
        <v>185</v>
      </c>
      <c r="V58" s="247">
        <v>197.5</v>
      </c>
      <c r="W58" s="244"/>
      <c r="X58" s="247">
        <v>197.5</v>
      </c>
      <c r="Y58" s="247">
        <v>197.5</v>
      </c>
      <c r="Z58" s="246">
        <v>185</v>
      </c>
      <c r="AA58" s="247">
        <v>210</v>
      </c>
      <c r="AB58" s="247">
        <v>197.5</v>
      </c>
      <c r="AC58" s="245"/>
      <c r="AD58" s="244"/>
      <c r="AE58" s="245"/>
      <c r="AF58" s="245"/>
      <c r="AG58" s="248"/>
      <c r="AH58" s="249"/>
      <c r="AI58" s="249"/>
      <c r="AJ58" s="8"/>
    </row>
    <row r="59" spans="1:36" ht="15">
      <c r="A59" s="369"/>
      <c r="B59" s="250" t="s">
        <v>182</v>
      </c>
      <c r="C59" s="251">
        <v>2.8637999999999999</v>
      </c>
      <c r="D59" s="251">
        <v>2.8637999999999999</v>
      </c>
      <c r="E59" s="254">
        <v>2.8378000000000001</v>
      </c>
      <c r="F59" s="251">
        <v>2.363</v>
      </c>
      <c r="G59" s="251">
        <v>2.6013999999999999</v>
      </c>
      <c r="H59" s="251">
        <v>3.1080999999999999</v>
      </c>
      <c r="I59" s="252"/>
      <c r="J59" s="251">
        <v>3.1943999999999999</v>
      </c>
      <c r="K59" s="251">
        <v>3.1507000000000001</v>
      </c>
      <c r="L59" s="254">
        <v>3.1507000000000001</v>
      </c>
      <c r="M59" s="251">
        <v>3.1943999999999999</v>
      </c>
      <c r="N59" s="251">
        <v>3.1080999999999999</v>
      </c>
      <c r="O59" s="251">
        <v>3.2393999999999998</v>
      </c>
      <c r="P59" s="252"/>
      <c r="Q59" s="251">
        <v>3.2856999999999998</v>
      </c>
      <c r="R59" s="251">
        <v>3.3332999999999999</v>
      </c>
      <c r="S59" s="254">
        <v>2.2183000000000002</v>
      </c>
      <c r="T59" s="251">
        <v>2.2183000000000002</v>
      </c>
      <c r="U59" s="251">
        <v>2.6055999999999999</v>
      </c>
      <c r="V59" s="251">
        <v>2.7054999999999998</v>
      </c>
      <c r="W59" s="252"/>
      <c r="X59" s="251">
        <v>2.7431000000000001</v>
      </c>
      <c r="Y59" s="251">
        <v>2.7816999999999998</v>
      </c>
      <c r="Z59" s="254">
        <v>2.5</v>
      </c>
      <c r="AA59" s="251">
        <v>2.8767</v>
      </c>
      <c r="AB59" s="251">
        <v>2.7431000000000001</v>
      </c>
      <c r="AC59" s="253"/>
      <c r="AD59" s="252"/>
      <c r="AE59" s="253"/>
      <c r="AF59" s="253"/>
      <c r="AG59" s="255"/>
      <c r="AH59" s="256"/>
      <c r="AI59" s="256"/>
      <c r="AJ59" s="8"/>
    </row>
    <row r="60" spans="1:36" ht="15">
      <c r="A60" s="367" t="s">
        <v>197</v>
      </c>
      <c r="B60" s="234" t="s">
        <v>175</v>
      </c>
      <c r="C60" s="235">
        <v>33328</v>
      </c>
      <c r="D60" s="235">
        <v>1587.047619047619</v>
      </c>
      <c r="E60" s="238">
        <v>1760</v>
      </c>
      <c r="F60" s="239">
        <v>1864</v>
      </c>
      <c r="G60" s="239">
        <v>1864</v>
      </c>
      <c r="H60" s="239">
        <v>1920</v>
      </c>
      <c r="I60" s="236"/>
      <c r="J60" s="239">
        <v>1920</v>
      </c>
      <c r="K60" s="239">
        <v>1920</v>
      </c>
      <c r="L60" s="238">
        <v>1920</v>
      </c>
      <c r="M60" s="239">
        <v>1920</v>
      </c>
      <c r="N60" s="239">
        <v>1920</v>
      </c>
      <c r="O60" s="239">
        <v>1920</v>
      </c>
      <c r="P60" s="236"/>
      <c r="Q60" s="239">
        <v>1600</v>
      </c>
      <c r="R60" s="239">
        <v>1280</v>
      </c>
      <c r="S60" s="238">
        <v>1280</v>
      </c>
      <c r="T60" s="239">
        <v>1280</v>
      </c>
      <c r="U60" s="239">
        <v>1280</v>
      </c>
      <c r="V60" s="239">
        <v>1280</v>
      </c>
      <c r="W60" s="236"/>
      <c r="X60" s="239">
        <v>1280</v>
      </c>
      <c r="Y60" s="239">
        <v>1280</v>
      </c>
      <c r="Z60" s="238">
        <v>1280</v>
      </c>
      <c r="AA60" s="239">
        <v>1280</v>
      </c>
      <c r="AB60" s="239">
        <v>1280</v>
      </c>
      <c r="AC60" s="237"/>
      <c r="AD60" s="236"/>
      <c r="AE60" s="237"/>
      <c r="AF60" s="237"/>
      <c r="AG60" s="240"/>
      <c r="AH60" s="241"/>
      <c r="AI60" s="241"/>
      <c r="AJ60" s="8"/>
    </row>
    <row r="61" spans="1:36" ht="15">
      <c r="A61" s="368"/>
      <c r="B61" s="234" t="s">
        <v>176</v>
      </c>
      <c r="C61" s="235">
        <v>31340</v>
      </c>
      <c r="D61" s="235">
        <v>1492.3809523809523</v>
      </c>
      <c r="E61" s="238">
        <v>1440</v>
      </c>
      <c r="F61" s="239">
        <v>1380</v>
      </c>
      <c r="G61" s="239">
        <v>1840</v>
      </c>
      <c r="H61" s="239">
        <v>1840</v>
      </c>
      <c r="I61" s="236"/>
      <c r="J61" s="239">
        <v>1840</v>
      </c>
      <c r="K61" s="239">
        <v>1840</v>
      </c>
      <c r="L61" s="238">
        <v>1840</v>
      </c>
      <c r="M61" s="239">
        <v>1840</v>
      </c>
      <c r="N61" s="239">
        <v>1840</v>
      </c>
      <c r="O61" s="239">
        <v>1020</v>
      </c>
      <c r="P61" s="236"/>
      <c r="Q61" s="239">
        <v>1020</v>
      </c>
      <c r="R61" s="239">
        <v>1360</v>
      </c>
      <c r="S61" s="238">
        <v>1360</v>
      </c>
      <c r="T61" s="239">
        <v>1360</v>
      </c>
      <c r="U61" s="239">
        <v>1360</v>
      </c>
      <c r="V61" s="239">
        <v>1360</v>
      </c>
      <c r="W61" s="236"/>
      <c r="X61" s="239">
        <v>1360</v>
      </c>
      <c r="Y61" s="239">
        <v>1360</v>
      </c>
      <c r="Z61" s="238">
        <v>1360</v>
      </c>
      <c r="AA61" s="239">
        <v>1360</v>
      </c>
      <c r="AB61" s="239">
        <v>1360</v>
      </c>
      <c r="AC61" s="239">
        <v>1360</v>
      </c>
      <c r="AD61" s="236"/>
      <c r="AE61" s="239">
        <v>1360</v>
      </c>
      <c r="AF61" s="239">
        <v>1360</v>
      </c>
      <c r="AG61" s="257">
        <v>1360</v>
      </c>
      <c r="AH61" s="258">
        <v>1360</v>
      </c>
      <c r="AI61" s="258">
        <v>1360</v>
      </c>
      <c r="AJ61" s="8"/>
    </row>
    <row r="62" spans="1:36" ht="15">
      <c r="A62" s="368"/>
      <c r="B62" s="242" t="s">
        <v>177</v>
      </c>
      <c r="C62" s="243">
        <v>31540</v>
      </c>
      <c r="D62" s="243">
        <v>1501.9047619047619</v>
      </c>
      <c r="E62" s="246">
        <v>1440</v>
      </c>
      <c r="F62" s="247">
        <v>1380</v>
      </c>
      <c r="G62" s="247">
        <v>1940</v>
      </c>
      <c r="H62" s="247">
        <v>1690</v>
      </c>
      <c r="I62" s="244"/>
      <c r="J62" s="247">
        <v>1840</v>
      </c>
      <c r="K62" s="247">
        <v>1840</v>
      </c>
      <c r="L62" s="246">
        <v>1840</v>
      </c>
      <c r="M62" s="247">
        <v>1840</v>
      </c>
      <c r="N62" s="247">
        <v>1840</v>
      </c>
      <c r="O62" s="247">
        <v>1020</v>
      </c>
      <c r="P62" s="244"/>
      <c r="Q62" s="247">
        <v>1070</v>
      </c>
      <c r="R62" s="247">
        <v>1360</v>
      </c>
      <c r="S62" s="246">
        <v>1360</v>
      </c>
      <c r="T62" s="247">
        <v>1360</v>
      </c>
      <c r="U62" s="247">
        <v>1460</v>
      </c>
      <c r="V62" s="247">
        <v>1460</v>
      </c>
      <c r="W62" s="244"/>
      <c r="X62" s="247">
        <v>1360</v>
      </c>
      <c r="Y62" s="247">
        <v>1360</v>
      </c>
      <c r="Z62" s="246">
        <v>1360</v>
      </c>
      <c r="AA62" s="247">
        <v>1360</v>
      </c>
      <c r="AB62" s="247">
        <v>1360</v>
      </c>
      <c r="AC62" s="245"/>
      <c r="AD62" s="244"/>
      <c r="AE62" s="245"/>
      <c r="AF62" s="245"/>
      <c r="AG62" s="248"/>
      <c r="AH62" s="249"/>
      <c r="AI62" s="249"/>
      <c r="AJ62" s="8"/>
    </row>
    <row r="63" spans="1:36" ht="15">
      <c r="A63" s="368"/>
      <c r="B63" s="242" t="s">
        <v>178</v>
      </c>
      <c r="C63" s="243">
        <v>200</v>
      </c>
      <c r="D63" s="243">
        <v>9.5238095238095237</v>
      </c>
      <c r="E63" s="246">
        <v>0</v>
      </c>
      <c r="F63" s="247">
        <v>0</v>
      </c>
      <c r="G63" s="247">
        <v>100</v>
      </c>
      <c r="H63" s="245">
        <v>-150</v>
      </c>
      <c r="I63" s="244"/>
      <c r="J63" s="247">
        <v>0</v>
      </c>
      <c r="K63" s="247">
        <v>0</v>
      </c>
      <c r="L63" s="246">
        <v>0</v>
      </c>
      <c r="M63" s="247">
        <v>0</v>
      </c>
      <c r="N63" s="247">
        <v>0</v>
      </c>
      <c r="O63" s="247">
        <v>0</v>
      </c>
      <c r="P63" s="244"/>
      <c r="Q63" s="247">
        <v>50</v>
      </c>
      <c r="R63" s="247">
        <v>0</v>
      </c>
      <c r="S63" s="246">
        <v>0</v>
      </c>
      <c r="T63" s="247">
        <v>0</v>
      </c>
      <c r="U63" s="247">
        <v>100</v>
      </c>
      <c r="V63" s="247">
        <v>100</v>
      </c>
      <c r="W63" s="244"/>
      <c r="X63" s="247">
        <v>0</v>
      </c>
      <c r="Y63" s="247">
        <v>0</v>
      </c>
      <c r="Z63" s="246">
        <v>0</v>
      </c>
      <c r="AA63" s="247">
        <v>0</v>
      </c>
      <c r="AB63" s="247">
        <v>0</v>
      </c>
      <c r="AC63" s="245"/>
      <c r="AD63" s="244"/>
      <c r="AE63" s="245"/>
      <c r="AF63" s="245"/>
      <c r="AG63" s="248"/>
      <c r="AH63" s="249"/>
      <c r="AI63" s="249"/>
      <c r="AJ63" s="8"/>
    </row>
    <row r="64" spans="1:36" ht="15">
      <c r="A64" s="368"/>
      <c r="B64" s="242" t="s">
        <v>179</v>
      </c>
      <c r="C64" s="243">
        <v>168</v>
      </c>
      <c r="D64" s="243">
        <v>8</v>
      </c>
      <c r="E64" s="246">
        <v>8</v>
      </c>
      <c r="F64" s="247">
        <v>8</v>
      </c>
      <c r="G64" s="247">
        <v>8</v>
      </c>
      <c r="H64" s="247">
        <v>8</v>
      </c>
      <c r="I64" s="244"/>
      <c r="J64" s="247">
        <v>8</v>
      </c>
      <c r="K64" s="247">
        <v>8</v>
      </c>
      <c r="L64" s="246">
        <v>8</v>
      </c>
      <c r="M64" s="247">
        <v>8</v>
      </c>
      <c r="N64" s="247">
        <v>8</v>
      </c>
      <c r="O64" s="247">
        <v>8</v>
      </c>
      <c r="P64" s="244"/>
      <c r="Q64" s="247">
        <v>8</v>
      </c>
      <c r="R64" s="247">
        <v>8</v>
      </c>
      <c r="S64" s="246">
        <v>8</v>
      </c>
      <c r="T64" s="247">
        <v>8</v>
      </c>
      <c r="U64" s="247">
        <v>8</v>
      </c>
      <c r="V64" s="247">
        <v>8</v>
      </c>
      <c r="W64" s="244"/>
      <c r="X64" s="247">
        <v>8</v>
      </c>
      <c r="Y64" s="247">
        <v>8</v>
      </c>
      <c r="Z64" s="246">
        <v>8</v>
      </c>
      <c r="AA64" s="247">
        <v>8</v>
      </c>
      <c r="AB64" s="247">
        <v>8</v>
      </c>
      <c r="AC64" s="245"/>
      <c r="AD64" s="244"/>
      <c r="AE64" s="245"/>
      <c r="AF64" s="245"/>
      <c r="AG64" s="248"/>
      <c r="AH64" s="249"/>
      <c r="AI64" s="249"/>
      <c r="AJ64" s="8"/>
    </row>
    <row r="65" spans="1:36" ht="15">
      <c r="A65" s="368"/>
      <c r="B65" s="242" t="s">
        <v>180</v>
      </c>
      <c r="C65" s="243">
        <v>70</v>
      </c>
      <c r="D65" s="243">
        <v>70</v>
      </c>
      <c r="E65" s="246">
        <v>70</v>
      </c>
      <c r="F65" s="247">
        <v>70</v>
      </c>
      <c r="G65" s="247">
        <v>69</v>
      </c>
      <c r="H65" s="247">
        <v>69</v>
      </c>
      <c r="I65" s="244"/>
      <c r="J65" s="247">
        <v>66</v>
      </c>
      <c r="K65" s="247">
        <v>70</v>
      </c>
      <c r="L65" s="246">
        <v>68</v>
      </c>
      <c r="M65" s="247">
        <v>69</v>
      </c>
      <c r="N65" s="247">
        <v>71</v>
      </c>
      <c r="O65" s="247">
        <v>72</v>
      </c>
      <c r="P65" s="244"/>
      <c r="Q65" s="247">
        <v>75</v>
      </c>
      <c r="R65" s="247">
        <v>72</v>
      </c>
      <c r="S65" s="246">
        <v>71</v>
      </c>
      <c r="T65" s="247">
        <v>71</v>
      </c>
      <c r="U65" s="247">
        <v>71</v>
      </c>
      <c r="V65" s="247">
        <v>73</v>
      </c>
      <c r="W65" s="244"/>
      <c r="X65" s="247">
        <v>70</v>
      </c>
      <c r="Y65" s="247">
        <v>69</v>
      </c>
      <c r="Z65" s="246">
        <v>71</v>
      </c>
      <c r="AA65" s="247">
        <v>71</v>
      </c>
      <c r="AB65" s="247">
        <v>72</v>
      </c>
      <c r="AC65" s="245"/>
      <c r="AD65" s="244"/>
      <c r="AE65" s="245"/>
      <c r="AF65" s="245"/>
      <c r="AG65" s="248"/>
      <c r="AH65" s="249"/>
      <c r="AI65" s="249"/>
      <c r="AJ65" s="8"/>
    </row>
    <row r="66" spans="1:36" ht="15">
      <c r="A66" s="368"/>
      <c r="B66" s="242" t="s">
        <v>181</v>
      </c>
      <c r="C66" s="243">
        <v>187.73809523809524</v>
      </c>
      <c r="D66" s="243">
        <v>187.73809523809524</v>
      </c>
      <c r="E66" s="246">
        <v>180</v>
      </c>
      <c r="F66" s="247">
        <v>172.5</v>
      </c>
      <c r="G66" s="247">
        <v>242.5</v>
      </c>
      <c r="H66" s="247">
        <v>211.25</v>
      </c>
      <c r="I66" s="244"/>
      <c r="J66" s="247">
        <v>230</v>
      </c>
      <c r="K66" s="247">
        <v>230</v>
      </c>
      <c r="L66" s="246">
        <v>230</v>
      </c>
      <c r="M66" s="247">
        <v>230</v>
      </c>
      <c r="N66" s="247">
        <v>230</v>
      </c>
      <c r="O66" s="247">
        <v>127.5</v>
      </c>
      <c r="P66" s="244"/>
      <c r="Q66" s="247">
        <v>133.75</v>
      </c>
      <c r="R66" s="247">
        <v>170</v>
      </c>
      <c r="S66" s="246">
        <v>170</v>
      </c>
      <c r="T66" s="247">
        <v>170</v>
      </c>
      <c r="U66" s="247">
        <v>182.5</v>
      </c>
      <c r="V66" s="247">
        <v>182.5</v>
      </c>
      <c r="W66" s="244"/>
      <c r="X66" s="247">
        <v>170</v>
      </c>
      <c r="Y66" s="247">
        <v>170</v>
      </c>
      <c r="Z66" s="246">
        <v>170</v>
      </c>
      <c r="AA66" s="247">
        <v>170</v>
      </c>
      <c r="AB66" s="247">
        <v>170</v>
      </c>
      <c r="AC66" s="245"/>
      <c r="AD66" s="244"/>
      <c r="AE66" s="245"/>
      <c r="AF66" s="245"/>
      <c r="AG66" s="248"/>
      <c r="AH66" s="249"/>
      <c r="AI66" s="249"/>
      <c r="AJ66" s="8"/>
    </row>
    <row r="67" spans="1:36" ht="15">
      <c r="A67" s="369"/>
      <c r="B67" s="250" t="s">
        <v>182</v>
      </c>
      <c r="C67" s="251">
        <v>2.6819999999999999</v>
      </c>
      <c r="D67" s="251">
        <v>2.6819999999999999</v>
      </c>
      <c r="E67" s="254">
        <v>2.5714000000000001</v>
      </c>
      <c r="F67" s="251">
        <v>2.4643000000000002</v>
      </c>
      <c r="G67" s="251">
        <v>3.5145</v>
      </c>
      <c r="H67" s="251">
        <v>3.0615999999999999</v>
      </c>
      <c r="I67" s="252"/>
      <c r="J67" s="251">
        <v>3.4847999999999999</v>
      </c>
      <c r="K67" s="251">
        <v>3.2856999999999998</v>
      </c>
      <c r="L67" s="254">
        <v>3.3824000000000001</v>
      </c>
      <c r="M67" s="251">
        <v>3.3332999999999999</v>
      </c>
      <c r="N67" s="251">
        <v>3.2393999999999998</v>
      </c>
      <c r="O67" s="251">
        <v>1.7707999999999999</v>
      </c>
      <c r="P67" s="252"/>
      <c r="Q67" s="251">
        <v>1.7833000000000001</v>
      </c>
      <c r="R67" s="251">
        <v>2.3611</v>
      </c>
      <c r="S67" s="254">
        <v>2.3944000000000001</v>
      </c>
      <c r="T67" s="251">
        <v>2.3944000000000001</v>
      </c>
      <c r="U67" s="251">
        <v>2.5704000000000002</v>
      </c>
      <c r="V67" s="251">
        <v>2.5</v>
      </c>
      <c r="W67" s="252"/>
      <c r="X67" s="251">
        <v>2.4285999999999999</v>
      </c>
      <c r="Y67" s="251">
        <v>2.4638</v>
      </c>
      <c r="Z67" s="254">
        <v>2.3944000000000001</v>
      </c>
      <c r="AA67" s="251">
        <v>2.3944000000000001</v>
      </c>
      <c r="AB67" s="251">
        <v>2.3611</v>
      </c>
      <c r="AC67" s="253"/>
      <c r="AD67" s="252"/>
      <c r="AE67" s="253"/>
      <c r="AF67" s="253"/>
      <c r="AG67" s="255"/>
      <c r="AH67" s="256"/>
      <c r="AI67" s="256"/>
      <c r="AJ67" s="8"/>
    </row>
    <row r="68" spans="1:36" ht="15">
      <c r="A68" s="367" t="s">
        <v>198</v>
      </c>
      <c r="B68" s="234" t="s">
        <v>175</v>
      </c>
      <c r="C68" s="235">
        <v>38864</v>
      </c>
      <c r="D68" s="235">
        <v>1850.6666666666667</v>
      </c>
      <c r="E68" s="238">
        <v>1920</v>
      </c>
      <c r="F68" s="239">
        <v>1920</v>
      </c>
      <c r="G68" s="239">
        <v>1920</v>
      </c>
      <c r="H68" s="239">
        <v>1920</v>
      </c>
      <c r="I68" s="236"/>
      <c r="J68" s="239">
        <v>1920</v>
      </c>
      <c r="K68" s="239">
        <v>1920</v>
      </c>
      <c r="L68" s="238">
        <v>1920</v>
      </c>
      <c r="M68" s="239">
        <v>1920</v>
      </c>
      <c r="N68" s="239">
        <v>1920</v>
      </c>
      <c r="O68" s="239">
        <v>1920</v>
      </c>
      <c r="P68" s="236"/>
      <c r="Q68" s="239">
        <v>1920</v>
      </c>
      <c r="R68" s="239">
        <v>1864</v>
      </c>
      <c r="S68" s="238">
        <v>1800</v>
      </c>
      <c r="T68" s="239">
        <v>1760</v>
      </c>
      <c r="U68" s="239">
        <v>1760</v>
      </c>
      <c r="V68" s="239">
        <v>1760</v>
      </c>
      <c r="W68" s="236"/>
      <c r="X68" s="239">
        <v>1760</v>
      </c>
      <c r="Y68" s="239">
        <v>1760</v>
      </c>
      <c r="Z68" s="238">
        <v>1760</v>
      </c>
      <c r="AA68" s="239">
        <v>1760</v>
      </c>
      <c r="AB68" s="239">
        <v>1760</v>
      </c>
      <c r="AC68" s="237"/>
      <c r="AD68" s="236"/>
      <c r="AE68" s="237"/>
      <c r="AF68" s="237"/>
      <c r="AG68" s="240"/>
      <c r="AH68" s="241"/>
      <c r="AI68" s="241"/>
      <c r="AJ68" s="8"/>
    </row>
    <row r="69" spans="1:36" ht="15">
      <c r="A69" s="368"/>
      <c r="B69" s="234" t="s">
        <v>176</v>
      </c>
      <c r="C69" s="235">
        <v>34320</v>
      </c>
      <c r="D69" s="235">
        <v>1634.2857142857142</v>
      </c>
      <c r="E69" s="238">
        <v>1840</v>
      </c>
      <c r="F69" s="239">
        <v>1840</v>
      </c>
      <c r="G69" s="239">
        <v>1840</v>
      </c>
      <c r="H69" s="239">
        <v>1840</v>
      </c>
      <c r="I69" s="236"/>
      <c r="J69" s="239">
        <v>1840</v>
      </c>
      <c r="K69" s="239">
        <v>1840</v>
      </c>
      <c r="L69" s="238">
        <v>1840</v>
      </c>
      <c r="M69" s="239">
        <v>1840</v>
      </c>
      <c r="N69" s="239">
        <v>1840</v>
      </c>
      <c r="O69" s="239">
        <v>1840</v>
      </c>
      <c r="P69" s="236"/>
      <c r="Q69" s="239">
        <v>1840</v>
      </c>
      <c r="R69" s="239">
        <v>1840</v>
      </c>
      <c r="S69" s="238">
        <v>1080</v>
      </c>
      <c r="T69" s="239">
        <v>1080</v>
      </c>
      <c r="U69" s="239">
        <v>1440</v>
      </c>
      <c r="V69" s="239">
        <v>1440</v>
      </c>
      <c r="W69" s="236"/>
      <c r="X69" s="239">
        <v>1440</v>
      </c>
      <c r="Y69" s="239">
        <v>1440</v>
      </c>
      <c r="Z69" s="238">
        <v>1440</v>
      </c>
      <c r="AA69" s="239">
        <v>1440</v>
      </c>
      <c r="AB69" s="239">
        <v>1440</v>
      </c>
      <c r="AC69" s="239">
        <v>1440</v>
      </c>
      <c r="AD69" s="236"/>
      <c r="AE69" s="239">
        <v>1440</v>
      </c>
      <c r="AF69" s="239">
        <v>1440</v>
      </c>
      <c r="AG69" s="257">
        <v>1440</v>
      </c>
      <c r="AH69" s="258">
        <v>1440</v>
      </c>
      <c r="AI69" s="258">
        <v>1440</v>
      </c>
      <c r="AJ69" s="8"/>
    </row>
    <row r="70" spans="1:36" ht="15">
      <c r="A70" s="368"/>
      <c r="B70" s="242" t="s">
        <v>177</v>
      </c>
      <c r="C70" s="243">
        <v>35170</v>
      </c>
      <c r="D70" s="243">
        <v>1674.7619047619048</v>
      </c>
      <c r="E70" s="246">
        <v>1840</v>
      </c>
      <c r="F70" s="247">
        <v>1840</v>
      </c>
      <c r="G70" s="247">
        <v>1840</v>
      </c>
      <c r="H70" s="247">
        <v>1940</v>
      </c>
      <c r="I70" s="244"/>
      <c r="J70" s="247">
        <v>1840</v>
      </c>
      <c r="K70" s="247">
        <v>1840</v>
      </c>
      <c r="L70" s="246">
        <v>1840</v>
      </c>
      <c r="M70" s="247">
        <v>1840</v>
      </c>
      <c r="N70" s="247">
        <v>1840</v>
      </c>
      <c r="O70" s="247">
        <v>1840</v>
      </c>
      <c r="P70" s="244"/>
      <c r="Q70" s="247">
        <v>1840</v>
      </c>
      <c r="R70" s="247">
        <v>1840</v>
      </c>
      <c r="S70" s="246">
        <v>1080</v>
      </c>
      <c r="T70" s="247">
        <v>1280</v>
      </c>
      <c r="U70" s="247">
        <v>1540</v>
      </c>
      <c r="V70" s="247">
        <v>1540</v>
      </c>
      <c r="W70" s="244"/>
      <c r="X70" s="247">
        <v>1490</v>
      </c>
      <c r="Y70" s="247">
        <v>1640</v>
      </c>
      <c r="Z70" s="246">
        <v>1440</v>
      </c>
      <c r="AA70" s="247">
        <v>1440</v>
      </c>
      <c r="AB70" s="247">
        <v>1540</v>
      </c>
      <c r="AC70" s="245"/>
      <c r="AD70" s="244"/>
      <c r="AE70" s="245"/>
      <c r="AF70" s="245"/>
      <c r="AG70" s="248"/>
      <c r="AH70" s="249"/>
      <c r="AI70" s="249"/>
      <c r="AJ70" s="8"/>
    </row>
    <row r="71" spans="1:36" ht="15">
      <c r="A71" s="368"/>
      <c r="B71" s="242" t="s">
        <v>178</v>
      </c>
      <c r="C71" s="243">
        <v>850</v>
      </c>
      <c r="D71" s="243">
        <v>40.476190476190474</v>
      </c>
      <c r="E71" s="246">
        <v>0</v>
      </c>
      <c r="F71" s="247">
        <v>0</v>
      </c>
      <c r="G71" s="247">
        <v>0</v>
      </c>
      <c r="H71" s="247">
        <v>100</v>
      </c>
      <c r="I71" s="244"/>
      <c r="J71" s="247">
        <v>0</v>
      </c>
      <c r="K71" s="247">
        <v>0</v>
      </c>
      <c r="L71" s="246">
        <v>0</v>
      </c>
      <c r="M71" s="247">
        <v>0</v>
      </c>
      <c r="N71" s="247">
        <v>0</v>
      </c>
      <c r="O71" s="247">
        <v>0</v>
      </c>
      <c r="P71" s="244"/>
      <c r="Q71" s="247">
        <v>0</v>
      </c>
      <c r="R71" s="247">
        <v>0</v>
      </c>
      <c r="S71" s="246">
        <v>0</v>
      </c>
      <c r="T71" s="247">
        <v>200</v>
      </c>
      <c r="U71" s="247">
        <v>100</v>
      </c>
      <c r="V71" s="247">
        <v>100</v>
      </c>
      <c r="W71" s="244"/>
      <c r="X71" s="247">
        <v>50</v>
      </c>
      <c r="Y71" s="247">
        <v>200</v>
      </c>
      <c r="Z71" s="246">
        <v>0</v>
      </c>
      <c r="AA71" s="247">
        <v>0</v>
      </c>
      <c r="AB71" s="247">
        <v>100</v>
      </c>
      <c r="AC71" s="245"/>
      <c r="AD71" s="244"/>
      <c r="AE71" s="245"/>
      <c r="AF71" s="245"/>
      <c r="AG71" s="248"/>
      <c r="AH71" s="249"/>
      <c r="AI71" s="249"/>
      <c r="AJ71" s="8"/>
    </row>
    <row r="72" spans="1:36" ht="15">
      <c r="A72" s="368"/>
      <c r="B72" s="242" t="s">
        <v>179</v>
      </c>
      <c r="C72" s="243">
        <v>168</v>
      </c>
      <c r="D72" s="243">
        <v>8</v>
      </c>
      <c r="E72" s="246">
        <v>8</v>
      </c>
      <c r="F72" s="247">
        <v>8</v>
      </c>
      <c r="G72" s="247">
        <v>8</v>
      </c>
      <c r="H72" s="247">
        <v>8</v>
      </c>
      <c r="I72" s="244"/>
      <c r="J72" s="247">
        <v>8</v>
      </c>
      <c r="K72" s="247">
        <v>8</v>
      </c>
      <c r="L72" s="246">
        <v>8</v>
      </c>
      <c r="M72" s="247">
        <v>8</v>
      </c>
      <c r="N72" s="247">
        <v>8</v>
      </c>
      <c r="O72" s="247">
        <v>8</v>
      </c>
      <c r="P72" s="244"/>
      <c r="Q72" s="247">
        <v>8</v>
      </c>
      <c r="R72" s="247">
        <v>8</v>
      </c>
      <c r="S72" s="246">
        <v>8</v>
      </c>
      <c r="T72" s="247">
        <v>8</v>
      </c>
      <c r="U72" s="247">
        <v>8</v>
      </c>
      <c r="V72" s="247">
        <v>8</v>
      </c>
      <c r="W72" s="244"/>
      <c r="X72" s="247">
        <v>8</v>
      </c>
      <c r="Y72" s="247">
        <v>8</v>
      </c>
      <c r="Z72" s="246">
        <v>8</v>
      </c>
      <c r="AA72" s="247">
        <v>8</v>
      </c>
      <c r="AB72" s="247">
        <v>8</v>
      </c>
      <c r="AC72" s="245"/>
      <c r="AD72" s="244"/>
      <c r="AE72" s="245"/>
      <c r="AF72" s="245"/>
      <c r="AG72" s="248"/>
      <c r="AH72" s="249"/>
      <c r="AI72" s="249"/>
      <c r="AJ72" s="8"/>
    </row>
    <row r="73" spans="1:36" ht="15">
      <c r="A73" s="368"/>
      <c r="B73" s="242" t="s">
        <v>180</v>
      </c>
      <c r="C73" s="243">
        <v>71</v>
      </c>
      <c r="D73" s="243">
        <v>71</v>
      </c>
      <c r="E73" s="246">
        <v>70</v>
      </c>
      <c r="F73" s="247">
        <v>71</v>
      </c>
      <c r="G73" s="247">
        <v>70</v>
      </c>
      <c r="H73" s="247">
        <v>69</v>
      </c>
      <c r="I73" s="244"/>
      <c r="J73" s="247">
        <v>70</v>
      </c>
      <c r="K73" s="247">
        <v>71</v>
      </c>
      <c r="L73" s="246">
        <v>71</v>
      </c>
      <c r="M73" s="247">
        <v>74</v>
      </c>
      <c r="N73" s="247">
        <v>74</v>
      </c>
      <c r="O73" s="247">
        <v>71</v>
      </c>
      <c r="P73" s="244"/>
      <c r="Q73" s="247">
        <v>73</v>
      </c>
      <c r="R73" s="247">
        <v>73</v>
      </c>
      <c r="S73" s="246">
        <v>73</v>
      </c>
      <c r="T73" s="247">
        <v>72</v>
      </c>
      <c r="U73" s="247">
        <v>70</v>
      </c>
      <c r="V73" s="247">
        <v>71</v>
      </c>
      <c r="W73" s="244"/>
      <c r="X73" s="247">
        <v>69</v>
      </c>
      <c r="Y73" s="247">
        <v>71</v>
      </c>
      <c r="Z73" s="246">
        <v>72</v>
      </c>
      <c r="AA73" s="247">
        <v>72</v>
      </c>
      <c r="AB73" s="247">
        <v>70</v>
      </c>
      <c r="AC73" s="245"/>
      <c r="AD73" s="244"/>
      <c r="AE73" s="245"/>
      <c r="AF73" s="245"/>
      <c r="AG73" s="248"/>
      <c r="AH73" s="249"/>
      <c r="AI73" s="249"/>
      <c r="AJ73" s="8"/>
    </row>
    <row r="74" spans="1:36" ht="15">
      <c r="A74" s="368"/>
      <c r="B74" s="242" t="s">
        <v>181</v>
      </c>
      <c r="C74" s="243">
        <v>209.3452380952381</v>
      </c>
      <c r="D74" s="243">
        <v>209.3452380952381</v>
      </c>
      <c r="E74" s="246">
        <v>230</v>
      </c>
      <c r="F74" s="247">
        <v>230</v>
      </c>
      <c r="G74" s="247">
        <v>230</v>
      </c>
      <c r="H74" s="247">
        <v>242.5</v>
      </c>
      <c r="I74" s="244"/>
      <c r="J74" s="247">
        <v>230</v>
      </c>
      <c r="K74" s="247">
        <v>230</v>
      </c>
      <c r="L74" s="246">
        <v>230</v>
      </c>
      <c r="M74" s="247">
        <v>230</v>
      </c>
      <c r="N74" s="247">
        <v>230</v>
      </c>
      <c r="O74" s="247">
        <v>230</v>
      </c>
      <c r="P74" s="244"/>
      <c r="Q74" s="247">
        <v>230</v>
      </c>
      <c r="R74" s="247">
        <v>230</v>
      </c>
      <c r="S74" s="246">
        <v>135</v>
      </c>
      <c r="T74" s="247">
        <v>160</v>
      </c>
      <c r="U74" s="247">
        <v>192.5</v>
      </c>
      <c r="V74" s="247">
        <v>192.5</v>
      </c>
      <c r="W74" s="244"/>
      <c r="X74" s="247">
        <v>186.25</v>
      </c>
      <c r="Y74" s="247">
        <v>205</v>
      </c>
      <c r="Z74" s="246">
        <v>180</v>
      </c>
      <c r="AA74" s="247">
        <v>180</v>
      </c>
      <c r="AB74" s="247">
        <v>192.5</v>
      </c>
      <c r="AC74" s="245"/>
      <c r="AD74" s="244"/>
      <c r="AE74" s="245"/>
      <c r="AF74" s="245"/>
      <c r="AG74" s="248"/>
      <c r="AH74" s="249"/>
      <c r="AI74" s="249"/>
      <c r="AJ74" s="8"/>
    </row>
    <row r="75" spans="1:36" ht="15">
      <c r="A75" s="369"/>
      <c r="B75" s="250" t="s">
        <v>182</v>
      </c>
      <c r="C75" s="251">
        <v>2.9485000000000001</v>
      </c>
      <c r="D75" s="251">
        <v>2.9485000000000001</v>
      </c>
      <c r="E75" s="254">
        <v>3.2856999999999998</v>
      </c>
      <c r="F75" s="251">
        <v>3.2393999999999998</v>
      </c>
      <c r="G75" s="251">
        <v>3.2856999999999998</v>
      </c>
      <c r="H75" s="251">
        <v>3.5145</v>
      </c>
      <c r="I75" s="252"/>
      <c r="J75" s="251">
        <v>3.2856999999999998</v>
      </c>
      <c r="K75" s="251">
        <v>3.2393999999999998</v>
      </c>
      <c r="L75" s="254">
        <v>3.2393999999999998</v>
      </c>
      <c r="M75" s="251">
        <v>3.1080999999999999</v>
      </c>
      <c r="N75" s="251">
        <v>3.1080999999999999</v>
      </c>
      <c r="O75" s="251">
        <v>3.2393999999999998</v>
      </c>
      <c r="P75" s="252"/>
      <c r="Q75" s="251">
        <v>3.1507000000000001</v>
      </c>
      <c r="R75" s="251">
        <v>3.1507000000000001</v>
      </c>
      <c r="S75" s="254">
        <v>1.8492999999999999</v>
      </c>
      <c r="T75" s="251">
        <v>2.2222</v>
      </c>
      <c r="U75" s="251">
        <v>2.75</v>
      </c>
      <c r="V75" s="251">
        <v>2.7113</v>
      </c>
      <c r="W75" s="252"/>
      <c r="X75" s="251">
        <v>2.6993</v>
      </c>
      <c r="Y75" s="251">
        <v>2.8872999999999998</v>
      </c>
      <c r="Z75" s="254">
        <v>2.5</v>
      </c>
      <c r="AA75" s="251">
        <v>2.5</v>
      </c>
      <c r="AB75" s="251">
        <v>2.75</v>
      </c>
      <c r="AC75" s="253"/>
      <c r="AD75" s="252"/>
      <c r="AE75" s="253"/>
      <c r="AF75" s="253"/>
      <c r="AG75" s="255"/>
      <c r="AH75" s="256"/>
      <c r="AI75" s="256"/>
      <c r="AJ75" s="8"/>
    </row>
    <row r="76" spans="1:36" ht="15">
      <c r="A76" s="367" t="s">
        <v>199</v>
      </c>
      <c r="B76" s="234" t="s">
        <v>175</v>
      </c>
      <c r="C76" s="235">
        <v>35912</v>
      </c>
      <c r="D76" s="235">
        <v>1710.0952380952381</v>
      </c>
      <c r="E76" s="238">
        <v>1760</v>
      </c>
      <c r="F76" s="239">
        <v>1760</v>
      </c>
      <c r="G76" s="239">
        <v>1760</v>
      </c>
      <c r="H76" s="239">
        <v>1760</v>
      </c>
      <c r="I76" s="236"/>
      <c r="J76" s="239">
        <v>1760</v>
      </c>
      <c r="K76" s="239">
        <v>1760</v>
      </c>
      <c r="L76" s="238">
        <v>1760</v>
      </c>
      <c r="M76" s="239">
        <v>1760</v>
      </c>
      <c r="N76" s="239">
        <v>1760</v>
      </c>
      <c r="O76" s="239">
        <v>1760</v>
      </c>
      <c r="P76" s="236"/>
      <c r="Q76" s="239">
        <v>1760</v>
      </c>
      <c r="R76" s="239">
        <v>1760</v>
      </c>
      <c r="S76" s="238">
        <v>1760</v>
      </c>
      <c r="T76" s="239">
        <v>1544</v>
      </c>
      <c r="U76" s="239">
        <v>1760</v>
      </c>
      <c r="V76" s="239">
        <v>1760</v>
      </c>
      <c r="W76" s="236"/>
      <c r="X76" s="239">
        <v>1760</v>
      </c>
      <c r="Y76" s="239">
        <v>1760</v>
      </c>
      <c r="Z76" s="238">
        <v>1760</v>
      </c>
      <c r="AA76" s="239">
        <v>1280</v>
      </c>
      <c r="AB76" s="239">
        <v>1408</v>
      </c>
      <c r="AC76" s="237"/>
      <c r="AD76" s="236"/>
      <c r="AE76" s="237"/>
      <c r="AF76" s="237"/>
      <c r="AG76" s="240"/>
      <c r="AH76" s="241"/>
      <c r="AI76" s="241"/>
      <c r="AJ76" s="8"/>
    </row>
    <row r="77" spans="1:36" ht="15">
      <c r="A77" s="368"/>
      <c r="B77" s="234" t="s">
        <v>176</v>
      </c>
      <c r="C77" s="235">
        <v>32900</v>
      </c>
      <c r="D77" s="235">
        <v>1566.6666666666667</v>
      </c>
      <c r="E77" s="238">
        <v>1680</v>
      </c>
      <c r="F77" s="239">
        <v>1680</v>
      </c>
      <c r="G77" s="239">
        <v>1680</v>
      </c>
      <c r="H77" s="239">
        <v>1680</v>
      </c>
      <c r="I77" s="236"/>
      <c r="J77" s="239">
        <v>1680</v>
      </c>
      <c r="K77" s="239">
        <v>1680</v>
      </c>
      <c r="L77" s="238">
        <v>1680</v>
      </c>
      <c r="M77" s="239">
        <v>1680</v>
      </c>
      <c r="N77" s="239">
        <v>1680</v>
      </c>
      <c r="O77" s="239">
        <v>1680</v>
      </c>
      <c r="P77" s="236"/>
      <c r="Q77" s="239">
        <v>1680</v>
      </c>
      <c r="R77" s="239">
        <v>1680</v>
      </c>
      <c r="S77" s="238">
        <v>1680</v>
      </c>
      <c r="T77" s="239">
        <v>1680</v>
      </c>
      <c r="U77" s="239">
        <v>1680</v>
      </c>
      <c r="V77" s="239">
        <v>1680</v>
      </c>
      <c r="W77" s="236"/>
      <c r="X77" s="239">
        <v>1680</v>
      </c>
      <c r="Y77" s="239">
        <v>840</v>
      </c>
      <c r="Z77" s="238">
        <v>840</v>
      </c>
      <c r="AA77" s="239">
        <v>1140</v>
      </c>
      <c r="AB77" s="239">
        <v>1520</v>
      </c>
      <c r="AC77" s="239">
        <v>1520</v>
      </c>
      <c r="AD77" s="236"/>
      <c r="AE77" s="239">
        <v>1520</v>
      </c>
      <c r="AF77" s="239">
        <v>1520</v>
      </c>
      <c r="AG77" s="257">
        <v>1520</v>
      </c>
      <c r="AH77" s="258">
        <v>840</v>
      </c>
      <c r="AI77" s="258">
        <v>840</v>
      </c>
      <c r="AJ77" s="8"/>
    </row>
    <row r="78" spans="1:36" ht="15">
      <c r="A78" s="368"/>
      <c r="B78" s="242" t="s">
        <v>177</v>
      </c>
      <c r="C78" s="243">
        <v>32490</v>
      </c>
      <c r="D78" s="243">
        <v>1547.1428571428571</v>
      </c>
      <c r="E78" s="246">
        <v>1680</v>
      </c>
      <c r="F78" s="247">
        <v>1680</v>
      </c>
      <c r="G78" s="247">
        <v>1680</v>
      </c>
      <c r="H78" s="247">
        <v>1730</v>
      </c>
      <c r="I78" s="244"/>
      <c r="J78" s="247">
        <v>1680</v>
      </c>
      <c r="K78" s="247">
        <v>1680</v>
      </c>
      <c r="L78" s="246">
        <v>1680</v>
      </c>
      <c r="M78" s="247">
        <v>1680</v>
      </c>
      <c r="N78" s="247">
        <v>1680</v>
      </c>
      <c r="O78" s="247">
        <v>1680</v>
      </c>
      <c r="P78" s="244"/>
      <c r="Q78" s="247">
        <v>1600</v>
      </c>
      <c r="R78" s="247">
        <v>1680</v>
      </c>
      <c r="S78" s="246">
        <v>1680</v>
      </c>
      <c r="T78" s="247">
        <v>1300</v>
      </c>
      <c r="U78" s="247">
        <v>1680</v>
      </c>
      <c r="V78" s="247">
        <v>1480</v>
      </c>
      <c r="W78" s="244"/>
      <c r="X78" s="247">
        <v>1680</v>
      </c>
      <c r="Y78" s="247">
        <v>840</v>
      </c>
      <c r="Z78" s="246">
        <v>1040</v>
      </c>
      <c r="AA78" s="247">
        <v>1140</v>
      </c>
      <c r="AB78" s="247">
        <v>1520</v>
      </c>
      <c r="AC78" s="245"/>
      <c r="AD78" s="244"/>
      <c r="AE78" s="245"/>
      <c r="AF78" s="245"/>
      <c r="AG78" s="248"/>
      <c r="AH78" s="249"/>
      <c r="AI78" s="249"/>
      <c r="AJ78" s="8"/>
    </row>
    <row r="79" spans="1:36" ht="15">
      <c r="A79" s="368"/>
      <c r="B79" s="242" t="s">
        <v>178</v>
      </c>
      <c r="C79" s="259">
        <v>-410</v>
      </c>
      <c r="D79" s="259">
        <v>-19.523809523809526</v>
      </c>
      <c r="E79" s="246">
        <v>0</v>
      </c>
      <c r="F79" s="247">
        <v>0</v>
      </c>
      <c r="G79" s="247">
        <v>0</v>
      </c>
      <c r="H79" s="247">
        <v>50</v>
      </c>
      <c r="I79" s="244"/>
      <c r="J79" s="247">
        <v>0</v>
      </c>
      <c r="K79" s="247">
        <v>0</v>
      </c>
      <c r="L79" s="246">
        <v>0</v>
      </c>
      <c r="M79" s="247">
        <v>0</v>
      </c>
      <c r="N79" s="247">
        <v>0</v>
      </c>
      <c r="O79" s="247">
        <v>0</v>
      </c>
      <c r="P79" s="244"/>
      <c r="Q79" s="245">
        <v>-80</v>
      </c>
      <c r="R79" s="247">
        <v>0</v>
      </c>
      <c r="S79" s="246">
        <v>0</v>
      </c>
      <c r="T79" s="245">
        <v>-380</v>
      </c>
      <c r="U79" s="247">
        <v>0</v>
      </c>
      <c r="V79" s="245">
        <v>-200</v>
      </c>
      <c r="W79" s="244"/>
      <c r="X79" s="247">
        <v>0</v>
      </c>
      <c r="Y79" s="247">
        <v>0</v>
      </c>
      <c r="Z79" s="246">
        <v>200</v>
      </c>
      <c r="AA79" s="247">
        <v>0</v>
      </c>
      <c r="AB79" s="247">
        <v>0</v>
      </c>
      <c r="AC79" s="245"/>
      <c r="AD79" s="244"/>
      <c r="AE79" s="245"/>
      <c r="AF79" s="245"/>
      <c r="AG79" s="248"/>
      <c r="AH79" s="249"/>
      <c r="AI79" s="249"/>
      <c r="AJ79" s="8"/>
    </row>
    <row r="80" spans="1:36" ht="15">
      <c r="A80" s="368"/>
      <c r="B80" s="242" t="s">
        <v>179</v>
      </c>
      <c r="C80" s="243">
        <v>168</v>
      </c>
      <c r="D80" s="243">
        <v>8</v>
      </c>
      <c r="E80" s="246">
        <v>8</v>
      </c>
      <c r="F80" s="247">
        <v>8</v>
      </c>
      <c r="G80" s="247">
        <v>8</v>
      </c>
      <c r="H80" s="247">
        <v>8</v>
      </c>
      <c r="I80" s="244"/>
      <c r="J80" s="247">
        <v>8</v>
      </c>
      <c r="K80" s="247">
        <v>8</v>
      </c>
      <c r="L80" s="246">
        <v>8</v>
      </c>
      <c r="M80" s="247">
        <v>8</v>
      </c>
      <c r="N80" s="247">
        <v>8</v>
      </c>
      <c r="O80" s="247">
        <v>8</v>
      </c>
      <c r="P80" s="244"/>
      <c r="Q80" s="247">
        <v>8</v>
      </c>
      <c r="R80" s="247">
        <v>8</v>
      </c>
      <c r="S80" s="246">
        <v>8</v>
      </c>
      <c r="T80" s="247">
        <v>8</v>
      </c>
      <c r="U80" s="247">
        <v>8</v>
      </c>
      <c r="V80" s="247">
        <v>8</v>
      </c>
      <c r="W80" s="244"/>
      <c r="X80" s="247">
        <v>8</v>
      </c>
      <c r="Y80" s="247">
        <v>8</v>
      </c>
      <c r="Z80" s="246">
        <v>8</v>
      </c>
      <c r="AA80" s="247">
        <v>8</v>
      </c>
      <c r="AB80" s="247">
        <v>8</v>
      </c>
      <c r="AC80" s="245"/>
      <c r="AD80" s="244"/>
      <c r="AE80" s="245"/>
      <c r="AF80" s="245"/>
      <c r="AG80" s="248"/>
      <c r="AH80" s="249"/>
      <c r="AI80" s="249"/>
      <c r="AJ80" s="8"/>
    </row>
    <row r="81" spans="1:36" ht="15">
      <c r="A81" s="368"/>
      <c r="B81" s="242" t="s">
        <v>180</v>
      </c>
      <c r="C81" s="243">
        <v>72</v>
      </c>
      <c r="D81" s="243">
        <v>72</v>
      </c>
      <c r="E81" s="246">
        <v>72</v>
      </c>
      <c r="F81" s="247">
        <v>72</v>
      </c>
      <c r="G81" s="247">
        <v>71</v>
      </c>
      <c r="H81" s="247">
        <v>68</v>
      </c>
      <c r="I81" s="244"/>
      <c r="J81" s="247">
        <v>72</v>
      </c>
      <c r="K81" s="247">
        <v>72</v>
      </c>
      <c r="L81" s="246">
        <v>72</v>
      </c>
      <c r="M81" s="247">
        <v>73</v>
      </c>
      <c r="N81" s="247">
        <v>71</v>
      </c>
      <c r="O81" s="247">
        <v>72</v>
      </c>
      <c r="P81" s="244"/>
      <c r="Q81" s="247">
        <v>71</v>
      </c>
      <c r="R81" s="247">
        <v>72</v>
      </c>
      <c r="S81" s="246">
        <v>73</v>
      </c>
      <c r="T81" s="247">
        <v>73</v>
      </c>
      <c r="U81" s="247">
        <v>70</v>
      </c>
      <c r="V81" s="247">
        <v>72</v>
      </c>
      <c r="W81" s="244"/>
      <c r="X81" s="247">
        <v>73</v>
      </c>
      <c r="Y81" s="247">
        <v>72</v>
      </c>
      <c r="Z81" s="246">
        <v>73</v>
      </c>
      <c r="AA81" s="247">
        <v>75</v>
      </c>
      <c r="AB81" s="247">
        <v>73</v>
      </c>
      <c r="AC81" s="245"/>
      <c r="AD81" s="244"/>
      <c r="AE81" s="245"/>
      <c r="AF81" s="245"/>
      <c r="AG81" s="248"/>
      <c r="AH81" s="249"/>
      <c r="AI81" s="249"/>
      <c r="AJ81" s="8"/>
    </row>
    <row r="82" spans="1:36" ht="15">
      <c r="A82" s="368"/>
      <c r="B82" s="242" t="s">
        <v>181</v>
      </c>
      <c r="C82" s="243">
        <v>193.39285714285714</v>
      </c>
      <c r="D82" s="243">
        <v>193.39285714285714</v>
      </c>
      <c r="E82" s="246">
        <v>210</v>
      </c>
      <c r="F82" s="247">
        <v>210</v>
      </c>
      <c r="G82" s="247">
        <v>210</v>
      </c>
      <c r="H82" s="247">
        <v>216.25</v>
      </c>
      <c r="I82" s="244"/>
      <c r="J82" s="247">
        <v>210</v>
      </c>
      <c r="K82" s="247">
        <v>210</v>
      </c>
      <c r="L82" s="246">
        <v>210</v>
      </c>
      <c r="M82" s="247">
        <v>210</v>
      </c>
      <c r="N82" s="247">
        <v>210</v>
      </c>
      <c r="O82" s="247">
        <v>210</v>
      </c>
      <c r="P82" s="244"/>
      <c r="Q82" s="247">
        <v>200</v>
      </c>
      <c r="R82" s="247">
        <v>210</v>
      </c>
      <c r="S82" s="246">
        <v>210</v>
      </c>
      <c r="T82" s="247">
        <v>162.5</v>
      </c>
      <c r="U82" s="247">
        <v>210</v>
      </c>
      <c r="V82" s="247">
        <v>185</v>
      </c>
      <c r="W82" s="244"/>
      <c r="X82" s="247">
        <v>210</v>
      </c>
      <c r="Y82" s="247">
        <v>105</v>
      </c>
      <c r="Z82" s="246">
        <v>130</v>
      </c>
      <c r="AA82" s="247">
        <v>142.5</v>
      </c>
      <c r="AB82" s="247">
        <v>190</v>
      </c>
      <c r="AC82" s="245"/>
      <c r="AD82" s="244"/>
      <c r="AE82" s="245"/>
      <c r="AF82" s="245"/>
      <c r="AG82" s="248"/>
      <c r="AH82" s="249"/>
      <c r="AI82" s="249"/>
      <c r="AJ82" s="8"/>
    </row>
    <row r="83" spans="1:36" ht="15">
      <c r="A83" s="369"/>
      <c r="B83" s="250" t="s">
        <v>182</v>
      </c>
      <c r="C83" s="251">
        <v>2.6859999999999999</v>
      </c>
      <c r="D83" s="251">
        <v>2.6859999999999999</v>
      </c>
      <c r="E83" s="254">
        <v>2.9167000000000001</v>
      </c>
      <c r="F83" s="251">
        <v>2.9167000000000001</v>
      </c>
      <c r="G83" s="251">
        <v>2.9577</v>
      </c>
      <c r="H83" s="251">
        <v>3.1800999999999999</v>
      </c>
      <c r="I83" s="252"/>
      <c r="J83" s="251">
        <v>2.9167000000000001</v>
      </c>
      <c r="K83" s="251">
        <v>2.9167000000000001</v>
      </c>
      <c r="L83" s="254">
        <v>2.9167000000000001</v>
      </c>
      <c r="M83" s="251">
        <v>2.8767</v>
      </c>
      <c r="N83" s="251">
        <v>2.9577</v>
      </c>
      <c r="O83" s="251">
        <v>2.9167000000000001</v>
      </c>
      <c r="P83" s="252"/>
      <c r="Q83" s="251">
        <v>2.8169</v>
      </c>
      <c r="R83" s="251">
        <v>2.9167000000000001</v>
      </c>
      <c r="S83" s="254">
        <v>2.8767</v>
      </c>
      <c r="T83" s="251">
        <v>2.226</v>
      </c>
      <c r="U83" s="251">
        <v>3</v>
      </c>
      <c r="V83" s="251">
        <v>2.5693999999999999</v>
      </c>
      <c r="W83" s="252"/>
      <c r="X83" s="251">
        <v>2.8767</v>
      </c>
      <c r="Y83" s="251">
        <v>1.4582999999999999</v>
      </c>
      <c r="Z83" s="254">
        <v>1.7808000000000002</v>
      </c>
      <c r="AA83" s="251">
        <v>1.9</v>
      </c>
      <c r="AB83" s="251">
        <v>2.6027</v>
      </c>
      <c r="AC83" s="253"/>
      <c r="AD83" s="252"/>
      <c r="AE83" s="253"/>
      <c r="AF83" s="253"/>
      <c r="AG83" s="255"/>
      <c r="AH83" s="256"/>
      <c r="AI83" s="256"/>
      <c r="AJ83" s="8"/>
    </row>
    <row r="84" spans="1:36" ht="15">
      <c r="A84" s="367" t="s">
        <v>200</v>
      </c>
      <c r="B84" s="234" t="s">
        <v>175</v>
      </c>
      <c r="C84" s="235">
        <v>39144</v>
      </c>
      <c r="D84" s="235">
        <v>1864</v>
      </c>
      <c r="E84" s="238">
        <v>1848</v>
      </c>
      <c r="F84" s="239">
        <v>1896</v>
      </c>
      <c r="G84" s="239">
        <v>1920</v>
      </c>
      <c r="H84" s="239">
        <v>1920</v>
      </c>
      <c r="I84" s="236"/>
      <c r="J84" s="239">
        <v>1920</v>
      </c>
      <c r="K84" s="239">
        <v>1920</v>
      </c>
      <c r="L84" s="238">
        <v>1920</v>
      </c>
      <c r="M84" s="239">
        <v>1880</v>
      </c>
      <c r="N84" s="239">
        <v>1840</v>
      </c>
      <c r="O84" s="239">
        <v>1840</v>
      </c>
      <c r="P84" s="236"/>
      <c r="Q84" s="239">
        <v>1840</v>
      </c>
      <c r="R84" s="239">
        <v>1840</v>
      </c>
      <c r="S84" s="238">
        <v>1840</v>
      </c>
      <c r="T84" s="239">
        <v>1840</v>
      </c>
      <c r="U84" s="239">
        <v>1840</v>
      </c>
      <c r="V84" s="239">
        <v>1840</v>
      </c>
      <c r="W84" s="236"/>
      <c r="X84" s="239">
        <v>1840</v>
      </c>
      <c r="Y84" s="239">
        <v>1840</v>
      </c>
      <c r="Z84" s="238">
        <v>1840</v>
      </c>
      <c r="AA84" s="239">
        <v>1840</v>
      </c>
      <c r="AB84" s="239">
        <v>1840</v>
      </c>
      <c r="AC84" s="237"/>
      <c r="AD84" s="236"/>
      <c r="AE84" s="237"/>
      <c r="AF84" s="237"/>
      <c r="AG84" s="240"/>
      <c r="AH84" s="241"/>
      <c r="AI84" s="241"/>
      <c r="AJ84" s="8"/>
    </row>
    <row r="85" spans="1:36" ht="15">
      <c r="A85" s="368"/>
      <c r="B85" s="234" t="s">
        <v>176</v>
      </c>
      <c r="C85" s="235">
        <v>37080</v>
      </c>
      <c r="D85" s="235">
        <v>1765.7142857142858</v>
      </c>
      <c r="E85" s="238">
        <v>1840</v>
      </c>
      <c r="F85" s="239">
        <v>1840</v>
      </c>
      <c r="G85" s="239">
        <v>1840</v>
      </c>
      <c r="H85" s="239">
        <v>1840</v>
      </c>
      <c r="I85" s="236"/>
      <c r="J85" s="239">
        <v>1840</v>
      </c>
      <c r="K85" s="239">
        <v>1840</v>
      </c>
      <c r="L85" s="238">
        <v>1840</v>
      </c>
      <c r="M85" s="239">
        <v>1320</v>
      </c>
      <c r="N85" s="239">
        <v>1760</v>
      </c>
      <c r="O85" s="239">
        <v>1760</v>
      </c>
      <c r="P85" s="236"/>
      <c r="Q85" s="239">
        <v>1760</v>
      </c>
      <c r="R85" s="239">
        <v>1760</v>
      </c>
      <c r="S85" s="238">
        <v>1760</v>
      </c>
      <c r="T85" s="239">
        <v>1760</v>
      </c>
      <c r="U85" s="239">
        <v>1760</v>
      </c>
      <c r="V85" s="239">
        <v>1760</v>
      </c>
      <c r="W85" s="236"/>
      <c r="X85" s="239">
        <v>1760</v>
      </c>
      <c r="Y85" s="239">
        <v>1760</v>
      </c>
      <c r="Z85" s="238">
        <v>1760</v>
      </c>
      <c r="AA85" s="239">
        <v>1760</v>
      </c>
      <c r="AB85" s="239">
        <v>1760</v>
      </c>
      <c r="AC85" s="239">
        <v>1200</v>
      </c>
      <c r="AD85" s="236"/>
      <c r="AE85" s="239">
        <v>1600</v>
      </c>
      <c r="AF85" s="239">
        <v>1600</v>
      </c>
      <c r="AG85" s="257">
        <v>1080</v>
      </c>
      <c r="AH85" s="258">
        <v>1440</v>
      </c>
      <c r="AI85" s="258">
        <v>1440</v>
      </c>
      <c r="AJ85" s="8"/>
    </row>
    <row r="86" spans="1:36" ht="15">
      <c r="A86" s="368"/>
      <c r="B86" s="242" t="s">
        <v>177</v>
      </c>
      <c r="C86" s="243">
        <v>37162</v>
      </c>
      <c r="D86" s="243">
        <v>1769.6190476190477</v>
      </c>
      <c r="E86" s="246">
        <v>1840</v>
      </c>
      <c r="F86" s="247">
        <v>1842</v>
      </c>
      <c r="G86" s="247">
        <v>1940</v>
      </c>
      <c r="H86" s="247">
        <v>1890</v>
      </c>
      <c r="I86" s="244"/>
      <c r="J86" s="247">
        <v>1840</v>
      </c>
      <c r="K86" s="247">
        <v>1840</v>
      </c>
      <c r="L86" s="246">
        <v>1840</v>
      </c>
      <c r="M86" s="247">
        <v>1320</v>
      </c>
      <c r="N86" s="247">
        <v>1760</v>
      </c>
      <c r="O86" s="247">
        <v>1760</v>
      </c>
      <c r="P86" s="244"/>
      <c r="Q86" s="247">
        <v>1790</v>
      </c>
      <c r="R86" s="247">
        <v>1760</v>
      </c>
      <c r="S86" s="246">
        <v>1760</v>
      </c>
      <c r="T86" s="247">
        <v>1760</v>
      </c>
      <c r="U86" s="247">
        <v>1760</v>
      </c>
      <c r="V86" s="247">
        <v>1760</v>
      </c>
      <c r="W86" s="244"/>
      <c r="X86" s="247">
        <v>1760</v>
      </c>
      <c r="Y86" s="247">
        <v>1660</v>
      </c>
      <c r="Z86" s="246">
        <v>1760</v>
      </c>
      <c r="AA86" s="247">
        <v>1760</v>
      </c>
      <c r="AB86" s="247">
        <v>1760</v>
      </c>
      <c r="AC86" s="245"/>
      <c r="AD86" s="244"/>
      <c r="AE86" s="245"/>
      <c r="AF86" s="245"/>
      <c r="AG86" s="248"/>
      <c r="AH86" s="249"/>
      <c r="AI86" s="249"/>
      <c r="AJ86" s="8"/>
    </row>
    <row r="87" spans="1:36" ht="15">
      <c r="A87" s="368"/>
      <c r="B87" s="242" t="s">
        <v>178</v>
      </c>
      <c r="C87" s="243">
        <v>82</v>
      </c>
      <c r="D87" s="243">
        <v>3.9047619047619047</v>
      </c>
      <c r="E87" s="246">
        <v>0</v>
      </c>
      <c r="F87" s="247">
        <v>2</v>
      </c>
      <c r="G87" s="247">
        <v>100</v>
      </c>
      <c r="H87" s="247">
        <v>50</v>
      </c>
      <c r="I87" s="244"/>
      <c r="J87" s="247">
        <v>0</v>
      </c>
      <c r="K87" s="247">
        <v>0</v>
      </c>
      <c r="L87" s="246">
        <v>0</v>
      </c>
      <c r="M87" s="247">
        <v>0</v>
      </c>
      <c r="N87" s="247">
        <v>0</v>
      </c>
      <c r="O87" s="247">
        <v>0</v>
      </c>
      <c r="P87" s="244"/>
      <c r="Q87" s="247">
        <v>30</v>
      </c>
      <c r="R87" s="247">
        <v>0</v>
      </c>
      <c r="S87" s="246">
        <v>0</v>
      </c>
      <c r="T87" s="247">
        <v>0</v>
      </c>
      <c r="U87" s="247">
        <v>0</v>
      </c>
      <c r="V87" s="247">
        <v>0</v>
      </c>
      <c r="W87" s="244"/>
      <c r="X87" s="247">
        <v>0</v>
      </c>
      <c r="Y87" s="245">
        <v>-100</v>
      </c>
      <c r="Z87" s="246">
        <v>0</v>
      </c>
      <c r="AA87" s="247">
        <v>0</v>
      </c>
      <c r="AB87" s="247">
        <v>0</v>
      </c>
      <c r="AC87" s="245"/>
      <c r="AD87" s="244"/>
      <c r="AE87" s="245"/>
      <c r="AF87" s="245"/>
      <c r="AG87" s="248"/>
      <c r="AH87" s="249"/>
      <c r="AI87" s="249"/>
      <c r="AJ87" s="8"/>
    </row>
    <row r="88" spans="1:36" ht="15">
      <c r="A88" s="368"/>
      <c r="B88" s="242" t="s">
        <v>179</v>
      </c>
      <c r="C88" s="243">
        <v>168</v>
      </c>
      <c r="D88" s="243">
        <v>8</v>
      </c>
      <c r="E88" s="246">
        <v>8</v>
      </c>
      <c r="F88" s="247">
        <v>8</v>
      </c>
      <c r="G88" s="247">
        <v>8</v>
      </c>
      <c r="H88" s="247">
        <v>8</v>
      </c>
      <c r="I88" s="244"/>
      <c r="J88" s="247">
        <v>8</v>
      </c>
      <c r="K88" s="247">
        <v>8</v>
      </c>
      <c r="L88" s="246">
        <v>8</v>
      </c>
      <c r="M88" s="247">
        <v>8</v>
      </c>
      <c r="N88" s="247">
        <v>8</v>
      </c>
      <c r="O88" s="247">
        <v>8</v>
      </c>
      <c r="P88" s="244"/>
      <c r="Q88" s="247">
        <v>8</v>
      </c>
      <c r="R88" s="247">
        <v>8</v>
      </c>
      <c r="S88" s="246">
        <v>8</v>
      </c>
      <c r="T88" s="247">
        <v>8</v>
      </c>
      <c r="U88" s="247">
        <v>8</v>
      </c>
      <c r="V88" s="247">
        <v>8</v>
      </c>
      <c r="W88" s="244"/>
      <c r="X88" s="247">
        <v>8</v>
      </c>
      <c r="Y88" s="247">
        <v>8</v>
      </c>
      <c r="Z88" s="246">
        <v>8</v>
      </c>
      <c r="AA88" s="247">
        <v>8</v>
      </c>
      <c r="AB88" s="247">
        <v>8</v>
      </c>
      <c r="AC88" s="245"/>
      <c r="AD88" s="244"/>
      <c r="AE88" s="245"/>
      <c r="AF88" s="245"/>
      <c r="AG88" s="248"/>
      <c r="AH88" s="249"/>
      <c r="AI88" s="249"/>
      <c r="AJ88" s="8"/>
    </row>
    <row r="89" spans="1:36" ht="15">
      <c r="A89" s="368"/>
      <c r="B89" s="242" t="s">
        <v>180</v>
      </c>
      <c r="C89" s="243">
        <v>64</v>
      </c>
      <c r="D89" s="243">
        <v>64</v>
      </c>
      <c r="E89" s="246">
        <v>59</v>
      </c>
      <c r="F89" s="247">
        <v>63</v>
      </c>
      <c r="G89" s="247">
        <v>66</v>
      </c>
      <c r="H89" s="247">
        <v>65</v>
      </c>
      <c r="I89" s="244"/>
      <c r="J89" s="247">
        <v>61</v>
      </c>
      <c r="K89" s="247">
        <v>63</v>
      </c>
      <c r="L89" s="246">
        <v>63</v>
      </c>
      <c r="M89" s="247">
        <v>63</v>
      </c>
      <c r="N89" s="247">
        <v>65</v>
      </c>
      <c r="O89" s="247">
        <v>65</v>
      </c>
      <c r="P89" s="244"/>
      <c r="Q89" s="247">
        <v>66</v>
      </c>
      <c r="R89" s="247">
        <v>66</v>
      </c>
      <c r="S89" s="246">
        <v>65</v>
      </c>
      <c r="T89" s="247">
        <v>64</v>
      </c>
      <c r="U89" s="247">
        <v>65</v>
      </c>
      <c r="V89" s="247">
        <v>64</v>
      </c>
      <c r="W89" s="244"/>
      <c r="X89" s="247">
        <v>63</v>
      </c>
      <c r="Y89" s="247">
        <v>66</v>
      </c>
      <c r="Z89" s="246">
        <v>66</v>
      </c>
      <c r="AA89" s="247">
        <v>67</v>
      </c>
      <c r="AB89" s="247">
        <v>63</v>
      </c>
      <c r="AC89" s="245"/>
      <c r="AD89" s="244"/>
      <c r="AE89" s="245"/>
      <c r="AF89" s="245"/>
      <c r="AG89" s="248"/>
      <c r="AH89" s="249"/>
      <c r="AI89" s="249"/>
      <c r="AJ89" s="8"/>
    </row>
    <row r="90" spans="1:36" ht="15">
      <c r="A90" s="368"/>
      <c r="B90" s="242" t="s">
        <v>181</v>
      </c>
      <c r="C90" s="243">
        <v>221.20238095238096</v>
      </c>
      <c r="D90" s="243">
        <v>221.20238095238096</v>
      </c>
      <c r="E90" s="246">
        <v>230</v>
      </c>
      <c r="F90" s="247">
        <v>230.25</v>
      </c>
      <c r="G90" s="247">
        <v>242.5</v>
      </c>
      <c r="H90" s="247">
        <v>236.25</v>
      </c>
      <c r="I90" s="244"/>
      <c r="J90" s="247">
        <v>230</v>
      </c>
      <c r="K90" s="247">
        <v>230</v>
      </c>
      <c r="L90" s="246">
        <v>230</v>
      </c>
      <c r="M90" s="247">
        <v>165</v>
      </c>
      <c r="N90" s="247">
        <v>220</v>
      </c>
      <c r="O90" s="247">
        <v>220</v>
      </c>
      <c r="P90" s="244"/>
      <c r="Q90" s="247">
        <v>223.75</v>
      </c>
      <c r="R90" s="247">
        <v>220</v>
      </c>
      <c r="S90" s="246">
        <v>220</v>
      </c>
      <c r="T90" s="247">
        <v>220</v>
      </c>
      <c r="U90" s="247">
        <v>220</v>
      </c>
      <c r="V90" s="247">
        <v>220</v>
      </c>
      <c r="W90" s="244"/>
      <c r="X90" s="247">
        <v>220</v>
      </c>
      <c r="Y90" s="247">
        <v>207.5</v>
      </c>
      <c r="Z90" s="246">
        <v>220</v>
      </c>
      <c r="AA90" s="247">
        <v>220</v>
      </c>
      <c r="AB90" s="247">
        <v>220</v>
      </c>
      <c r="AC90" s="245"/>
      <c r="AD90" s="244"/>
      <c r="AE90" s="245"/>
      <c r="AF90" s="245"/>
      <c r="AG90" s="248"/>
      <c r="AH90" s="249"/>
      <c r="AI90" s="249"/>
      <c r="AJ90" s="8"/>
    </row>
    <row r="91" spans="1:36" ht="15">
      <c r="A91" s="369"/>
      <c r="B91" s="250" t="s">
        <v>182</v>
      </c>
      <c r="C91" s="251">
        <v>3.4563000000000001</v>
      </c>
      <c r="D91" s="251">
        <v>3.4563000000000001</v>
      </c>
      <c r="E91" s="254">
        <v>3.8982999999999999</v>
      </c>
      <c r="F91" s="251">
        <v>3.6547999999999998</v>
      </c>
      <c r="G91" s="251">
        <v>3.6741999999999999</v>
      </c>
      <c r="H91" s="251">
        <v>3.6345999999999998</v>
      </c>
      <c r="I91" s="252"/>
      <c r="J91" s="251">
        <v>3.7705000000000002</v>
      </c>
      <c r="K91" s="251">
        <v>3.6508000000000003</v>
      </c>
      <c r="L91" s="254">
        <v>3.6508000000000003</v>
      </c>
      <c r="M91" s="251">
        <v>2.6189999999999998</v>
      </c>
      <c r="N91" s="251">
        <v>3.3845999999999998</v>
      </c>
      <c r="O91" s="251">
        <v>3.3845999999999998</v>
      </c>
      <c r="P91" s="252"/>
      <c r="Q91" s="251">
        <v>3.3902000000000001</v>
      </c>
      <c r="R91" s="251">
        <v>3.3332999999999999</v>
      </c>
      <c r="S91" s="254">
        <v>3.3845999999999998</v>
      </c>
      <c r="T91" s="251">
        <v>3.4375</v>
      </c>
      <c r="U91" s="251">
        <v>3.3845999999999998</v>
      </c>
      <c r="V91" s="251">
        <v>3.4375</v>
      </c>
      <c r="W91" s="252"/>
      <c r="X91" s="251">
        <v>3.4920999999999998</v>
      </c>
      <c r="Y91" s="251">
        <v>3.1438999999999999</v>
      </c>
      <c r="Z91" s="254">
        <v>3.3332999999999999</v>
      </c>
      <c r="AA91" s="251">
        <v>3.2835999999999999</v>
      </c>
      <c r="AB91" s="251">
        <v>3.4920999999999998</v>
      </c>
      <c r="AC91" s="253"/>
      <c r="AD91" s="252"/>
      <c r="AE91" s="253"/>
      <c r="AF91" s="253"/>
      <c r="AG91" s="255"/>
      <c r="AH91" s="256"/>
      <c r="AI91" s="256"/>
      <c r="AJ91" s="8"/>
    </row>
    <row r="92" spans="1:36" ht="15">
      <c r="A92" s="367" t="s">
        <v>201</v>
      </c>
      <c r="B92" s="234" t="s">
        <v>45</v>
      </c>
      <c r="C92" s="235">
        <v>38832</v>
      </c>
      <c r="D92" s="235">
        <v>1849.1428571428571</v>
      </c>
      <c r="E92" s="238">
        <v>1864</v>
      </c>
      <c r="F92" s="239">
        <v>1896</v>
      </c>
      <c r="G92" s="239">
        <v>1920</v>
      </c>
      <c r="H92" s="239">
        <v>1920</v>
      </c>
      <c r="I92" s="236"/>
      <c r="J92" s="239">
        <v>1920</v>
      </c>
      <c r="K92" s="239">
        <v>1920</v>
      </c>
      <c r="L92" s="238">
        <v>1920</v>
      </c>
      <c r="M92" s="239">
        <v>1920</v>
      </c>
      <c r="N92" s="239">
        <v>1920</v>
      </c>
      <c r="O92" s="239">
        <v>1920</v>
      </c>
      <c r="P92" s="236"/>
      <c r="Q92" s="239">
        <v>1896</v>
      </c>
      <c r="R92" s="239">
        <v>1824</v>
      </c>
      <c r="S92" s="238">
        <v>1840</v>
      </c>
      <c r="T92" s="239">
        <v>1792</v>
      </c>
      <c r="U92" s="239">
        <v>1760</v>
      </c>
      <c r="V92" s="239">
        <v>1800</v>
      </c>
      <c r="W92" s="236"/>
      <c r="X92" s="239">
        <v>1760</v>
      </c>
      <c r="Y92" s="239">
        <v>1760</v>
      </c>
      <c r="Z92" s="238">
        <v>1760</v>
      </c>
      <c r="AA92" s="239">
        <v>1760</v>
      </c>
      <c r="AB92" s="239">
        <v>1760</v>
      </c>
      <c r="AC92" s="237"/>
      <c r="AD92" s="236"/>
      <c r="AE92" s="237"/>
      <c r="AF92" s="237"/>
      <c r="AG92" s="240"/>
      <c r="AH92" s="241"/>
      <c r="AI92" s="241"/>
      <c r="AJ92" s="8"/>
    </row>
    <row r="93" spans="1:36" ht="15">
      <c r="A93" s="368"/>
      <c r="B93" s="234" t="s">
        <v>46</v>
      </c>
      <c r="C93" s="235">
        <v>35000</v>
      </c>
      <c r="D93" s="235">
        <v>1666.6666666666667</v>
      </c>
      <c r="E93" s="238">
        <v>1840</v>
      </c>
      <c r="F93" s="239">
        <v>1840</v>
      </c>
      <c r="G93" s="239">
        <v>1840</v>
      </c>
      <c r="H93" s="239">
        <v>1840</v>
      </c>
      <c r="I93" s="236"/>
      <c r="J93" s="239">
        <v>1840</v>
      </c>
      <c r="K93" s="239">
        <v>1840</v>
      </c>
      <c r="L93" s="238">
        <v>1840</v>
      </c>
      <c r="M93" s="239">
        <v>1840</v>
      </c>
      <c r="N93" s="239">
        <v>1840</v>
      </c>
      <c r="O93" s="239">
        <v>1840</v>
      </c>
      <c r="P93" s="236"/>
      <c r="Q93" s="239">
        <v>1840</v>
      </c>
      <c r="R93" s="239">
        <v>1840</v>
      </c>
      <c r="S93" s="238">
        <v>1080</v>
      </c>
      <c r="T93" s="239">
        <v>1440</v>
      </c>
      <c r="U93" s="239">
        <v>1440</v>
      </c>
      <c r="V93" s="239">
        <v>1440</v>
      </c>
      <c r="W93" s="236"/>
      <c r="X93" s="239">
        <v>1440</v>
      </c>
      <c r="Y93" s="239">
        <v>1440</v>
      </c>
      <c r="Z93" s="238">
        <v>1760</v>
      </c>
      <c r="AA93" s="239">
        <v>1440</v>
      </c>
      <c r="AB93" s="239">
        <v>1440</v>
      </c>
      <c r="AC93" s="239">
        <v>1440</v>
      </c>
      <c r="AD93" s="236"/>
      <c r="AE93" s="239">
        <v>1440</v>
      </c>
      <c r="AF93" s="239">
        <v>1440</v>
      </c>
      <c r="AG93" s="257">
        <v>1440</v>
      </c>
      <c r="AH93" s="258">
        <v>1440</v>
      </c>
      <c r="AI93" s="258">
        <v>1440</v>
      </c>
      <c r="AJ93" s="8"/>
    </row>
    <row r="94" spans="1:36" ht="15">
      <c r="A94" s="368"/>
      <c r="B94" s="242" t="s">
        <v>47</v>
      </c>
      <c r="C94" s="243">
        <v>35430</v>
      </c>
      <c r="D94" s="243">
        <v>1687.1428571428571</v>
      </c>
      <c r="E94" s="246">
        <v>1840</v>
      </c>
      <c r="F94" s="247">
        <v>1840</v>
      </c>
      <c r="G94" s="247">
        <v>1640</v>
      </c>
      <c r="H94" s="247">
        <v>1840</v>
      </c>
      <c r="I94" s="244"/>
      <c r="J94" s="247">
        <v>1840</v>
      </c>
      <c r="K94" s="247">
        <v>1840</v>
      </c>
      <c r="L94" s="246">
        <v>1840</v>
      </c>
      <c r="M94" s="247">
        <v>1840</v>
      </c>
      <c r="N94" s="247">
        <v>1840</v>
      </c>
      <c r="O94" s="247">
        <v>1840</v>
      </c>
      <c r="P94" s="244"/>
      <c r="Q94" s="247">
        <v>1840</v>
      </c>
      <c r="R94" s="247">
        <v>1840</v>
      </c>
      <c r="S94" s="246">
        <v>1080</v>
      </c>
      <c r="T94" s="247">
        <v>1620</v>
      </c>
      <c r="U94" s="247">
        <v>1440</v>
      </c>
      <c r="V94" s="247">
        <v>1540</v>
      </c>
      <c r="W94" s="244"/>
      <c r="X94" s="247">
        <v>1490</v>
      </c>
      <c r="Y94" s="247">
        <v>1540</v>
      </c>
      <c r="Z94" s="246">
        <v>1760</v>
      </c>
      <c r="AA94" s="247">
        <v>1440</v>
      </c>
      <c r="AB94" s="247">
        <v>1640</v>
      </c>
      <c r="AC94" s="245"/>
      <c r="AD94" s="244"/>
      <c r="AE94" s="245"/>
      <c r="AF94" s="245"/>
      <c r="AG94" s="248"/>
      <c r="AH94" s="249"/>
      <c r="AI94" s="249"/>
      <c r="AJ94" s="8"/>
    </row>
    <row r="95" spans="1:36" ht="15">
      <c r="A95" s="368"/>
      <c r="B95" s="242" t="s">
        <v>48</v>
      </c>
      <c r="C95" s="243">
        <v>430</v>
      </c>
      <c r="D95" s="243">
        <v>20.476190476190474</v>
      </c>
      <c r="E95" s="246">
        <v>0</v>
      </c>
      <c r="F95" s="247">
        <v>0</v>
      </c>
      <c r="G95" s="245">
        <v>-200</v>
      </c>
      <c r="H95" s="247">
        <v>0</v>
      </c>
      <c r="I95" s="244"/>
      <c r="J95" s="247">
        <v>0</v>
      </c>
      <c r="K95" s="247">
        <v>0</v>
      </c>
      <c r="L95" s="246">
        <v>0</v>
      </c>
      <c r="M95" s="247">
        <v>0</v>
      </c>
      <c r="N95" s="247">
        <v>0</v>
      </c>
      <c r="O95" s="247">
        <v>0</v>
      </c>
      <c r="P95" s="244"/>
      <c r="Q95" s="247">
        <v>0</v>
      </c>
      <c r="R95" s="247">
        <v>0</v>
      </c>
      <c r="S95" s="246">
        <v>0</v>
      </c>
      <c r="T95" s="247">
        <v>180</v>
      </c>
      <c r="U95" s="247">
        <v>0</v>
      </c>
      <c r="V95" s="247">
        <v>100</v>
      </c>
      <c r="W95" s="244"/>
      <c r="X95" s="247">
        <v>50</v>
      </c>
      <c r="Y95" s="247">
        <v>100</v>
      </c>
      <c r="Z95" s="246">
        <v>0</v>
      </c>
      <c r="AA95" s="247">
        <v>0</v>
      </c>
      <c r="AB95" s="247">
        <v>200</v>
      </c>
      <c r="AC95" s="245"/>
      <c r="AD95" s="244"/>
      <c r="AE95" s="245"/>
      <c r="AF95" s="245"/>
      <c r="AG95" s="248"/>
      <c r="AH95" s="249"/>
      <c r="AI95" s="249"/>
      <c r="AJ95" s="8"/>
    </row>
    <row r="96" spans="1:36" ht="15">
      <c r="A96" s="368"/>
      <c r="B96" s="242" t="s">
        <v>49</v>
      </c>
      <c r="C96" s="243">
        <v>168</v>
      </c>
      <c r="D96" s="243">
        <v>8</v>
      </c>
      <c r="E96" s="246">
        <v>8</v>
      </c>
      <c r="F96" s="247">
        <v>8</v>
      </c>
      <c r="G96" s="247">
        <v>8</v>
      </c>
      <c r="H96" s="247">
        <v>8</v>
      </c>
      <c r="I96" s="244"/>
      <c r="J96" s="247">
        <v>8</v>
      </c>
      <c r="K96" s="247">
        <v>8</v>
      </c>
      <c r="L96" s="246">
        <v>8</v>
      </c>
      <c r="M96" s="247">
        <v>8</v>
      </c>
      <c r="N96" s="247">
        <v>8</v>
      </c>
      <c r="O96" s="247">
        <v>8</v>
      </c>
      <c r="P96" s="244"/>
      <c r="Q96" s="247">
        <v>8</v>
      </c>
      <c r="R96" s="247">
        <v>8</v>
      </c>
      <c r="S96" s="246">
        <v>8</v>
      </c>
      <c r="T96" s="247">
        <v>8</v>
      </c>
      <c r="U96" s="247">
        <v>8</v>
      </c>
      <c r="V96" s="247">
        <v>8</v>
      </c>
      <c r="W96" s="244"/>
      <c r="X96" s="247">
        <v>8</v>
      </c>
      <c r="Y96" s="247">
        <v>8</v>
      </c>
      <c r="Z96" s="246">
        <v>8</v>
      </c>
      <c r="AA96" s="247">
        <v>8</v>
      </c>
      <c r="AB96" s="247">
        <v>8</v>
      </c>
      <c r="AC96" s="245"/>
      <c r="AD96" s="244"/>
      <c r="AE96" s="245"/>
      <c r="AF96" s="245"/>
      <c r="AG96" s="248"/>
      <c r="AH96" s="249"/>
      <c r="AI96" s="249"/>
      <c r="AJ96" s="8"/>
    </row>
    <row r="97" spans="1:36" ht="15">
      <c r="A97" s="368"/>
      <c r="B97" s="242" t="s">
        <v>50</v>
      </c>
      <c r="C97" s="243">
        <v>68</v>
      </c>
      <c r="D97" s="243">
        <v>68</v>
      </c>
      <c r="E97" s="246">
        <v>69</v>
      </c>
      <c r="F97" s="247">
        <v>69</v>
      </c>
      <c r="G97" s="247">
        <v>69</v>
      </c>
      <c r="H97" s="247">
        <v>65</v>
      </c>
      <c r="I97" s="244"/>
      <c r="J97" s="247">
        <v>66</v>
      </c>
      <c r="K97" s="247">
        <v>65</v>
      </c>
      <c r="L97" s="246">
        <v>67</v>
      </c>
      <c r="M97" s="247">
        <v>64</v>
      </c>
      <c r="N97" s="247">
        <v>68</v>
      </c>
      <c r="O97" s="247">
        <v>69</v>
      </c>
      <c r="P97" s="244"/>
      <c r="Q97" s="247">
        <v>70</v>
      </c>
      <c r="R97" s="247">
        <v>71</v>
      </c>
      <c r="S97" s="246">
        <v>67</v>
      </c>
      <c r="T97" s="247">
        <v>70</v>
      </c>
      <c r="U97" s="247">
        <v>71</v>
      </c>
      <c r="V97" s="247">
        <v>67</v>
      </c>
      <c r="W97" s="244"/>
      <c r="X97" s="247">
        <v>71</v>
      </c>
      <c r="Y97" s="247">
        <v>71</v>
      </c>
      <c r="Z97" s="246">
        <v>72</v>
      </c>
      <c r="AA97" s="247">
        <v>72</v>
      </c>
      <c r="AB97" s="247">
        <v>72</v>
      </c>
      <c r="AC97" s="245"/>
      <c r="AD97" s="244"/>
      <c r="AE97" s="245"/>
      <c r="AF97" s="245"/>
      <c r="AG97" s="248"/>
      <c r="AH97" s="249"/>
      <c r="AI97" s="249"/>
      <c r="AJ97" s="8"/>
    </row>
    <row r="98" spans="1:36" ht="15">
      <c r="A98" s="368"/>
      <c r="B98" s="242" t="s">
        <v>51</v>
      </c>
      <c r="C98" s="243">
        <v>210.89285714285714</v>
      </c>
      <c r="D98" s="243">
        <v>210.89285714285714</v>
      </c>
      <c r="E98" s="246">
        <v>230</v>
      </c>
      <c r="F98" s="247">
        <v>230</v>
      </c>
      <c r="G98" s="247">
        <v>205</v>
      </c>
      <c r="H98" s="247">
        <v>230</v>
      </c>
      <c r="I98" s="244"/>
      <c r="J98" s="247">
        <v>230</v>
      </c>
      <c r="K98" s="247">
        <v>230</v>
      </c>
      <c r="L98" s="246">
        <v>230</v>
      </c>
      <c r="M98" s="247">
        <v>230</v>
      </c>
      <c r="N98" s="247">
        <v>230</v>
      </c>
      <c r="O98" s="247">
        <v>230</v>
      </c>
      <c r="P98" s="244"/>
      <c r="Q98" s="247">
        <v>230</v>
      </c>
      <c r="R98" s="247">
        <v>230</v>
      </c>
      <c r="S98" s="246">
        <v>135</v>
      </c>
      <c r="T98" s="247">
        <v>202.5</v>
      </c>
      <c r="U98" s="247">
        <v>180</v>
      </c>
      <c r="V98" s="247">
        <v>192.5</v>
      </c>
      <c r="W98" s="244"/>
      <c r="X98" s="247">
        <v>186.25</v>
      </c>
      <c r="Y98" s="247">
        <v>192.5</v>
      </c>
      <c r="Z98" s="246">
        <v>220</v>
      </c>
      <c r="AA98" s="247">
        <v>180</v>
      </c>
      <c r="AB98" s="247">
        <v>205</v>
      </c>
      <c r="AC98" s="245"/>
      <c r="AD98" s="244"/>
      <c r="AE98" s="245"/>
      <c r="AF98" s="245"/>
      <c r="AG98" s="248"/>
      <c r="AH98" s="249"/>
      <c r="AI98" s="249"/>
      <c r="AJ98" s="8"/>
    </row>
    <row r="99" spans="1:36" ht="15">
      <c r="A99" s="369"/>
      <c r="B99" s="250" t="s">
        <v>52</v>
      </c>
      <c r="C99" s="251">
        <v>3.1013999999999999</v>
      </c>
      <c r="D99" s="251">
        <v>3.1013999999999999</v>
      </c>
      <c r="E99" s="254">
        <v>3.3332999999999999</v>
      </c>
      <c r="F99" s="251">
        <v>3.3332999999999999</v>
      </c>
      <c r="G99" s="251">
        <v>2.9710000000000001</v>
      </c>
      <c r="H99" s="251">
        <v>3.5385</v>
      </c>
      <c r="I99" s="252"/>
      <c r="J99" s="251">
        <v>3.4847999999999999</v>
      </c>
      <c r="K99" s="251">
        <v>3.5385</v>
      </c>
      <c r="L99" s="254">
        <v>3.4327999999999999</v>
      </c>
      <c r="M99" s="251">
        <v>3.5937999999999999</v>
      </c>
      <c r="N99" s="251">
        <v>3.3824000000000001</v>
      </c>
      <c r="O99" s="251">
        <v>3.3332999999999999</v>
      </c>
      <c r="P99" s="252"/>
      <c r="Q99" s="251">
        <v>3.2856999999999998</v>
      </c>
      <c r="R99" s="251">
        <v>3.2393999999999998</v>
      </c>
      <c r="S99" s="254">
        <v>2.0148999999999999</v>
      </c>
      <c r="T99" s="251">
        <v>2.8929</v>
      </c>
      <c r="U99" s="251">
        <v>2.5352000000000001</v>
      </c>
      <c r="V99" s="251">
        <v>2.8731</v>
      </c>
      <c r="W99" s="252"/>
      <c r="X99" s="251">
        <v>2.6231999999999998</v>
      </c>
      <c r="Y99" s="251">
        <v>2.7113</v>
      </c>
      <c r="Z99" s="254">
        <v>3.0556000000000001</v>
      </c>
      <c r="AA99" s="251">
        <v>2.5</v>
      </c>
      <c r="AB99" s="251">
        <v>2.8472</v>
      </c>
      <c r="AC99" s="253"/>
      <c r="AD99" s="252"/>
      <c r="AE99" s="253"/>
      <c r="AF99" s="253"/>
      <c r="AG99" s="255"/>
      <c r="AH99" s="256"/>
      <c r="AI99" s="256"/>
      <c r="AJ99" s="8"/>
    </row>
    <row r="100" spans="1:36" ht="15">
      <c r="A100" s="367" t="s">
        <v>202</v>
      </c>
      <c r="B100" s="234" t="s">
        <v>45</v>
      </c>
      <c r="C100" s="235">
        <v>35128</v>
      </c>
      <c r="D100" s="235">
        <v>1672.7619047619048</v>
      </c>
      <c r="E100" s="238">
        <v>1680</v>
      </c>
      <c r="F100" s="239">
        <v>1760</v>
      </c>
      <c r="G100" s="239">
        <v>1760</v>
      </c>
      <c r="H100" s="239">
        <v>1760</v>
      </c>
      <c r="I100" s="236"/>
      <c r="J100" s="239">
        <v>1760</v>
      </c>
      <c r="K100" s="239">
        <v>1760</v>
      </c>
      <c r="L100" s="238">
        <v>1760</v>
      </c>
      <c r="M100" s="239">
        <v>1760</v>
      </c>
      <c r="N100" s="239">
        <v>1760</v>
      </c>
      <c r="O100" s="239">
        <v>1760</v>
      </c>
      <c r="P100" s="236"/>
      <c r="Q100" s="239">
        <v>1760</v>
      </c>
      <c r="R100" s="239">
        <v>1760</v>
      </c>
      <c r="S100" s="238">
        <v>1760</v>
      </c>
      <c r="T100" s="239">
        <v>1560</v>
      </c>
      <c r="U100" s="239">
        <v>1520</v>
      </c>
      <c r="V100" s="239">
        <v>1360</v>
      </c>
      <c r="W100" s="236"/>
      <c r="X100" s="239">
        <v>1360</v>
      </c>
      <c r="Y100" s="239">
        <v>1600</v>
      </c>
      <c r="Z100" s="238">
        <v>1568</v>
      </c>
      <c r="AA100" s="239">
        <v>1680</v>
      </c>
      <c r="AB100" s="239">
        <v>1680</v>
      </c>
      <c r="AC100" s="237"/>
      <c r="AD100" s="236"/>
      <c r="AE100" s="237"/>
      <c r="AF100" s="237"/>
      <c r="AG100" s="240"/>
      <c r="AH100" s="241"/>
      <c r="AI100" s="241"/>
      <c r="AJ100" s="8"/>
    </row>
    <row r="101" spans="1:36" ht="15">
      <c r="A101" s="368"/>
      <c r="B101" s="234" t="s">
        <v>46</v>
      </c>
      <c r="C101" s="235">
        <v>31800</v>
      </c>
      <c r="D101" s="235">
        <v>1514.2857142857142</v>
      </c>
      <c r="E101" s="238">
        <v>1680</v>
      </c>
      <c r="F101" s="239">
        <v>1680</v>
      </c>
      <c r="G101" s="239">
        <v>1680</v>
      </c>
      <c r="H101" s="239">
        <v>1680</v>
      </c>
      <c r="I101" s="236"/>
      <c r="J101" s="239">
        <v>1680</v>
      </c>
      <c r="K101" s="239">
        <v>1680</v>
      </c>
      <c r="L101" s="238">
        <v>1680</v>
      </c>
      <c r="M101" s="239">
        <v>1680</v>
      </c>
      <c r="N101" s="239">
        <v>1680</v>
      </c>
      <c r="O101" s="239">
        <v>1680</v>
      </c>
      <c r="P101" s="236"/>
      <c r="Q101" s="239">
        <v>960</v>
      </c>
      <c r="R101" s="239">
        <v>960</v>
      </c>
      <c r="S101" s="238">
        <v>1280</v>
      </c>
      <c r="T101" s="239">
        <v>1280</v>
      </c>
      <c r="U101" s="239">
        <v>1280</v>
      </c>
      <c r="V101" s="239">
        <v>1260</v>
      </c>
      <c r="W101" s="236"/>
      <c r="X101" s="239">
        <v>1260</v>
      </c>
      <c r="Y101" s="239">
        <v>1680</v>
      </c>
      <c r="Z101" s="238">
        <v>1680</v>
      </c>
      <c r="AA101" s="239">
        <v>1680</v>
      </c>
      <c r="AB101" s="239">
        <v>1680</v>
      </c>
      <c r="AC101" s="239">
        <v>1680</v>
      </c>
      <c r="AD101" s="236"/>
      <c r="AE101" s="239">
        <v>1680</v>
      </c>
      <c r="AF101" s="239">
        <v>990</v>
      </c>
      <c r="AG101" s="257">
        <v>990</v>
      </c>
      <c r="AH101" s="258">
        <v>1320</v>
      </c>
      <c r="AI101" s="258">
        <v>1320</v>
      </c>
      <c r="AJ101" s="8"/>
    </row>
    <row r="102" spans="1:36" ht="15">
      <c r="A102" s="368"/>
      <c r="B102" s="242" t="s">
        <v>47</v>
      </c>
      <c r="C102" s="243">
        <v>29120</v>
      </c>
      <c r="D102" s="243">
        <v>1386.6666666666667</v>
      </c>
      <c r="E102" s="246">
        <v>1240</v>
      </c>
      <c r="F102" s="247">
        <v>1680</v>
      </c>
      <c r="G102" s="247">
        <v>1680</v>
      </c>
      <c r="H102" s="247">
        <v>1680</v>
      </c>
      <c r="I102" s="244"/>
      <c r="J102" s="247">
        <v>1680</v>
      </c>
      <c r="K102" s="247">
        <v>1680</v>
      </c>
      <c r="L102" s="246">
        <v>1680</v>
      </c>
      <c r="M102" s="247">
        <v>1528</v>
      </c>
      <c r="N102" s="247">
        <v>1530</v>
      </c>
      <c r="O102" s="247">
        <v>1440</v>
      </c>
      <c r="P102" s="244"/>
      <c r="Q102" s="247">
        <v>1200</v>
      </c>
      <c r="R102" s="247">
        <v>1260</v>
      </c>
      <c r="S102" s="246">
        <v>1280</v>
      </c>
      <c r="T102" s="247">
        <v>1280</v>
      </c>
      <c r="U102" s="247">
        <v>1530</v>
      </c>
      <c r="V102" s="247">
        <v>1460</v>
      </c>
      <c r="W102" s="244"/>
      <c r="X102" s="247">
        <v>760</v>
      </c>
      <c r="Y102" s="247">
        <v>668</v>
      </c>
      <c r="Z102" s="246">
        <v>1384</v>
      </c>
      <c r="AA102" s="247">
        <v>1380</v>
      </c>
      <c r="AB102" s="247">
        <v>1100</v>
      </c>
      <c r="AC102" s="245"/>
      <c r="AD102" s="244"/>
      <c r="AE102" s="245"/>
      <c r="AF102" s="245"/>
      <c r="AG102" s="248"/>
      <c r="AH102" s="249"/>
      <c r="AI102" s="249"/>
      <c r="AJ102" s="8"/>
    </row>
    <row r="103" spans="1:36" ht="15">
      <c r="A103" s="368"/>
      <c r="B103" s="242" t="s">
        <v>48</v>
      </c>
      <c r="C103" s="259">
        <v>-2680</v>
      </c>
      <c r="D103" s="259">
        <v>-127.61904761904762</v>
      </c>
      <c r="E103" s="244">
        <v>-440</v>
      </c>
      <c r="F103" s="247">
        <v>0</v>
      </c>
      <c r="G103" s="247">
        <v>0</v>
      </c>
      <c r="H103" s="247">
        <v>0</v>
      </c>
      <c r="I103" s="244"/>
      <c r="J103" s="247">
        <v>0</v>
      </c>
      <c r="K103" s="247">
        <v>0</v>
      </c>
      <c r="L103" s="246">
        <v>0</v>
      </c>
      <c r="M103" s="245">
        <v>-152</v>
      </c>
      <c r="N103" s="245">
        <v>-150</v>
      </c>
      <c r="O103" s="245">
        <v>-240</v>
      </c>
      <c r="P103" s="244"/>
      <c r="Q103" s="247">
        <v>240</v>
      </c>
      <c r="R103" s="247">
        <v>300</v>
      </c>
      <c r="S103" s="246">
        <v>0</v>
      </c>
      <c r="T103" s="247">
        <v>0</v>
      </c>
      <c r="U103" s="247">
        <v>250</v>
      </c>
      <c r="V103" s="247">
        <v>200</v>
      </c>
      <c r="W103" s="244"/>
      <c r="X103" s="245">
        <v>-500</v>
      </c>
      <c r="Y103" s="245">
        <v>-1012</v>
      </c>
      <c r="Z103" s="244">
        <v>-296</v>
      </c>
      <c r="AA103" s="245">
        <v>-300</v>
      </c>
      <c r="AB103" s="245">
        <v>-580</v>
      </c>
      <c r="AC103" s="245"/>
      <c r="AD103" s="244"/>
      <c r="AE103" s="245"/>
      <c r="AF103" s="245"/>
      <c r="AG103" s="248"/>
      <c r="AH103" s="249"/>
      <c r="AI103" s="249"/>
      <c r="AJ103" s="8"/>
    </row>
    <row r="104" spans="1:36" ht="15">
      <c r="A104" s="368"/>
      <c r="B104" s="242" t="s">
        <v>49</v>
      </c>
      <c r="C104" s="243">
        <v>168</v>
      </c>
      <c r="D104" s="243">
        <v>8</v>
      </c>
      <c r="E104" s="246">
        <v>8</v>
      </c>
      <c r="F104" s="247">
        <v>8</v>
      </c>
      <c r="G104" s="247">
        <v>8</v>
      </c>
      <c r="H104" s="247">
        <v>8</v>
      </c>
      <c r="I104" s="244"/>
      <c r="J104" s="247">
        <v>8</v>
      </c>
      <c r="K104" s="247">
        <v>8</v>
      </c>
      <c r="L104" s="246">
        <v>8</v>
      </c>
      <c r="M104" s="247">
        <v>8</v>
      </c>
      <c r="N104" s="247">
        <v>8</v>
      </c>
      <c r="O104" s="247">
        <v>8</v>
      </c>
      <c r="P104" s="244"/>
      <c r="Q104" s="247">
        <v>8</v>
      </c>
      <c r="R104" s="247">
        <v>8</v>
      </c>
      <c r="S104" s="246">
        <v>8</v>
      </c>
      <c r="T104" s="247">
        <v>8</v>
      </c>
      <c r="U104" s="247">
        <v>8</v>
      </c>
      <c r="V104" s="247">
        <v>8</v>
      </c>
      <c r="W104" s="244"/>
      <c r="X104" s="247">
        <v>8</v>
      </c>
      <c r="Y104" s="247">
        <v>8</v>
      </c>
      <c r="Z104" s="246">
        <v>8</v>
      </c>
      <c r="AA104" s="247">
        <v>8</v>
      </c>
      <c r="AB104" s="247">
        <v>8</v>
      </c>
      <c r="AC104" s="245"/>
      <c r="AD104" s="244"/>
      <c r="AE104" s="245"/>
      <c r="AF104" s="245"/>
      <c r="AG104" s="248"/>
      <c r="AH104" s="249"/>
      <c r="AI104" s="249"/>
      <c r="AJ104" s="8"/>
    </row>
    <row r="105" spans="1:36" ht="15">
      <c r="A105" s="368"/>
      <c r="B105" s="242" t="s">
        <v>50</v>
      </c>
      <c r="C105" s="243">
        <v>68</v>
      </c>
      <c r="D105" s="243">
        <v>68</v>
      </c>
      <c r="E105" s="246">
        <v>69</v>
      </c>
      <c r="F105" s="247">
        <v>68</v>
      </c>
      <c r="G105" s="247">
        <v>64</v>
      </c>
      <c r="H105" s="247">
        <v>67</v>
      </c>
      <c r="I105" s="244"/>
      <c r="J105" s="247">
        <v>66</v>
      </c>
      <c r="K105" s="247">
        <v>68</v>
      </c>
      <c r="L105" s="246">
        <v>69</v>
      </c>
      <c r="M105" s="247">
        <v>71</v>
      </c>
      <c r="N105" s="247">
        <v>70</v>
      </c>
      <c r="O105" s="247">
        <v>70</v>
      </c>
      <c r="P105" s="244"/>
      <c r="Q105" s="247">
        <v>67</v>
      </c>
      <c r="R105" s="247">
        <v>70</v>
      </c>
      <c r="S105" s="246">
        <v>69</v>
      </c>
      <c r="T105" s="247">
        <v>69</v>
      </c>
      <c r="U105" s="247">
        <v>68</v>
      </c>
      <c r="V105" s="247">
        <v>68</v>
      </c>
      <c r="W105" s="244"/>
      <c r="X105" s="247">
        <v>68</v>
      </c>
      <c r="Y105" s="247">
        <v>68</v>
      </c>
      <c r="Z105" s="246">
        <v>66</v>
      </c>
      <c r="AA105" s="247">
        <v>66</v>
      </c>
      <c r="AB105" s="247">
        <v>67</v>
      </c>
      <c r="AC105" s="245"/>
      <c r="AD105" s="244"/>
      <c r="AE105" s="245"/>
      <c r="AF105" s="245"/>
      <c r="AG105" s="248"/>
      <c r="AH105" s="249"/>
      <c r="AI105" s="249"/>
      <c r="AJ105" s="8"/>
    </row>
    <row r="106" spans="1:36" ht="15">
      <c r="A106" s="368"/>
      <c r="B106" s="242" t="s">
        <v>51</v>
      </c>
      <c r="C106" s="243">
        <v>173.33333333333334</v>
      </c>
      <c r="D106" s="243">
        <v>173.33333333333334</v>
      </c>
      <c r="E106" s="246">
        <v>155</v>
      </c>
      <c r="F106" s="247">
        <v>210</v>
      </c>
      <c r="G106" s="247">
        <v>210</v>
      </c>
      <c r="H106" s="247">
        <v>210</v>
      </c>
      <c r="I106" s="244"/>
      <c r="J106" s="247">
        <v>210</v>
      </c>
      <c r="K106" s="247">
        <v>210</v>
      </c>
      <c r="L106" s="246">
        <v>210</v>
      </c>
      <c r="M106" s="247">
        <v>191</v>
      </c>
      <c r="N106" s="247">
        <v>191.25</v>
      </c>
      <c r="O106" s="247">
        <v>180</v>
      </c>
      <c r="P106" s="244"/>
      <c r="Q106" s="247">
        <v>150</v>
      </c>
      <c r="R106" s="247">
        <v>157.5</v>
      </c>
      <c r="S106" s="246">
        <v>160</v>
      </c>
      <c r="T106" s="247">
        <v>160</v>
      </c>
      <c r="U106" s="247">
        <v>191.25</v>
      </c>
      <c r="V106" s="247">
        <v>182.5</v>
      </c>
      <c r="W106" s="244"/>
      <c r="X106" s="247">
        <v>95</v>
      </c>
      <c r="Y106" s="247">
        <v>83.5</v>
      </c>
      <c r="Z106" s="246">
        <v>173</v>
      </c>
      <c r="AA106" s="247">
        <v>172.5</v>
      </c>
      <c r="AB106" s="247">
        <v>137.5</v>
      </c>
      <c r="AC106" s="245"/>
      <c r="AD106" s="244"/>
      <c r="AE106" s="245"/>
      <c r="AF106" s="245"/>
      <c r="AG106" s="248"/>
      <c r="AH106" s="249"/>
      <c r="AI106" s="249"/>
      <c r="AJ106" s="8"/>
    </row>
    <row r="107" spans="1:36" ht="15">
      <c r="A107" s="369"/>
      <c r="B107" s="250" t="s">
        <v>52</v>
      </c>
      <c r="C107" s="251">
        <v>2.5489999999999999</v>
      </c>
      <c r="D107" s="251">
        <v>2.5489999999999999</v>
      </c>
      <c r="E107" s="254">
        <v>2.2464</v>
      </c>
      <c r="F107" s="251">
        <v>3.0882000000000001</v>
      </c>
      <c r="G107" s="251">
        <v>3.2812999999999999</v>
      </c>
      <c r="H107" s="251">
        <v>3.1343000000000001</v>
      </c>
      <c r="I107" s="252"/>
      <c r="J107" s="251">
        <v>3.1818</v>
      </c>
      <c r="K107" s="251">
        <v>3.0882000000000001</v>
      </c>
      <c r="L107" s="254">
        <v>3.0434999999999999</v>
      </c>
      <c r="M107" s="251">
        <v>2.6901000000000002</v>
      </c>
      <c r="N107" s="251">
        <v>2.7321</v>
      </c>
      <c r="O107" s="251">
        <v>2.5714000000000001</v>
      </c>
      <c r="P107" s="252"/>
      <c r="Q107" s="251">
        <v>2.2387999999999999</v>
      </c>
      <c r="R107" s="251">
        <v>2.25</v>
      </c>
      <c r="S107" s="254">
        <v>2.3188</v>
      </c>
      <c r="T107" s="251">
        <v>2.3188</v>
      </c>
      <c r="U107" s="251">
        <v>2.8125</v>
      </c>
      <c r="V107" s="251">
        <v>2.6837999999999997</v>
      </c>
      <c r="W107" s="252"/>
      <c r="X107" s="251">
        <v>1.3971</v>
      </c>
      <c r="Y107" s="251">
        <v>1.2279</v>
      </c>
      <c r="Z107" s="254">
        <v>2.6212</v>
      </c>
      <c r="AA107" s="251">
        <v>2.6135999999999999</v>
      </c>
      <c r="AB107" s="251">
        <v>2.0522</v>
      </c>
      <c r="AC107" s="253"/>
      <c r="AD107" s="252"/>
      <c r="AE107" s="253"/>
      <c r="AF107" s="253"/>
      <c r="AG107" s="255"/>
      <c r="AH107" s="256"/>
      <c r="AI107" s="256"/>
      <c r="AJ107" s="8"/>
    </row>
    <row r="108" spans="1:36" ht="15">
      <c r="A108" s="367" t="s">
        <v>203</v>
      </c>
      <c r="B108" s="234" t="s">
        <v>175</v>
      </c>
      <c r="C108" s="235">
        <v>36176</v>
      </c>
      <c r="D108" s="235">
        <v>1722.6666666666667</v>
      </c>
      <c r="E108" s="238">
        <v>1760</v>
      </c>
      <c r="F108" s="239">
        <v>1648</v>
      </c>
      <c r="G108" s="239">
        <v>1680</v>
      </c>
      <c r="H108" s="239">
        <v>1704</v>
      </c>
      <c r="I108" s="236"/>
      <c r="J108" s="239">
        <v>1760</v>
      </c>
      <c r="K108" s="239">
        <v>1760</v>
      </c>
      <c r="L108" s="238">
        <v>1760</v>
      </c>
      <c r="M108" s="239">
        <v>1760</v>
      </c>
      <c r="N108" s="239">
        <v>1760</v>
      </c>
      <c r="O108" s="239">
        <v>1760</v>
      </c>
      <c r="P108" s="236"/>
      <c r="Q108" s="239">
        <v>1760</v>
      </c>
      <c r="R108" s="239">
        <v>1760</v>
      </c>
      <c r="S108" s="238">
        <v>1760</v>
      </c>
      <c r="T108" s="239">
        <v>1760</v>
      </c>
      <c r="U108" s="239">
        <v>1760</v>
      </c>
      <c r="V108" s="239">
        <v>1760</v>
      </c>
      <c r="W108" s="236"/>
      <c r="X108" s="239">
        <v>1760</v>
      </c>
      <c r="Y108" s="239">
        <v>1680</v>
      </c>
      <c r="Z108" s="238">
        <v>1600</v>
      </c>
      <c r="AA108" s="239">
        <v>1680</v>
      </c>
      <c r="AB108" s="239">
        <v>1544</v>
      </c>
      <c r="AC108" s="237"/>
      <c r="AD108" s="236"/>
      <c r="AE108" s="237"/>
      <c r="AF108" s="237"/>
      <c r="AG108" s="240"/>
      <c r="AH108" s="241"/>
      <c r="AI108" s="241"/>
      <c r="AJ108" s="8"/>
    </row>
    <row r="109" spans="1:36" ht="15">
      <c r="A109" s="368"/>
      <c r="B109" s="234" t="s">
        <v>176</v>
      </c>
      <c r="C109" s="235">
        <v>29520</v>
      </c>
      <c r="D109" s="235">
        <v>1405.7142857142858</v>
      </c>
      <c r="E109" s="238">
        <v>1440</v>
      </c>
      <c r="F109" s="239">
        <v>1440</v>
      </c>
      <c r="G109" s="239">
        <v>1440</v>
      </c>
      <c r="H109" s="239">
        <v>1440</v>
      </c>
      <c r="I109" s="236"/>
      <c r="J109" s="239">
        <v>1440</v>
      </c>
      <c r="K109" s="239">
        <v>1440</v>
      </c>
      <c r="L109" s="238">
        <v>1440</v>
      </c>
      <c r="M109" s="239">
        <v>1440</v>
      </c>
      <c r="N109" s="239">
        <v>1440</v>
      </c>
      <c r="O109" s="239">
        <v>1440</v>
      </c>
      <c r="P109" s="236"/>
      <c r="Q109" s="239">
        <v>1440</v>
      </c>
      <c r="R109" s="239">
        <v>1440</v>
      </c>
      <c r="S109" s="238">
        <v>1440</v>
      </c>
      <c r="T109" s="239">
        <v>1440</v>
      </c>
      <c r="U109" s="239">
        <v>1440</v>
      </c>
      <c r="V109" s="239">
        <v>1440</v>
      </c>
      <c r="W109" s="236"/>
      <c r="X109" s="239">
        <v>1080</v>
      </c>
      <c r="Y109" s="239">
        <v>1080</v>
      </c>
      <c r="Z109" s="238">
        <v>1440</v>
      </c>
      <c r="AA109" s="239">
        <v>1440</v>
      </c>
      <c r="AB109" s="239">
        <v>1440</v>
      </c>
      <c r="AC109" s="239">
        <v>1440</v>
      </c>
      <c r="AD109" s="236"/>
      <c r="AE109" s="239">
        <v>1440</v>
      </c>
      <c r="AF109" s="239">
        <v>1440</v>
      </c>
      <c r="AG109" s="257">
        <v>1440</v>
      </c>
      <c r="AH109" s="258">
        <v>1440</v>
      </c>
      <c r="AI109" s="258">
        <v>1600</v>
      </c>
      <c r="AJ109" s="8"/>
    </row>
    <row r="110" spans="1:36" ht="15">
      <c r="A110" s="368"/>
      <c r="B110" s="242" t="s">
        <v>177</v>
      </c>
      <c r="C110" s="243">
        <v>30347</v>
      </c>
      <c r="D110" s="243">
        <v>1445.0952380952381</v>
      </c>
      <c r="E110" s="246">
        <v>1580</v>
      </c>
      <c r="F110" s="247">
        <v>1140</v>
      </c>
      <c r="G110" s="247">
        <v>1260</v>
      </c>
      <c r="H110" s="247">
        <v>1880</v>
      </c>
      <c r="I110" s="244"/>
      <c r="J110" s="247">
        <v>1680</v>
      </c>
      <c r="K110" s="247">
        <v>1680</v>
      </c>
      <c r="L110" s="246">
        <v>1480</v>
      </c>
      <c r="M110" s="247">
        <v>1680</v>
      </c>
      <c r="N110" s="247">
        <v>1580</v>
      </c>
      <c r="O110" s="247">
        <v>1330</v>
      </c>
      <c r="P110" s="244"/>
      <c r="Q110" s="247">
        <v>1580</v>
      </c>
      <c r="R110" s="247">
        <v>1380</v>
      </c>
      <c r="S110" s="246">
        <v>1460</v>
      </c>
      <c r="T110" s="247">
        <v>1680</v>
      </c>
      <c r="U110" s="247">
        <v>1530</v>
      </c>
      <c r="V110" s="247">
        <v>1487</v>
      </c>
      <c r="W110" s="244"/>
      <c r="X110" s="247">
        <v>1520</v>
      </c>
      <c r="Y110" s="247">
        <v>1240</v>
      </c>
      <c r="Z110" s="246">
        <v>1090</v>
      </c>
      <c r="AA110" s="247">
        <v>1090</v>
      </c>
      <c r="AB110" s="247">
        <v>1000</v>
      </c>
      <c r="AC110" s="245"/>
      <c r="AD110" s="244"/>
      <c r="AE110" s="245"/>
      <c r="AF110" s="245"/>
      <c r="AG110" s="248"/>
      <c r="AH110" s="249"/>
      <c r="AI110" s="249"/>
      <c r="AJ110" s="8"/>
    </row>
    <row r="111" spans="1:36" ht="15">
      <c r="A111" s="368"/>
      <c r="B111" s="242" t="s">
        <v>178</v>
      </c>
      <c r="C111" s="243">
        <v>827</v>
      </c>
      <c r="D111" s="243">
        <v>39.38095238095238</v>
      </c>
      <c r="E111" s="246">
        <v>140</v>
      </c>
      <c r="F111" s="245">
        <v>-300</v>
      </c>
      <c r="G111" s="245">
        <v>-180</v>
      </c>
      <c r="H111" s="247">
        <v>440</v>
      </c>
      <c r="I111" s="244"/>
      <c r="J111" s="247">
        <v>240</v>
      </c>
      <c r="K111" s="247">
        <v>240</v>
      </c>
      <c r="L111" s="246">
        <v>40</v>
      </c>
      <c r="M111" s="247">
        <v>240</v>
      </c>
      <c r="N111" s="247">
        <v>140</v>
      </c>
      <c r="O111" s="245">
        <v>-110</v>
      </c>
      <c r="P111" s="244"/>
      <c r="Q111" s="247">
        <v>140</v>
      </c>
      <c r="R111" s="245">
        <v>-60</v>
      </c>
      <c r="S111" s="246">
        <v>20</v>
      </c>
      <c r="T111" s="247">
        <v>240</v>
      </c>
      <c r="U111" s="247">
        <v>90</v>
      </c>
      <c r="V111" s="247">
        <v>47</v>
      </c>
      <c r="W111" s="244"/>
      <c r="X111" s="247">
        <v>440</v>
      </c>
      <c r="Y111" s="247">
        <v>160</v>
      </c>
      <c r="Z111" s="244">
        <v>-350</v>
      </c>
      <c r="AA111" s="245">
        <v>-350</v>
      </c>
      <c r="AB111" s="245">
        <v>-440</v>
      </c>
      <c r="AC111" s="245"/>
      <c r="AD111" s="244"/>
      <c r="AE111" s="245"/>
      <c r="AF111" s="245"/>
      <c r="AG111" s="248"/>
      <c r="AH111" s="249"/>
      <c r="AI111" s="249"/>
      <c r="AJ111" s="8"/>
    </row>
    <row r="112" spans="1:36" ht="15">
      <c r="A112" s="368"/>
      <c r="B112" s="242" t="s">
        <v>179</v>
      </c>
      <c r="C112" s="243">
        <v>168</v>
      </c>
      <c r="D112" s="243">
        <v>8</v>
      </c>
      <c r="E112" s="246">
        <v>8</v>
      </c>
      <c r="F112" s="247">
        <v>8</v>
      </c>
      <c r="G112" s="247">
        <v>8</v>
      </c>
      <c r="H112" s="247">
        <v>8</v>
      </c>
      <c r="I112" s="244"/>
      <c r="J112" s="247">
        <v>8</v>
      </c>
      <c r="K112" s="247">
        <v>8</v>
      </c>
      <c r="L112" s="246">
        <v>8</v>
      </c>
      <c r="M112" s="247">
        <v>8</v>
      </c>
      <c r="N112" s="247">
        <v>8</v>
      </c>
      <c r="O112" s="247">
        <v>8</v>
      </c>
      <c r="P112" s="244"/>
      <c r="Q112" s="247">
        <v>8</v>
      </c>
      <c r="R112" s="247">
        <v>8</v>
      </c>
      <c r="S112" s="246">
        <v>8</v>
      </c>
      <c r="T112" s="247">
        <v>8</v>
      </c>
      <c r="U112" s="247">
        <v>8</v>
      </c>
      <c r="V112" s="247">
        <v>8</v>
      </c>
      <c r="W112" s="244"/>
      <c r="X112" s="247">
        <v>8</v>
      </c>
      <c r="Y112" s="247">
        <v>8</v>
      </c>
      <c r="Z112" s="246">
        <v>8</v>
      </c>
      <c r="AA112" s="247">
        <v>8</v>
      </c>
      <c r="AB112" s="247">
        <v>8</v>
      </c>
      <c r="AC112" s="245"/>
      <c r="AD112" s="244"/>
      <c r="AE112" s="245"/>
      <c r="AF112" s="245"/>
      <c r="AG112" s="248"/>
      <c r="AH112" s="249"/>
      <c r="AI112" s="249"/>
      <c r="AJ112" s="8"/>
    </row>
    <row r="113" spans="1:36" ht="15">
      <c r="A113" s="368"/>
      <c r="B113" s="242" t="s">
        <v>180</v>
      </c>
      <c r="C113" s="243">
        <v>67</v>
      </c>
      <c r="D113" s="243">
        <v>67</v>
      </c>
      <c r="E113" s="246">
        <v>68</v>
      </c>
      <c r="F113" s="247">
        <v>69</v>
      </c>
      <c r="G113" s="247">
        <v>69</v>
      </c>
      <c r="H113" s="247">
        <v>67</v>
      </c>
      <c r="I113" s="244"/>
      <c r="J113" s="247">
        <v>66</v>
      </c>
      <c r="K113" s="247">
        <v>67</v>
      </c>
      <c r="L113" s="246">
        <v>64</v>
      </c>
      <c r="M113" s="247">
        <v>67</v>
      </c>
      <c r="N113" s="247">
        <v>66</v>
      </c>
      <c r="O113" s="247">
        <v>65</v>
      </c>
      <c r="P113" s="244"/>
      <c r="Q113" s="247">
        <v>70</v>
      </c>
      <c r="R113" s="247">
        <v>70</v>
      </c>
      <c r="S113" s="246">
        <v>70</v>
      </c>
      <c r="T113" s="247">
        <v>68</v>
      </c>
      <c r="U113" s="247">
        <v>68</v>
      </c>
      <c r="V113" s="247">
        <v>67</v>
      </c>
      <c r="W113" s="244"/>
      <c r="X113" s="247">
        <v>66</v>
      </c>
      <c r="Y113" s="247">
        <v>65</v>
      </c>
      <c r="Z113" s="246">
        <v>68</v>
      </c>
      <c r="AA113" s="247">
        <v>68</v>
      </c>
      <c r="AB113" s="247">
        <v>67</v>
      </c>
      <c r="AC113" s="245"/>
      <c r="AD113" s="244"/>
      <c r="AE113" s="245"/>
      <c r="AF113" s="245"/>
      <c r="AG113" s="248"/>
      <c r="AH113" s="249"/>
      <c r="AI113" s="249"/>
      <c r="AJ113" s="8"/>
    </row>
    <row r="114" spans="1:36" ht="15">
      <c r="A114" s="368"/>
      <c r="B114" s="242" t="s">
        <v>181</v>
      </c>
      <c r="C114" s="243">
        <v>180.63690476190476</v>
      </c>
      <c r="D114" s="243">
        <v>180.63690476190476</v>
      </c>
      <c r="E114" s="246">
        <v>197.5</v>
      </c>
      <c r="F114" s="247">
        <v>142.5</v>
      </c>
      <c r="G114" s="247">
        <v>157.5</v>
      </c>
      <c r="H114" s="247">
        <v>235</v>
      </c>
      <c r="I114" s="244"/>
      <c r="J114" s="247">
        <v>210</v>
      </c>
      <c r="K114" s="247">
        <v>210</v>
      </c>
      <c r="L114" s="246">
        <v>185</v>
      </c>
      <c r="M114" s="247">
        <v>210</v>
      </c>
      <c r="N114" s="247">
        <v>197.5</v>
      </c>
      <c r="O114" s="247">
        <v>166.25</v>
      </c>
      <c r="P114" s="244"/>
      <c r="Q114" s="247">
        <v>197.5</v>
      </c>
      <c r="R114" s="247">
        <v>172.5</v>
      </c>
      <c r="S114" s="246">
        <v>182.5</v>
      </c>
      <c r="T114" s="247">
        <v>210</v>
      </c>
      <c r="U114" s="247">
        <v>191.25</v>
      </c>
      <c r="V114" s="247">
        <v>185.875</v>
      </c>
      <c r="W114" s="244"/>
      <c r="X114" s="247">
        <v>190</v>
      </c>
      <c r="Y114" s="247">
        <v>155</v>
      </c>
      <c r="Z114" s="246">
        <v>136.25</v>
      </c>
      <c r="AA114" s="247">
        <v>136.25</v>
      </c>
      <c r="AB114" s="247">
        <v>125</v>
      </c>
      <c r="AC114" s="245"/>
      <c r="AD114" s="244"/>
      <c r="AE114" s="245"/>
      <c r="AF114" s="245"/>
      <c r="AG114" s="248"/>
      <c r="AH114" s="249"/>
      <c r="AI114" s="249"/>
      <c r="AJ114" s="8"/>
    </row>
    <row r="115" spans="1:36" ht="15">
      <c r="A115" s="369"/>
      <c r="B115" s="250" t="s">
        <v>182</v>
      </c>
      <c r="C115" s="251">
        <v>2.6960999999999999</v>
      </c>
      <c r="D115" s="251">
        <v>2.6960999999999999</v>
      </c>
      <c r="E115" s="254">
        <v>2.9043999999999999</v>
      </c>
      <c r="F115" s="251">
        <v>2.0651999999999999</v>
      </c>
      <c r="G115" s="251">
        <v>2.2826</v>
      </c>
      <c r="H115" s="251">
        <v>3.5074999999999998</v>
      </c>
      <c r="I115" s="252"/>
      <c r="J115" s="251">
        <v>3.1818</v>
      </c>
      <c r="K115" s="251">
        <v>3.1343000000000001</v>
      </c>
      <c r="L115" s="254">
        <v>2.8906000000000001</v>
      </c>
      <c r="M115" s="251">
        <v>3.1343000000000001</v>
      </c>
      <c r="N115" s="251">
        <v>2.9923999999999999</v>
      </c>
      <c r="O115" s="251">
        <v>2.5577000000000001</v>
      </c>
      <c r="P115" s="252"/>
      <c r="Q115" s="251">
        <v>2.8214000000000001</v>
      </c>
      <c r="R115" s="251">
        <v>2.4643000000000002</v>
      </c>
      <c r="S115" s="254">
        <v>2.6071</v>
      </c>
      <c r="T115" s="251">
        <v>3.0882000000000001</v>
      </c>
      <c r="U115" s="251">
        <v>2.8125</v>
      </c>
      <c r="V115" s="251">
        <v>2.7743000000000002</v>
      </c>
      <c r="W115" s="252"/>
      <c r="X115" s="251">
        <v>2.8788</v>
      </c>
      <c r="Y115" s="251">
        <v>2.3845999999999998</v>
      </c>
      <c r="Z115" s="254">
        <v>2.0036999999999998</v>
      </c>
      <c r="AA115" s="251">
        <v>2.0036999999999998</v>
      </c>
      <c r="AB115" s="251">
        <v>1.8656999999999999</v>
      </c>
      <c r="AC115" s="253"/>
      <c r="AD115" s="252"/>
      <c r="AE115" s="253"/>
      <c r="AF115" s="253"/>
      <c r="AG115" s="255"/>
      <c r="AH115" s="256"/>
      <c r="AI115" s="256"/>
      <c r="AJ115" s="8"/>
    </row>
    <row r="116" spans="1:36" ht="15">
      <c r="A116" s="367" t="s">
        <v>204</v>
      </c>
      <c r="B116" s="234" t="s">
        <v>45</v>
      </c>
      <c r="C116" s="235">
        <v>36280</v>
      </c>
      <c r="D116" s="235">
        <v>1727.6190476190477</v>
      </c>
      <c r="E116" s="238">
        <v>1760</v>
      </c>
      <c r="F116" s="239">
        <v>1760</v>
      </c>
      <c r="G116" s="239">
        <v>1760</v>
      </c>
      <c r="H116" s="239">
        <v>1760</v>
      </c>
      <c r="I116" s="236"/>
      <c r="J116" s="239">
        <v>1760</v>
      </c>
      <c r="K116" s="239">
        <v>1760</v>
      </c>
      <c r="L116" s="238">
        <v>1760</v>
      </c>
      <c r="M116" s="239">
        <v>1760</v>
      </c>
      <c r="N116" s="239">
        <v>1760</v>
      </c>
      <c r="O116" s="239">
        <v>1760</v>
      </c>
      <c r="P116" s="236"/>
      <c r="Q116" s="239">
        <v>1760</v>
      </c>
      <c r="R116" s="239">
        <v>1760</v>
      </c>
      <c r="S116" s="238">
        <v>1760</v>
      </c>
      <c r="T116" s="239">
        <v>1760</v>
      </c>
      <c r="U116" s="239">
        <v>1760</v>
      </c>
      <c r="V116" s="239">
        <v>1760</v>
      </c>
      <c r="W116" s="236"/>
      <c r="X116" s="239">
        <v>1680</v>
      </c>
      <c r="Y116" s="239">
        <v>1600</v>
      </c>
      <c r="Z116" s="238">
        <v>1600</v>
      </c>
      <c r="AA116" s="239">
        <v>1640</v>
      </c>
      <c r="AB116" s="239">
        <v>1600</v>
      </c>
      <c r="AC116" s="237"/>
      <c r="AD116" s="236"/>
      <c r="AE116" s="237"/>
      <c r="AF116" s="237"/>
      <c r="AG116" s="240"/>
      <c r="AH116" s="241"/>
      <c r="AI116" s="241"/>
      <c r="AJ116" s="8"/>
    </row>
    <row r="117" spans="1:36" ht="15">
      <c r="A117" s="368"/>
      <c r="B117" s="234" t="s">
        <v>176</v>
      </c>
      <c r="C117" s="235">
        <v>34400</v>
      </c>
      <c r="D117" s="235">
        <v>1638.0952380952381</v>
      </c>
      <c r="E117" s="238">
        <v>1680</v>
      </c>
      <c r="F117" s="239">
        <v>1680</v>
      </c>
      <c r="G117" s="239">
        <v>1680</v>
      </c>
      <c r="H117" s="239">
        <v>1680</v>
      </c>
      <c r="I117" s="236"/>
      <c r="J117" s="239">
        <v>1680</v>
      </c>
      <c r="K117" s="239">
        <v>1680</v>
      </c>
      <c r="L117" s="238">
        <v>1680</v>
      </c>
      <c r="M117" s="239">
        <v>1680</v>
      </c>
      <c r="N117" s="239">
        <v>1680</v>
      </c>
      <c r="O117" s="239">
        <v>1680</v>
      </c>
      <c r="P117" s="236"/>
      <c r="Q117" s="239">
        <v>1680</v>
      </c>
      <c r="R117" s="239">
        <v>1680</v>
      </c>
      <c r="S117" s="238">
        <v>1680</v>
      </c>
      <c r="T117" s="239">
        <v>1680</v>
      </c>
      <c r="U117" s="239">
        <v>1680</v>
      </c>
      <c r="V117" s="239">
        <v>1200</v>
      </c>
      <c r="W117" s="236"/>
      <c r="X117" s="239">
        <v>1600</v>
      </c>
      <c r="Y117" s="239">
        <v>1600</v>
      </c>
      <c r="Z117" s="238">
        <v>1600</v>
      </c>
      <c r="AA117" s="239">
        <v>1600</v>
      </c>
      <c r="AB117" s="239">
        <v>1600</v>
      </c>
      <c r="AC117" s="239">
        <v>1600</v>
      </c>
      <c r="AD117" s="236"/>
      <c r="AE117" s="239">
        <v>1600</v>
      </c>
      <c r="AF117" s="239">
        <v>1440</v>
      </c>
      <c r="AG117" s="257">
        <v>1440</v>
      </c>
      <c r="AH117" s="258">
        <v>1440</v>
      </c>
      <c r="AI117" s="258">
        <v>1440</v>
      </c>
      <c r="AJ117" s="8"/>
    </row>
    <row r="118" spans="1:36" ht="15">
      <c r="A118" s="368"/>
      <c r="B118" s="242" t="s">
        <v>47</v>
      </c>
      <c r="C118" s="243">
        <v>33800</v>
      </c>
      <c r="D118" s="243">
        <v>1609.5238095238096</v>
      </c>
      <c r="E118" s="246">
        <v>1680</v>
      </c>
      <c r="F118" s="247">
        <v>1680</v>
      </c>
      <c r="G118" s="247">
        <v>1680</v>
      </c>
      <c r="H118" s="247">
        <v>1680</v>
      </c>
      <c r="I118" s="244"/>
      <c r="J118" s="247">
        <v>1680</v>
      </c>
      <c r="K118" s="247">
        <v>1680</v>
      </c>
      <c r="L118" s="246">
        <v>1680</v>
      </c>
      <c r="M118" s="247">
        <v>1680</v>
      </c>
      <c r="N118" s="247">
        <v>1680</v>
      </c>
      <c r="O118" s="247">
        <v>1680</v>
      </c>
      <c r="P118" s="244"/>
      <c r="Q118" s="247">
        <v>1680</v>
      </c>
      <c r="R118" s="247">
        <v>1680</v>
      </c>
      <c r="S118" s="246">
        <v>1680</v>
      </c>
      <c r="T118" s="247">
        <v>1680</v>
      </c>
      <c r="U118" s="247">
        <v>1680</v>
      </c>
      <c r="V118" s="247">
        <v>1200</v>
      </c>
      <c r="W118" s="244"/>
      <c r="X118" s="247">
        <v>1600</v>
      </c>
      <c r="Y118" s="247">
        <v>1400</v>
      </c>
      <c r="Z118" s="246">
        <v>1500</v>
      </c>
      <c r="AA118" s="247">
        <v>1300</v>
      </c>
      <c r="AB118" s="247">
        <v>1600</v>
      </c>
      <c r="AC118" s="245"/>
      <c r="AD118" s="244"/>
      <c r="AE118" s="245"/>
      <c r="AF118" s="245"/>
      <c r="AG118" s="248"/>
      <c r="AH118" s="249"/>
      <c r="AI118" s="249"/>
      <c r="AJ118" s="8"/>
    </row>
    <row r="119" spans="1:36" ht="15">
      <c r="A119" s="368"/>
      <c r="B119" s="242" t="s">
        <v>48</v>
      </c>
      <c r="C119" s="259">
        <v>-600</v>
      </c>
      <c r="D119" s="259">
        <v>-28.571428571428573</v>
      </c>
      <c r="E119" s="246">
        <v>0</v>
      </c>
      <c r="F119" s="247">
        <v>0</v>
      </c>
      <c r="G119" s="247">
        <v>0</v>
      </c>
      <c r="H119" s="247">
        <v>0</v>
      </c>
      <c r="I119" s="244"/>
      <c r="J119" s="247">
        <v>0</v>
      </c>
      <c r="K119" s="247">
        <v>0</v>
      </c>
      <c r="L119" s="246">
        <v>0</v>
      </c>
      <c r="M119" s="247">
        <v>0</v>
      </c>
      <c r="N119" s="247">
        <v>0</v>
      </c>
      <c r="O119" s="247">
        <v>0</v>
      </c>
      <c r="P119" s="244"/>
      <c r="Q119" s="247">
        <v>0</v>
      </c>
      <c r="R119" s="247">
        <v>0</v>
      </c>
      <c r="S119" s="246">
        <v>0</v>
      </c>
      <c r="T119" s="247">
        <v>0</v>
      </c>
      <c r="U119" s="247">
        <v>0</v>
      </c>
      <c r="V119" s="247">
        <v>0</v>
      </c>
      <c r="W119" s="244"/>
      <c r="X119" s="247">
        <v>0</v>
      </c>
      <c r="Y119" s="245">
        <v>-200</v>
      </c>
      <c r="Z119" s="244">
        <v>-100</v>
      </c>
      <c r="AA119" s="245">
        <v>-300</v>
      </c>
      <c r="AB119" s="247">
        <v>0</v>
      </c>
      <c r="AC119" s="245"/>
      <c r="AD119" s="244"/>
      <c r="AE119" s="245"/>
      <c r="AF119" s="245"/>
      <c r="AG119" s="248"/>
      <c r="AH119" s="249"/>
      <c r="AI119" s="249"/>
      <c r="AJ119" s="8"/>
    </row>
    <row r="120" spans="1:36" ht="15">
      <c r="A120" s="368"/>
      <c r="B120" s="242" t="s">
        <v>205</v>
      </c>
      <c r="C120" s="243">
        <v>168</v>
      </c>
      <c r="D120" s="243">
        <v>8</v>
      </c>
      <c r="E120" s="246">
        <v>8</v>
      </c>
      <c r="F120" s="247">
        <v>8</v>
      </c>
      <c r="G120" s="247">
        <v>8</v>
      </c>
      <c r="H120" s="247">
        <v>8</v>
      </c>
      <c r="I120" s="244"/>
      <c r="J120" s="247">
        <v>8</v>
      </c>
      <c r="K120" s="247">
        <v>8</v>
      </c>
      <c r="L120" s="246">
        <v>8</v>
      </c>
      <c r="M120" s="247">
        <v>8</v>
      </c>
      <c r="N120" s="247">
        <v>8</v>
      </c>
      <c r="O120" s="247">
        <v>8</v>
      </c>
      <c r="P120" s="244"/>
      <c r="Q120" s="247">
        <v>8</v>
      </c>
      <c r="R120" s="247">
        <v>8</v>
      </c>
      <c r="S120" s="246">
        <v>8</v>
      </c>
      <c r="T120" s="247">
        <v>8</v>
      </c>
      <c r="U120" s="247">
        <v>8</v>
      </c>
      <c r="V120" s="247">
        <v>8</v>
      </c>
      <c r="W120" s="244"/>
      <c r="X120" s="247">
        <v>8</v>
      </c>
      <c r="Y120" s="247">
        <v>8</v>
      </c>
      <c r="Z120" s="246">
        <v>8</v>
      </c>
      <c r="AA120" s="247">
        <v>8</v>
      </c>
      <c r="AB120" s="247">
        <v>8</v>
      </c>
      <c r="AC120" s="245"/>
      <c r="AD120" s="244"/>
      <c r="AE120" s="245"/>
      <c r="AF120" s="245"/>
      <c r="AG120" s="248"/>
      <c r="AH120" s="249"/>
      <c r="AI120" s="249"/>
      <c r="AJ120" s="8"/>
    </row>
    <row r="121" spans="1:36" ht="15">
      <c r="A121" s="368"/>
      <c r="B121" s="242" t="s">
        <v>206</v>
      </c>
      <c r="C121" s="243">
        <v>66</v>
      </c>
      <c r="D121" s="243">
        <v>66</v>
      </c>
      <c r="E121" s="246">
        <v>66</v>
      </c>
      <c r="F121" s="247">
        <v>67</v>
      </c>
      <c r="G121" s="247">
        <v>68</v>
      </c>
      <c r="H121" s="247">
        <v>67</v>
      </c>
      <c r="I121" s="244"/>
      <c r="J121" s="247">
        <v>63</v>
      </c>
      <c r="K121" s="247">
        <v>66</v>
      </c>
      <c r="L121" s="246">
        <v>66</v>
      </c>
      <c r="M121" s="247">
        <v>67</v>
      </c>
      <c r="N121" s="247">
        <v>67</v>
      </c>
      <c r="O121" s="247">
        <v>67</v>
      </c>
      <c r="P121" s="244"/>
      <c r="Q121" s="247">
        <v>67</v>
      </c>
      <c r="R121" s="247">
        <v>67</v>
      </c>
      <c r="S121" s="246">
        <v>67</v>
      </c>
      <c r="T121" s="247">
        <v>66</v>
      </c>
      <c r="U121" s="247">
        <v>66</v>
      </c>
      <c r="V121" s="247">
        <v>65</v>
      </c>
      <c r="W121" s="244"/>
      <c r="X121" s="247">
        <v>67</v>
      </c>
      <c r="Y121" s="247">
        <v>66</v>
      </c>
      <c r="Z121" s="246">
        <v>66</v>
      </c>
      <c r="AA121" s="247">
        <v>68</v>
      </c>
      <c r="AB121" s="247">
        <v>68</v>
      </c>
      <c r="AC121" s="245"/>
      <c r="AD121" s="244"/>
      <c r="AE121" s="245"/>
      <c r="AF121" s="245"/>
      <c r="AG121" s="248"/>
      <c r="AH121" s="249"/>
      <c r="AI121" s="249"/>
      <c r="AJ121" s="8"/>
    </row>
    <row r="122" spans="1:36" ht="15">
      <c r="A122" s="368"/>
      <c r="B122" s="242" t="s">
        <v>207</v>
      </c>
      <c r="C122" s="243">
        <v>201.1904761904762</v>
      </c>
      <c r="D122" s="243">
        <v>201.1904761904762</v>
      </c>
      <c r="E122" s="246">
        <v>210</v>
      </c>
      <c r="F122" s="247">
        <v>210</v>
      </c>
      <c r="G122" s="247">
        <v>210</v>
      </c>
      <c r="H122" s="247">
        <v>210</v>
      </c>
      <c r="I122" s="244"/>
      <c r="J122" s="247">
        <v>210</v>
      </c>
      <c r="K122" s="247">
        <v>210</v>
      </c>
      <c r="L122" s="246">
        <v>210</v>
      </c>
      <c r="M122" s="247">
        <v>210</v>
      </c>
      <c r="N122" s="247">
        <v>210</v>
      </c>
      <c r="O122" s="247">
        <v>210</v>
      </c>
      <c r="P122" s="244"/>
      <c r="Q122" s="247">
        <v>210</v>
      </c>
      <c r="R122" s="247">
        <v>210</v>
      </c>
      <c r="S122" s="246">
        <v>210</v>
      </c>
      <c r="T122" s="247">
        <v>210</v>
      </c>
      <c r="U122" s="247">
        <v>210</v>
      </c>
      <c r="V122" s="247">
        <v>150</v>
      </c>
      <c r="W122" s="244"/>
      <c r="X122" s="247">
        <v>200</v>
      </c>
      <c r="Y122" s="247">
        <v>175</v>
      </c>
      <c r="Z122" s="246">
        <v>187.5</v>
      </c>
      <c r="AA122" s="247">
        <v>162.5</v>
      </c>
      <c r="AB122" s="247">
        <v>200</v>
      </c>
      <c r="AC122" s="245"/>
      <c r="AD122" s="244"/>
      <c r="AE122" s="245"/>
      <c r="AF122" s="245"/>
      <c r="AG122" s="248"/>
      <c r="AH122" s="249"/>
      <c r="AI122" s="249"/>
      <c r="AJ122" s="8"/>
    </row>
    <row r="123" spans="1:36" ht="15">
      <c r="A123" s="369"/>
      <c r="B123" s="250" t="s">
        <v>52</v>
      </c>
      <c r="C123" s="251">
        <v>3.0482999999999998</v>
      </c>
      <c r="D123" s="251">
        <v>3.0482999999999998</v>
      </c>
      <c r="E123" s="254">
        <v>3.1818</v>
      </c>
      <c r="F123" s="251">
        <v>3.1343000000000001</v>
      </c>
      <c r="G123" s="251">
        <v>3.0882000000000001</v>
      </c>
      <c r="H123" s="251">
        <v>3.1343000000000001</v>
      </c>
      <c r="I123" s="252"/>
      <c r="J123" s="251">
        <v>3.3332999999999999</v>
      </c>
      <c r="K123" s="251">
        <v>3.1818</v>
      </c>
      <c r="L123" s="254">
        <v>3.1818</v>
      </c>
      <c r="M123" s="251">
        <v>3.1343000000000001</v>
      </c>
      <c r="N123" s="251">
        <v>3.1343000000000001</v>
      </c>
      <c r="O123" s="251">
        <v>3.1343000000000001</v>
      </c>
      <c r="P123" s="252"/>
      <c r="Q123" s="251">
        <v>3.1343000000000001</v>
      </c>
      <c r="R123" s="251">
        <v>3.1343000000000001</v>
      </c>
      <c r="S123" s="254">
        <v>3.1343000000000001</v>
      </c>
      <c r="T123" s="251">
        <v>3.1818</v>
      </c>
      <c r="U123" s="251">
        <v>3.1818</v>
      </c>
      <c r="V123" s="251">
        <v>2.3077000000000001</v>
      </c>
      <c r="W123" s="252"/>
      <c r="X123" s="251">
        <v>2.9851000000000001</v>
      </c>
      <c r="Y123" s="251">
        <v>2.6515</v>
      </c>
      <c r="Z123" s="254">
        <v>2.8409</v>
      </c>
      <c r="AA123" s="251">
        <v>2.3896999999999999</v>
      </c>
      <c r="AB123" s="251">
        <v>2.9412000000000003</v>
      </c>
      <c r="AC123" s="253"/>
      <c r="AD123" s="252"/>
      <c r="AE123" s="253"/>
      <c r="AF123" s="253"/>
      <c r="AG123" s="255"/>
      <c r="AH123" s="256"/>
      <c r="AI123" s="256"/>
      <c r="AJ123" s="8"/>
    </row>
    <row r="124" spans="1:36" ht="15">
      <c r="A124" s="367" t="s">
        <v>208</v>
      </c>
      <c r="B124" s="234" t="s">
        <v>45</v>
      </c>
      <c r="C124" s="235">
        <v>31920</v>
      </c>
      <c r="D124" s="235">
        <v>1520</v>
      </c>
      <c r="E124" s="238">
        <v>1520</v>
      </c>
      <c r="F124" s="239">
        <v>1520</v>
      </c>
      <c r="G124" s="239">
        <v>1520</v>
      </c>
      <c r="H124" s="239">
        <v>1520</v>
      </c>
      <c r="I124" s="236"/>
      <c r="J124" s="239">
        <v>1520</v>
      </c>
      <c r="K124" s="239">
        <v>1520</v>
      </c>
      <c r="L124" s="238">
        <v>1520</v>
      </c>
      <c r="M124" s="239">
        <v>1520</v>
      </c>
      <c r="N124" s="239">
        <v>1520</v>
      </c>
      <c r="O124" s="239">
        <v>1520</v>
      </c>
      <c r="P124" s="236"/>
      <c r="Q124" s="239">
        <v>1520</v>
      </c>
      <c r="R124" s="239">
        <v>1520</v>
      </c>
      <c r="S124" s="238">
        <v>1520</v>
      </c>
      <c r="T124" s="239">
        <v>1520</v>
      </c>
      <c r="U124" s="239">
        <v>1520</v>
      </c>
      <c r="V124" s="239">
        <v>1520</v>
      </c>
      <c r="W124" s="236"/>
      <c r="X124" s="239">
        <v>1520</v>
      </c>
      <c r="Y124" s="239">
        <v>1520</v>
      </c>
      <c r="Z124" s="238">
        <v>1520</v>
      </c>
      <c r="AA124" s="239">
        <v>1520</v>
      </c>
      <c r="AB124" s="239">
        <v>1520</v>
      </c>
      <c r="AC124" s="237"/>
      <c r="AD124" s="236"/>
      <c r="AE124" s="237"/>
      <c r="AF124" s="237"/>
      <c r="AG124" s="240"/>
      <c r="AH124" s="241"/>
      <c r="AI124" s="241"/>
      <c r="AJ124" s="8"/>
    </row>
    <row r="125" spans="1:36" ht="15">
      <c r="A125" s="368"/>
      <c r="B125" s="234" t="s">
        <v>46</v>
      </c>
      <c r="C125" s="235">
        <v>31300</v>
      </c>
      <c r="D125" s="235">
        <v>1490.4761904761904</v>
      </c>
      <c r="E125" s="238">
        <v>1140</v>
      </c>
      <c r="F125" s="239">
        <v>1140</v>
      </c>
      <c r="G125" s="239">
        <v>1260</v>
      </c>
      <c r="H125" s="239">
        <v>1680</v>
      </c>
      <c r="I125" s="236"/>
      <c r="J125" s="239">
        <v>1680</v>
      </c>
      <c r="K125" s="239">
        <v>1680</v>
      </c>
      <c r="L125" s="238">
        <v>1680</v>
      </c>
      <c r="M125" s="239">
        <v>1680</v>
      </c>
      <c r="N125" s="239">
        <v>1680</v>
      </c>
      <c r="O125" s="239">
        <v>1680</v>
      </c>
      <c r="P125" s="236"/>
      <c r="Q125" s="239">
        <v>1680</v>
      </c>
      <c r="R125" s="239">
        <v>1680</v>
      </c>
      <c r="S125" s="238">
        <v>1260</v>
      </c>
      <c r="T125" s="239">
        <v>1680</v>
      </c>
      <c r="U125" s="239">
        <v>1680</v>
      </c>
      <c r="V125" s="239">
        <v>1680</v>
      </c>
      <c r="W125" s="236"/>
      <c r="X125" s="239">
        <v>1520</v>
      </c>
      <c r="Y125" s="239">
        <v>1520</v>
      </c>
      <c r="Z125" s="238">
        <v>990</v>
      </c>
      <c r="AA125" s="239">
        <v>990</v>
      </c>
      <c r="AB125" s="239">
        <v>1320</v>
      </c>
      <c r="AC125" s="239">
        <v>1320</v>
      </c>
      <c r="AD125" s="236"/>
      <c r="AE125" s="239">
        <v>1320</v>
      </c>
      <c r="AF125" s="239">
        <v>1320</v>
      </c>
      <c r="AG125" s="257">
        <v>1320</v>
      </c>
      <c r="AH125" s="258">
        <v>1320</v>
      </c>
      <c r="AI125" s="258">
        <v>1320</v>
      </c>
      <c r="AJ125" s="8"/>
    </row>
    <row r="126" spans="1:36" ht="15">
      <c r="A126" s="368"/>
      <c r="B126" s="242" t="s">
        <v>47</v>
      </c>
      <c r="C126" s="243">
        <v>30767</v>
      </c>
      <c r="D126" s="243">
        <v>1465.0952380952381</v>
      </c>
      <c r="E126" s="246">
        <v>1440</v>
      </c>
      <c r="F126" s="247">
        <v>1440</v>
      </c>
      <c r="G126" s="247">
        <v>1440</v>
      </c>
      <c r="H126" s="247">
        <v>1440</v>
      </c>
      <c r="I126" s="244"/>
      <c r="J126" s="247">
        <v>1540</v>
      </c>
      <c r="K126" s="247">
        <v>1440</v>
      </c>
      <c r="L126" s="246">
        <v>1885</v>
      </c>
      <c r="M126" s="247">
        <v>1490</v>
      </c>
      <c r="N126" s="247">
        <v>1590</v>
      </c>
      <c r="O126" s="247">
        <v>1441</v>
      </c>
      <c r="P126" s="244"/>
      <c r="Q126" s="247">
        <v>1440</v>
      </c>
      <c r="R126" s="247">
        <v>1440</v>
      </c>
      <c r="S126" s="246">
        <v>1440</v>
      </c>
      <c r="T126" s="247">
        <v>1440</v>
      </c>
      <c r="U126" s="247">
        <v>1440</v>
      </c>
      <c r="V126" s="247">
        <v>1640</v>
      </c>
      <c r="W126" s="244"/>
      <c r="X126" s="247">
        <v>1080</v>
      </c>
      <c r="Y126" s="247">
        <v>1180</v>
      </c>
      <c r="Z126" s="246">
        <v>1541</v>
      </c>
      <c r="AA126" s="247">
        <v>1540</v>
      </c>
      <c r="AB126" s="247">
        <v>1440</v>
      </c>
      <c r="AC126" s="245"/>
      <c r="AD126" s="244"/>
      <c r="AE126" s="245"/>
      <c r="AF126" s="245"/>
      <c r="AG126" s="248"/>
      <c r="AH126" s="249"/>
      <c r="AI126" s="249"/>
      <c r="AJ126" s="8"/>
    </row>
    <row r="127" spans="1:36" ht="15">
      <c r="A127" s="368"/>
      <c r="B127" s="242" t="s">
        <v>48</v>
      </c>
      <c r="C127" s="259">
        <v>-533</v>
      </c>
      <c r="D127" s="259">
        <v>-25.38095238095238</v>
      </c>
      <c r="E127" s="246">
        <v>300</v>
      </c>
      <c r="F127" s="247">
        <v>300</v>
      </c>
      <c r="G127" s="247">
        <v>180</v>
      </c>
      <c r="H127" s="245">
        <v>-240</v>
      </c>
      <c r="I127" s="244"/>
      <c r="J127" s="245">
        <v>-140</v>
      </c>
      <c r="K127" s="245">
        <v>-240</v>
      </c>
      <c r="L127" s="246">
        <v>205</v>
      </c>
      <c r="M127" s="245">
        <v>-190</v>
      </c>
      <c r="N127" s="245">
        <v>-90</v>
      </c>
      <c r="O127" s="245">
        <v>-239</v>
      </c>
      <c r="P127" s="244"/>
      <c r="Q127" s="245">
        <v>-240</v>
      </c>
      <c r="R127" s="245">
        <v>-240</v>
      </c>
      <c r="S127" s="246">
        <v>180</v>
      </c>
      <c r="T127" s="245">
        <v>-240</v>
      </c>
      <c r="U127" s="245">
        <v>-240</v>
      </c>
      <c r="V127" s="245">
        <v>-40</v>
      </c>
      <c r="W127" s="244"/>
      <c r="X127" s="245">
        <v>-440</v>
      </c>
      <c r="Y127" s="245">
        <v>-340</v>
      </c>
      <c r="Z127" s="246">
        <v>551</v>
      </c>
      <c r="AA127" s="247">
        <v>550</v>
      </c>
      <c r="AB127" s="247">
        <v>120</v>
      </c>
      <c r="AC127" s="245"/>
      <c r="AD127" s="244"/>
      <c r="AE127" s="245"/>
      <c r="AF127" s="245"/>
      <c r="AG127" s="248"/>
      <c r="AH127" s="249"/>
      <c r="AI127" s="249"/>
      <c r="AJ127" s="8"/>
    </row>
    <row r="128" spans="1:36" ht="15">
      <c r="A128" s="368"/>
      <c r="B128" s="242" t="s">
        <v>49</v>
      </c>
      <c r="C128" s="243">
        <v>168</v>
      </c>
      <c r="D128" s="243">
        <v>8</v>
      </c>
      <c r="E128" s="246">
        <v>8</v>
      </c>
      <c r="F128" s="247">
        <v>8</v>
      </c>
      <c r="G128" s="247">
        <v>8</v>
      </c>
      <c r="H128" s="247">
        <v>8</v>
      </c>
      <c r="I128" s="244"/>
      <c r="J128" s="247">
        <v>8</v>
      </c>
      <c r="K128" s="247">
        <v>8</v>
      </c>
      <c r="L128" s="246">
        <v>8</v>
      </c>
      <c r="M128" s="247">
        <v>8</v>
      </c>
      <c r="N128" s="247">
        <v>8</v>
      </c>
      <c r="O128" s="247">
        <v>8</v>
      </c>
      <c r="P128" s="244"/>
      <c r="Q128" s="247">
        <v>8</v>
      </c>
      <c r="R128" s="247">
        <v>8</v>
      </c>
      <c r="S128" s="246">
        <v>8</v>
      </c>
      <c r="T128" s="247">
        <v>8</v>
      </c>
      <c r="U128" s="247">
        <v>8</v>
      </c>
      <c r="V128" s="247">
        <v>8</v>
      </c>
      <c r="W128" s="244"/>
      <c r="X128" s="247">
        <v>8</v>
      </c>
      <c r="Y128" s="247">
        <v>8</v>
      </c>
      <c r="Z128" s="246">
        <v>8</v>
      </c>
      <c r="AA128" s="247">
        <v>8</v>
      </c>
      <c r="AB128" s="247">
        <v>8</v>
      </c>
      <c r="AC128" s="245"/>
      <c r="AD128" s="244"/>
      <c r="AE128" s="245"/>
      <c r="AF128" s="245"/>
      <c r="AG128" s="248"/>
      <c r="AH128" s="249"/>
      <c r="AI128" s="249"/>
      <c r="AJ128" s="8"/>
    </row>
    <row r="129" spans="1:36" ht="15">
      <c r="A129" s="368"/>
      <c r="B129" s="242" t="s">
        <v>50</v>
      </c>
      <c r="C129" s="243">
        <v>81</v>
      </c>
      <c r="D129" s="243">
        <v>81</v>
      </c>
      <c r="E129" s="246">
        <v>80</v>
      </c>
      <c r="F129" s="247">
        <v>80</v>
      </c>
      <c r="G129" s="247">
        <v>83</v>
      </c>
      <c r="H129" s="247">
        <v>80</v>
      </c>
      <c r="I129" s="244"/>
      <c r="J129" s="247">
        <v>79</v>
      </c>
      <c r="K129" s="247">
        <v>81</v>
      </c>
      <c r="L129" s="246">
        <v>83</v>
      </c>
      <c r="M129" s="247">
        <v>81</v>
      </c>
      <c r="N129" s="247">
        <v>83</v>
      </c>
      <c r="O129" s="247">
        <v>81</v>
      </c>
      <c r="P129" s="244"/>
      <c r="Q129" s="247">
        <v>80</v>
      </c>
      <c r="R129" s="247">
        <v>84</v>
      </c>
      <c r="S129" s="246">
        <v>82</v>
      </c>
      <c r="T129" s="247">
        <v>83</v>
      </c>
      <c r="U129" s="247">
        <v>82</v>
      </c>
      <c r="V129" s="247">
        <v>82</v>
      </c>
      <c r="W129" s="244"/>
      <c r="X129" s="247">
        <v>82</v>
      </c>
      <c r="Y129" s="247">
        <v>80</v>
      </c>
      <c r="Z129" s="246">
        <v>79</v>
      </c>
      <c r="AA129" s="247">
        <v>80</v>
      </c>
      <c r="AB129" s="247">
        <v>82</v>
      </c>
      <c r="AC129" s="245"/>
      <c r="AD129" s="244"/>
      <c r="AE129" s="245"/>
      <c r="AF129" s="245"/>
      <c r="AG129" s="248"/>
      <c r="AH129" s="249"/>
      <c r="AI129" s="249"/>
      <c r="AJ129" s="8"/>
    </row>
    <row r="130" spans="1:36" ht="15">
      <c r="A130" s="368"/>
      <c r="B130" s="242" t="s">
        <v>51</v>
      </c>
      <c r="C130" s="243">
        <v>183.13690476190476</v>
      </c>
      <c r="D130" s="243">
        <v>183.13690476190476</v>
      </c>
      <c r="E130" s="246">
        <v>180</v>
      </c>
      <c r="F130" s="247">
        <v>180</v>
      </c>
      <c r="G130" s="247">
        <v>180</v>
      </c>
      <c r="H130" s="247">
        <v>180</v>
      </c>
      <c r="I130" s="244"/>
      <c r="J130" s="247">
        <v>192.5</v>
      </c>
      <c r="K130" s="247">
        <v>180</v>
      </c>
      <c r="L130" s="246">
        <v>235.625</v>
      </c>
      <c r="M130" s="247">
        <v>186.25</v>
      </c>
      <c r="N130" s="247">
        <v>198.75</v>
      </c>
      <c r="O130" s="247">
        <v>180.125</v>
      </c>
      <c r="P130" s="244"/>
      <c r="Q130" s="247">
        <v>180</v>
      </c>
      <c r="R130" s="247">
        <v>180</v>
      </c>
      <c r="S130" s="246">
        <v>180</v>
      </c>
      <c r="T130" s="247">
        <v>180</v>
      </c>
      <c r="U130" s="247">
        <v>180</v>
      </c>
      <c r="V130" s="247">
        <v>205</v>
      </c>
      <c r="W130" s="244"/>
      <c r="X130" s="247">
        <v>135</v>
      </c>
      <c r="Y130" s="247">
        <v>147.5</v>
      </c>
      <c r="Z130" s="246">
        <v>192.625</v>
      </c>
      <c r="AA130" s="247">
        <v>192.5</v>
      </c>
      <c r="AB130" s="247">
        <v>180</v>
      </c>
      <c r="AC130" s="245"/>
      <c r="AD130" s="244"/>
      <c r="AE130" s="245"/>
      <c r="AF130" s="245"/>
      <c r="AG130" s="248"/>
      <c r="AH130" s="249"/>
      <c r="AI130" s="249"/>
      <c r="AJ130" s="8"/>
    </row>
    <row r="131" spans="1:36" ht="15">
      <c r="A131" s="369"/>
      <c r="B131" s="250" t="s">
        <v>182</v>
      </c>
      <c r="C131" s="251">
        <v>2.2608999999999999</v>
      </c>
      <c r="D131" s="251">
        <v>2.2608999999999999</v>
      </c>
      <c r="E131" s="254">
        <v>2.25</v>
      </c>
      <c r="F131" s="251">
        <v>2.25</v>
      </c>
      <c r="G131" s="251">
        <v>2.1686999999999999</v>
      </c>
      <c r="H131" s="251">
        <v>2.25</v>
      </c>
      <c r="I131" s="252"/>
      <c r="J131" s="251">
        <v>2.4367000000000001</v>
      </c>
      <c r="K131" s="251">
        <v>2.2222</v>
      </c>
      <c r="L131" s="254">
        <v>2.8388999999999998</v>
      </c>
      <c r="M131" s="251">
        <v>2.2993999999999999</v>
      </c>
      <c r="N131" s="251">
        <v>2.3946000000000001</v>
      </c>
      <c r="O131" s="251">
        <v>2.2237999999999998</v>
      </c>
      <c r="P131" s="252"/>
      <c r="Q131" s="251">
        <v>2.25</v>
      </c>
      <c r="R131" s="251">
        <v>2.1429</v>
      </c>
      <c r="S131" s="254">
        <v>2.1951000000000001</v>
      </c>
      <c r="T131" s="251">
        <v>2.1686999999999999</v>
      </c>
      <c r="U131" s="251">
        <v>2.1951000000000001</v>
      </c>
      <c r="V131" s="251">
        <v>2.5</v>
      </c>
      <c r="W131" s="252"/>
      <c r="X131" s="251">
        <v>1.6463000000000001</v>
      </c>
      <c r="Y131" s="251">
        <v>1.8437999999999999</v>
      </c>
      <c r="Z131" s="254">
        <v>2.4382999999999999</v>
      </c>
      <c r="AA131" s="251">
        <v>2.4062999999999999</v>
      </c>
      <c r="AB131" s="251">
        <v>2.1951000000000001</v>
      </c>
      <c r="AC131" s="253"/>
      <c r="AD131" s="252"/>
      <c r="AE131" s="253"/>
      <c r="AF131" s="253"/>
      <c r="AG131" s="255"/>
      <c r="AH131" s="256"/>
      <c r="AI131" s="256"/>
      <c r="AJ131" s="8"/>
    </row>
    <row r="132" spans="1:36" ht="15">
      <c r="A132" s="367" t="s">
        <v>209</v>
      </c>
      <c r="B132" s="234" t="s">
        <v>175</v>
      </c>
      <c r="C132" s="235">
        <v>35768</v>
      </c>
      <c r="D132" s="235">
        <v>1703.2380952380952</v>
      </c>
      <c r="E132" s="238">
        <v>1520</v>
      </c>
      <c r="F132" s="239">
        <v>1640</v>
      </c>
      <c r="G132" s="239">
        <v>1760</v>
      </c>
      <c r="H132" s="239">
        <v>1760</v>
      </c>
      <c r="I132" s="236"/>
      <c r="J132" s="239">
        <v>1760</v>
      </c>
      <c r="K132" s="239">
        <v>1760</v>
      </c>
      <c r="L132" s="238">
        <v>1760</v>
      </c>
      <c r="M132" s="239">
        <v>1760</v>
      </c>
      <c r="N132" s="239">
        <v>1760</v>
      </c>
      <c r="O132" s="239">
        <v>1760</v>
      </c>
      <c r="P132" s="236"/>
      <c r="Q132" s="239">
        <v>1760</v>
      </c>
      <c r="R132" s="239">
        <v>1760</v>
      </c>
      <c r="S132" s="238">
        <v>1760</v>
      </c>
      <c r="T132" s="239">
        <v>1760</v>
      </c>
      <c r="U132" s="239">
        <v>1760</v>
      </c>
      <c r="V132" s="239">
        <v>1760</v>
      </c>
      <c r="W132" s="236"/>
      <c r="X132" s="239">
        <v>1680</v>
      </c>
      <c r="Y132" s="239">
        <v>1520</v>
      </c>
      <c r="Z132" s="238">
        <v>1600</v>
      </c>
      <c r="AA132" s="239">
        <v>1584</v>
      </c>
      <c r="AB132" s="239">
        <v>1584</v>
      </c>
      <c r="AC132" s="237"/>
      <c r="AD132" s="236"/>
      <c r="AE132" s="237"/>
      <c r="AF132" s="237"/>
      <c r="AG132" s="240"/>
      <c r="AH132" s="241"/>
      <c r="AI132" s="241"/>
      <c r="AJ132" s="8"/>
    </row>
    <row r="133" spans="1:36" ht="15">
      <c r="A133" s="368"/>
      <c r="B133" s="234" t="s">
        <v>176</v>
      </c>
      <c r="C133" s="235">
        <v>33800</v>
      </c>
      <c r="D133" s="235">
        <v>1609.5238095238096</v>
      </c>
      <c r="E133" s="238">
        <v>1680</v>
      </c>
      <c r="F133" s="239">
        <v>1680</v>
      </c>
      <c r="G133" s="239">
        <v>1680</v>
      </c>
      <c r="H133" s="239">
        <v>1680</v>
      </c>
      <c r="I133" s="236"/>
      <c r="J133" s="239">
        <v>1680</v>
      </c>
      <c r="K133" s="239">
        <v>1680</v>
      </c>
      <c r="L133" s="238">
        <v>1680</v>
      </c>
      <c r="M133" s="239">
        <v>1680</v>
      </c>
      <c r="N133" s="239">
        <v>1680</v>
      </c>
      <c r="O133" s="239">
        <v>1680</v>
      </c>
      <c r="P133" s="236"/>
      <c r="Q133" s="239">
        <v>1680</v>
      </c>
      <c r="R133" s="239">
        <v>1680</v>
      </c>
      <c r="S133" s="238">
        <v>1680</v>
      </c>
      <c r="T133" s="239">
        <v>1680</v>
      </c>
      <c r="U133" s="239">
        <v>1680</v>
      </c>
      <c r="V133" s="239">
        <v>1680</v>
      </c>
      <c r="W133" s="236"/>
      <c r="X133" s="239">
        <v>1140</v>
      </c>
      <c r="Y133" s="239">
        <v>1140</v>
      </c>
      <c r="Z133" s="238">
        <v>1520</v>
      </c>
      <c r="AA133" s="239">
        <v>1520</v>
      </c>
      <c r="AB133" s="239">
        <v>1600</v>
      </c>
      <c r="AC133" s="239">
        <v>1600</v>
      </c>
      <c r="AD133" s="236"/>
      <c r="AE133" s="239">
        <v>1600</v>
      </c>
      <c r="AF133" s="239">
        <v>1600</v>
      </c>
      <c r="AG133" s="257">
        <v>1600</v>
      </c>
      <c r="AH133" s="258">
        <v>1600</v>
      </c>
      <c r="AI133" s="258">
        <v>1600</v>
      </c>
      <c r="AJ133" s="8"/>
    </row>
    <row r="134" spans="1:36" ht="15">
      <c r="A134" s="368"/>
      <c r="B134" s="242" t="s">
        <v>177</v>
      </c>
      <c r="C134" s="243">
        <v>35433</v>
      </c>
      <c r="D134" s="243">
        <v>1687.2857142857142</v>
      </c>
      <c r="E134" s="246">
        <v>1680</v>
      </c>
      <c r="F134" s="247">
        <v>1680</v>
      </c>
      <c r="G134" s="247">
        <v>1780</v>
      </c>
      <c r="H134" s="247">
        <v>1680</v>
      </c>
      <c r="I134" s="244"/>
      <c r="J134" s="247">
        <v>1680</v>
      </c>
      <c r="K134" s="247">
        <v>1680</v>
      </c>
      <c r="L134" s="246">
        <v>1681</v>
      </c>
      <c r="M134" s="247">
        <v>1782</v>
      </c>
      <c r="N134" s="247">
        <v>1780</v>
      </c>
      <c r="O134" s="247">
        <v>1680</v>
      </c>
      <c r="P134" s="244"/>
      <c r="Q134" s="247">
        <v>1780</v>
      </c>
      <c r="R134" s="247">
        <v>1680</v>
      </c>
      <c r="S134" s="246">
        <v>1830</v>
      </c>
      <c r="T134" s="247">
        <v>1680</v>
      </c>
      <c r="U134" s="247">
        <v>1680</v>
      </c>
      <c r="V134" s="247">
        <v>1680</v>
      </c>
      <c r="W134" s="244"/>
      <c r="X134" s="247">
        <v>1340</v>
      </c>
      <c r="Y134" s="247">
        <v>1420</v>
      </c>
      <c r="Z134" s="246">
        <v>1720</v>
      </c>
      <c r="AA134" s="247">
        <v>1920</v>
      </c>
      <c r="AB134" s="247">
        <v>1600</v>
      </c>
      <c r="AC134" s="245"/>
      <c r="AD134" s="244"/>
      <c r="AE134" s="245"/>
      <c r="AF134" s="245"/>
      <c r="AG134" s="248"/>
      <c r="AH134" s="249"/>
      <c r="AI134" s="249"/>
      <c r="AJ134" s="8"/>
    </row>
    <row r="135" spans="1:36" ht="15">
      <c r="A135" s="368"/>
      <c r="B135" s="242" t="s">
        <v>178</v>
      </c>
      <c r="C135" s="243">
        <v>1633</v>
      </c>
      <c r="D135" s="243">
        <v>77.761904761904759</v>
      </c>
      <c r="E135" s="246">
        <v>0</v>
      </c>
      <c r="F135" s="247">
        <v>0</v>
      </c>
      <c r="G135" s="247">
        <v>100</v>
      </c>
      <c r="H135" s="247">
        <v>0</v>
      </c>
      <c r="I135" s="244"/>
      <c r="J135" s="247">
        <v>0</v>
      </c>
      <c r="K135" s="247">
        <v>0</v>
      </c>
      <c r="L135" s="246">
        <v>1</v>
      </c>
      <c r="M135" s="247">
        <v>102</v>
      </c>
      <c r="N135" s="247">
        <v>100</v>
      </c>
      <c r="O135" s="247">
        <v>0</v>
      </c>
      <c r="P135" s="244"/>
      <c r="Q135" s="247">
        <v>100</v>
      </c>
      <c r="R135" s="247">
        <v>0</v>
      </c>
      <c r="S135" s="246">
        <v>150</v>
      </c>
      <c r="T135" s="247">
        <v>0</v>
      </c>
      <c r="U135" s="247">
        <v>0</v>
      </c>
      <c r="V135" s="247">
        <v>0</v>
      </c>
      <c r="W135" s="244"/>
      <c r="X135" s="247">
        <v>200</v>
      </c>
      <c r="Y135" s="247">
        <v>280</v>
      </c>
      <c r="Z135" s="246">
        <v>200</v>
      </c>
      <c r="AA135" s="247">
        <v>400</v>
      </c>
      <c r="AB135" s="247">
        <v>0</v>
      </c>
      <c r="AC135" s="245"/>
      <c r="AD135" s="244"/>
      <c r="AE135" s="245"/>
      <c r="AF135" s="245"/>
      <c r="AG135" s="248"/>
      <c r="AH135" s="249"/>
      <c r="AI135" s="249"/>
      <c r="AJ135" s="8"/>
    </row>
    <row r="136" spans="1:36" ht="15">
      <c r="A136" s="368"/>
      <c r="B136" s="242" t="s">
        <v>179</v>
      </c>
      <c r="C136" s="243">
        <v>168</v>
      </c>
      <c r="D136" s="243">
        <v>8</v>
      </c>
      <c r="E136" s="246">
        <v>8</v>
      </c>
      <c r="F136" s="247">
        <v>8</v>
      </c>
      <c r="G136" s="247">
        <v>8</v>
      </c>
      <c r="H136" s="247">
        <v>8</v>
      </c>
      <c r="I136" s="244"/>
      <c r="J136" s="247">
        <v>8</v>
      </c>
      <c r="K136" s="247">
        <v>8</v>
      </c>
      <c r="L136" s="246">
        <v>8</v>
      </c>
      <c r="M136" s="247">
        <v>8</v>
      </c>
      <c r="N136" s="247">
        <v>8</v>
      </c>
      <c r="O136" s="247">
        <v>8</v>
      </c>
      <c r="P136" s="244"/>
      <c r="Q136" s="247">
        <v>8</v>
      </c>
      <c r="R136" s="247">
        <v>8</v>
      </c>
      <c r="S136" s="246">
        <v>8</v>
      </c>
      <c r="T136" s="247">
        <v>8</v>
      </c>
      <c r="U136" s="247">
        <v>8</v>
      </c>
      <c r="V136" s="247">
        <v>8</v>
      </c>
      <c r="W136" s="244"/>
      <c r="X136" s="247">
        <v>8</v>
      </c>
      <c r="Y136" s="247">
        <v>8</v>
      </c>
      <c r="Z136" s="246">
        <v>8</v>
      </c>
      <c r="AA136" s="247">
        <v>8</v>
      </c>
      <c r="AB136" s="247">
        <v>8</v>
      </c>
      <c r="AC136" s="245"/>
      <c r="AD136" s="244"/>
      <c r="AE136" s="245"/>
      <c r="AF136" s="245"/>
      <c r="AG136" s="248"/>
      <c r="AH136" s="249"/>
      <c r="AI136" s="249"/>
      <c r="AJ136" s="8"/>
    </row>
    <row r="137" spans="1:36" ht="15">
      <c r="A137" s="368"/>
      <c r="B137" s="242" t="s">
        <v>180</v>
      </c>
      <c r="C137" s="243">
        <v>74</v>
      </c>
      <c r="D137" s="243">
        <v>74</v>
      </c>
      <c r="E137" s="246">
        <v>74</v>
      </c>
      <c r="F137" s="247">
        <v>74</v>
      </c>
      <c r="G137" s="247">
        <v>74</v>
      </c>
      <c r="H137" s="247">
        <v>75</v>
      </c>
      <c r="I137" s="244"/>
      <c r="J137" s="247">
        <v>73</v>
      </c>
      <c r="K137" s="247">
        <v>73</v>
      </c>
      <c r="L137" s="246">
        <v>73</v>
      </c>
      <c r="M137" s="247">
        <v>73</v>
      </c>
      <c r="N137" s="247">
        <v>75</v>
      </c>
      <c r="O137" s="247">
        <v>76</v>
      </c>
      <c r="P137" s="244"/>
      <c r="Q137" s="247">
        <v>75</v>
      </c>
      <c r="R137" s="247">
        <v>74</v>
      </c>
      <c r="S137" s="246">
        <v>76</v>
      </c>
      <c r="T137" s="247">
        <v>75</v>
      </c>
      <c r="U137" s="247">
        <v>74</v>
      </c>
      <c r="V137" s="247">
        <v>73</v>
      </c>
      <c r="W137" s="244"/>
      <c r="X137" s="247">
        <v>72</v>
      </c>
      <c r="Y137" s="247">
        <v>73</v>
      </c>
      <c r="Z137" s="246">
        <v>73</v>
      </c>
      <c r="AA137" s="247">
        <v>75</v>
      </c>
      <c r="AB137" s="247">
        <v>74</v>
      </c>
      <c r="AC137" s="245"/>
      <c r="AD137" s="244"/>
      <c r="AE137" s="245"/>
      <c r="AF137" s="245"/>
      <c r="AG137" s="248"/>
      <c r="AH137" s="249"/>
      <c r="AI137" s="249"/>
      <c r="AJ137" s="8"/>
    </row>
    <row r="138" spans="1:36" ht="15">
      <c r="A138" s="368"/>
      <c r="B138" s="242" t="s">
        <v>181</v>
      </c>
      <c r="C138" s="243">
        <v>210.91071428571428</v>
      </c>
      <c r="D138" s="243">
        <v>210.91071428571428</v>
      </c>
      <c r="E138" s="246">
        <v>210</v>
      </c>
      <c r="F138" s="247">
        <v>210</v>
      </c>
      <c r="G138" s="247">
        <v>222.5</v>
      </c>
      <c r="H138" s="247">
        <v>210</v>
      </c>
      <c r="I138" s="244"/>
      <c r="J138" s="247">
        <v>210</v>
      </c>
      <c r="K138" s="247">
        <v>210</v>
      </c>
      <c r="L138" s="246">
        <v>210.125</v>
      </c>
      <c r="M138" s="247">
        <v>222.75</v>
      </c>
      <c r="N138" s="247">
        <v>222.5</v>
      </c>
      <c r="O138" s="247">
        <v>210</v>
      </c>
      <c r="P138" s="244"/>
      <c r="Q138" s="247">
        <v>222.5</v>
      </c>
      <c r="R138" s="247">
        <v>210</v>
      </c>
      <c r="S138" s="246">
        <v>228.75</v>
      </c>
      <c r="T138" s="247">
        <v>210</v>
      </c>
      <c r="U138" s="247">
        <v>210</v>
      </c>
      <c r="V138" s="247">
        <v>210</v>
      </c>
      <c r="W138" s="244"/>
      <c r="X138" s="247">
        <v>167.5</v>
      </c>
      <c r="Y138" s="247">
        <v>177.5</v>
      </c>
      <c r="Z138" s="246">
        <v>215</v>
      </c>
      <c r="AA138" s="247">
        <v>240</v>
      </c>
      <c r="AB138" s="247">
        <v>200</v>
      </c>
      <c r="AC138" s="245"/>
      <c r="AD138" s="244"/>
      <c r="AE138" s="245"/>
      <c r="AF138" s="245"/>
      <c r="AG138" s="248"/>
      <c r="AH138" s="249"/>
      <c r="AI138" s="249"/>
      <c r="AJ138" s="8"/>
    </row>
    <row r="139" spans="1:36" ht="15">
      <c r="A139" s="369"/>
      <c r="B139" s="250" t="s">
        <v>182</v>
      </c>
      <c r="C139" s="251">
        <v>2.8500999999999999</v>
      </c>
      <c r="D139" s="251">
        <v>2.8500999999999999</v>
      </c>
      <c r="E139" s="254">
        <v>2.8378000000000001</v>
      </c>
      <c r="F139" s="251">
        <v>2.8378000000000001</v>
      </c>
      <c r="G139" s="251">
        <v>3.0068000000000001</v>
      </c>
      <c r="H139" s="251">
        <v>2.8</v>
      </c>
      <c r="I139" s="252"/>
      <c r="J139" s="251">
        <v>2.8767</v>
      </c>
      <c r="K139" s="251">
        <v>2.8767</v>
      </c>
      <c r="L139" s="254">
        <v>2.8784000000000001</v>
      </c>
      <c r="M139" s="251">
        <v>3.0514000000000001</v>
      </c>
      <c r="N139" s="251">
        <v>2.9666999999999999</v>
      </c>
      <c r="O139" s="251">
        <v>2.7631999999999999</v>
      </c>
      <c r="P139" s="252"/>
      <c r="Q139" s="251">
        <v>2.9666999999999999</v>
      </c>
      <c r="R139" s="251">
        <v>2.8378000000000001</v>
      </c>
      <c r="S139" s="254">
        <v>3.0099</v>
      </c>
      <c r="T139" s="251">
        <v>2.8</v>
      </c>
      <c r="U139" s="251">
        <v>2.8378000000000001</v>
      </c>
      <c r="V139" s="251">
        <v>2.8767</v>
      </c>
      <c r="W139" s="252"/>
      <c r="X139" s="251">
        <v>2.3264</v>
      </c>
      <c r="Y139" s="251">
        <v>2.4314999999999998</v>
      </c>
      <c r="Z139" s="254">
        <v>2.9451999999999998</v>
      </c>
      <c r="AA139" s="251">
        <v>3.2</v>
      </c>
      <c r="AB139" s="251">
        <v>2.7027000000000001</v>
      </c>
      <c r="AC139" s="253"/>
      <c r="AD139" s="252"/>
      <c r="AE139" s="253"/>
      <c r="AF139" s="253"/>
      <c r="AG139" s="255"/>
      <c r="AH139" s="256"/>
      <c r="AI139" s="256"/>
      <c r="AJ139" s="8"/>
    </row>
    <row r="140" spans="1:36" ht="15">
      <c r="A140" s="367" t="s">
        <v>210</v>
      </c>
      <c r="B140" s="234" t="s">
        <v>175</v>
      </c>
      <c r="C140" s="235">
        <v>36400</v>
      </c>
      <c r="D140" s="235">
        <v>1733.3333333333333</v>
      </c>
      <c r="E140" s="238">
        <v>1760</v>
      </c>
      <c r="F140" s="239">
        <v>1760</v>
      </c>
      <c r="G140" s="239">
        <v>1760</v>
      </c>
      <c r="H140" s="239">
        <v>1760</v>
      </c>
      <c r="I140" s="236"/>
      <c r="J140" s="239">
        <v>1760</v>
      </c>
      <c r="K140" s="239">
        <v>1760</v>
      </c>
      <c r="L140" s="238">
        <v>1760</v>
      </c>
      <c r="M140" s="239">
        <v>1760</v>
      </c>
      <c r="N140" s="239">
        <v>1760</v>
      </c>
      <c r="O140" s="239">
        <v>1760</v>
      </c>
      <c r="P140" s="236"/>
      <c r="Q140" s="239">
        <v>1760</v>
      </c>
      <c r="R140" s="239">
        <v>1760</v>
      </c>
      <c r="S140" s="238">
        <v>1760</v>
      </c>
      <c r="T140" s="239">
        <v>1760</v>
      </c>
      <c r="U140" s="239">
        <v>1760</v>
      </c>
      <c r="V140" s="239">
        <v>1760</v>
      </c>
      <c r="W140" s="236"/>
      <c r="X140" s="239">
        <v>1760</v>
      </c>
      <c r="Y140" s="239">
        <v>1680</v>
      </c>
      <c r="Z140" s="238">
        <v>1520</v>
      </c>
      <c r="AA140" s="239">
        <v>1640</v>
      </c>
      <c r="AB140" s="239">
        <v>1640</v>
      </c>
      <c r="AC140" s="237"/>
      <c r="AD140" s="236"/>
      <c r="AE140" s="237"/>
      <c r="AF140" s="237"/>
      <c r="AG140" s="240"/>
      <c r="AH140" s="241"/>
      <c r="AI140" s="241"/>
      <c r="AJ140" s="8"/>
    </row>
    <row r="141" spans="1:36" ht="15">
      <c r="A141" s="368"/>
      <c r="B141" s="234" t="s">
        <v>176</v>
      </c>
      <c r="C141" s="235">
        <v>33600</v>
      </c>
      <c r="D141" s="235">
        <v>1600</v>
      </c>
      <c r="E141" s="238">
        <v>1680</v>
      </c>
      <c r="F141" s="239">
        <v>1680</v>
      </c>
      <c r="G141" s="239">
        <v>1680</v>
      </c>
      <c r="H141" s="239">
        <v>1680</v>
      </c>
      <c r="I141" s="236"/>
      <c r="J141" s="239">
        <v>1680</v>
      </c>
      <c r="K141" s="239">
        <v>1680</v>
      </c>
      <c r="L141" s="238">
        <v>1680</v>
      </c>
      <c r="M141" s="239">
        <v>1680</v>
      </c>
      <c r="N141" s="239">
        <v>1680</v>
      </c>
      <c r="O141" s="239">
        <v>1680</v>
      </c>
      <c r="P141" s="236"/>
      <c r="Q141" s="239">
        <v>1680</v>
      </c>
      <c r="R141" s="239">
        <v>1680</v>
      </c>
      <c r="S141" s="238">
        <v>1680</v>
      </c>
      <c r="T141" s="239">
        <v>1680</v>
      </c>
      <c r="U141" s="239">
        <v>1680</v>
      </c>
      <c r="V141" s="239">
        <v>1680</v>
      </c>
      <c r="W141" s="236"/>
      <c r="X141" s="239">
        <v>1680</v>
      </c>
      <c r="Y141" s="239">
        <v>1080</v>
      </c>
      <c r="Z141" s="238">
        <v>1080</v>
      </c>
      <c r="AA141" s="239">
        <v>1440</v>
      </c>
      <c r="AB141" s="239">
        <v>1440</v>
      </c>
      <c r="AC141" s="239">
        <v>1440</v>
      </c>
      <c r="AD141" s="236"/>
      <c r="AE141" s="239">
        <v>1440</v>
      </c>
      <c r="AF141" s="239">
        <v>1440</v>
      </c>
      <c r="AG141" s="257">
        <v>1440</v>
      </c>
      <c r="AH141" s="258">
        <v>1440</v>
      </c>
      <c r="AI141" s="258">
        <v>1440</v>
      </c>
      <c r="AJ141" s="8"/>
    </row>
    <row r="142" spans="1:36" ht="15">
      <c r="A142" s="368"/>
      <c r="B142" s="242" t="s">
        <v>177</v>
      </c>
      <c r="C142" s="243">
        <v>34072</v>
      </c>
      <c r="D142" s="243">
        <v>1622.4761904761904</v>
      </c>
      <c r="E142" s="246">
        <v>1680</v>
      </c>
      <c r="F142" s="247">
        <v>1680</v>
      </c>
      <c r="G142" s="247">
        <v>1580</v>
      </c>
      <c r="H142" s="247">
        <v>1480</v>
      </c>
      <c r="I142" s="244"/>
      <c r="J142" s="247">
        <v>1580</v>
      </c>
      <c r="K142" s="247">
        <v>1680</v>
      </c>
      <c r="L142" s="246">
        <v>1436</v>
      </c>
      <c r="M142" s="247">
        <v>1680</v>
      </c>
      <c r="N142" s="247">
        <v>1680</v>
      </c>
      <c r="O142" s="247">
        <v>1680</v>
      </c>
      <c r="P142" s="244"/>
      <c r="Q142" s="247">
        <v>1680</v>
      </c>
      <c r="R142" s="247">
        <v>1680</v>
      </c>
      <c r="S142" s="246">
        <v>1680</v>
      </c>
      <c r="T142" s="247">
        <v>1680</v>
      </c>
      <c r="U142" s="247">
        <v>1580</v>
      </c>
      <c r="V142" s="247">
        <v>1484</v>
      </c>
      <c r="W142" s="244"/>
      <c r="X142" s="247">
        <v>1980</v>
      </c>
      <c r="Y142" s="247">
        <v>2192</v>
      </c>
      <c r="Z142" s="246">
        <v>1080</v>
      </c>
      <c r="AA142" s="247">
        <v>1440</v>
      </c>
      <c r="AB142" s="247">
        <v>1440</v>
      </c>
      <c r="AC142" s="245"/>
      <c r="AD142" s="244"/>
      <c r="AE142" s="245"/>
      <c r="AF142" s="245"/>
      <c r="AG142" s="248"/>
      <c r="AH142" s="249"/>
      <c r="AI142" s="249"/>
      <c r="AJ142" s="8"/>
    </row>
    <row r="143" spans="1:36" ht="15">
      <c r="A143" s="368"/>
      <c r="B143" s="242" t="s">
        <v>211</v>
      </c>
      <c r="C143" s="243">
        <v>472</v>
      </c>
      <c r="D143" s="243">
        <v>22.476190476190474</v>
      </c>
      <c r="E143" s="246">
        <v>0</v>
      </c>
      <c r="F143" s="247">
        <v>0</v>
      </c>
      <c r="G143" s="245">
        <v>-100</v>
      </c>
      <c r="H143" s="245">
        <v>-200</v>
      </c>
      <c r="I143" s="244"/>
      <c r="J143" s="245">
        <v>-100</v>
      </c>
      <c r="K143" s="247">
        <v>0</v>
      </c>
      <c r="L143" s="244">
        <v>-244</v>
      </c>
      <c r="M143" s="247">
        <v>0</v>
      </c>
      <c r="N143" s="247">
        <v>0</v>
      </c>
      <c r="O143" s="247">
        <v>0</v>
      </c>
      <c r="P143" s="244"/>
      <c r="Q143" s="247">
        <v>0</v>
      </c>
      <c r="R143" s="247">
        <v>0</v>
      </c>
      <c r="S143" s="246">
        <v>0</v>
      </c>
      <c r="T143" s="247">
        <v>0</v>
      </c>
      <c r="U143" s="245">
        <v>-100</v>
      </c>
      <c r="V143" s="245">
        <v>-196</v>
      </c>
      <c r="W143" s="244"/>
      <c r="X143" s="247">
        <v>300</v>
      </c>
      <c r="Y143" s="247">
        <v>1112</v>
      </c>
      <c r="Z143" s="246">
        <v>0</v>
      </c>
      <c r="AA143" s="247">
        <v>0</v>
      </c>
      <c r="AB143" s="247">
        <v>0</v>
      </c>
      <c r="AC143" s="245"/>
      <c r="AD143" s="244"/>
      <c r="AE143" s="245"/>
      <c r="AF143" s="245"/>
      <c r="AG143" s="248"/>
      <c r="AH143" s="249"/>
      <c r="AI143" s="249"/>
      <c r="AJ143" s="8"/>
    </row>
    <row r="144" spans="1:36" ht="15">
      <c r="A144" s="368"/>
      <c r="B144" s="242" t="s">
        <v>205</v>
      </c>
      <c r="C144" s="243">
        <v>168</v>
      </c>
      <c r="D144" s="243">
        <v>8</v>
      </c>
      <c r="E144" s="246">
        <v>8</v>
      </c>
      <c r="F144" s="247">
        <v>8</v>
      </c>
      <c r="G144" s="247">
        <v>8</v>
      </c>
      <c r="H144" s="247">
        <v>8</v>
      </c>
      <c r="I144" s="244"/>
      <c r="J144" s="247">
        <v>8</v>
      </c>
      <c r="K144" s="247">
        <v>8</v>
      </c>
      <c r="L144" s="246">
        <v>8</v>
      </c>
      <c r="M144" s="247">
        <v>8</v>
      </c>
      <c r="N144" s="247">
        <v>8</v>
      </c>
      <c r="O144" s="247">
        <v>8</v>
      </c>
      <c r="P144" s="244"/>
      <c r="Q144" s="247">
        <v>8</v>
      </c>
      <c r="R144" s="247">
        <v>8</v>
      </c>
      <c r="S144" s="246">
        <v>8</v>
      </c>
      <c r="T144" s="247">
        <v>8</v>
      </c>
      <c r="U144" s="247">
        <v>8</v>
      </c>
      <c r="V144" s="247">
        <v>8</v>
      </c>
      <c r="W144" s="244"/>
      <c r="X144" s="247">
        <v>8</v>
      </c>
      <c r="Y144" s="247">
        <v>8</v>
      </c>
      <c r="Z144" s="246">
        <v>8</v>
      </c>
      <c r="AA144" s="247">
        <v>8</v>
      </c>
      <c r="AB144" s="247">
        <v>8</v>
      </c>
      <c r="AC144" s="245"/>
      <c r="AD144" s="244"/>
      <c r="AE144" s="245"/>
      <c r="AF144" s="245"/>
      <c r="AG144" s="248"/>
      <c r="AH144" s="249"/>
      <c r="AI144" s="249"/>
      <c r="AJ144" s="8"/>
    </row>
    <row r="145" spans="1:36" ht="15">
      <c r="A145" s="368"/>
      <c r="B145" s="242" t="s">
        <v>206</v>
      </c>
      <c r="C145" s="243">
        <v>70</v>
      </c>
      <c r="D145" s="243">
        <v>70</v>
      </c>
      <c r="E145" s="246">
        <v>69</v>
      </c>
      <c r="F145" s="247">
        <v>73</v>
      </c>
      <c r="G145" s="247">
        <v>72</v>
      </c>
      <c r="H145" s="247">
        <v>71</v>
      </c>
      <c r="I145" s="244"/>
      <c r="J145" s="247">
        <v>72</v>
      </c>
      <c r="K145" s="247">
        <v>68</v>
      </c>
      <c r="L145" s="246">
        <v>69</v>
      </c>
      <c r="M145" s="247">
        <v>70</v>
      </c>
      <c r="N145" s="247">
        <v>69</v>
      </c>
      <c r="O145" s="247">
        <v>71</v>
      </c>
      <c r="P145" s="244"/>
      <c r="Q145" s="247">
        <v>69</v>
      </c>
      <c r="R145" s="247">
        <v>69</v>
      </c>
      <c r="S145" s="246">
        <v>71</v>
      </c>
      <c r="T145" s="247">
        <v>70</v>
      </c>
      <c r="U145" s="247">
        <v>70</v>
      </c>
      <c r="V145" s="247">
        <v>68</v>
      </c>
      <c r="W145" s="244"/>
      <c r="X145" s="247">
        <v>69</v>
      </c>
      <c r="Y145" s="247">
        <v>68</v>
      </c>
      <c r="Z145" s="246">
        <v>72</v>
      </c>
      <c r="AA145" s="247">
        <v>71</v>
      </c>
      <c r="AB145" s="247">
        <v>71</v>
      </c>
      <c r="AC145" s="245"/>
      <c r="AD145" s="244"/>
      <c r="AE145" s="245"/>
      <c r="AF145" s="245"/>
      <c r="AG145" s="248"/>
      <c r="AH145" s="249"/>
      <c r="AI145" s="249"/>
      <c r="AJ145" s="8"/>
    </row>
    <row r="146" spans="1:36" ht="15">
      <c r="A146" s="368"/>
      <c r="B146" s="242" t="s">
        <v>207</v>
      </c>
      <c r="C146" s="243">
        <v>202.8095238095238</v>
      </c>
      <c r="D146" s="243">
        <v>202.8095238095238</v>
      </c>
      <c r="E146" s="246">
        <v>210</v>
      </c>
      <c r="F146" s="247">
        <v>210</v>
      </c>
      <c r="G146" s="247">
        <v>197.5</v>
      </c>
      <c r="H146" s="247">
        <v>185</v>
      </c>
      <c r="I146" s="244"/>
      <c r="J146" s="247">
        <v>197.5</v>
      </c>
      <c r="K146" s="247">
        <v>210</v>
      </c>
      <c r="L146" s="246">
        <v>179.5</v>
      </c>
      <c r="M146" s="247">
        <v>210</v>
      </c>
      <c r="N146" s="247">
        <v>210</v>
      </c>
      <c r="O146" s="247">
        <v>210</v>
      </c>
      <c r="P146" s="244"/>
      <c r="Q146" s="247">
        <v>210</v>
      </c>
      <c r="R146" s="247">
        <v>210</v>
      </c>
      <c r="S146" s="246">
        <v>210</v>
      </c>
      <c r="T146" s="247">
        <v>210</v>
      </c>
      <c r="U146" s="247">
        <v>197.5</v>
      </c>
      <c r="V146" s="247">
        <v>185.5</v>
      </c>
      <c r="W146" s="244"/>
      <c r="X146" s="247">
        <v>247.5</v>
      </c>
      <c r="Y146" s="247">
        <v>274</v>
      </c>
      <c r="Z146" s="246">
        <v>135</v>
      </c>
      <c r="AA146" s="247">
        <v>180</v>
      </c>
      <c r="AB146" s="247">
        <v>180</v>
      </c>
      <c r="AC146" s="245"/>
      <c r="AD146" s="244"/>
      <c r="AE146" s="245"/>
      <c r="AF146" s="245"/>
      <c r="AG146" s="248"/>
      <c r="AH146" s="249"/>
      <c r="AI146" s="249"/>
      <c r="AJ146" s="8"/>
    </row>
    <row r="147" spans="1:36" ht="15">
      <c r="A147" s="369"/>
      <c r="B147" s="250" t="s">
        <v>52</v>
      </c>
      <c r="C147" s="251">
        <v>2.8973</v>
      </c>
      <c r="D147" s="251">
        <v>2.8973</v>
      </c>
      <c r="E147" s="254">
        <v>3.0434999999999999</v>
      </c>
      <c r="F147" s="251">
        <v>2.8767</v>
      </c>
      <c r="G147" s="251">
        <v>2.7431000000000001</v>
      </c>
      <c r="H147" s="251">
        <v>2.6055999999999999</v>
      </c>
      <c r="I147" s="252"/>
      <c r="J147" s="251">
        <v>2.7431000000000001</v>
      </c>
      <c r="K147" s="251">
        <v>3.0882000000000001</v>
      </c>
      <c r="L147" s="254">
        <v>2.6013999999999999</v>
      </c>
      <c r="M147" s="251">
        <v>3</v>
      </c>
      <c r="N147" s="251">
        <v>3.0434999999999999</v>
      </c>
      <c r="O147" s="251">
        <v>2.9577</v>
      </c>
      <c r="P147" s="252"/>
      <c r="Q147" s="251">
        <v>3.0434999999999999</v>
      </c>
      <c r="R147" s="251">
        <v>3.0434999999999999</v>
      </c>
      <c r="S147" s="254">
        <v>2.9577</v>
      </c>
      <c r="T147" s="251">
        <v>3</v>
      </c>
      <c r="U147" s="251">
        <v>2.8214000000000001</v>
      </c>
      <c r="V147" s="251">
        <v>2.7279</v>
      </c>
      <c r="W147" s="252"/>
      <c r="X147" s="251">
        <v>3.5869999999999997</v>
      </c>
      <c r="Y147" s="251">
        <v>4.0293999999999999</v>
      </c>
      <c r="Z147" s="254">
        <v>1.875</v>
      </c>
      <c r="AA147" s="251">
        <v>2.5352000000000001</v>
      </c>
      <c r="AB147" s="251">
        <v>2.5352000000000001</v>
      </c>
      <c r="AC147" s="253"/>
      <c r="AD147" s="252"/>
      <c r="AE147" s="253"/>
      <c r="AF147" s="253"/>
      <c r="AG147" s="255"/>
      <c r="AH147" s="256"/>
      <c r="AI147" s="256"/>
      <c r="AJ147" s="8"/>
    </row>
  </sheetData>
  <mergeCells count="20">
    <mergeCell ref="A68:A75"/>
    <mergeCell ref="A76:A83"/>
    <mergeCell ref="A84:A91"/>
    <mergeCell ref="A28:A35"/>
    <mergeCell ref="A36:A43"/>
    <mergeCell ref="A44:A51"/>
    <mergeCell ref="A52:A59"/>
    <mergeCell ref="A60:A67"/>
    <mergeCell ref="A4:A11"/>
    <mergeCell ref="A1:B1"/>
    <mergeCell ref="A2:AE2"/>
    <mergeCell ref="A12:A19"/>
    <mergeCell ref="A20:A27"/>
    <mergeCell ref="A132:A139"/>
    <mergeCell ref="A140:A147"/>
    <mergeCell ref="A92:A99"/>
    <mergeCell ref="A100:A107"/>
    <mergeCell ref="A108:A115"/>
    <mergeCell ref="A116:A123"/>
    <mergeCell ref="A124:A131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FF00"/>
  </sheetPr>
  <dimension ref="A1:AJ35"/>
  <sheetViews>
    <sheetView workbookViewId="0">
      <selection activeCell="E29" sqref="E29"/>
    </sheetView>
  </sheetViews>
  <sheetFormatPr defaultRowHeight="15"/>
  <cols>
    <col min="1" max="1" width="10.42578125" customWidth="1"/>
    <col min="4" max="4" width="7.140625" style="71" customWidth="1"/>
    <col min="5" max="5" width="4.7109375" style="70" customWidth="1"/>
    <col min="6" max="8" width="4.7109375" customWidth="1"/>
    <col min="9" max="9" width="4.7109375" style="70" customWidth="1"/>
    <col min="10" max="11" width="4.7109375" customWidth="1"/>
    <col min="12" max="12" width="4.7109375" style="70" customWidth="1"/>
    <col min="13" max="15" width="4.7109375" customWidth="1"/>
    <col min="16" max="16" width="4.7109375" style="70" customWidth="1"/>
    <col min="17" max="18" width="4.7109375" customWidth="1"/>
    <col min="19" max="19" width="4.7109375" style="70" customWidth="1"/>
    <col min="20" max="22" width="4.7109375" customWidth="1"/>
    <col min="23" max="23" width="4.7109375" style="70" customWidth="1"/>
    <col min="24" max="25" width="4.7109375" customWidth="1"/>
    <col min="26" max="26" width="4.7109375" style="70" customWidth="1"/>
    <col min="27" max="29" width="4.7109375" customWidth="1"/>
    <col min="30" max="30" width="4.7109375" style="70" customWidth="1"/>
    <col min="31" max="32" width="4.7109375" customWidth="1"/>
    <col min="33" max="33" width="4.7109375" style="70" customWidth="1"/>
    <col min="34" max="35" width="4.7109375" customWidth="1"/>
  </cols>
  <sheetData>
    <row r="1" spans="1:36" ht="27.75">
      <c r="A1" s="344" t="s">
        <v>4</v>
      </c>
      <c r="B1" s="345"/>
    </row>
    <row r="2" spans="1:36" s="8" customFormat="1" ht="30">
      <c r="A2" s="363" t="s">
        <v>212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G2" s="74"/>
    </row>
    <row r="3" spans="1:36" s="8" customFormat="1" ht="16.5">
      <c r="A3" s="69" t="s">
        <v>96</v>
      </c>
      <c r="B3" s="260" t="s">
        <v>43</v>
      </c>
      <c r="C3" s="261" t="s">
        <v>44</v>
      </c>
      <c r="D3" s="262" t="s">
        <v>213</v>
      </c>
      <c r="E3" s="263">
        <v>1</v>
      </c>
      <c r="F3" s="260">
        <v>2</v>
      </c>
      <c r="G3" s="260">
        <v>3</v>
      </c>
      <c r="H3" s="260">
        <v>4</v>
      </c>
      <c r="I3" s="264">
        <v>5</v>
      </c>
      <c r="J3" s="260">
        <v>6</v>
      </c>
      <c r="K3" s="260">
        <v>7</v>
      </c>
      <c r="L3" s="263">
        <v>8</v>
      </c>
      <c r="M3" s="260">
        <v>9</v>
      </c>
      <c r="N3" s="260">
        <v>10</v>
      </c>
      <c r="O3" s="260">
        <v>11</v>
      </c>
      <c r="P3" s="264">
        <v>12</v>
      </c>
      <c r="Q3" s="260">
        <v>13</v>
      </c>
      <c r="R3" s="260">
        <v>14</v>
      </c>
      <c r="S3" s="263">
        <v>15</v>
      </c>
      <c r="T3" s="260">
        <v>16</v>
      </c>
      <c r="U3" s="260">
        <v>17</v>
      </c>
      <c r="V3" s="260">
        <v>18</v>
      </c>
      <c r="W3" s="264">
        <v>19</v>
      </c>
      <c r="X3" s="260">
        <v>20</v>
      </c>
      <c r="Y3" s="260">
        <v>21</v>
      </c>
      <c r="Z3" s="263">
        <v>22</v>
      </c>
      <c r="AA3" s="260">
        <v>23</v>
      </c>
      <c r="AB3" s="260">
        <v>24</v>
      </c>
      <c r="AC3" s="260">
        <v>25</v>
      </c>
      <c r="AD3" s="264">
        <v>26</v>
      </c>
      <c r="AE3" s="260">
        <v>27</v>
      </c>
      <c r="AF3" s="260">
        <v>28</v>
      </c>
      <c r="AG3" s="265">
        <v>29</v>
      </c>
      <c r="AH3" s="266">
        <v>30</v>
      </c>
      <c r="AI3" s="266">
        <v>31</v>
      </c>
    </row>
    <row r="4" spans="1:36" s="8" customFormat="1" ht="15" customHeight="1">
      <c r="A4" s="370" t="s">
        <v>44</v>
      </c>
      <c r="B4" s="267" t="s">
        <v>45</v>
      </c>
      <c r="C4" s="268">
        <v>1412584</v>
      </c>
      <c r="D4" s="268">
        <v>67265.904761904763</v>
      </c>
      <c r="E4" s="271">
        <v>69424</v>
      </c>
      <c r="F4" s="272">
        <v>69488</v>
      </c>
      <c r="G4" s="272">
        <v>69896</v>
      </c>
      <c r="H4" s="272">
        <v>69472</v>
      </c>
      <c r="I4" s="269"/>
      <c r="J4" s="272">
        <v>69488</v>
      </c>
      <c r="K4" s="272">
        <v>69536</v>
      </c>
      <c r="L4" s="271">
        <v>69792</v>
      </c>
      <c r="M4" s="272">
        <v>69416</v>
      </c>
      <c r="N4" s="272">
        <v>69448</v>
      </c>
      <c r="O4" s="272">
        <v>69440</v>
      </c>
      <c r="P4" s="269"/>
      <c r="Q4" s="272">
        <v>68936</v>
      </c>
      <c r="R4" s="272">
        <v>68736</v>
      </c>
      <c r="S4" s="271">
        <v>68032</v>
      </c>
      <c r="T4" s="272">
        <v>66720</v>
      </c>
      <c r="U4" s="272">
        <v>66248</v>
      </c>
      <c r="V4" s="272">
        <v>65400</v>
      </c>
      <c r="W4" s="269"/>
      <c r="X4" s="272">
        <v>64456</v>
      </c>
      <c r="Y4" s="272">
        <v>62904</v>
      </c>
      <c r="Z4" s="271">
        <v>62832</v>
      </c>
      <c r="AA4" s="272">
        <v>61536</v>
      </c>
      <c r="AB4" s="272">
        <v>61384</v>
      </c>
      <c r="AC4" s="270"/>
      <c r="AD4" s="269"/>
      <c r="AE4" s="270"/>
      <c r="AF4" s="270"/>
      <c r="AG4" s="273"/>
      <c r="AH4" s="274"/>
      <c r="AI4" s="274"/>
    </row>
    <row r="5" spans="1:36" s="8" customFormat="1" ht="15" customHeight="1">
      <c r="A5" s="371"/>
      <c r="B5" s="267" t="s">
        <v>46</v>
      </c>
      <c r="C5" s="268">
        <v>1282020</v>
      </c>
      <c r="D5" s="268">
        <v>61048.571428571428</v>
      </c>
      <c r="E5" s="271">
        <v>63480</v>
      </c>
      <c r="F5" s="272">
        <v>63870</v>
      </c>
      <c r="G5" s="272">
        <v>65430</v>
      </c>
      <c r="H5" s="272">
        <v>66160</v>
      </c>
      <c r="I5" s="269"/>
      <c r="J5" s="272">
        <v>65820</v>
      </c>
      <c r="K5" s="272">
        <v>65820</v>
      </c>
      <c r="L5" s="271">
        <v>66120</v>
      </c>
      <c r="M5" s="272">
        <v>65420</v>
      </c>
      <c r="N5" s="272">
        <v>65860</v>
      </c>
      <c r="O5" s="272">
        <v>63760</v>
      </c>
      <c r="P5" s="269"/>
      <c r="Q5" s="272">
        <v>63180</v>
      </c>
      <c r="R5" s="272">
        <v>63000</v>
      </c>
      <c r="S5" s="271">
        <v>60460</v>
      </c>
      <c r="T5" s="272">
        <v>58480</v>
      </c>
      <c r="U5" s="272">
        <v>59180</v>
      </c>
      <c r="V5" s="272">
        <v>58140</v>
      </c>
      <c r="W5" s="269"/>
      <c r="X5" s="272">
        <v>52840</v>
      </c>
      <c r="Y5" s="272">
        <v>51980</v>
      </c>
      <c r="Z5" s="271">
        <v>53070</v>
      </c>
      <c r="AA5" s="272">
        <v>54410</v>
      </c>
      <c r="AB5" s="272">
        <v>55540</v>
      </c>
      <c r="AC5" s="272">
        <v>54620</v>
      </c>
      <c r="AD5" s="269"/>
      <c r="AE5" s="272">
        <v>54164</v>
      </c>
      <c r="AF5" s="272">
        <v>53974</v>
      </c>
      <c r="AG5" s="291">
        <v>54102</v>
      </c>
      <c r="AH5" s="292">
        <v>54112</v>
      </c>
      <c r="AI5" s="292">
        <v>54272</v>
      </c>
    </row>
    <row r="6" spans="1:36" s="8" customFormat="1" ht="15" customHeight="1">
      <c r="A6" s="371"/>
      <c r="B6" s="275" t="s">
        <v>214</v>
      </c>
      <c r="C6" s="276">
        <v>1222680</v>
      </c>
      <c r="D6" s="276">
        <v>58222.857142857138</v>
      </c>
      <c r="E6" s="279">
        <v>60810</v>
      </c>
      <c r="F6" s="280">
        <v>61894</v>
      </c>
      <c r="G6" s="280">
        <v>62916</v>
      </c>
      <c r="H6" s="280">
        <v>63983</v>
      </c>
      <c r="I6" s="277"/>
      <c r="J6" s="280">
        <v>65344</v>
      </c>
      <c r="K6" s="280">
        <v>64006</v>
      </c>
      <c r="L6" s="279">
        <v>63309</v>
      </c>
      <c r="M6" s="280">
        <v>60190</v>
      </c>
      <c r="N6" s="280">
        <v>62367</v>
      </c>
      <c r="O6" s="280">
        <v>61020</v>
      </c>
      <c r="P6" s="277"/>
      <c r="Q6" s="280">
        <v>60758</v>
      </c>
      <c r="R6" s="280">
        <v>56995</v>
      </c>
      <c r="S6" s="279">
        <v>55925</v>
      </c>
      <c r="T6" s="280">
        <v>55434</v>
      </c>
      <c r="U6" s="280">
        <v>56960</v>
      </c>
      <c r="V6" s="280">
        <v>55319</v>
      </c>
      <c r="W6" s="277"/>
      <c r="X6" s="280">
        <v>49952</v>
      </c>
      <c r="Y6" s="280">
        <v>49403</v>
      </c>
      <c r="Z6" s="279">
        <v>50246</v>
      </c>
      <c r="AA6" s="280">
        <v>52572</v>
      </c>
      <c r="AB6" s="280">
        <v>53277</v>
      </c>
      <c r="AC6" s="278"/>
      <c r="AD6" s="277"/>
      <c r="AE6" s="278"/>
      <c r="AF6" s="278"/>
      <c r="AG6" s="281"/>
      <c r="AH6" s="282"/>
      <c r="AI6" s="282"/>
    </row>
    <row r="7" spans="1:36" s="8" customFormat="1" ht="15" customHeight="1">
      <c r="A7" s="371"/>
      <c r="B7" s="275" t="s">
        <v>215</v>
      </c>
      <c r="C7" s="283">
        <v>-59340</v>
      </c>
      <c r="D7" s="283">
        <v>-2825.7142857142858</v>
      </c>
      <c r="E7" s="277">
        <v>-2670</v>
      </c>
      <c r="F7" s="278">
        <v>-1976</v>
      </c>
      <c r="G7" s="278">
        <v>-2514</v>
      </c>
      <c r="H7" s="278">
        <v>-2177</v>
      </c>
      <c r="I7" s="277"/>
      <c r="J7" s="278">
        <v>-476</v>
      </c>
      <c r="K7" s="278">
        <v>-1814</v>
      </c>
      <c r="L7" s="277">
        <v>-2811</v>
      </c>
      <c r="M7" s="278">
        <v>-5230</v>
      </c>
      <c r="N7" s="278">
        <v>-3493</v>
      </c>
      <c r="O7" s="278">
        <v>-2740</v>
      </c>
      <c r="P7" s="277"/>
      <c r="Q7" s="278">
        <v>-2422</v>
      </c>
      <c r="R7" s="278">
        <v>-6005</v>
      </c>
      <c r="S7" s="277">
        <v>-4535</v>
      </c>
      <c r="T7" s="278">
        <v>-3046</v>
      </c>
      <c r="U7" s="278">
        <v>-2220</v>
      </c>
      <c r="V7" s="278">
        <v>-2821</v>
      </c>
      <c r="W7" s="277"/>
      <c r="X7" s="278">
        <v>-2888</v>
      </c>
      <c r="Y7" s="278">
        <v>-2577</v>
      </c>
      <c r="Z7" s="277">
        <v>-2824</v>
      </c>
      <c r="AA7" s="278">
        <v>-1838</v>
      </c>
      <c r="AB7" s="278">
        <v>-2263</v>
      </c>
      <c r="AC7" s="278"/>
      <c r="AD7" s="277"/>
      <c r="AE7" s="278"/>
      <c r="AF7" s="278"/>
      <c r="AG7" s="281"/>
      <c r="AH7" s="282"/>
      <c r="AI7" s="282"/>
    </row>
    <row r="8" spans="1:36" s="8" customFormat="1" ht="15" customHeight="1">
      <c r="A8" s="371"/>
      <c r="B8" s="275" t="s">
        <v>216</v>
      </c>
      <c r="C8" s="276">
        <v>168</v>
      </c>
      <c r="D8" s="276">
        <v>8</v>
      </c>
      <c r="E8" s="279">
        <v>8</v>
      </c>
      <c r="F8" s="280">
        <v>8</v>
      </c>
      <c r="G8" s="280">
        <v>8</v>
      </c>
      <c r="H8" s="280">
        <v>8</v>
      </c>
      <c r="I8" s="277"/>
      <c r="J8" s="280">
        <v>8</v>
      </c>
      <c r="K8" s="280">
        <v>8</v>
      </c>
      <c r="L8" s="279">
        <v>8</v>
      </c>
      <c r="M8" s="280">
        <v>8</v>
      </c>
      <c r="N8" s="280">
        <v>8</v>
      </c>
      <c r="O8" s="280">
        <v>8</v>
      </c>
      <c r="P8" s="277"/>
      <c r="Q8" s="280">
        <v>8</v>
      </c>
      <c r="R8" s="280">
        <v>8</v>
      </c>
      <c r="S8" s="279">
        <v>8</v>
      </c>
      <c r="T8" s="280">
        <v>8</v>
      </c>
      <c r="U8" s="280">
        <v>8</v>
      </c>
      <c r="V8" s="280">
        <v>8</v>
      </c>
      <c r="W8" s="277"/>
      <c r="X8" s="280">
        <v>8</v>
      </c>
      <c r="Y8" s="280">
        <v>8</v>
      </c>
      <c r="Z8" s="279">
        <v>8</v>
      </c>
      <c r="AA8" s="280">
        <v>8</v>
      </c>
      <c r="AB8" s="280">
        <v>8</v>
      </c>
      <c r="AC8" s="278"/>
      <c r="AD8" s="277"/>
      <c r="AE8" s="278"/>
      <c r="AF8" s="278"/>
      <c r="AG8" s="281"/>
      <c r="AH8" s="282"/>
      <c r="AI8" s="282"/>
    </row>
    <row r="9" spans="1:36" s="8" customFormat="1" ht="15" customHeight="1">
      <c r="A9" s="371"/>
      <c r="B9" s="275" t="s">
        <v>50</v>
      </c>
      <c r="C9" s="276">
        <v>7005</v>
      </c>
      <c r="D9" s="276">
        <v>7005</v>
      </c>
      <c r="E9" s="279">
        <v>7048</v>
      </c>
      <c r="F9" s="280">
        <v>7039</v>
      </c>
      <c r="G9" s="280">
        <v>7016</v>
      </c>
      <c r="H9" s="280">
        <v>6962</v>
      </c>
      <c r="I9" s="277"/>
      <c r="J9" s="280">
        <v>6809</v>
      </c>
      <c r="K9" s="280">
        <v>6925</v>
      </c>
      <c r="L9" s="279">
        <v>6961</v>
      </c>
      <c r="M9" s="280">
        <v>6970</v>
      </c>
      <c r="N9" s="280">
        <v>6986</v>
      </c>
      <c r="O9" s="280">
        <v>6952</v>
      </c>
      <c r="P9" s="277"/>
      <c r="Q9" s="280">
        <v>6981</v>
      </c>
      <c r="R9" s="280">
        <v>7117</v>
      </c>
      <c r="S9" s="279">
        <v>7124</v>
      </c>
      <c r="T9" s="280">
        <v>7088</v>
      </c>
      <c r="U9" s="280">
        <v>7096</v>
      </c>
      <c r="V9" s="280">
        <v>7016</v>
      </c>
      <c r="W9" s="277"/>
      <c r="X9" s="280">
        <v>7015</v>
      </c>
      <c r="Y9" s="280">
        <v>7049</v>
      </c>
      <c r="Z9" s="279">
        <v>7122</v>
      </c>
      <c r="AA9" s="280">
        <v>7111</v>
      </c>
      <c r="AB9" s="280">
        <v>7076</v>
      </c>
      <c r="AC9" s="278"/>
      <c r="AD9" s="277"/>
      <c r="AE9" s="278"/>
      <c r="AF9" s="278"/>
      <c r="AG9" s="281"/>
      <c r="AH9" s="282"/>
      <c r="AI9" s="282"/>
    </row>
    <row r="10" spans="1:36" s="8" customFormat="1" ht="15" customHeight="1">
      <c r="A10" s="371"/>
      <c r="B10" s="275" t="s">
        <v>217</v>
      </c>
      <c r="C10" s="276">
        <v>7277.8571428571422</v>
      </c>
      <c r="D10" s="276">
        <v>7277.8571428571422</v>
      </c>
      <c r="E10" s="279">
        <v>7601.25</v>
      </c>
      <c r="F10" s="280">
        <v>7736.75</v>
      </c>
      <c r="G10" s="280">
        <v>7864.5</v>
      </c>
      <c r="H10" s="280">
        <v>7997.875</v>
      </c>
      <c r="I10" s="277"/>
      <c r="J10" s="280">
        <v>8168</v>
      </c>
      <c r="K10" s="280">
        <v>8000.75</v>
      </c>
      <c r="L10" s="279">
        <v>7913.625</v>
      </c>
      <c r="M10" s="280">
        <v>7523.75</v>
      </c>
      <c r="N10" s="280">
        <v>7795.875</v>
      </c>
      <c r="O10" s="280">
        <v>7627.5</v>
      </c>
      <c r="P10" s="277"/>
      <c r="Q10" s="280">
        <v>7594.75</v>
      </c>
      <c r="R10" s="280">
        <v>7124.375</v>
      </c>
      <c r="S10" s="279">
        <v>6990.625</v>
      </c>
      <c r="T10" s="280">
        <v>6929.25</v>
      </c>
      <c r="U10" s="280">
        <v>7120</v>
      </c>
      <c r="V10" s="280">
        <v>6914.875</v>
      </c>
      <c r="W10" s="277"/>
      <c r="X10" s="280">
        <v>6244</v>
      </c>
      <c r="Y10" s="280">
        <v>6175.375</v>
      </c>
      <c r="Z10" s="279">
        <v>6280.75</v>
      </c>
      <c r="AA10" s="280">
        <v>6571.5</v>
      </c>
      <c r="AB10" s="280">
        <v>6659.625</v>
      </c>
      <c r="AC10" s="278"/>
      <c r="AD10" s="277"/>
      <c r="AE10" s="278"/>
      <c r="AF10" s="278"/>
      <c r="AG10" s="281"/>
      <c r="AH10" s="282"/>
      <c r="AI10" s="282"/>
    </row>
    <row r="11" spans="1:36" s="8" customFormat="1" ht="15" customHeight="1">
      <c r="A11" s="372"/>
      <c r="B11" s="284" t="s">
        <v>218</v>
      </c>
      <c r="C11" s="285">
        <v>1.0213666666666665</v>
      </c>
      <c r="D11" s="285">
        <v>1.0213666666666665</v>
      </c>
      <c r="E11" s="288">
        <v>1.0226</v>
      </c>
      <c r="F11" s="285">
        <v>1.1019333333333334</v>
      </c>
      <c r="G11" s="285">
        <v>1.1192666666666666</v>
      </c>
      <c r="H11" s="285">
        <v>1.1473333333333333</v>
      </c>
      <c r="I11" s="286"/>
      <c r="J11" s="285">
        <v>1.3864666666666665</v>
      </c>
      <c r="K11" s="285">
        <v>1.2271333333333334</v>
      </c>
      <c r="L11" s="288">
        <v>1.1211</v>
      </c>
      <c r="M11" s="285">
        <v>1.0778333333333334</v>
      </c>
      <c r="N11" s="285">
        <v>1.1046333333333334</v>
      </c>
      <c r="O11" s="285">
        <v>1.0951666666666666</v>
      </c>
      <c r="P11" s="286"/>
      <c r="Q11" s="285">
        <v>1.0923</v>
      </c>
      <c r="R11" s="285">
        <v>0.93566666666666654</v>
      </c>
      <c r="S11" s="288">
        <v>0.95600000000000007</v>
      </c>
      <c r="T11" s="285">
        <v>0.93703333333333338</v>
      </c>
      <c r="U11" s="285">
        <v>1.0275333333333334</v>
      </c>
      <c r="V11" s="285">
        <v>1.0248999999999999</v>
      </c>
      <c r="W11" s="286"/>
      <c r="X11" s="285">
        <v>0.76956666666666662</v>
      </c>
      <c r="Y11" s="285">
        <v>0.75803333333333323</v>
      </c>
      <c r="Z11" s="288">
        <v>0.80856666666666666</v>
      </c>
      <c r="AA11" s="285">
        <v>0.8368000000000001</v>
      </c>
      <c r="AB11" s="285">
        <v>0.8479000000000001</v>
      </c>
      <c r="AC11" s="287"/>
      <c r="AD11" s="286"/>
      <c r="AE11" s="287"/>
      <c r="AF11" s="287"/>
      <c r="AG11" s="289"/>
      <c r="AH11" s="290"/>
      <c r="AI11" s="290"/>
    </row>
    <row r="12" spans="1:36">
      <c r="A12" s="370" t="s">
        <v>106</v>
      </c>
      <c r="B12" s="267" t="s">
        <v>45</v>
      </c>
      <c r="C12" s="268">
        <v>752328</v>
      </c>
      <c r="D12" s="268">
        <v>35825.142857142855</v>
      </c>
      <c r="E12" s="271">
        <v>37232</v>
      </c>
      <c r="F12" s="272">
        <v>37024</v>
      </c>
      <c r="G12" s="272">
        <v>37520</v>
      </c>
      <c r="H12" s="272">
        <v>37216</v>
      </c>
      <c r="I12" s="269"/>
      <c r="J12" s="272">
        <v>36968</v>
      </c>
      <c r="K12" s="272">
        <v>36856</v>
      </c>
      <c r="L12" s="271">
        <v>37312</v>
      </c>
      <c r="M12" s="272">
        <v>36976</v>
      </c>
      <c r="N12" s="272">
        <v>37048</v>
      </c>
      <c r="O12" s="272">
        <v>37040</v>
      </c>
      <c r="P12" s="269"/>
      <c r="Q12" s="272">
        <v>36880</v>
      </c>
      <c r="R12" s="272">
        <v>37128</v>
      </c>
      <c r="S12" s="271">
        <v>36536</v>
      </c>
      <c r="T12" s="272">
        <v>35920</v>
      </c>
      <c r="U12" s="272">
        <v>35256</v>
      </c>
      <c r="V12" s="272">
        <v>34600</v>
      </c>
      <c r="W12" s="269"/>
      <c r="X12" s="272">
        <v>34024</v>
      </c>
      <c r="Y12" s="272">
        <v>33088</v>
      </c>
      <c r="Z12" s="271">
        <v>33280</v>
      </c>
      <c r="AA12" s="272">
        <v>32304</v>
      </c>
      <c r="AB12" s="272">
        <v>32120</v>
      </c>
      <c r="AC12" s="270"/>
      <c r="AD12" s="269"/>
      <c r="AE12" s="270"/>
      <c r="AF12" s="270"/>
      <c r="AG12" s="273"/>
      <c r="AH12" s="274"/>
      <c r="AI12" s="274"/>
      <c r="AJ12" s="8"/>
    </row>
    <row r="13" spans="1:36">
      <c r="A13" s="371"/>
      <c r="B13" s="267" t="s">
        <v>46</v>
      </c>
      <c r="C13" s="268">
        <v>675760</v>
      </c>
      <c r="D13" s="268">
        <v>32179.047619047618</v>
      </c>
      <c r="E13" s="271">
        <v>33220</v>
      </c>
      <c r="F13" s="272">
        <v>34720</v>
      </c>
      <c r="G13" s="272">
        <v>35240</v>
      </c>
      <c r="H13" s="272">
        <v>35240</v>
      </c>
      <c r="I13" s="269"/>
      <c r="J13" s="272">
        <v>34900</v>
      </c>
      <c r="K13" s="272">
        <v>34900</v>
      </c>
      <c r="L13" s="271">
        <v>35200</v>
      </c>
      <c r="M13" s="272">
        <v>35020</v>
      </c>
      <c r="N13" s="272">
        <v>35020</v>
      </c>
      <c r="O13" s="272">
        <v>34160</v>
      </c>
      <c r="P13" s="269"/>
      <c r="Q13" s="272">
        <v>34480</v>
      </c>
      <c r="R13" s="272">
        <v>33600</v>
      </c>
      <c r="S13" s="271">
        <v>33440</v>
      </c>
      <c r="T13" s="272">
        <v>30700</v>
      </c>
      <c r="U13" s="272">
        <v>30260</v>
      </c>
      <c r="V13" s="272">
        <v>29720</v>
      </c>
      <c r="W13" s="269"/>
      <c r="X13" s="272">
        <v>26460</v>
      </c>
      <c r="Y13" s="272">
        <v>26620</v>
      </c>
      <c r="Z13" s="271">
        <v>26840</v>
      </c>
      <c r="AA13" s="272">
        <v>27840</v>
      </c>
      <c r="AB13" s="272">
        <v>28180</v>
      </c>
      <c r="AC13" s="272">
        <v>27820</v>
      </c>
      <c r="AD13" s="269"/>
      <c r="AE13" s="272">
        <v>26964</v>
      </c>
      <c r="AF13" s="272">
        <v>27624</v>
      </c>
      <c r="AG13" s="291">
        <v>28272</v>
      </c>
      <c r="AH13" s="292">
        <v>28272</v>
      </c>
      <c r="AI13" s="292">
        <v>28272</v>
      </c>
      <c r="AJ13" s="8"/>
    </row>
    <row r="14" spans="1:36">
      <c r="A14" s="371"/>
      <c r="B14" s="275" t="s">
        <v>47</v>
      </c>
      <c r="C14" s="276">
        <v>617922</v>
      </c>
      <c r="D14" s="276">
        <v>29424.857142857141</v>
      </c>
      <c r="E14" s="279">
        <v>30950</v>
      </c>
      <c r="F14" s="280">
        <v>32530</v>
      </c>
      <c r="G14" s="280">
        <v>32846</v>
      </c>
      <c r="H14" s="280">
        <v>32909</v>
      </c>
      <c r="I14" s="277"/>
      <c r="J14" s="280">
        <v>32824</v>
      </c>
      <c r="K14" s="280">
        <v>32386</v>
      </c>
      <c r="L14" s="279">
        <v>32387</v>
      </c>
      <c r="M14" s="280">
        <v>31270</v>
      </c>
      <c r="N14" s="280">
        <v>31863</v>
      </c>
      <c r="O14" s="280">
        <v>31589</v>
      </c>
      <c r="P14" s="277"/>
      <c r="Q14" s="280">
        <v>31678</v>
      </c>
      <c r="R14" s="280">
        <v>28335</v>
      </c>
      <c r="S14" s="279">
        <v>29537</v>
      </c>
      <c r="T14" s="280">
        <v>28498</v>
      </c>
      <c r="U14" s="280">
        <v>28050</v>
      </c>
      <c r="V14" s="280">
        <v>26840</v>
      </c>
      <c r="W14" s="277"/>
      <c r="X14" s="280">
        <v>23502</v>
      </c>
      <c r="Y14" s="280">
        <v>23864</v>
      </c>
      <c r="Z14" s="279">
        <v>24011</v>
      </c>
      <c r="AA14" s="280">
        <v>25678</v>
      </c>
      <c r="AB14" s="280">
        <v>26375</v>
      </c>
      <c r="AC14" s="278"/>
      <c r="AD14" s="277"/>
      <c r="AE14" s="278"/>
      <c r="AF14" s="278"/>
      <c r="AG14" s="281"/>
      <c r="AH14" s="282"/>
      <c r="AI14" s="282"/>
      <c r="AJ14" s="8"/>
    </row>
    <row r="15" spans="1:36">
      <c r="A15" s="371"/>
      <c r="B15" s="275" t="s">
        <v>48</v>
      </c>
      <c r="C15" s="283">
        <v>-57838</v>
      </c>
      <c r="D15" s="283">
        <v>-2754.1904761904761</v>
      </c>
      <c r="E15" s="277">
        <v>-2270</v>
      </c>
      <c r="F15" s="278">
        <v>-2190</v>
      </c>
      <c r="G15" s="278">
        <v>-2394</v>
      </c>
      <c r="H15" s="278">
        <v>-2331</v>
      </c>
      <c r="I15" s="277"/>
      <c r="J15" s="278">
        <v>-2076</v>
      </c>
      <c r="K15" s="278">
        <v>-2514</v>
      </c>
      <c r="L15" s="277">
        <v>-2813</v>
      </c>
      <c r="M15" s="278">
        <v>-3750</v>
      </c>
      <c r="N15" s="278">
        <v>-3157</v>
      </c>
      <c r="O15" s="278">
        <v>-2571</v>
      </c>
      <c r="P15" s="277"/>
      <c r="Q15" s="278">
        <v>-2802</v>
      </c>
      <c r="R15" s="278">
        <v>-5265</v>
      </c>
      <c r="S15" s="277">
        <v>-3903</v>
      </c>
      <c r="T15" s="278">
        <v>-2202</v>
      </c>
      <c r="U15" s="278">
        <v>-2210</v>
      </c>
      <c r="V15" s="278">
        <v>-2880</v>
      </c>
      <c r="W15" s="277"/>
      <c r="X15" s="278">
        <v>-2958</v>
      </c>
      <c r="Y15" s="278">
        <v>-2756</v>
      </c>
      <c r="Z15" s="277">
        <v>-2829</v>
      </c>
      <c r="AA15" s="278">
        <v>-2162</v>
      </c>
      <c r="AB15" s="278">
        <v>-1805</v>
      </c>
      <c r="AC15" s="278"/>
      <c r="AD15" s="277"/>
      <c r="AE15" s="278"/>
      <c r="AF15" s="278"/>
      <c r="AG15" s="281"/>
      <c r="AH15" s="282"/>
      <c r="AI15" s="282"/>
      <c r="AJ15" s="8"/>
    </row>
    <row r="16" spans="1:36">
      <c r="A16" s="371"/>
      <c r="B16" s="275" t="s">
        <v>49</v>
      </c>
      <c r="C16" s="276">
        <v>168</v>
      </c>
      <c r="D16" s="276">
        <v>8</v>
      </c>
      <c r="E16" s="279">
        <v>8</v>
      </c>
      <c r="F16" s="280">
        <v>8</v>
      </c>
      <c r="G16" s="280">
        <v>8</v>
      </c>
      <c r="H16" s="280">
        <v>8</v>
      </c>
      <c r="I16" s="277"/>
      <c r="J16" s="280">
        <v>8</v>
      </c>
      <c r="K16" s="280">
        <v>8</v>
      </c>
      <c r="L16" s="279">
        <v>8</v>
      </c>
      <c r="M16" s="280">
        <v>8</v>
      </c>
      <c r="N16" s="280">
        <v>8</v>
      </c>
      <c r="O16" s="280">
        <v>8</v>
      </c>
      <c r="P16" s="277"/>
      <c r="Q16" s="280">
        <v>8</v>
      </c>
      <c r="R16" s="280">
        <v>8</v>
      </c>
      <c r="S16" s="279">
        <v>8</v>
      </c>
      <c r="T16" s="280">
        <v>8</v>
      </c>
      <c r="U16" s="280">
        <v>8</v>
      </c>
      <c r="V16" s="280">
        <v>8</v>
      </c>
      <c r="W16" s="277"/>
      <c r="X16" s="280">
        <v>8</v>
      </c>
      <c r="Y16" s="280">
        <v>8</v>
      </c>
      <c r="Z16" s="279">
        <v>8</v>
      </c>
      <c r="AA16" s="280">
        <v>8</v>
      </c>
      <c r="AB16" s="280">
        <v>8</v>
      </c>
      <c r="AC16" s="278"/>
      <c r="AD16" s="277"/>
      <c r="AE16" s="278"/>
      <c r="AF16" s="278"/>
      <c r="AG16" s="281"/>
      <c r="AH16" s="282"/>
      <c r="AI16" s="282"/>
      <c r="AJ16" s="8"/>
    </row>
    <row r="17" spans="1:36">
      <c r="A17" s="371"/>
      <c r="B17" s="275" t="s">
        <v>50</v>
      </c>
      <c r="C17" s="276">
        <v>3761</v>
      </c>
      <c r="D17" s="276">
        <v>3761</v>
      </c>
      <c r="E17" s="279">
        <v>3799</v>
      </c>
      <c r="F17" s="280">
        <v>3790</v>
      </c>
      <c r="G17" s="280">
        <v>3784</v>
      </c>
      <c r="H17" s="280">
        <v>3744</v>
      </c>
      <c r="I17" s="277"/>
      <c r="J17" s="280">
        <v>3644</v>
      </c>
      <c r="K17" s="280">
        <v>3715</v>
      </c>
      <c r="L17" s="279">
        <v>3745</v>
      </c>
      <c r="M17" s="280">
        <v>3741</v>
      </c>
      <c r="N17" s="280">
        <v>3740</v>
      </c>
      <c r="O17" s="280">
        <v>3695</v>
      </c>
      <c r="P17" s="277"/>
      <c r="Q17" s="280">
        <v>3732</v>
      </c>
      <c r="R17" s="280">
        <v>3813</v>
      </c>
      <c r="S17" s="279">
        <v>3825</v>
      </c>
      <c r="T17" s="280">
        <v>3819</v>
      </c>
      <c r="U17" s="280">
        <v>3827</v>
      </c>
      <c r="V17" s="280">
        <v>3772</v>
      </c>
      <c r="W17" s="277"/>
      <c r="X17" s="280">
        <v>3758</v>
      </c>
      <c r="Y17" s="280">
        <v>3792</v>
      </c>
      <c r="Z17" s="279">
        <v>3822</v>
      </c>
      <c r="AA17" s="280">
        <v>3815</v>
      </c>
      <c r="AB17" s="280">
        <v>3797</v>
      </c>
      <c r="AC17" s="278"/>
      <c r="AD17" s="277"/>
      <c r="AE17" s="278"/>
      <c r="AF17" s="278"/>
      <c r="AG17" s="281"/>
      <c r="AH17" s="282"/>
      <c r="AI17" s="282"/>
      <c r="AJ17" s="8"/>
    </row>
    <row r="18" spans="1:36">
      <c r="A18" s="371"/>
      <c r="B18" s="275" t="s">
        <v>51</v>
      </c>
      <c r="C18" s="276">
        <v>3678.1071428571427</v>
      </c>
      <c r="D18" s="276">
        <v>3678.1071428571427</v>
      </c>
      <c r="E18" s="279">
        <v>3868.75</v>
      </c>
      <c r="F18" s="280">
        <v>4066.25</v>
      </c>
      <c r="G18" s="280">
        <v>4105.75</v>
      </c>
      <c r="H18" s="280">
        <v>4113.625</v>
      </c>
      <c r="I18" s="277"/>
      <c r="J18" s="280">
        <v>4103</v>
      </c>
      <c r="K18" s="280">
        <v>4048.25</v>
      </c>
      <c r="L18" s="279">
        <v>4048.375</v>
      </c>
      <c r="M18" s="280">
        <v>3908.75</v>
      </c>
      <c r="N18" s="280">
        <v>3982.875</v>
      </c>
      <c r="O18" s="280">
        <v>3948.625</v>
      </c>
      <c r="P18" s="277"/>
      <c r="Q18" s="280">
        <v>3959.75</v>
      </c>
      <c r="R18" s="280">
        <v>3541.875</v>
      </c>
      <c r="S18" s="279">
        <v>3692.125</v>
      </c>
      <c r="T18" s="280">
        <v>3562.25</v>
      </c>
      <c r="U18" s="280">
        <v>3506.25</v>
      </c>
      <c r="V18" s="280">
        <v>3355</v>
      </c>
      <c r="W18" s="277"/>
      <c r="X18" s="280">
        <v>2937.75</v>
      </c>
      <c r="Y18" s="280">
        <v>2983</v>
      </c>
      <c r="Z18" s="279">
        <v>3001.375</v>
      </c>
      <c r="AA18" s="280">
        <v>3209.75</v>
      </c>
      <c r="AB18" s="280">
        <v>3296.875</v>
      </c>
      <c r="AC18" s="278"/>
      <c r="AD18" s="277"/>
      <c r="AE18" s="278"/>
      <c r="AF18" s="278"/>
      <c r="AG18" s="281"/>
      <c r="AH18" s="282"/>
      <c r="AI18" s="282"/>
      <c r="AJ18" s="8"/>
    </row>
    <row r="19" spans="1:36">
      <c r="A19" s="372"/>
      <c r="B19" s="284" t="s">
        <v>52</v>
      </c>
      <c r="C19" s="285">
        <v>0.97799999999999998</v>
      </c>
      <c r="D19" s="285">
        <v>0.97799999999999998</v>
      </c>
      <c r="E19" s="288">
        <v>1.0184</v>
      </c>
      <c r="F19" s="285">
        <v>1.0729</v>
      </c>
      <c r="G19" s="285">
        <v>1.085</v>
      </c>
      <c r="H19" s="285">
        <v>1.0987</v>
      </c>
      <c r="I19" s="286"/>
      <c r="J19" s="285">
        <v>1.1259999999999999</v>
      </c>
      <c r="K19" s="285">
        <v>1.0897000000000001</v>
      </c>
      <c r="L19" s="288">
        <v>1.081</v>
      </c>
      <c r="M19" s="285">
        <v>1.0448</v>
      </c>
      <c r="N19" s="285">
        <v>1.0649</v>
      </c>
      <c r="O19" s="285">
        <v>1.0686</v>
      </c>
      <c r="P19" s="286"/>
      <c r="Q19" s="285">
        <v>1.0609999999999999</v>
      </c>
      <c r="R19" s="285">
        <v>0.92889999999999995</v>
      </c>
      <c r="S19" s="288">
        <v>0.96530000000000005</v>
      </c>
      <c r="T19" s="285">
        <v>0.93279999999999996</v>
      </c>
      <c r="U19" s="285">
        <v>0.91620000000000001</v>
      </c>
      <c r="V19" s="285">
        <v>0.88939999999999997</v>
      </c>
      <c r="W19" s="286"/>
      <c r="X19" s="285">
        <v>0.78169999999999995</v>
      </c>
      <c r="Y19" s="285">
        <v>0.78669999999999995</v>
      </c>
      <c r="Z19" s="288">
        <v>0.7853</v>
      </c>
      <c r="AA19" s="285">
        <v>0.84130000000000005</v>
      </c>
      <c r="AB19" s="285">
        <v>0.86829999999999996</v>
      </c>
      <c r="AC19" s="287"/>
      <c r="AD19" s="286"/>
      <c r="AE19" s="287"/>
      <c r="AF19" s="287"/>
      <c r="AG19" s="289"/>
      <c r="AH19" s="290"/>
      <c r="AI19" s="290"/>
      <c r="AJ19" s="8"/>
    </row>
    <row r="20" spans="1:36">
      <c r="A20" s="370" t="s">
        <v>99</v>
      </c>
      <c r="B20" s="267" t="s">
        <v>45</v>
      </c>
      <c r="C20" s="268">
        <v>611312</v>
      </c>
      <c r="D20" s="268">
        <v>29110.095238095237</v>
      </c>
      <c r="E20" s="271">
        <v>29712</v>
      </c>
      <c r="F20" s="272">
        <v>29984</v>
      </c>
      <c r="G20" s="272">
        <v>29896</v>
      </c>
      <c r="H20" s="272">
        <v>29776</v>
      </c>
      <c r="I20" s="269"/>
      <c r="J20" s="272">
        <v>30040</v>
      </c>
      <c r="K20" s="272">
        <v>30200</v>
      </c>
      <c r="L20" s="271">
        <v>30000</v>
      </c>
      <c r="M20" s="272">
        <v>29960</v>
      </c>
      <c r="N20" s="272">
        <v>29920</v>
      </c>
      <c r="O20" s="272">
        <v>29920</v>
      </c>
      <c r="P20" s="269"/>
      <c r="Q20" s="272">
        <v>29576</v>
      </c>
      <c r="R20" s="272">
        <v>29128</v>
      </c>
      <c r="S20" s="271">
        <v>29016</v>
      </c>
      <c r="T20" s="272">
        <v>28320</v>
      </c>
      <c r="U20" s="272">
        <v>28512</v>
      </c>
      <c r="V20" s="272">
        <v>28320</v>
      </c>
      <c r="W20" s="269"/>
      <c r="X20" s="272">
        <v>28160</v>
      </c>
      <c r="Y20" s="272">
        <v>27960</v>
      </c>
      <c r="Z20" s="271">
        <v>27632</v>
      </c>
      <c r="AA20" s="272">
        <v>27664</v>
      </c>
      <c r="AB20" s="272">
        <v>27616</v>
      </c>
      <c r="AC20" s="270"/>
      <c r="AD20" s="269"/>
      <c r="AE20" s="270"/>
      <c r="AF20" s="270"/>
      <c r="AG20" s="273"/>
      <c r="AH20" s="274"/>
      <c r="AI20" s="274"/>
      <c r="AJ20" s="8"/>
    </row>
    <row r="21" spans="1:36">
      <c r="A21" s="371"/>
      <c r="B21" s="267" t="s">
        <v>46</v>
      </c>
      <c r="C21" s="268">
        <v>561740</v>
      </c>
      <c r="D21" s="268">
        <v>26749.523809523809</v>
      </c>
      <c r="E21" s="271">
        <v>27860</v>
      </c>
      <c r="F21" s="272">
        <v>26750</v>
      </c>
      <c r="G21" s="272">
        <v>27790</v>
      </c>
      <c r="H21" s="272">
        <v>28520</v>
      </c>
      <c r="I21" s="269"/>
      <c r="J21" s="272">
        <v>28520</v>
      </c>
      <c r="K21" s="272">
        <v>28520</v>
      </c>
      <c r="L21" s="271">
        <v>28520</v>
      </c>
      <c r="M21" s="272">
        <v>28000</v>
      </c>
      <c r="N21" s="272">
        <v>28440</v>
      </c>
      <c r="O21" s="272">
        <v>27200</v>
      </c>
      <c r="P21" s="269"/>
      <c r="Q21" s="272">
        <v>26300</v>
      </c>
      <c r="R21" s="272">
        <v>27000</v>
      </c>
      <c r="S21" s="271">
        <v>24620</v>
      </c>
      <c r="T21" s="272">
        <v>25380</v>
      </c>
      <c r="U21" s="272">
        <v>26520</v>
      </c>
      <c r="V21" s="272">
        <v>26020</v>
      </c>
      <c r="W21" s="269"/>
      <c r="X21" s="272">
        <v>25360</v>
      </c>
      <c r="Y21" s="272">
        <v>24340</v>
      </c>
      <c r="Z21" s="271">
        <v>24870</v>
      </c>
      <c r="AA21" s="272">
        <v>25210</v>
      </c>
      <c r="AB21" s="272">
        <v>26000</v>
      </c>
      <c r="AC21" s="272">
        <v>25440</v>
      </c>
      <c r="AD21" s="269"/>
      <c r="AE21" s="272">
        <v>25840</v>
      </c>
      <c r="AF21" s="272">
        <v>24990</v>
      </c>
      <c r="AG21" s="291">
        <v>24470</v>
      </c>
      <c r="AH21" s="292">
        <v>24480</v>
      </c>
      <c r="AI21" s="292">
        <v>24640</v>
      </c>
      <c r="AJ21" s="8"/>
    </row>
    <row r="22" spans="1:36">
      <c r="A22" s="371"/>
      <c r="B22" s="275" t="s">
        <v>47</v>
      </c>
      <c r="C22" s="276">
        <v>559638</v>
      </c>
      <c r="D22" s="276">
        <v>26649.428571428572</v>
      </c>
      <c r="E22" s="279">
        <v>27860</v>
      </c>
      <c r="F22" s="280">
        <v>26864</v>
      </c>
      <c r="G22" s="280">
        <v>27570</v>
      </c>
      <c r="H22" s="280">
        <v>28474</v>
      </c>
      <c r="I22" s="277"/>
      <c r="J22" s="280">
        <v>28520</v>
      </c>
      <c r="K22" s="280">
        <v>28520</v>
      </c>
      <c r="L22" s="279">
        <v>28522</v>
      </c>
      <c r="M22" s="280">
        <v>26520</v>
      </c>
      <c r="N22" s="280">
        <v>28104</v>
      </c>
      <c r="O22" s="280">
        <v>27031</v>
      </c>
      <c r="P22" s="277"/>
      <c r="Q22" s="280">
        <v>26680</v>
      </c>
      <c r="R22" s="280">
        <v>26960</v>
      </c>
      <c r="S22" s="279">
        <v>24388</v>
      </c>
      <c r="T22" s="280">
        <v>25136</v>
      </c>
      <c r="U22" s="280">
        <v>26510</v>
      </c>
      <c r="V22" s="280">
        <v>26079</v>
      </c>
      <c r="W22" s="277"/>
      <c r="X22" s="280">
        <v>25430</v>
      </c>
      <c r="Y22" s="280">
        <v>24519</v>
      </c>
      <c r="Z22" s="279">
        <v>24875</v>
      </c>
      <c r="AA22" s="280">
        <v>25534</v>
      </c>
      <c r="AB22" s="280">
        <v>25542</v>
      </c>
      <c r="AC22" s="278"/>
      <c r="AD22" s="277"/>
      <c r="AE22" s="278"/>
      <c r="AF22" s="278"/>
      <c r="AG22" s="281"/>
      <c r="AH22" s="282"/>
      <c r="AI22" s="282"/>
      <c r="AJ22" s="8"/>
    </row>
    <row r="23" spans="1:36">
      <c r="A23" s="371"/>
      <c r="B23" s="275" t="s">
        <v>48</v>
      </c>
      <c r="C23" s="283">
        <v>-2102</v>
      </c>
      <c r="D23" s="283">
        <v>-100.0952380952381</v>
      </c>
      <c r="E23" s="279">
        <v>0</v>
      </c>
      <c r="F23" s="280">
        <v>114</v>
      </c>
      <c r="G23" s="278">
        <v>-220</v>
      </c>
      <c r="H23" s="278">
        <v>-46</v>
      </c>
      <c r="I23" s="277"/>
      <c r="J23" s="280">
        <v>0</v>
      </c>
      <c r="K23" s="280">
        <v>0</v>
      </c>
      <c r="L23" s="279">
        <v>2</v>
      </c>
      <c r="M23" s="278">
        <v>-1480</v>
      </c>
      <c r="N23" s="278">
        <v>-336</v>
      </c>
      <c r="O23" s="278">
        <v>-169</v>
      </c>
      <c r="P23" s="277"/>
      <c r="Q23" s="280">
        <v>380</v>
      </c>
      <c r="R23" s="278">
        <v>-40</v>
      </c>
      <c r="S23" s="277">
        <v>-232</v>
      </c>
      <c r="T23" s="278">
        <v>-244</v>
      </c>
      <c r="U23" s="278">
        <v>-10</v>
      </c>
      <c r="V23" s="280">
        <v>59</v>
      </c>
      <c r="W23" s="277"/>
      <c r="X23" s="280">
        <v>70</v>
      </c>
      <c r="Y23" s="280">
        <v>179</v>
      </c>
      <c r="Z23" s="279">
        <v>5</v>
      </c>
      <c r="AA23" s="280">
        <v>324</v>
      </c>
      <c r="AB23" s="278">
        <v>-458</v>
      </c>
      <c r="AC23" s="278"/>
      <c r="AD23" s="277"/>
      <c r="AE23" s="278"/>
      <c r="AF23" s="278"/>
      <c r="AG23" s="281"/>
      <c r="AH23" s="282"/>
      <c r="AI23" s="282"/>
      <c r="AJ23" s="8"/>
    </row>
    <row r="24" spans="1:36">
      <c r="A24" s="371"/>
      <c r="B24" s="275" t="s">
        <v>49</v>
      </c>
      <c r="C24" s="276">
        <v>168</v>
      </c>
      <c r="D24" s="276">
        <v>8</v>
      </c>
      <c r="E24" s="279">
        <v>8</v>
      </c>
      <c r="F24" s="280">
        <v>8</v>
      </c>
      <c r="G24" s="280">
        <v>8</v>
      </c>
      <c r="H24" s="280">
        <v>8</v>
      </c>
      <c r="I24" s="277"/>
      <c r="J24" s="280">
        <v>8</v>
      </c>
      <c r="K24" s="280">
        <v>8</v>
      </c>
      <c r="L24" s="279">
        <v>8</v>
      </c>
      <c r="M24" s="280">
        <v>8</v>
      </c>
      <c r="N24" s="280">
        <v>8</v>
      </c>
      <c r="O24" s="280">
        <v>8</v>
      </c>
      <c r="P24" s="277"/>
      <c r="Q24" s="280">
        <v>8</v>
      </c>
      <c r="R24" s="280">
        <v>8</v>
      </c>
      <c r="S24" s="279">
        <v>8</v>
      </c>
      <c r="T24" s="280">
        <v>8</v>
      </c>
      <c r="U24" s="280">
        <v>8</v>
      </c>
      <c r="V24" s="280">
        <v>8</v>
      </c>
      <c r="W24" s="277"/>
      <c r="X24" s="280">
        <v>8</v>
      </c>
      <c r="Y24" s="280">
        <v>8</v>
      </c>
      <c r="Z24" s="279">
        <v>8</v>
      </c>
      <c r="AA24" s="280">
        <v>8</v>
      </c>
      <c r="AB24" s="280">
        <v>8</v>
      </c>
      <c r="AC24" s="278"/>
      <c r="AD24" s="277"/>
      <c r="AE24" s="278"/>
      <c r="AF24" s="278"/>
      <c r="AG24" s="281"/>
      <c r="AH24" s="282"/>
      <c r="AI24" s="282"/>
      <c r="AJ24" s="8"/>
    </row>
    <row r="25" spans="1:36">
      <c r="A25" s="371"/>
      <c r="B25" s="275" t="s">
        <v>50</v>
      </c>
      <c r="C25" s="276">
        <v>2965</v>
      </c>
      <c r="D25" s="276">
        <v>2965</v>
      </c>
      <c r="E25" s="279">
        <v>2963</v>
      </c>
      <c r="F25" s="280">
        <v>2965</v>
      </c>
      <c r="G25" s="280">
        <v>2949</v>
      </c>
      <c r="H25" s="280">
        <v>2930</v>
      </c>
      <c r="I25" s="277"/>
      <c r="J25" s="280">
        <v>2887</v>
      </c>
      <c r="K25" s="280">
        <v>2928</v>
      </c>
      <c r="L25" s="279">
        <v>2935</v>
      </c>
      <c r="M25" s="280">
        <v>2947</v>
      </c>
      <c r="N25" s="280">
        <v>2964</v>
      </c>
      <c r="O25" s="280">
        <v>2980</v>
      </c>
      <c r="P25" s="277"/>
      <c r="Q25" s="280">
        <v>2975</v>
      </c>
      <c r="R25" s="280">
        <v>3026</v>
      </c>
      <c r="S25" s="279">
        <v>3019</v>
      </c>
      <c r="T25" s="280">
        <v>2998</v>
      </c>
      <c r="U25" s="280">
        <v>2985</v>
      </c>
      <c r="V25" s="280">
        <v>2968</v>
      </c>
      <c r="W25" s="277"/>
      <c r="X25" s="280">
        <v>2980</v>
      </c>
      <c r="Y25" s="280">
        <v>2979</v>
      </c>
      <c r="Z25" s="279">
        <v>3022</v>
      </c>
      <c r="AA25" s="280">
        <v>3018</v>
      </c>
      <c r="AB25" s="280">
        <v>3001</v>
      </c>
      <c r="AC25" s="278"/>
      <c r="AD25" s="277"/>
      <c r="AE25" s="278"/>
      <c r="AF25" s="278"/>
      <c r="AG25" s="281"/>
      <c r="AH25" s="282"/>
      <c r="AI25" s="282"/>
      <c r="AJ25" s="8"/>
    </row>
    <row r="26" spans="1:36">
      <c r="A26" s="371"/>
      <c r="B26" s="275" t="s">
        <v>51</v>
      </c>
      <c r="C26" s="276">
        <v>3331.1785714285716</v>
      </c>
      <c r="D26" s="276">
        <v>3331.1785714285716</v>
      </c>
      <c r="E26" s="279">
        <v>3482.5</v>
      </c>
      <c r="F26" s="280">
        <v>3358</v>
      </c>
      <c r="G26" s="280">
        <v>3446.25</v>
      </c>
      <c r="H26" s="280">
        <v>3559.25</v>
      </c>
      <c r="I26" s="277"/>
      <c r="J26" s="280">
        <v>3565</v>
      </c>
      <c r="K26" s="280">
        <v>3565</v>
      </c>
      <c r="L26" s="279">
        <v>3565.25</v>
      </c>
      <c r="M26" s="280">
        <v>3315</v>
      </c>
      <c r="N26" s="280">
        <v>3513</v>
      </c>
      <c r="O26" s="280">
        <v>3378.875</v>
      </c>
      <c r="P26" s="277"/>
      <c r="Q26" s="280">
        <v>3335</v>
      </c>
      <c r="R26" s="280">
        <v>3370</v>
      </c>
      <c r="S26" s="279">
        <v>3048.5</v>
      </c>
      <c r="T26" s="280">
        <v>3142</v>
      </c>
      <c r="U26" s="280">
        <v>3313.75</v>
      </c>
      <c r="V26" s="280">
        <v>3259.875</v>
      </c>
      <c r="W26" s="277"/>
      <c r="X26" s="280">
        <v>3178.75</v>
      </c>
      <c r="Y26" s="280">
        <v>3064.875</v>
      </c>
      <c r="Z26" s="279">
        <v>3109.375</v>
      </c>
      <c r="AA26" s="280">
        <v>3191.75</v>
      </c>
      <c r="AB26" s="280">
        <v>3192.75</v>
      </c>
      <c r="AC26" s="278"/>
      <c r="AD26" s="277"/>
      <c r="AE26" s="278"/>
      <c r="AF26" s="278"/>
      <c r="AG26" s="281"/>
      <c r="AH26" s="282"/>
      <c r="AI26" s="282"/>
      <c r="AJ26" s="8"/>
    </row>
    <row r="27" spans="1:36">
      <c r="A27" s="372"/>
      <c r="B27" s="284" t="s">
        <v>52</v>
      </c>
      <c r="C27" s="285">
        <v>1.1234999999999999</v>
      </c>
      <c r="D27" s="285">
        <v>1.1234999999999999</v>
      </c>
      <c r="E27" s="288">
        <v>1.1753</v>
      </c>
      <c r="F27" s="285">
        <v>1.1325000000000001</v>
      </c>
      <c r="G27" s="285">
        <v>1.1686000000000001</v>
      </c>
      <c r="H27" s="285">
        <v>1.2147999999999999</v>
      </c>
      <c r="I27" s="286"/>
      <c r="J27" s="285">
        <v>1.2347999999999999</v>
      </c>
      <c r="K27" s="285">
        <v>1.2176</v>
      </c>
      <c r="L27" s="288">
        <v>1.2147000000000001</v>
      </c>
      <c r="M27" s="285">
        <v>1.1249</v>
      </c>
      <c r="N27" s="285">
        <v>1.1852</v>
      </c>
      <c r="O27" s="285">
        <v>1.1338999999999999</v>
      </c>
      <c r="P27" s="286"/>
      <c r="Q27" s="285">
        <v>1.121</v>
      </c>
      <c r="R27" s="285">
        <v>1.1136999999999999</v>
      </c>
      <c r="S27" s="288">
        <v>1.0098</v>
      </c>
      <c r="T27" s="285">
        <v>1.048</v>
      </c>
      <c r="U27" s="285">
        <v>1.1101000000000001</v>
      </c>
      <c r="V27" s="285">
        <v>1.0983000000000001</v>
      </c>
      <c r="W27" s="286"/>
      <c r="X27" s="285">
        <v>1.0667</v>
      </c>
      <c r="Y27" s="285">
        <v>1.0287999999999999</v>
      </c>
      <c r="Z27" s="288">
        <v>1.0288999999999999</v>
      </c>
      <c r="AA27" s="285">
        <v>1.0576000000000001</v>
      </c>
      <c r="AB27" s="285">
        <v>1.0639000000000001</v>
      </c>
      <c r="AC27" s="287"/>
      <c r="AD27" s="286"/>
      <c r="AE27" s="287"/>
      <c r="AF27" s="287"/>
      <c r="AG27" s="289"/>
      <c r="AH27" s="290"/>
      <c r="AI27" s="290"/>
      <c r="AJ27" s="8"/>
    </row>
    <row r="28" spans="1:36">
      <c r="A28" s="370" t="s">
        <v>100</v>
      </c>
      <c r="B28" s="267" t="s">
        <v>45</v>
      </c>
      <c r="C28" s="268">
        <v>48944</v>
      </c>
      <c r="D28" s="268">
        <v>2330.6666666666665</v>
      </c>
      <c r="E28" s="271">
        <v>2480</v>
      </c>
      <c r="F28" s="272">
        <v>2480</v>
      </c>
      <c r="G28" s="272">
        <v>2480</v>
      </c>
      <c r="H28" s="272">
        <v>2480</v>
      </c>
      <c r="I28" s="269"/>
      <c r="J28" s="272">
        <v>2480</v>
      </c>
      <c r="K28" s="272">
        <v>2480</v>
      </c>
      <c r="L28" s="271">
        <v>2480</v>
      </c>
      <c r="M28" s="272">
        <v>2480</v>
      </c>
      <c r="N28" s="272">
        <v>2480</v>
      </c>
      <c r="O28" s="272">
        <v>2480</v>
      </c>
      <c r="P28" s="269"/>
      <c r="Q28" s="272">
        <v>2480</v>
      </c>
      <c r="R28" s="272">
        <v>2480</v>
      </c>
      <c r="S28" s="271">
        <v>2480</v>
      </c>
      <c r="T28" s="272">
        <v>2480</v>
      </c>
      <c r="U28" s="272">
        <v>2480</v>
      </c>
      <c r="V28" s="272">
        <v>2480</v>
      </c>
      <c r="W28" s="269"/>
      <c r="X28" s="272">
        <v>2272</v>
      </c>
      <c r="Y28" s="272">
        <v>1856</v>
      </c>
      <c r="Z28" s="271">
        <v>1920</v>
      </c>
      <c r="AA28" s="272">
        <v>1568</v>
      </c>
      <c r="AB28" s="272">
        <v>1648</v>
      </c>
      <c r="AC28" s="270"/>
      <c r="AD28" s="269"/>
      <c r="AE28" s="270"/>
      <c r="AF28" s="270"/>
      <c r="AG28" s="273"/>
      <c r="AH28" s="274"/>
      <c r="AI28" s="274"/>
      <c r="AJ28" s="8"/>
    </row>
    <row r="29" spans="1:36">
      <c r="A29" s="371"/>
      <c r="B29" s="267" t="s">
        <v>46</v>
      </c>
      <c r="C29" s="268">
        <v>44520</v>
      </c>
      <c r="D29" s="268">
        <v>2120</v>
      </c>
      <c r="E29" s="271">
        <v>2400</v>
      </c>
      <c r="F29" s="272">
        <v>2400</v>
      </c>
      <c r="G29" s="272">
        <v>2400</v>
      </c>
      <c r="H29" s="272">
        <v>2400</v>
      </c>
      <c r="I29" s="269"/>
      <c r="J29" s="272">
        <v>2400</v>
      </c>
      <c r="K29" s="272">
        <v>2400</v>
      </c>
      <c r="L29" s="271">
        <v>2400</v>
      </c>
      <c r="M29" s="272">
        <v>2400</v>
      </c>
      <c r="N29" s="272">
        <v>2400</v>
      </c>
      <c r="O29" s="272">
        <v>2400</v>
      </c>
      <c r="P29" s="269"/>
      <c r="Q29" s="272">
        <v>2400</v>
      </c>
      <c r="R29" s="272">
        <v>2400</v>
      </c>
      <c r="S29" s="271">
        <v>2400</v>
      </c>
      <c r="T29" s="272">
        <v>2400</v>
      </c>
      <c r="U29" s="272">
        <v>2400</v>
      </c>
      <c r="V29" s="272">
        <v>2400</v>
      </c>
      <c r="W29" s="269"/>
      <c r="X29" s="272">
        <v>1020</v>
      </c>
      <c r="Y29" s="272">
        <v>1020</v>
      </c>
      <c r="Z29" s="271">
        <v>1360</v>
      </c>
      <c r="AA29" s="272">
        <v>1360</v>
      </c>
      <c r="AB29" s="272">
        <v>1360</v>
      </c>
      <c r="AC29" s="272">
        <v>1360</v>
      </c>
      <c r="AD29" s="269"/>
      <c r="AE29" s="272">
        <v>1360</v>
      </c>
      <c r="AF29" s="272">
        <v>1360</v>
      </c>
      <c r="AG29" s="291">
        <v>1360</v>
      </c>
      <c r="AH29" s="292">
        <v>1360</v>
      </c>
      <c r="AI29" s="292">
        <v>1360</v>
      </c>
      <c r="AJ29" s="8"/>
    </row>
    <row r="30" spans="1:36">
      <c r="A30" s="371"/>
      <c r="B30" s="275" t="s">
        <v>47</v>
      </c>
      <c r="C30" s="276">
        <v>45120</v>
      </c>
      <c r="D30" s="276">
        <v>2148.5714285714284</v>
      </c>
      <c r="E30" s="279">
        <v>2000</v>
      </c>
      <c r="F30" s="280">
        <v>2500</v>
      </c>
      <c r="G30" s="280">
        <v>2500</v>
      </c>
      <c r="H30" s="280">
        <v>2600</v>
      </c>
      <c r="I30" s="277"/>
      <c r="J30" s="280">
        <v>4000</v>
      </c>
      <c r="K30" s="280">
        <v>3100</v>
      </c>
      <c r="L30" s="279">
        <v>2400</v>
      </c>
      <c r="M30" s="280">
        <v>2400</v>
      </c>
      <c r="N30" s="280">
        <v>2400</v>
      </c>
      <c r="O30" s="280">
        <v>2400</v>
      </c>
      <c r="P30" s="277"/>
      <c r="Q30" s="280">
        <v>2400</v>
      </c>
      <c r="R30" s="280">
        <v>1700</v>
      </c>
      <c r="S30" s="279">
        <v>2000</v>
      </c>
      <c r="T30" s="280">
        <v>1800</v>
      </c>
      <c r="U30" s="280">
        <v>2400</v>
      </c>
      <c r="V30" s="280">
        <v>2400</v>
      </c>
      <c r="W30" s="277"/>
      <c r="X30" s="280">
        <v>1020</v>
      </c>
      <c r="Y30" s="280">
        <v>1020</v>
      </c>
      <c r="Z30" s="279">
        <v>1360</v>
      </c>
      <c r="AA30" s="280">
        <v>1360</v>
      </c>
      <c r="AB30" s="280">
        <v>1360</v>
      </c>
      <c r="AC30" s="278"/>
      <c r="AD30" s="277"/>
      <c r="AE30" s="278"/>
      <c r="AF30" s="278"/>
      <c r="AG30" s="281"/>
      <c r="AH30" s="282"/>
      <c r="AI30" s="282"/>
      <c r="AJ30" s="8"/>
    </row>
    <row r="31" spans="1:36">
      <c r="A31" s="371"/>
      <c r="B31" s="275" t="s">
        <v>48</v>
      </c>
      <c r="C31" s="276">
        <v>600</v>
      </c>
      <c r="D31" s="276">
        <v>28.571428571428573</v>
      </c>
      <c r="E31" s="277">
        <v>-400</v>
      </c>
      <c r="F31" s="280">
        <v>100</v>
      </c>
      <c r="G31" s="280">
        <v>100</v>
      </c>
      <c r="H31" s="280">
        <v>200</v>
      </c>
      <c r="I31" s="277"/>
      <c r="J31" s="280">
        <v>1600</v>
      </c>
      <c r="K31" s="280">
        <v>700</v>
      </c>
      <c r="L31" s="279">
        <v>0</v>
      </c>
      <c r="M31" s="280">
        <v>0</v>
      </c>
      <c r="N31" s="280">
        <v>0</v>
      </c>
      <c r="O31" s="280">
        <v>0</v>
      </c>
      <c r="P31" s="277"/>
      <c r="Q31" s="280">
        <v>0</v>
      </c>
      <c r="R31" s="278">
        <v>-700</v>
      </c>
      <c r="S31" s="277">
        <v>-400</v>
      </c>
      <c r="T31" s="278">
        <v>-600</v>
      </c>
      <c r="U31" s="280">
        <v>0</v>
      </c>
      <c r="V31" s="280">
        <v>0</v>
      </c>
      <c r="W31" s="277"/>
      <c r="X31" s="280">
        <v>0</v>
      </c>
      <c r="Y31" s="280">
        <v>0</v>
      </c>
      <c r="Z31" s="279">
        <v>0</v>
      </c>
      <c r="AA31" s="280">
        <v>0</v>
      </c>
      <c r="AB31" s="280">
        <v>0</v>
      </c>
      <c r="AC31" s="278"/>
      <c r="AD31" s="277"/>
      <c r="AE31" s="278"/>
      <c r="AF31" s="278"/>
      <c r="AG31" s="281"/>
      <c r="AH31" s="282"/>
      <c r="AI31" s="282"/>
      <c r="AJ31" s="8"/>
    </row>
    <row r="32" spans="1:36">
      <c r="A32" s="371"/>
      <c r="B32" s="275" t="s">
        <v>49</v>
      </c>
      <c r="C32" s="276">
        <v>168</v>
      </c>
      <c r="D32" s="276">
        <v>8</v>
      </c>
      <c r="E32" s="279">
        <v>8</v>
      </c>
      <c r="F32" s="280">
        <v>8</v>
      </c>
      <c r="G32" s="280">
        <v>8</v>
      </c>
      <c r="H32" s="280">
        <v>8</v>
      </c>
      <c r="I32" s="277"/>
      <c r="J32" s="280">
        <v>8</v>
      </c>
      <c r="K32" s="280">
        <v>8</v>
      </c>
      <c r="L32" s="279">
        <v>8</v>
      </c>
      <c r="M32" s="280">
        <v>8</v>
      </c>
      <c r="N32" s="280">
        <v>8</v>
      </c>
      <c r="O32" s="280">
        <v>8</v>
      </c>
      <c r="P32" s="277"/>
      <c r="Q32" s="280">
        <v>8</v>
      </c>
      <c r="R32" s="280">
        <v>8</v>
      </c>
      <c r="S32" s="279">
        <v>8</v>
      </c>
      <c r="T32" s="280">
        <v>8</v>
      </c>
      <c r="U32" s="280">
        <v>8</v>
      </c>
      <c r="V32" s="280">
        <v>8</v>
      </c>
      <c r="W32" s="277"/>
      <c r="X32" s="280">
        <v>8</v>
      </c>
      <c r="Y32" s="280">
        <v>8</v>
      </c>
      <c r="Z32" s="279">
        <v>8</v>
      </c>
      <c r="AA32" s="280">
        <v>8</v>
      </c>
      <c r="AB32" s="280">
        <v>8</v>
      </c>
      <c r="AC32" s="278"/>
      <c r="AD32" s="277"/>
      <c r="AE32" s="278"/>
      <c r="AF32" s="278"/>
      <c r="AG32" s="281"/>
      <c r="AH32" s="282"/>
      <c r="AI32" s="282"/>
      <c r="AJ32" s="8"/>
    </row>
    <row r="33" spans="1:36">
      <c r="A33" s="371"/>
      <c r="B33" s="275" t="s">
        <v>50</v>
      </c>
      <c r="C33" s="276">
        <v>279</v>
      </c>
      <c r="D33" s="276">
        <v>279</v>
      </c>
      <c r="E33" s="279">
        <v>286</v>
      </c>
      <c r="F33" s="280">
        <v>284</v>
      </c>
      <c r="G33" s="280">
        <v>283</v>
      </c>
      <c r="H33" s="280">
        <v>288</v>
      </c>
      <c r="I33" s="277"/>
      <c r="J33" s="280">
        <v>278</v>
      </c>
      <c r="K33" s="280">
        <v>282</v>
      </c>
      <c r="L33" s="279">
        <v>281</v>
      </c>
      <c r="M33" s="280">
        <v>282</v>
      </c>
      <c r="N33" s="280">
        <v>282</v>
      </c>
      <c r="O33" s="280">
        <v>277</v>
      </c>
      <c r="P33" s="277"/>
      <c r="Q33" s="280">
        <v>274</v>
      </c>
      <c r="R33" s="280">
        <v>278</v>
      </c>
      <c r="S33" s="279">
        <v>280</v>
      </c>
      <c r="T33" s="280">
        <v>271</v>
      </c>
      <c r="U33" s="280">
        <v>284</v>
      </c>
      <c r="V33" s="280">
        <v>276</v>
      </c>
      <c r="W33" s="277"/>
      <c r="X33" s="280">
        <v>277</v>
      </c>
      <c r="Y33" s="280">
        <v>278</v>
      </c>
      <c r="Z33" s="279">
        <v>278</v>
      </c>
      <c r="AA33" s="280">
        <v>278</v>
      </c>
      <c r="AB33" s="280">
        <v>278</v>
      </c>
      <c r="AC33" s="278"/>
      <c r="AD33" s="277"/>
      <c r="AE33" s="278"/>
      <c r="AF33" s="278"/>
      <c r="AG33" s="281"/>
      <c r="AH33" s="282"/>
      <c r="AI33" s="282"/>
      <c r="AJ33" s="8"/>
    </row>
    <row r="34" spans="1:36">
      <c r="A34" s="371"/>
      <c r="B34" s="275" t="s">
        <v>51</v>
      </c>
      <c r="C34" s="276">
        <v>268.57142857142856</v>
      </c>
      <c r="D34" s="276">
        <v>268.57142857142856</v>
      </c>
      <c r="E34" s="279">
        <v>250</v>
      </c>
      <c r="F34" s="280">
        <v>312.5</v>
      </c>
      <c r="G34" s="280">
        <v>312.5</v>
      </c>
      <c r="H34" s="280">
        <v>325</v>
      </c>
      <c r="I34" s="277"/>
      <c r="J34" s="280">
        <v>500</v>
      </c>
      <c r="K34" s="280">
        <v>387.5</v>
      </c>
      <c r="L34" s="279">
        <v>300</v>
      </c>
      <c r="M34" s="280">
        <v>300</v>
      </c>
      <c r="N34" s="280">
        <v>300</v>
      </c>
      <c r="O34" s="280">
        <v>300</v>
      </c>
      <c r="P34" s="277"/>
      <c r="Q34" s="280">
        <v>300</v>
      </c>
      <c r="R34" s="280">
        <v>212.5</v>
      </c>
      <c r="S34" s="279">
        <v>250</v>
      </c>
      <c r="T34" s="280">
        <v>225</v>
      </c>
      <c r="U34" s="280">
        <v>300</v>
      </c>
      <c r="V34" s="280">
        <v>300</v>
      </c>
      <c r="W34" s="277"/>
      <c r="X34" s="280">
        <v>127.5</v>
      </c>
      <c r="Y34" s="280">
        <v>127.5</v>
      </c>
      <c r="Z34" s="279">
        <v>170</v>
      </c>
      <c r="AA34" s="280">
        <v>170</v>
      </c>
      <c r="AB34" s="280">
        <v>170</v>
      </c>
      <c r="AC34" s="278"/>
      <c r="AD34" s="277"/>
      <c r="AE34" s="278"/>
      <c r="AF34" s="278"/>
      <c r="AG34" s="281"/>
      <c r="AH34" s="282"/>
      <c r="AI34" s="282"/>
      <c r="AJ34" s="8"/>
    </row>
    <row r="35" spans="1:36">
      <c r="A35" s="372"/>
      <c r="B35" s="284" t="s">
        <v>52</v>
      </c>
      <c r="C35" s="285">
        <v>0.96260000000000001</v>
      </c>
      <c r="D35" s="285">
        <v>0.96260000000000001</v>
      </c>
      <c r="E35" s="288">
        <v>0.87409999999999999</v>
      </c>
      <c r="F35" s="285">
        <v>1.1004</v>
      </c>
      <c r="G35" s="285">
        <v>1.1042000000000001</v>
      </c>
      <c r="H35" s="285">
        <v>1.1285000000000001</v>
      </c>
      <c r="I35" s="286"/>
      <c r="J35" s="285">
        <v>1.7986</v>
      </c>
      <c r="K35" s="285">
        <v>1.3740999999999999</v>
      </c>
      <c r="L35" s="288">
        <v>1.0676000000000001</v>
      </c>
      <c r="M35" s="285">
        <v>1.0638000000000001</v>
      </c>
      <c r="N35" s="285">
        <v>1.0638000000000001</v>
      </c>
      <c r="O35" s="285">
        <v>1.083</v>
      </c>
      <c r="P35" s="286"/>
      <c r="Q35" s="285">
        <v>1.0949</v>
      </c>
      <c r="R35" s="285">
        <v>0.76439999999999997</v>
      </c>
      <c r="S35" s="288">
        <v>0.89290000000000003</v>
      </c>
      <c r="T35" s="285">
        <v>0.83030000000000004</v>
      </c>
      <c r="U35" s="285">
        <v>1.0563</v>
      </c>
      <c r="V35" s="285">
        <v>1.087</v>
      </c>
      <c r="W35" s="286"/>
      <c r="X35" s="285">
        <v>0.46029999999999999</v>
      </c>
      <c r="Y35" s="285">
        <v>0.45860000000000001</v>
      </c>
      <c r="Z35" s="288">
        <v>0.61150000000000004</v>
      </c>
      <c r="AA35" s="285">
        <v>0.61150000000000004</v>
      </c>
      <c r="AB35" s="285">
        <v>0.61150000000000004</v>
      </c>
      <c r="AC35" s="287"/>
      <c r="AD35" s="286"/>
      <c r="AE35" s="287"/>
      <c r="AF35" s="287"/>
      <c r="AG35" s="289"/>
      <c r="AH35" s="290"/>
      <c r="AI35" s="290"/>
      <c r="AJ35" s="8"/>
    </row>
  </sheetData>
  <mergeCells count="6">
    <mergeCell ref="A20:A27"/>
    <mergeCell ref="A28:A35"/>
    <mergeCell ref="A1:B1"/>
    <mergeCell ref="A2:AE2"/>
    <mergeCell ref="A4:A11"/>
    <mergeCell ref="A12:A19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FF00"/>
  </sheetPr>
  <dimension ref="A1:AJ41"/>
  <sheetViews>
    <sheetView topLeftCell="A19" workbookViewId="0">
      <selection activeCell="F35" sqref="F35"/>
    </sheetView>
  </sheetViews>
  <sheetFormatPr defaultRowHeight="15"/>
  <cols>
    <col min="1" max="1" width="10.42578125" customWidth="1"/>
    <col min="4" max="4" width="7.140625" style="71" customWidth="1"/>
    <col min="5" max="35" width="6.7109375" style="169" customWidth="1"/>
  </cols>
  <sheetData>
    <row r="1" spans="1:36" ht="27.75">
      <c r="A1" s="344" t="s">
        <v>4</v>
      </c>
      <c r="B1" s="345"/>
    </row>
    <row r="2" spans="1:36" s="8" customFormat="1" ht="30">
      <c r="A2" s="363" t="s">
        <v>219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170"/>
      <c r="AG2" s="170"/>
      <c r="AH2" s="170"/>
      <c r="AI2" s="170"/>
    </row>
    <row r="3" spans="1:36" s="8" customFormat="1" ht="16.5">
      <c r="A3" s="69" t="s">
        <v>101</v>
      </c>
      <c r="B3" s="171" t="s">
        <v>43</v>
      </c>
      <c r="C3" s="172" t="s">
        <v>102</v>
      </c>
      <c r="D3" s="173" t="s">
        <v>97</v>
      </c>
      <c r="E3" s="293">
        <v>1</v>
      </c>
      <c r="F3" s="294">
        <v>2</v>
      </c>
      <c r="G3" s="294">
        <v>3</v>
      </c>
      <c r="H3" s="294">
        <v>4</v>
      </c>
      <c r="I3" s="294">
        <v>5</v>
      </c>
      <c r="J3" s="294">
        <v>6</v>
      </c>
      <c r="K3" s="294">
        <v>7</v>
      </c>
      <c r="L3" s="293">
        <v>8</v>
      </c>
      <c r="M3" s="294">
        <v>9</v>
      </c>
      <c r="N3" s="294">
        <v>10</v>
      </c>
      <c r="O3" s="294">
        <v>11</v>
      </c>
      <c r="P3" s="294">
        <v>12</v>
      </c>
      <c r="Q3" s="294">
        <v>13</v>
      </c>
      <c r="R3" s="294">
        <v>14</v>
      </c>
      <c r="S3" s="293">
        <v>15</v>
      </c>
      <c r="T3" s="294">
        <v>16</v>
      </c>
      <c r="U3" s="294">
        <v>17</v>
      </c>
      <c r="V3" s="294">
        <v>18</v>
      </c>
      <c r="W3" s="294">
        <v>19</v>
      </c>
      <c r="X3" s="294">
        <v>20</v>
      </c>
      <c r="Y3" s="294">
        <v>21</v>
      </c>
      <c r="Z3" s="293">
        <v>22</v>
      </c>
      <c r="AA3" s="294">
        <v>23</v>
      </c>
      <c r="AB3" s="294">
        <v>24</v>
      </c>
      <c r="AC3" s="294">
        <v>25</v>
      </c>
      <c r="AD3" s="294">
        <v>26</v>
      </c>
      <c r="AE3" s="294">
        <v>27</v>
      </c>
      <c r="AF3" s="294">
        <v>28</v>
      </c>
      <c r="AG3" s="295">
        <v>29</v>
      </c>
      <c r="AH3" s="296">
        <v>30</v>
      </c>
      <c r="AI3" s="296">
        <v>31</v>
      </c>
    </row>
    <row r="4" spans="1:36" s="8" customFormat="1" ht="15" customHeight="1">
      <c r="A4" s="370" t="s">
        <v>44</v>
      </c>
      <c r="B4" s="174" t="s">
        <v>45</v>
      </c>
      <c r="C4" s="297">
        <f>'3.6.A廠總計產能'!C4</f>
        <v>1412584</v>
      </c>
      <c r="D4" s="297">
        <f>'3.6.A廠總計產能'!D4</f>
        <v>67265.904761904763</v>
      </c>
      <c r="E4" s="297">
        <f>'3.6.A廠總計產能'!E4</f>
        <v>69424</v>
      </c>
      <c r="F4" s="297">
        <f>'3.6.A廠總計產能'!F4</f>
        <v>69488</v>
      </c>
      <c r="G4" s="297">
        <f>'3.6.A廠總計產能'!G4</f>
        <v>69896</v>
      </c>
      <c r="H4" s="297">
        <f>'3.6.A廠總計產能'!H4</f>
        <v>69472</v>
      </c>
      <c r="I4" s="297">
        <f>'3.6.A廠總計產能'!I4</f>
        <v>0</v>
      </c>
      <c r="J4" s="297">
        <f>'3.6.A廠總計產能'!J4</f>
        <v>69488</v>
      </c>
      <c r="K4" s="297">
        <f>'3.6.A廠總計產能'!K4</f>
        <v>69536</v>
      </c>
      <c r="L4" s="297">
        <f>'3.6.A廠總計產能'!L4</f>
        <v>69792</v>
      </c>
      <c r="M4" s="297">
        <f>'3.6.A廠總計產能'!M4</f>
        <v>69416</v>
      </c>
      <c r="N4" s="297">
        <f>'3.6.A廠總計產能'!N4</f>
        <v>69448</v>
      </c>
      <c r="O4" s="297">
        <f>'3.6.A廠總計產能'!O4</f>
        <v>69440</v>
      </c>
      <c r="P4" s="297">
        <f>'3.6.A廠總計產能'!P4</f>
        <v>0</v>
      </c>
      <c r="Q4" s="297">
        <f>'3.6.A廠總計產能'!Q4</f>
        <v>68936</v>
      </c>
      <c r="R4" s="297">
        <f>'3.6.A廠總計產能'!R4</f>
        <v>68736</v>
      </c>
      <c r="S4" s="297">
        <f>'3.6.A廠總計產能'!S4</f>
        <v>68032</v>
      </c>
      <c r="T4" s="297">
        <f>'3.6.A廠總計產能'!T4</f>
        <v>66720</v>
      </c>
      <c r="U4" s="297">
        <f>'3.6.A廠總計產能'!U4</f>
        <v>66248</v>
      </c>
      <c r="V4" s="297">
        <f>'3.6.A廠總計產能'!V4</f>
        <v>65400</v>
      </c>
      <c r="W4" s="297">
        <f>'3.6.A廠總計產能'!W4</f>
        <v>0</v>
      </c>
      <c r="X4" s="297">
        <f>'3.6.A廠總計產能'!X4</f>
        <v>64456</v>
      </c>
      <c r="Y4" s="297">
        <f>'3.6.A廠總計產能'!Y4</f>
        <v>62904</v>
      </c>
      <c r="Z4" s="297">
        <f>'3.6.A廠總計產能'!Z4</f>
        <v>62832</v>
      </c>
      <c r="AA4" s="297">
        <f>'3.6.A廠總計產能'!AA4</f>
        <v>61536</v>
      </c>
      <c r="AB4" s="297">
        <f>'3.6.A廠總計產能'!AB4</f>
        <v>61384</v>
      </c>
      <c r="AC4" s="297">
        <f>'3.6.A廠總計產能'!AC4</f>
        <v>0</v>
      </c>
      <c r="AD4" s="297">
        <f>'3.6.A廠總計產能'!AD4</f>
        <v>0</v>
      </c>
      <c r="AE4" s="297">
        <f>'3.6.A廠總計產能'!AE4</f>
        <v>0</v>
      </c>
      <c r="AF4" s="297">
        <f>'3.6.A廠總計產能'!AF4</f>
        <v>0</v>
      </c>
      <c r="AG4" s="297">
        <f>'3.6.A廠總計產能'!AG4</f>
        <v>0</v>
      </c>
      <c r="AH4" s="297">
        <f>'3.6.A廠總計產能'!AH4</f>
        <v>0</v>
      </c>
      <c r="AI4" s="297">
        <f>'3.6.A廠總計產能'!AI4</f>
        <v>0</v>
      </c>
    </row>
    <row r="5" spans="1:36" s="8" customFormat="1" ht="15" customHeight="1">
      <c r="A5" s="371"/>
      <c r="B5" s="174" t="s">
        <v>46</v>
      </c>
      <c r="C5" s="297">
        <f>'3.6.A廠總計產能'!C5</f>
        <v>1282020</v>
      </c>
      <c r="D5" s="297">
        <f>'3.6.A廠總計產能'!D5</f>
        <v>61048.571428571428</v>
      </c>
      <c r="E5" s="297">
        <f>'3.6.A廠總計產能'!E5</f>
        <v>63480</v>
      </c>
      <c r="F5" s="297">
        <f>'3.6.A廠總計產能'!F5</f>
        <v>63870</v>
      </c>
      <c r="G5" s="297">
        <f>'3.6.A廠總計產能'!G5</f>
        <v>65430</v>
      </c>
      <c r="H5" s="297">
        <f>'3.6.A廠總計產能'!H5</f>
        <v>66160</v>
      </c>
      <c r="I5" s="297">
        <f>'3.6.A廠總計產能'!I5</f>
        <v>0</v>
      </c>
      <c r="J5" s="297">
        <f>'3.6.A廠總計產能'!J5</f>
        <v>65820</v>
      </c>
      <c r="K5" s="297">
        <f>'3.6.A廠總計產能'!K5</f>
        <v>65820</v>
      </c>
      <c r="L5" s="297">
        <f>'3.6.A廠總計產能'!L5</f>
        <v>66120</v>
      </c>
      <c r="M5" s="297">
        <f>'3.6.A廠總計產能'!M5</f>
        <v>65420</v>
      </c>
      <c r="N5" s="297">
        <f>'3.6.A廠總計產能'!N5</f>
        <v>65860</v>
      </c>
      <c r="O5" s="297">
        <f>'3.6.A廠總計產能'!O5</f>
        <v>63760</v>
      </c>
      <c r="P5" s="297">
        <f>'3.6.A廠總計產能'!P5</f>
        <v>0</v>
      </c>
      <c r="Q5" s="297">
        <f>'3.6.A廠總計產能'!Q5</f>
        <v>63180</v>
      </c>
      <c r="R5" s="297">
        <f>'3.6.A廠總計產能'!R5</f>
        <v>63000</v>
      </c>
      <c r="S5" s="297">
        <f>'3.6.A廠總計產能'!S5</f>
        <v>60460</v>
      </c>
      <c r="T5" s="297">
        <f>'3.6.A廠總計產能'!T5</f>
        <v>58480</v>
      </c>
      <c r="U5" s="297">
        <f>'3.6.A廠總計產能'!U5</f>
        <v>59180</v>
      </c>
      <c r="V5" s="297">
        <f>'3.6.A廠總計產能'!V5</f>
        <v>58140</v>
      </c>
      <c r="W5" s="297">
        <f>'3.6.A廠總計產能'!W5</f>
        <v>0</v>
      </c>
      <c r="X5" s="297">
        <f>'3.6.A廠總計產能'!X5</f>
        <v>52840</v>
      </c>
      <c r="Y5" s="297">
        <f>'3.6.A廠總計產能'!Y5</f>
        <v>51980</v>
      </c>
      <c r="Z5" s="297">
        <f>'3.6.A廠總計產能'!Z5</f>
        <v>53070</v>
      </c>
      <c r="AA5" s="297">
        <f>'3.6.A廠總計產能'!AA5</f>
        <v>54410</v>
      </c>
      <c r="AB5" s="297">
        <f>'3.6.A廠總計產能'!AB5</f>
        <v>55540</v>
      </c>
      <c r="AC5" s="297">
        <f>'3.6.A廠總計產能'!AC5</f>
        <v>54620</v>
      </c>
      <c r="AD5" s="297">
        <f>'3.6.A廠總計產能'!AD5</f>
        <v>0</v>
      </c>
      <c r="AE5" s="297">
        <f>'3.6.A廠總計產能'!AE5</f>
        <v>54164</v>
      </c>
      <c r="AF5" s="297">
        <f>'3.6.A廠總計產能'!AF5</f>
        <v>53974</v>
      </c>
      <c r="AG5" s="297">
        <f>'3.6.A廠總計產能'!AG5</f>
        <v>54102</v>
      </c>
      <c r="AH5" s="297">
        <f>'3.6.A廠總計產能'!AH5</f>
        <v>54112</v>
      </c>
      <c r="AI5" s="297">
        <f>'3.6.A廠總計產能'!AI5</f>
        <v>54272</v>
      </c>
    </row>
    <row r="6" spans="1:36" s="8" customFormat="1" ht="15" customHeight="1">
      <c r="A6" s="371"/>
      <c r="B6" s="175" t="s">
        <v>103</v>
      </c>
      <c r="C6" s="298">
        <f>'3.6.A廠總計產能'!C6</f>
        <v>1222680</v>
      </c>
      <c r="D6" s="298">
        <f>'3.6.A廠總計產能'!D6</f>
        <v>58222.857142857138</v>
      </c>
      <c r="E6" s="298">
        <f>'3.6.A廠總計產能'!E6</f>
        <v>60810</v>
      </c>
      <c r="F6" s="298">
        <f>'3.6.A廠總計產能'!F6</f>
        <v>61894</v>
      </c>
      <c r="G6" s="298">
        <f>'3.6.A廠總計產能'!G6</f>
        <v>62916</v>
      </c>
      <c r="H6" s="298">
        <f>'3.6.A廠總計產能'!H6</f>
        <v>63983</v>
      </c>
      <c r="I6" s="298">
        <f>'3.6.A廠總計產能'!I6</f>
        <v>0</v>
      </c>
      <c r="J6" s="298">
        <f>'3.6.A廠總計產能'!J6</f>
        <v>65344</v>
      </c>
      <c r="K6" s="298">
        <f>'3.6.A廠總計產能'!K6</f>
        <v>64006</v>
      </c>
      <c r="L6" s="298">
        <f>'3.6.A廠總計產能'!L6</f>
        <v>63309</v>
      </c>
      <c r="M6" s="298">
        <f>'3.6.A廠總計產能'!M6</f>
        <v>60190</v>
      </c>
      <c r="N6" s="298">
        <f>'3.6.A廠總計產能'!N6</f>
        <v>62367</v>
      </c>
      <c r="O6" s="298">
        <f>'3.6.A廠總計產能'!O6</f>
        <v>61020</v>
      </c>
      <c r="P6" s="298">
        <f>'3.6.A廠總計產能'!P6</f>
        <v>0</v>
      </c>
      <c r="Q6" s="298">
        <f>'3.6.A廠總計產能'!Q6</f>
        <v>60758</v>
      </c>
      <c r="R6" s="298">
        <f>'3.6.A廠總計產能'!R6</f>
        <v>56995</v>
      </c>
      <c r="S6" s="298">
        <f>'3.6.A廠總計產能'!S6</f>
        <v>55925</v>
      </c>
      <c r="T6" s="298">
        <f>'3.6.A廠總計產能'!T6</f>
        <v>55434</v>
      </c>
      <c r="U6" s="298">
        <f>'3.6.A廠總計產能'!U6</f>
        <v>56960</v>
      </c>
      <c r="V6" s="298">
        <f>'3.6.A廠總計產能'!V6</f>
        <v>55319</v>
      </c>
      <c r="W6" s="298">
        <f>'3.6.A廠總計產能'!W6</f>
        <v>0</v>
      </c>
      <c r="X6" s="298">
        <f>'3.6.A廠總計產能'!X6</f>
        <v>49952</v>
      </c>
      <c r="Y6" s="298">
        <f>'3.6.A廠總計產能'!Y6</f>
        <v>49403</v>
      </c>
      <c r="Z6" s="298">
        <f>'3.6.A廠總計產能'!Z6</f>
        <v>50246</v>
      </c>
      <c r="AA6" s="298">
        <f>'3.6.A廠總計產能'!AA6</f>
        <v>52572</v>
      </c>
      <c r="AB6" s="298">
        <f>'3.6.A廠總計產能'!AB6</f>
        <v>53277</v>
      </c>
      <c r="AC6" s="298">
        <f>'3.6.A廠總計產能'!AC6</f>
        <v>0</v>
      </c>
      <c r="AD6" s="298">
        <f>'3.6.A廠總計產能'!AD6</f>
        <v>0</v>
      </c>
      <c r="AE6" s="298">
        <f>'3.6.A廠總計產能'!AE6</f>
        <v>0</v>
      </c>
      <c r="AF6" s="298">
        <f>'3.6.A廠總計產能'!AF6</f>
        <v>0</v>
      </c>
      <c r="AG6" s="298">
        <f>'3.6.A廠總計產能'!AG6</f>
        <v>0</v>
      </c>
      <c r="AH6" s="298">
        <f>'3.6.A廠總計產能'!AH6</f>
        <v>0</v>
      </c>
      <c r="AI6" s="298">
        <f>'3.6.A廠總計產能'!AI6</f>
        <v>0</v>
      </c>
    </row>
    <row r="7" spans="1:36" s="8" customFormat="1" ht="15" customHeight="1">
      <c r="A7" s="371"/>
      <c r="B7" s="175" t="s">
        <v>104</v>
      </c>
      <c r="C7" s="298">
        <f>'3.6.A廠總計產能'!C7</f>
        <v>-59340</v>
      </c>
      <c r="D7" s="298">
        <f>'3.6.A廠總計產能'!D7</f>
        <v>-2825.7142857142858</v>
      </c>
      <c r="E7" s="298">
        <f>'3.6.A廠總計產能'!E7</f>
        <v>-2670</v>
      </c>
      <c r="F7" s="298">
        <f>'3.6.A廠總計產能'!F7</f>
        <v>-1976</v>
      </c>
      <c r="G7" s="298">
        <f>'3.6.A廠總計產能'!G7</f>
        <v>-2514</v>
      </c>
      <c r="H7" s="298">
        <f>'3.6.A廠總計產能'!H7</f>
        <v>-2177</v>
      </c>
      <c r="I7" s="298">
        <f>'3.6.A廠總計產能'!I7</f>
        <v>0</v>
      </c>
      <c r="J7" s="298">
        <f>'3.6.A廠總計產能'!J7</f>
        <v>-476</v>
      </c>
      <c r="K7" s="298">
        <f>'3.6.A廠總計產能'!K7</f>
        <v>-1814</v>
      </c>
      <c r="L7" s="298">
        <f>'3.6.A廠總計產能'!L7</f>
        <v>-2811</v>
      </c>
      <c r="M7" s="298">
        <f>'3.6.A廠總計產能'!M7</f>
        <v>-5230</v>
      </c>
      <c r="N7" s="298">
        <f>'3.6.A廠總計產能'!N7</f>
        <v>-3493</v>
      </c>
      <c r="O7" s="298">
        <f>'3.6.A廠總計產能'!O7</f>
        <v>-2740</v>
      </c>
      <c r="P7" s="298">
        <f>'3.6.A廠總計產能'!P7</f>
        <v>0</v>
      </c>
      <c r="Q7" s="298">
        <f>'3.6.A廠總計產能'!Q7</f>
        <v>-2422</v>
      </c>
      <c r="R7" s="298">
        <f>'3.6.A廠總計產能'!R7</f>
        <v>-6005</v>
      </c>
      <c r="S7" s="298">
        <f>'3.6.A廠總計產能'!S7</f>
        <v>-4535</v>
      </c>
      <c r="T7" s="298">
        <f>'3.6.A廠總計產能'!T7</f>
        <v>-3046</v>
      </c>
      <c r="U7" s="298">
        <f>'3.6.A廠總計產能'!U7</f>
        <v>-2220</v>
      </c>
      <c r="V7" s="298">
        <f>'3.6.A廠總計產能'!V7</f>
        <v>-2821</v>
      </c>
      <c r="W7" s="298">
        <f>'3.6.A廠總計產能'!W7</f>
        <v>0</v>
      </c>
      <c r="X7" s="298">
        <f>'3.6.A廠總計產能'!X7</f>
        <v>-2888</v>
      </c>
      <c r="Y7" s="298">
        <f>'3.6.A廠總計產能'!Y7</f>
        <v>-2577</v>
      </c>
      <c r="Z7" s="298">
        <f>'3.6.A廠總計產能'!Z7</f>
        <v>-2824</v>
      </c>
      <c r="AA7" s="298">
        <f>'3.6.A廠總計產能'!AA7</f>
        <v>-1838</v>
      </c>
      <c r="AB7" s="298">
        <f>'3.6.A廠總計產能'!AB7</f>
        <v>-2263</v>
      </c>
      <c r="AC7" s="298">
        <f>'3.6.A廠總計產能'!AC7</f>
        <v>0</v>
      </c>
      <c r="AD7" s="298">
        <f>'3.6.A廠總計產能'!AD7</f>
        <v>0</v>
      </c>
      <c r="AE7" s="298">
        <f>'3.6.A廠總計產能'!AE7</f>
        <v>0</v>
      </c>
      <c r="AF7" s="298">
        <f>'3.6.A廠總計產能'!AF7</f>
        <v>0</v>
      </c>
      <c r="AG7" s="298">
        <f>'3.6.A廠總計產能'!AG7</f>
        <v>0</v>
      </c>
      <c r="AH7" s="298">
        <f>'3.6.A廠總計產能'!AH7</f>
        <v>0</v>
      </c>
      <c r="AI7" s="298">
        <f>'3.6.A廠總計產能'!AI7</f>
        <v>0</v>
      </c>
    </row>
    <row r="8" spans="1:36" s="8" customFormat="1" ht="15" customHeight="1">
      <c r="A8" s="371"/>
      <c r="B8" s="175" t="s">
        <v>105</v>
      </c>
      <c r="C8" s="298">
        <f>'3.6.A廠總計產能'!C8</f>
        <v>168</v>
      </c>
      <c r="D8" s="298">
        <f>'3.6.A廠總計產能'!D8</f>
        <v>8</v>
      </c>
      <c r="E8" s="298">
        <f>'3.6.A廠總計產能'!E8</f>
        <v>8</v>
      </c>
      <c r="F8" s="298">
        <f>'3.6.A廠總計產能'!F8</f>
        <v>8</v>
      </c>
      <c r="G8" s="298">
        <f>'3.6.A廠總計產能'!G8</f>
        <v>8</v>
      </c>
      <c r="H8" s="298">
        <f>'3.6.A廠總計產能'!H8</f>
        <v>8</v>
      </c>
      <c r="I8" s="298">
        <f>'3.6.A廠總計產能'!I8</f>
        <v>0</v>
      </c>
      <c r="J8" s="298">
        <f>'3.6.A廠總計產能'!J8</f>
        <v>8</v>
      </c>
      <c r="K8" s="298">
        <f>'3.6.A廠總計產能'!K8</f>
        <v>8</v>
      </c>
      <c r="L8" s="298">
        <f>'3.6.A廠總計產能'!L8</f>
        <v>8</v>
      </c>
      <c r="M8" s="298">
        <f>'3.6.A廠總計產能'!M8</f>
        <v>8</v>
      </c>
      <c r="N8" s="298">
        <f>'3.6.A廠總計產能'!N8</f>
        <v>8</v>
      </c>
      <c r="O8" s="298">
        <f>'3.6.A廠總計產能'!O8</f>
        <v>8</v>
      </c>
      <c r="P8" s="298">
        <f>'3.6.A廠總計產能'!P8</f>
        <v>0</v>
      </c>
      <c r="Q8" s="298">
        <f>'3.6.A廠總計產能'!Q8</f>
        <v>8</v>
      </c>
      <c r="R8" s="298">
        <f>'3.6.A廠總計產能'!R8</f>
        <v>8</v>
      </c>
      <c r="S8" s="298">
        <f>'3.6.A廠總計產能'!S8</f>
        <v>8</v>
      </c>
      <c r="T8" s="298">
        <f>'3.6.A廠總計產能'!T8</f>
        <v>8</v>
      </c>
      <c r="U8" s="298">
        <f>'3.6.A廠總計產能'!U8</f>
        <v>8</v>
      </c>
      <c r="V8" s="298">
        <f>'3.6.A廠總計產能'!V8</f>
        <v>8</v>
      </c>
      <c r="W8" s="298">
        <f>'3.6.A廠總計產能'!W8</f>
        <v>0</v>
      </c>
      <c r="X8" s="298">
        <f>'3.6.A廠總計產能'!X8</f>
        <v>8</v>
      </c>
      <c r="Y8" s="298">
        <f>'3.6.A廠總計產能'!Y8</f>
        <v>8</v>
      </c>
      <c r="Z8" s="298">
        <f>'3.6.A廠總計產能'!Z8</f>
        <v>8</v>
      </c>
      <c r="AA8" s="298">
        <f>'3.6.A廠總計產能'!AA8</f>
        <v>8</v>
      </c>
      <c r="AB8" s="298">
        <f>'3.6.A廠總計產能'!AB8</f>
        <v>8</v>
      </c>
      <c r="AC8" s="298">
        <f>'3.6.A廠總計產能'!AC8</f>
        <v>0</v>
      </c>
      <c r="AD8" s="298">
        <f>'3.6.A廠總計產能'!AD8</f>
        <v>0</v>
      </c>
      <c r="AE8" s="298">
        <f>'3.6.A廠總計產能'!AE8</f>
        <v>0</v>
      </c>
      <c r="AF8" s="298">
        <f>'3.6.A廠總計產能'!AF8</f>
        <v>0</v>
      </c>
      <c r="AG8" s="298">
        <f>'3.6.A廠總計產能'!AG8</f>
        <v>0</v>
      </c>
      <c r="AH8" s="298">
        <f>'3.6.A廠總計產能'!AH8</f>
        <v>0</v>
      </c>
      <c r="AI8" s="298">
        <f>'3.6.A廠總計產能'!AI8</f>
        <v>0</v>
      </c>
    </row>
    <row r="9" spans="1:36" s="8" customFormat="1" ht="15" customHeight="1">
      <c r="A9" s="371"/>
      <c r="B9" s="175" t="s">
        <v>50</v>
      </c>
      <c r="C9" s="298">
        <f>'3.6.A廠總計產能'!C9</f>
        <v>7005</v>
      </c>
      <c r="D9" s="298">
        <f>'3.6.A廠總計產能'!D9</f>
        <v>7005</v>
      </c>
      <c r="E9" s="298">
        <f>'3.6.A廠總計產能'!E9</f>
        <v>7048</v>
      </c>
      <c r="F9" s="298">
        <f>'3.6.A廠總計產能'!F9</f>
        <v>7039</v>
      </c>
      <c r="G9" s="298">
        <f>'3.6.A廠總計產能'!G9</f>
        <v>7016</v>
      </c>
      <c r="H9" s="298">
        <f>'3.6.A廠總計產能'!H9</f>
        <v>6962</v>
      </c>
      <c r="I9" s="298">
        <f>'3.6.A廠總計產能'!I9</f>
        <v>0</v>
      </c>
      <c r="J9" s="298">
        <f>'3.6.A廠總計產能'!J9</f>
        <v>6809</v>
      </c>
      <c r="K9" s="298">
        <f>'3.6.A廠總計產能'!K9</f>
        <v>6925</v>
      </c>
      <c r="L9" s="298">
        <f>'3.6.A廠總計產能'!L9</f>
        <v>6961</v>
      </c>
      <c r="M9" s="298">
        <f>'3.6.A廠總計產能'!M9</f>
        <v>6970</v>
      </c>
      <c r="N9" s="298">
        <f>'3.6.A廠總計產能'!N9</f>
        <v>6986</v>
      </c>
      <c r="O9" s="298">
        <f>'3.6.A廠總計產能'!O9</f>
        <v>6952</v>
      </c>
      <c r="P9" s="298">
        <f>'3.6.A廠總計產能'!P9</f>
        <v>0</v>
      </c>
      <c r="Q9" s="298">
        <f>'3.6.A廠總計產能'!Q9</f>
        <v>6981</v>
      </c>
      <c r="R9" s="298">
        <f>'3.6.A廠總計產能'!R9</f>
        <v>7117</v>
      </c>
      <c r="S9" s="298">
        <f>'3.6.A廠總計產能'!S9</f>
        <v>7124</v>
      </c>
      <c r="T9" s="298">
        <f>'3.6.A廠總計產能'!T9</f>
        <v>7088</v>
      </c>
      <c r="U9" s="298">
        <f>'3.6.A廠總計產能'!U9</f>
        <v>7096</v>
      </c>
      <c r="V9" s="298">
        <f>'3.6.A廠總計產能'!V9</f>
        <v>7016</v>
      </c>
      <c r="W9" s="298">
        <f>'3.6.A廠總計產能'!W9</f>
        <v>0</v>
      </c>
      <c r="X9" s="298">
        <f>'3.6.A廠總計產能'!X9</f>
        <v>7015</v>
      </c>
      <c r="Y9" s="298">
        <f>'3.6.A廠總計產能'!Y9</f>
        <v>7049</v>
      </c>
      <c r="Z9" s="298">
        <f>'3.6.A廠總計產能'!Z9</f>
        <v>7122</v>
      </c>
      <c r="AA9" s="298">
        <f>'3.6.A廠總計產能'!AA9</f>
        <v>7111</v>
      </c>
      <c r="AB9" s="298">
        <f>'3.6.A廠總計產能'!AB9</f>
        <v>7076</v>
      </c>
      <c r="AC9" s="298">
        <f>'3.6.A廠總計產能'!AC9</f>
        <v>0</v>
      </c>
      <c r="AD9" s="298">
        <f>'3.6.A廠總計產能'!AD9</f>
        <v>0</v>
      </c>
      <c r="AE9" s="298">
        <f>'3.6.A廠總計產能'!AE9</f>
        <v>0</v>
      </c>
      <c r="AF9" s="298">
        <f>'3.6.A廠總計產能'!AF9</f>
        <v>0</v>
      </c>
      <c r="AG9" s="298">
        <f>'3.6.A廠總計產能'!AG9</f>
        <v>0</v>
      </c>
      <c r="AH9" s="298">
        <f>'3.6.A廠總計產能'!AH9</f>
        <v>0</v>
      </c>
      <c r="AI9" s="298">
        <f>'3.6.A廠總計產能'!AI9</f>
        <v>0</v>
      </c>
    </row>
    <row r="10" spans="1:36" s="8" customFormat="1" ht="15" customHeight="1">
      <c r="A10" s="371"/>
      <c r="B10" s="175" t="s">
        <v>51</v>
      </c>
      <c r="C10" s="298">
        <f>'3.6.A廠總計產能'!C10</f>
        <v>7277.8571428571422</v>
      </c>
      <c r="D10" s="298">
        <f>'3.6.A廠總計產能'!D10</f>
        <v>7277.8571428571422</v>
      </c>
      <c r="E10" s="298">
        <f>'3.6.A廠總計產能'!E10</f>
        <v>7601.25</v>
      </c>
      <c r="F10" s="298">
        <f>'3.6.A廠總計產能'!F10</f>
        <v>7736.75</v>
      </c>
      <c r="G10" s="298">
        <f>'3.6.A廠總計產能'!G10</f>
        <v>7864.5</v>
      </c>
      <c r="H10" s="298">
        <f>'3.6.A廠總計產能'!H10</f>
        <v>7997.875</v>
      </c>
      <c r="I10" s="298">
        <f>'3.6.A廠總計產能'!I10</f>
        <v>0</v>
      </c>
      <c r="J10" s="298">
        <f>'3.6.A廠總計產能'!J10</f>
        <v>8168</v>
      </c>
      <c r="K10" s="298">
        <f>'3.6.A廠總計產能'!K10</f>
        <v>8000.75</v>
      </c>
      <c r="L10" s="298">
        <f>'3.6.A廠總計產能'!L10</f>
        <v>7913.625</v>
      </c>
      <c r="M10" s="298">
        <f>'3.6.A廠總計產能'!M10</f>
        <v>7523.75</v>
      </c>
      <c r="N10" s="298">
        <f>'3.6.A廠總計產能'!N10</f>
        <v>7795.875</v>
      </c>
      <c r="O10" s="298">
        <f>'3.6.A廠總計產能'!O10</f>
        <v>7627.5</v>
      </c>
      <c r="P10" s="298">
        <f>'3.6.A廠總計產能'!P10</f>
        <v>0</v>
      </c>
      <c r="Q10" s="298">
        <f>'3.6.A廠總計產能'!Q10</f>
        <v>7594.75</v>
      </c>
      <c r="R10" s="298">
        <f>'3.6.A廠總計產能'!R10</f>
        <v>7124.375</v>
      </c>
      <c r="S10" s="298">
        <f>'3.6.A廠總計產能'!S10</f>
        <v>6990.625</v>
      </c>
      <c r="T10" s="298">
        <f>'3.6.A廠總計產能'!T10</f>
        <v>6929.25</v>
      </c>
      <c r="U10" s="298">
        <f>'3.6.A廠總計產能'!U10</f>
        <v>7120</v>
      </c>
      <c r="V10" s="298">
        <f>'3.6.A廠總計產能'!V10</f>
        <v>6914.875</v>
      </c>
      <c r="W10" s="298">
        <f>'3.6.A廠總計產能'!W10</f>
        <v>0</v>
      </c>
      <c r="X10" s="298">
        <f>'3.6.A廠總計產能'!X10</f>
        <v>6244</v>
      </c>
      <c r="Y10" s="298">
        <f>'3.6.A廠總計產能'!Y10</f>
        <v>6175.375</v>
      </c>
      <c r="Z10" s="298">
        <f>'3.6.A廠總計產能'!Z10</f>
        <v>6280.75</v>
      </c>
      <c r="AA10" s="298">
        <f>'3.6.A廠總計產能'!AA10</f>
        <v>6571.5</v>
      </c>
      <c r="AB10" s="298">
        <f>'3.6.A廠總計產能'!AB10</f>
        <v>6659.625</v>
      </c>
      <c r="AC10" s="298">
        <f>'3.6.A廠總計產能'!AC10</f>
        <v>0</v>
      </c>
      <c r="AD10" s="298">
        <f>'3.6.A廠總計產能'!AD10</f>
        <v>0</v>
      </c>
      <c r="AE10" s="298">
        <f>'3.6.A廠總計產能'!AE10</f>
        <v>0</v>
      </c>
      <c r="AF10" s="298">
        <f>'3.6.A廠總計產能'!AF10</f>
        <v>0</v>
      </c>
      <c r="AG10" s="298">
        <f>'3.6.A廠總計產能'!AG10</f>
        <v>0</v>
      </c>
      <c r="AH10" s="298">
        <f>'3.6.A廠總計產能'!AH10</f>
        <v>0</v>
      </c>
      <c r="AI10" s="298">
        <f>'3.6.A廠總計產能'!AI10</f>
        <v>0</v>
      </c>
    </row>
    <row r="11" spans="1:36">
      <c r="A11" s="371"/>
      <c r="B11" s="303" t="s">
        <v>223</v>
      </c>
      <c r="C11" s="304">
        <f>SUM(E11:AI11)/COUNTIF(E6:AI6,"&gt;0")</f>
        <v>1213.3333333333333</v>
      </c>
      <c r="D11" s="304">
        <f>SUM(E11:AI11)/COUNTIF(E6:AI6,"&gt;0")</f>
        <v>1213.3333333333333</v>
      </c>
      <c r="E11" s="304">
        <f>'3-1.人員刷卡出勤'!C48+'3-1.人員刷卡出勤'!C45+'3-1.人員刷卡出勤'!C51</f>
        <v>1234</v>
      </c>
      <c r="F11" s="304">
        <f>'3-1.人員刷卡出勤'!D48+'3-1.人員刷卡出勤'!D45+'3-1.人員刷卡出勤'!D51</f>
        <v>1238</v>
      </c>
      <c r="G11" s="304">
        <f>'3-1.人員刷卡出勤'!E48+'3-1.人員刷卡出勤'!E45+'3-1.人員刷卡出勤'!E51</f>
        <v>1235</v>
      </c>
      <c r="H11" s="304">
        <f>'3-1.人員刷卡出勤'!F48+'3-1.人員刷卡出勤'!F45+'3-1.人員刷卡出勤'!F51</f>
        <v>1215</v>
      </c>
      <c r="I11" s="304">
        <f>'3-1.人員刷卡出勤'!G48+'3-1.人員刷卡出勤'!G45+'3-1.人員刷卡出勤'!G51</f>
        <v>0</v>
      </c>
      <c r="J11" s="304">
        <f>'3-1.人員刷卡出勤'!H48+'3-1.人員刷卡出勤'!H45+'3-1.人員刷卡出勤'!H51</f>
        <v>1193</v>
      </c>
      <c r="K11" s="304">
        <f>'3-1.人員刷卡出勤'!I48+'3-1.人員刷卡出勤'!I45+'3-1.人員刷卡出勤'!I51</f>
        <v>1229</v>
      </c>
      <c r="L11" s="304">
        <f>'3-1.人員刷卡出勤'!J48+'3-1.人員刷卡出勤'!J45+'3-1.人員刷卡出勤'!J51</f>
        <v>1220</v>
      </c>
      <c r="M11" s="304">
        <f>'3-1.人員刷卡出勤'!K48+'3-1.人員刷卡出勤'!K45+'3-1.人員刷卡出勤'!K51</f>
        <v>1227</v>
      </c>
      <c r="N11" s="304">
        <f>'3-1.人員刷卡出勤'!L48+'3-1.人員刷卡出勤'!L45+'3-1.人員刷卡出勤'!L51</f>
        <v>1216</v>
      </c>
      <c r="O11" s="304">
        <f>'3-1.人員刷卡出勤'!M48+'3-1.人員刷卡出勤'!M45+'3-1.人員刷卡出勤'!M51</f>
        <v>1200</v>
      </c>
      <c r="P11" s="304">
        <f>'3-1.人員刷卡出勤'!N48+'3-1.人員刷卡出勤'!N45+'3-1.人員刷卡出勤'!N51</f>
        <v>0</v>
      </c>
      <c r="Q11" s="304">
        <f>'3-1.人員刷卡出勤'!O48+'3-1.人員刷卡出勤'!O45+'3-1.人員刷卡出勤'!O51</f>
        <v>1177</v>
      </c>
      <c r="R11" s="304">
        <f>'3-1.人員刷卡出勤'!P48+'3-1.人員刷卡出勤'!P45+'3-1.人員刷卡出勤'!P51</f>
        <v>1220</v>
      </c>
      <c r="S11" s="304">
        <f>'3-1.人員刷卡出勤'!Q48+'3-1.人員刷卡出勤'!Q45+'3-1.人員刷卡出勤'!Q51</f>
        <v>1225</v>
      </c>
      <c r="T11" s="304">
        <f>'3-1.人員刷卡出勤'!R48+'3-1.人員刷卡出勤'!R45+'3-1.人員刷卡出勤'!R51</f>
        <v>1212</v>
      </c>
      <c r="U11" s="304">
        <f>'3-1.人員刷卡出勤'!S48+'3-1.人員刷卡出勤'!S45+'3-1.人員刷卡出勤'!S51</f>
        <v>1211</v>
      </c>
      <c r="V11" s="304">
        <f>'3-1.人員刷卡出勤'!T48+'3-1.人員刷卡出勤'!T45+'3-1.人員刷卡出勤'!T51</f>
        <v>1193</v>
      </c>
      <c r="W11" s="304">
        <f>'3-1.人員刷卡出勤'!U48+'3-1.人員刷卡出勤'!U45+'3-1.人員刷卡出勤'!U51</f>
        <v>0</v>
      </c>
      <c r="X11" s="304">
        <f>'3-1.人員刷卡出勤'!V48+'3-1.人員刷卡出勤'!V45+'3-1.人員刷卡出勤'!V51</f>
        <v>1199</v>
      </c>
      <c r="Y11" s="304">
        <f>'3-1.人員刷卡出勤'!W48+'3-1.人員刷卡出勤'!W45+'3-1.人員刷卡出勤'!W51</f>
        <v>1208</v>
      </c>
      <c r="Z11" s="304">
        <f>'3-1.人員刷卡出勤'!X48+'3-1.人員刷卡出勤'!X45+'3-1.人員刷卡出勤'!X51</f>
        <v>1217</v>
      </c>
      <c r="AA11" s="304">
        <f>'3-1.人員刷卡出勤'!Y48+'3-1.人員刷卡出勤'!Y45+'3-1.人員刷卡出勤'!Y51</f>
        <v>1210</v>
      </c>
      <c r="AB11" s="304">
        <f>'3-1.人員刷卡出勤'!Z48+'3-1.人員刷卡出勤'!Z45+'3-1.人員刷卡出勤'!Z51</f>
        <v>1201</v>
      </c>
      <c r="AC11" s="304">
        <f>'3-1.人員刷卡出勤'!AA48+'3-1.人員刷卡出勤'!AA45+'3-1.人員刷卡出勤'!AA51</f>
        <v>0</v>
      </c>
      <c r="AD11" s="304">
        <f>'3-1.人員刷卡出勤'!AB48+'3-1.人員刷卡出勤'!AB45+'3-1.人員刷卡出勤'!AB51</f>
        <v>0</v>
      </c>
      <c r="AE11" s="304">
        <f>'3-1.人員刷卡出勤'!AC48+'3-1.人員刷卡出勤'!AC45+'3-1.人員刷卡出勤'!AC51</f>
        <v>0</v>
      </c>
      <c r="AF11" s="304">
        <f>'3-1.人員刷卡出勤'!AD48+'3-1.人員刷卡出勤'!AD45+'3-1.人員刷卡出勤'!AD51</f>
        <v>0</v>
      </c>
      <c r="AG11" s="304">
        <f>'3-1.人員刷卡出勤'!AE48+'3-1.人員刷卡出勤'!AE45+'3-1.人員刷卡出勤'!AE51</f>
        <v>0</v>
      </c>
      <c r="AH11" s="304">
        <f>'3-1.人員刷卡出勤'!AF48+'3-1.人員刷卡出勤'!AF45+'3-1.人員刷卡出勤'!AF51</f>
        <v>0</v>
      </c>
      <c r="AI11" s="304">
        <f>'3-1.人員刷卡出勤'!AG48+'3-1.人員刷卡出勤'!AG45+'3-1.人員刷卡出勤'!AG51</f>
        <v>0</v>
      </c>
      <c r="AJ11" s="8"/>
    </row>
    <row r="12" spans="1:36">
      <c r="A12" s="371"/>
      <c r="B12" s="303" t="s">
        <v>224</v>
      </c>
      <c r="C12" s="304">
        <f>SUM(E12:AI12)/COUNTIF(E6:AI6,"&gt;0")</f>
        <v>406.78571428571428</v>
      </c>
      <c r="D12" s="304">
        <f>SUM(E12:AI12)/COUNTIF(E6:AI6,"&gt;0")</f>
        <v>406.78571428571428</v>
      </c>
      <c r="E12" s="304">
        <f>'3-1.人員刷卡出勤'!C9/2+'3-1.人員刷卡出勤'!C12+'3-1.人員刷卡出勤'!C15++'3-1.人員刷卡出勤'!C24</f>
        <v>404.5</v>
      </c>
      <c r="F12" s="304">
        <f>'3-1.人員刷卡出勤'!D9/2+'3-1.人員刷卡出勤'!D12+'3-1.人員刷卡出勤'!D15++'3-1.人員刷卡出勤'!D24</f>
        <v>409</v>
      </c>
      <c r="G12" s="304">
        <f>'3-1.人員刷卡出勤'!E9/2+'3-1.人員刷卡出勤'!E12+'3-1.人員刷卡出勤'!E15++'3-1.人員刷卡出勤'!E24</f>
        <v>410</v>
      </c>
      <c r="H12" s="304">
        <f>'3-1.人員刷卡出勤'!F9/2+'3-1.人員刷卡出勤'!F12+'3-1.人員刷卡出勤'!F15++'3-1.人員刷卡出勤'!F24</f>
        <v>399.5</v>
      </c>
      <c r="I12" s="304">
        <f>'3-1.人員刷卡出勤'!G9/2+'3-1.人員刷卡出勤'!G12+'3-1.人員刷卡出勤'!G15++'3-1.人員刷卡出勤'!G24</f>
        <v>29</v>
      </c>
      <c r="J12" s="304">
        <f>'3-1.人員刷卡出勤'!H9/2+'3-1.人員刷卡出勤'!H12+'3-1.人員刷卡出勤'!H15++'3-1.人員刷卡出勤'!H24</f>
        <v>403.5</v>
      </c>
      <c r="K12" s="304">
        <f>'3-1.人員刷卡出勤'!I9/2+'3-1.人員刷卡出勤'!I12+'3-1.人員刷卡出勤'!I15++'3-1.人員刷卡出勤'!I24</f>
        <v>402</v>
      </c>
      <c r="L12" s="304">
        <f>'3-1.人員刷卡出勤'!J9/2+'3-1.人員刷卡出勤'!J12+'3-1.人員刷卡出勤'!J15++'3-1.人員刷卡出勤'!J24</f>
        <v>400.5</v>
      </c>
      <c r="M12" s="304">
        <f>'3-1.人員刷卡出勤'!K9/2+'3-1.人員刷卡出勤'!K12+'3-1.人員刷卡出勤'!K15++'3-1.人員刷卡出勤'!K24</f>
        <v>400.5</v>
      </c>
      <c r="N12" s="304">
        <f>'3-1.人員刷卡出勤'!L9/2+'3-1.人員刷卡出勤'!L12+'3-1.人員刷卡出勤'!L15++'3-1.人員刷卡出勤'!L24</f>
        <v>410.5</v>
      </c>
      <c r="O12" s="304">
        <f>'3-1.人員刷卡出勤'!M9/2+'3-1.人員刷卡出勤'!M12+'3-1.人員刷卡出勤'!M15++'3-1.人員刷卡出勤'!M24</f>
        <v>391</v>
      </c>
      <c r="P12" s="304">
        <f>'3-1.人員刷卡出勤'!N9/2+'3-1.人員刷卡出勤'!N12+'3-1.人員刷卡出勤'!N15++'3-1.人員刷卡出勤'!N24</f>
        <v>30.5</v>
      </c>
      <c r="Q12" s="304">
        <f>'3-1.人員刷卡出勤'!O9/2+'3-1.人員刷卡出勤'!O12+'3-1.人員刷卡出勤'!O15++'3-1.人員刷卡出勤'!O24</f>
        <v>401.5</v>
      </c>
      <c r="R12" s="304">
        <f>'3-1.人員刷卡出勤'!P9/2+'3-1.人員刷卡出勤'!P12+'3-1.人員刷卡出勤'!P15++'3-1.人員刷卡出勤'!P24</f>
        <v>414</v>
      </c>
      <c r="S12" s="304">
        <f>'3-1.人員刷卡出勤'!Q9/2+'3-1.人員刷卡出勤'!Q12+'3-1.人員刷卡出勤'!Q15++'3-1.人員刷卡出勤'!Q24</f>
        <v>406.5</v>
      </c>
      <c r="T12" s="304">
        <f>'3-1.人員刷卡出勤'!R9/2+'3-1.人員刷卡出勤'!R12+'3-1.人員刷卡出勤'!R15++'3-1.人員刷卡出勤'!R24</f>
        <v>405.5</v>
      </c>
      <c r="U12" s="304">
        <f>'3-1.人員刷卡出勤'!S9/2+'3-1.人員刷卡出勤'!S12+'3-1.人員刷卡出勤'!S15++'3-1.人員刷卡出勤'!S24</f>
        <v>397</v>
      </c>
      <c r="V12" s="304">
        <f>'3-1.人員刷卡出勤'!T9/2+'3-1.人員刷卡出勤'!T12+'3-1.人員刷卡出勤'!T15++'3-1.人員刷卡出勤'!T24</f>
        <v>381</v>
      </c>
      <c r="W12" s="304">
        <f>'3-1.人員刷卡出勤'!U9/2+'3-1.人員刷卡出勤'!U12+'3-1.人員刷卡出勤'!U15++'3-1.人員刷卡出勤'!U24</f>
        <v>55.5</v>
      </c>
      <c r="X12" s="304">
        <f>'3-1.人員刷卡出勤'!V9/2+'3-1.人員刷卡出勤'!V12+'3-1.人員刷卡出勤'!V15++'3-1.人員刷卡出勤'!V24</f>
        <v>385.5</v>
      </c>
      <c r="Y12" s="304">
        <f>'3-1.人員刷卡出勤'!W9/2+'3-1.人員刷卡出勤'!W12+'3-1.人員刷卡出勤'!W15++'3-1.人員刷卡出勤'!W24</f>
        <v>382</v>
      </c>
      <c r="Z12" s="304">
        <f>'3-1.人員刷卡出勤'!X9/2+'3-1.人員刷卡出勤'!X12+'3-1.人員刷卡出勤'!X15++'3-1.人員刷卡出勤'!X24</f>
        <v>388</v>
      </c>
      <c r="AA12" s="304">
        <f>'3-1.人員刷卡出勤'!Y9/2+'3-1.人員刷卡出勤'!Y12+'3-1.人員刷卡出勤'!Y15++'3-1.人員刷卡出勤'!Y24</f>
        <v>383.5</v>
      </c>
      <c r="AB12" s="304">
        <f>'3-1.人員刷卡出勤'!Z9/2+'3-1.人員刷卡出勤'!Z12+'3-1.人員刷卡出勤'!Z15++'3-1.人員刷卡出勤'!Z24</f>
        <v>389</v>
      </c>
      <c r="AC12" s="304">
        <f>'3-1.人員刷卡出勤'!AA9/2+'3-1.人員刷卡出勤'!AA12+'3-1.人員刷卡出勤'!AA15++'3-1.人員刷卡出勤'!AA24</f>
        <v>63</v>
      </c>
      <c r="AD12" s="304">
        <f>'3-1.人員刷卡出勤'!AB9/2+'3-1.人員刷卡出勤'!AB12+'3-1.人員刷卡出勤'!AB15++'3-1.人員刷卡出勤'!AB24</f>
        <v>0</v>
      </c>
      <c r="AE12" s="304">
        <f>'3-1.人員刷卡出勤'!AC9/2+'3-1.人員刷卡出勤'!AC12+'3-1.人員刷卡出勤'!AC15++'3-1.人員刷卡出勤'!AC24</f>
        <v>0</v>
      </c>
      <c r="AF12" s="304">
        <f>'3-1.人員刷卡出勤'!AD9/2+'3-1.人員刷卡出勤'!AD12+'3-1.人員刷卡出勤'!AD15++'3-1.人員刷卡出勤'!AD24</f>
        <v>0</v>
      </c>
      <c r="AG12" s="304">
        <f>'3-1.人員刷卡出勤'!AE9/2+'3-1.人員刷卡出勤'!AE12+'3-1.人員刷卡出勤'!AE15++'3-1.人員刷卡出勤'!AE24</f>
        <v>0</v>
      </c>
      <c r="AH12" s="304">
        <f>'3-1.人員刷卡出勤'!AF9/2+'3-1.人員刷卡出勤'!AF12+'3-1.人員刷卡出勤'!AF15++'3-1.人員刷卡出勤'!AF24</f>
        <v>0</v>
      </c>
      <c r="AI12" s="304">
        <f>'3-1.人員刷卡出勤'!AG9/2+'3-1.人員刷卡出勤'!AG12+'3-1.人員刷卡出勤'!AG15++'3-1.人員刷卡出勤'!AG24</f>
        <v>0</v>
      </c>
      <c r="AJ12" s="8"/>
    </row>
    <row r="13" spans="1:36" s="8" customFormat="1" ht="15" customHeight="1">
      <c r="A13" s="372"/>
      <c r="B13" s="300" t="s">
        <v>52</v>
      </c>
      <c r="C13" s="301">
        <f>C10/(C9+C11+C12)</f>
        <v>0.84379787718596011</v>
      </c>
      <c r="D13" s="301">
        <f t="shared" ref="D13" si="0">D10/(D9+D11+D12)</f>
        <v>0.84379787718596011</v>
      </c>
      <c r="E13" s="301">
        <f>IF(E10&gt;0,E10/(E9+E11+E12),0)</f>
        <v>0.87506475565532726</v>
      </c>
      <c r="F13" s="301">
        <f t="shared" ref="F13:AI13" si="1">IF(F10&gt;0,F10/(F9+F11+F12),0)</f>
        <v>0.89071494358738201</v>
      </c>
      <c r="G13" s="301">
        <f t="shared" si="1"/>
        <v>0.90803602355386215</v>
      </c>
      <c r="H13" s="301">
        <f t="shared" si="1"/>
        <v>0.93253366758001521</v>
      </c>
      <c r="I13" s="301">
        <f t="shared" si="1"/>
        <v>0</v>
      </c>
      <c r="J13" s="301">
        <f t="shared" si="1"/>
        <v>0.97174469097614657</v>
      </c>
      <c r="K13" s="301">
        <f t="shared" si="1"/>
        <v>0.93510402057036002</v>
      </c>
      <c r="L13" s="301">
        <f t="shared" si="1"/>
        <v>0.92217269708092986</v>
      </c>
      <c r="M13" s="301">
        <f t="shared" si="1"/>
        <v>0.87510904332654837</v>
      </c>
      <c r="N13" s="301">
        <f t="shared" si="1"/>
        <v>0.90518142235123367</v>
      </c>
      <c r="O13" s="301">
        <f t="shared" si="1"/>
        <v>0.8928362401966522</v>
      </c>
      <c r="P13" s="301">
        <f t="shared" si="1"/>
        <v>0</v>
      </c>
      <c r="Q13" s="301">
        <f t="shared" si="1"/>
        <v>0.88728897715988087</v>
      </c>
      <c r="R13" s="301">
        <f t="shared" si="1"/>
        <v>0.8141212432864815</v>
      </c>
      <c r="S13" s="301">
        <f t="shared" si="1"/>
        <v>0.79842670321512188</v>
      </c>
      <c r="T13" s="301">
        <f t="shared" si="1"/>
        <v>0.79596232266957667</v>
      </c>
      <c r="U13" s="301">
        <f t="shared" si="1"/>
        <v>0.81801470588235292</v>
      </c>
      <c r="V13" s="301">
        <f t="shared" si="1"/>
        <v>0.80499126891734574</v>
      </c>
      <c r="W13" s="301">
        <f t="shared" si="1"/>
        <v>0</v>
      </c>
      <c r="X13" s="301">
        <f t="shared" si="1"/>
        <v>0.7260887260887261</v>
      </c>
      <c r="Y13" s="301">
        <f t="shared" si="1"/>
        <v>0.71482521125130227</v>
      </c>
      <c r="Z13" s="301">
        <f t="shared" si="1"/>
        <v>0.71969176120087086</v>
      </c>
      <c r="AA13" s="301">
        <f t="shared" si="1"/>
        <v>0.75495433396519041</v>
      </c>
      <c r="AB13" s="301">
        <f t="shared" si="1"/>
        <v>0.76847738287560585</v>
      </c>
      <c r="AC13" s="301">
        <f t="shared" si="1"/>
        <v>0</v>
      </c>
      <c r="AD13" s="301">
        <f t="shared" si="1"/>
        <v>0</v>
      </c>
      <c r="AE13" s="301">
        <f t="shared" si="1"/>
        <v>0</v>
      </c>
      <c r="AF13" s="301">
        <f t="shared" si="1"/>
        <v>0</v>
      </c>
      <c r="AG13" s="301">
        <f t="shared" si="1"/>
        <v>0</v>
      </c>
      <c r="AH13" s="301">
        <f t="shared" si="1"/>
        <v>0</v>
      </c>
      <c r="AI13" s="301">
        <f t="shared" si="1"/>
        <v>0</v>
      </c>
    </row>
    <row r="14" spans="1:36">
      <c r="A14" s="370" t="s">
        <v>106</v>
      </c>
      <c r="B14" s="174" t="s">
        <v>45</v>
      </c>
      <c r="C14" s="297">
        <f>'3.6.A廠總計產能'!C12</f>
        <v>752328</v>
      </c>
      <c r="D14" s="297">
        <f>'3.6.A廠總計產能'!D12</f>
        <v>35825.142857142855</v>
      </c>
      <c r="E14" s="297">
        <f>'3.6.A廠總計產能'!E12</f>
        <v>37232</v>
      </c>
      <c r="F14" s="297">
        <f>'3.6.A廠總計產能'!F12</f>
        <v>37024</v>
      </c>
      <c r="G14" s="297">
        <f>'3.6.A廠總計產能'!G12</f>
        <v>37520</v>
      </c>
      <c r="H14" s="297">
        <f>'3.6.A廠總計產能'!H12</f>
        <v>37216</v>
      </c>
      <c r="I14" s="297">
        <f>'3.6.A廠總計產能'!I12</f>
        <v>0</v>
      </c>
      <c r="J14" s="297">
        <f>'3.6.A廠總計產能'!J12</f>
        <v>36968</v>
      </c>
      <c r="K14" s="297">
        <f>'3.6.A廠總計產能'!K12</f>
        <v>36856</v>
      </c>
      <c r="L14" s="297">
        <f>'3.6.A廠總計產能'!L12</f>
        <v>37312</v>
      </c>
      <c r="M14" s="297">
        <f>'3.6.A廠總計產能'!M12</f>
        <v>36976</v>
      </c>
      <c r="N14" s="297">
        <f>'3.6.A廠總計產能'!N12</f>
        <v>37048</v>
      </c>
      <c r="O14" s="297">
        <f>'3.6.A廠總計產能'!O12</f>
        <v>37040</v>
      </c>
      <c r="P14" s="297">
        <f>'3.6.A廠總計產能'!P12</f>
        <v>0</v>
      </c>
      <c r="Q14" s="297">
        <f>'3.6.A廠總計產能'!Q12</f>
        <v>36880</v>
      </c>
      <c r="R14" s="297">
        <f>'3.6.A廠總計產能'!R12</f>
        <v>37128</v>
      </c>
      <c r="S14" s="297">
        <f>'3.6.A廠總計產能'!S12</f>
        <v>36536</v>
      </c>
      <c r="T14" s="297">
        <f>'3.6.A廠總計產能'!T12</f>
        <v>35920</v>
      </c>
      <c r="U14" s="297">
        <f>'3.6.A廠總計產能'!U12</f>
        <v>35256</v>
      </c>
      <c r="V14" s="297">
        <f>'3.6.A廠總計產能'!V12</f>
        <v>34600</v>
      </c>
      <c r="W14" s="297">
        <f>'3.6.A廠總計產能'!W12</f>
        <v>0</v>
      </c>
      <c r="X14" s="297">
        <f>'3.6.A廠總計產能'!X12</f>
        <v>34024</v>
      </c>
      <c r="Y14" s="297">
        <f>'3.6.A廠總計產能'!Y12</f>
        <v>33088</v>
      </c>
      <c r="Z14" s="297">
        <f>'3.6.A廠總計產能'!Z12</f>
        <v>33280</v>
      </c>
      <c r="AA14" s="297">
        <f>'3.6.A廠總計產能'!AA12</f>
        <v>32304</v>
      </c>
      <c r="AB14" s="297">
        <f>'3.6.A廠總計產能'!AB12</f>
        <v>32120</v>
      </c>
      <c r="AC14" s="297">
        <f>'3.6.A廠總計產能'!AC12</f>
        <v>0</v>
      </c>
      <c r="AD14" s="297">
        <f>'3.6.A廠總計產能'!AD12</f>
        <v>0</v>
      </c>
      <c r="AE14" s="297">
        <f>'3.6.A廠總計產能'!AE12</f>
        <v>0</v>
      </c>
      <c r="AF14" s="297">
        <f>'3.6.A廠總計產能'!AF12</f>
        <v>0</v>
      </c>
      <c r="AG14" s="297">
        <f>'3.6.A廠總計產能'!AG12</f>
        <v>0</v>
      </c>
      <c r="AH14" s="297">
        <f>'3.6.A廠總計產能'!AH12</f>
        <v>0</v>
      </c>
      <c r="AI14" s="297">
        <f>'3.6.A廠總計產能'!AI12</f>
        <v>0</v>
      </c>
      <c r="AJ14" s="8"/>
    </row>
    <row r="15" spans="1:36">
      <c r="A15" s="371"/>
      <c r="B15" s="174" t="s">
        <v>46</v>
      </c>
      <c r="C15" s="297">
        <f>'3.6.A廠總計產能'!C13</f>
        <v>675760</v>
      </c>
      <c r="D15" s="297">
        <f>'3.6.A廠總計產能'!D13</f>
        <v>32179.047619047618</v>
      </c>
      <c r="E15" s="297">
        <f>'3.6.A廠總計產能'!E13</f>
        <v>33220</v>
      </c>
      <c r="F15" s="297">
        <f>'3.6.A廠總計產能'!F13</f>
        <v>34720</v>
      </c>
      <c r="G15" s="297">
        <f>'3.6.A廠總計產能'!G13</f>
        <v>35240</v>
      </c>
      <c r="H15" s="297">
        <f>'3.6.A廠總計產能'!H13</f>
        <v>35240</v>
      </c>
      <c r="I15" s="297">
        <f>'3.6.A廠總計產能'!I13</f>
        <v>0</v>
      </c>
      <c r="J15" s="297">
        <f>'3.6.A廠總計產能'!J13</f>
        <v>34900</v>
      </c>
      <c r="K15" s="297">
        <f>'3.6.A廠總計產能'!K13</f>
        <v>34900</v>
      </c>
      <c r="L15" s="297">
        <f>'3.6.A廠總計產能'!L13</f>
        <v>35200</v>
      </c>
      <c r="M15" s="297">
        <f>'3.6.A廠總計產能'!M13</f>
        <v>35020</v>
      </c>
      <c r="N15" s="297">
        <f>'3.6.A廠總計產能'!N13</f>
        <v>35020</v>
      </c>
      <c r="O15" s="297">
        <f>'3.6.A廠總計產能'!O13</f>
        <v>34160</v>
      </c>
      <c r="P15" s="297">
        <f>'3.6.A廠總計產能'!P13</f>
        <v>0</v>
      </c>
      <c r="Q15" s="297">
        <f>'3.6.A廠總計產能'!Q13</f>
        <v>34480</v>
      </c>
      <c r="R15" s="297">
        <f>'3.6.A廠總計產能'!R13</f>
        <v>33600</v>
      </c>
      <c r="S15" s="297">
        <f>'3.6.A廠總計產能'!S13</f>
        <v>33440</v>
      </c>
      <c r="T15" s="297">
        <f>'3.6.A廠總計產能'!T13</f>
        <v>30700</v>
      </c>
      <c r="U15" s="297">
        <f>'3.6.A廠總計產能'!U13</f>
        <v>30260</v>
      </c>
      <c r="V15" s="297">
        <f>'3.6.A廠總計產能'!V13</f>
        <v>29720</v>
      </c>
      <c r="W15" s="297">
        <f>'3.6.A廠總計產能'!W13</f>
        <v>0</v>
      </c>
      <c r="X15" s="297">
        <f>'3.6.A廠總計產能'!X13</f>
        <v>26460</v>
      </c>
      <c r="Y15" s="297">
        <f>'3.6.A廠總計產能'!Y13</f>
        <v>26620</v>
      </c>
      <c r="Z15" s="297">
        <f>'3.6.A廠總計產能'!Z13</f>
        <v>26840</v>
      </c>
      <c r="AA15" s="297">
        <f>'3.6.A廠總計產能'!AA13</f>
        <v>27840</v>
      </c>
      <c r="AB15" s="297">
        <f>'3.6.A廠總計產能'!AB13</f>
        <v>28180</v>
      </c>
      <c r="AC15" s="297">
        <f>'3.6.A廠總計產能'!AC13</f>
        <v>27820</v>
      </c>
      <c r="AD15" s="297">
        <f>'3.6.A廠總計產能'!AD13</f>
        <v>0</v>
      </c>
      <c r="AE15" s="297">
        <f>'3.6.A廠總計產能'!AE13</f>
        <v>26964</v>
      </c>
      <c r="AF15" s="297">
        <f>'3.6.A廠總計產能'!AF13</f>
        <v>27624</v>
      </c>
      <c r="AG15" s="297">
        <f>'3.6.A廠總計產能'!AG13</f>
        <v>28272</v>
      </c>
      <c r="AH15" s="297">
        <f>'3.6.A廠總計產能'!AH13</f>
        <v>28272</v>
      </c>
      <c r="AI15" s="297">
        <f>'3.6.A廠總計產能'!AI13</f>
        <v>28272</v>
      </c>
      <c r="AJ15" s="8"/>
    </row>
    <row r="16" spans="1:36">
      <c r="A16" s="371"/>
      <c r="B16" s="175" t="s">
        <v>47</v>
      </c>
      <c r="C16" s="298">
        <f>'3.6.A廠總計產能'!C14</f>
        <v>617922</v>
      </c>
      <c r="D16" s="298">
        <f>'3.6.A廠總計產能'!D14</f>
        <v>29424.857142857141</v>
      </c>
      <c r="E16" s="298">
        <f>'3.6.A廠總計產能'!E14</f>
        <v>30950</v>
      </c>
      <c r="F16" s="298">
        <f>'3.6.A廠總計產能'!F14</f>
        <v>32530</v>
      </c>
      <c r="G16" s="298">
        <f>'3.6.A廠總計產能'!G14</f>
        <v>32846</v>
      </c>
      <c r="H16" s="298">
        <f>'3.6.A廠總計產能'!H14</f>
        <v>32909</v>
      </c>
      <c r="I16" s="298">
        <f>'3.6.A廠總計產能'!I14</f>
        <v>0</v>
      </c>
      <c r="J16" s="298">
        <f>'3.6.A廠總計產能'!J14</f>
        <v>32824</v>
      </c>
      <c r="K16" s="298">
        <f>'3.6.A廠總計產能'!K14</f>
        <v>32386</v>
      </c>
      <c r="L16" s="298">
        <f>'3.6.A廠總計產能'!L14</f>
        <v>32387</v>
      </c>
      <c r="M16" s="298">
        <f>'3.6.A廠總計產能'!M14</f>
        <v>31270</v>
      </c>
      <c r="N16" s="298">
        <f>'3.6.A廠總計產能'!N14</f>
        <v>31863</v>
      </c>
      <c r="O16" s="298">
        <f>'3.6.A廠總計產能'!O14</f>
        <v>31589</v>
      </c>
      <c r="P16" s="298">
        <f>'3.6.A廠總計產能'!P14</f>
        <v>0</v>
      </c>
      <c r="Q16" s="298">
        <f>'3.6.A廠總計產能'!Q14</f>
        <v>31678</v>
      </c>
      <c r="R16" s="298">
        <f>'3.6.A廠總計產能'!R14</f>
        <v>28335</v>
      </c>
      <c r="S16" s="298">
        <f>'3.6.A廠總計產能'!S14</f>
        <v>29537</v>
      </c>
      <c r="T16" s="298">
        <f>'3.6.A廠總計產能'!T14</f>
        <v>28498</v>
      </c>
      <c r="U16" s="298">
        <f>'3.6.A廠總計產能'!U14</f>
        <v>28050</v>
      </c>
      <c r="V16" s="298">
        <f>'3.6.A廠總計產能'!V14</f>
        <v>26840</v>
      </c>
      <c r="W16" s="298">
        <f>'3.6.A廠總計產能'!W14</f>
        <v>0</v>
      </c>
      <c r="X16" s="298">
        <f>'3.6.A廠總計產能'!X14</f>
        <v>23502</v>
      </c>
      <c r="Y16" s="298">
        <f>'3.6.A廠總計產能'!Y14</f>
        <v>23864</v>
      </c>
      <c r="Z16" s="298">
        <f>'3.6.A廠總計產能'!Z14</f>
        <v>24011</v>
      </c>
      <c r="AA16" s="298">
        <f>'3.6.A廠總計產能'!AA14</f>
        <v>25678</v>
      </c>
      <c r="AB16" s="298">
        <f>'3.6.A廠總計產能'!AB14</f>
        <v>26375</v>
      </c>
      <c r="AC16" s="298">
        <f>'3.6.A廠總計產能'!AC14</f>
        <v>0</v>
      </c>
      <c r="AD16" s="298">
        <f>'3.6.A廠總計產能'!AD14</f>
        <v>0</v>
      </c>
      <c r="AE16" s="298">
        <f>'3.6.A廠總計產能'!AE14</f>
        <v>0</v>
      </c>
      <c r="AF16" s="298">
        <f>'3.6.A廠總計產能'!AF14</f>
        <v>0</v>
      </c>
      <c r="AG16" s="298">
        <f>'3.6.A廠總計產能'!AG14</f>
        <v>0</v>
      </c>
      <c r="AH16" s="298">
        <f>'3.6.A廠總計產能'!AH14</f>
        <v>0</v>
      </c>
      <c r="AI16" s="298">
        <f>'3.6.A廠總計產能'!AI14</f>
        <v>0</v>
      </c>
      <c r="AJ16" s="8"/>
    </row>
    <row r="17" spans="1:36">
      <c r="A17" s="371"/>
      <c r="B17" s="175" t="s">
        <v>48</v>
      </c>
      <c r="C17" s="298">
        <f>'3.6.A廠總計產能'!C15</f>
        <v>-57838</v>
      </c>
      <c r="D17" s="298">
        <f>'3.6.A廠總計產能'!D15</f>
        <v>-2754.1904761904761</v>
      </c>
      <c r="E17" s="298">
        <f>'3.6.A廠總計產能'!E15</f>
        <v>-2270</v>
      </c>
      <c r="F17" s="298">
        <f>'3.6.A廠總計產能'!F15</f>
        <v>-2190</v>
      </c>
      <c r="G17" s="298">
        <f>'3.6.A廠總計產能'!G15</f>
        <v>-2394</v>
      </c>
      <c r="H17" s="298">
        <f>'3.6.A廠總計產能'!H15</f>
        <v>-2331</v>
      </c>
      <c r="I17" s="298">
        <f>'3.6.A廠總計產能'!I15</f>
        <v>0</v>
      </c>
      <c r="J17" s="298">
        <f>'3.6.A廠總計產能'!J15</f>
        <v>-2076</v>
      </c>
      <c r="K17" s="298">
        <f>'3.6.A廠總計產能'!K15</f>
        <v>-2514</v>
      </c>
      <c r="L17" s="298">
        <f>'3.6.A廠總計產能'!L15</f>
        <v>-2813</v>
      </c>
      <c r="M17" s="298">
        <f>'3.6.A廠總計產能'!M15</f>
        <v>-3750</v>
      </c>
      <c r="N17" s="298">
        <f>'3.6.A廠總計產能'!N15</f>
        <v>-3157</v>
      </c>
      <c r="O17" s="298">
        <f>'3.6.A廠總計產能'!O15</f>
        <v>-2571</v>
      </c>
      <c r="P17" s="298">
        <f>'3.6.A廠總計產能'!P15</f>
        <v>0</v>
      </c>
      <c r="Q17" s="298">
        <f>'3.6.A廠總計產能'!Q15</f>
        <v>-2802</v>
      </c>
      <c r="R17" s="298">
        <f>'3.6.A廠總計產能'!R15</f>
        <v>-5265</v>
      </c>
      <c r="S17" s="298">
        <f>'3.6.A廠總計產能'!S15</f>
        <v>-3903</v>
      </c>
      <c r="T17" s="298">
        <f>'3.6.A廠總計產能'!T15</f>
        <v>-2202</v>
      </c>
      <c r="U17" s="298">
        <f>'3.6.A廠總計產能'!U15</f>
        <v>-2210</v>
      </c>
      <c r="V17" s="298">
        <f>'3.6.A廠總計產能'!V15</f>
        <v>-2880</v>
      </c>
      <c r="W17" s="298">
        <f>'3.6.A廠總計產能'!W15</f>
        <v>0</v>
      </c>
      <c r="X17" s="298">
        <f>'3.6.A廠總計產能'!X15</f>
        <v>-2958</v>
      </c>
      <c r="Y17" s="298">
        <f>'3.6.A廠總計產能'!Y15</f>
        <v>-2756</v>
      </c>
      <c r="Z17" s="298">
        <f>'3.6.A廠總計產能'!Z15</f>
        <v>-2829</v>
      </c>
      <c r="AA17" s="298">
        <f>'3.6.A廠總計產能'!AA15</f>
        <v>-2162</v>
      </c>
      <c r="AB17" s="298">
        <f>'3.6.A廠總計產能'!AB15</f>
        <v>-1805</v>
      </c>
      <c r="AC17" s="298">
        <f>'3.6.A廠總計產能'!AC15</f>
        <v>0</v>
      </c>
      <c r="AD17" s="298">
        <f>'3.6.A廠總計產能'!AD15</f>
        <v>0</v>
      </c>
      <c r="AE17" s="298">
        <f>'3.6.A廠總計產能'!AE15</f>
        <v>0</v>
      </c>
      <c r="AF17" s="298">
        <f>'3.6.A廠總計產能'!AF15</f>
        <v>0</v>
      </c>
      <c r="AG17" s="298">
        <f>'3.6.A廠總計產能'!AG15</f>
        <v>0</v>
      </c>
      <c r="AH17" s="298">
        <f>'3.6.A廠總計產能'!AH15</f>
        <v>0</v>
      </c>
      <c r="AI17" s="298">
        <f>'3.6.A廠總計產能'!AI15</f>
        <v>0</v>
      </c>
      <c r="AJ17" s="8"/>
    </row>
    <row r="18" spans="1:36">
      <c r="A18" s="371"/>
      <c r="B18" s="175" t="s">
        <v>49</v>
      </c>
      <c r="C18" s="298">
        <f>'3.6.A廠總計產能'!C16</f>
        <v>168</v>
      </c>
      <c r="D18" s="298">
        <f>'3.6.A廠總計產能'!D16</f>
        <v>8</v>
      </c>
      <c r="E18" s="298">
        <f>'3.6.A廠總計產能'!E16</f>
        <v>8</v>
      </c>
      <c r="F18" s="298">
        <f>'3.6.A廠總計產能'!F16</f>
        <v>8</v>
      </c>
      <c r="G18" s="298">
        <f>'3.6.A廠總計產能'!G16</f>
        <v>8</v>
      </c>
      <c r="H18" s="298">
        <f>'3.6.A廠總計產能'!H16</f>
        <v>8</v>
      </c>
      <c r="I18" s="298">
        <f>'3.6.A廠總計產能'!I16</f>
        <v>0</v>
      </c>
      <c r="J18" s="298">
        <f>'3.6.A廠總計產能'!J16</f>
        <v>8</v>
      </c>
      <c r="K18" s="298">
        <f>'3.6.A廠總計產能'!K16</f>
        <v>8</v>
      </c>
      <c r="L18" s="298">
        <f>'3.6.A廠總計產能'!L16</f>
        <v>8</v>
      </c>
      <c r="M18" s="298">
        <f>'3.6.A廠總計產能'!M16</f>
        <v>8</v>
      </c>
      <c r="N18" s="298">
        <f>'3.6.A廠總計產能'!N16</f>
        <v>8</v>
      </c>
      <c r="O18" s="298">
        <f>'3.6.A廠總計產能'!O16</f>
        <v>8</v>
      </c>
      <c r="P18" s="298">
        <f>'3.6.A廠總計產能'!P16</f>
        <v>0</v>
      </c>
      <c r="Q18" s="298">
        <f>'3.6.A廠總計產能'!Q16</f>
        <v>8</v>
      </c>
      <c r="R18" s="298">
        <f>'3.6.A廠總計產能'!R16</f>
        <v>8</v>
      </c>
      <c r="S18" s="298">
        <f>'3.6.A廠總計產能'!S16</f>
        <v>8</v>
      </c>
      <c r="T18" s="298">
        <f>'3.6.A廠總計產能'!T16</f>
        <v>8</v>
      </c>
      <c r="U18" s="298">
        <f>'3.6.A廠總計產能'!U16</f>
        <v>8</v>
      </c>
      <c r="V18" s="298">
        <f>'3.6.A廠總計產能'!V16</f>
        <v>8</v>
      </c>
      <c r="W18" s="298">
        <f>'3.6.A廠總計產能'!W16</f>
        <v>0</v>
      </c>
      <c r="X18" s="298">
        <f>'3.6.A廠總計產能'!X16</f>
        <v>8</v>
      </c>
      <c r="Y18" s="298">
        <f>'3.6.A廠總計產能'!Y16</f>
        <v>8</v>
      </c>
      <c r="Z18" s="298">
        <f>'3.6.A廠總計產能'!Z16</f>
        <v>8</v>
      </c>
      <c r="AA18" s="298">
        <f>'3.6.A廠總計產能'!AA16</f>
        <v>8</v>
      </c>
      <c r="AB18" s="298">
        <f>'3.6.A廠總計產能'!AB16</f>
        <v>8</v>
      </c>
      <c r="AC18" s="298">
        <f>'3.6.A廠總計產能'!AC16</f>
        <v>0</v>
      </c>
      <c r="AD18" s="298">
        <f>'3.6.A廠總計產能'!AD16</f>
        <v>0</v>
      </c>
      <c r="AE18" s="298">
        <f>'3.6.A廠總計產能'!AE16</f>
        <v>0</v>
      </c>
      <c r="AF18" s="298">
        <f>'3.6.A廠總計產能'!AF16</f>
        <v>0</v>
      </c>
      <c r="AG18" s="298">
        <f>'3.6.A廠總計產能'!AG16</f>
        <v>0</v>
      </c>
      <c r="AH18" s="298">
        <f>'3.6.A廠總計產能'!AH16</f>
        <v>0</v>
      </c>
      <c r="AI18" s="298">
        <f>'3.6.A廠總計產能'!AI16</f>
        <v>0</v>
      </c>
      <c r="AJ18" s="8"/>
    </row>
    <row r="19" spans="1:36">
      <c r="A19" s="371"/>
      <c r="B19" s="175" t="s">
        <v>50</v>
      </c>
      <c r="C19" s="298">
        <f>'3.6.A廠總計產能'!C17</f>
        <v>3761</v>
      </c>
      <c r="D19" s="298">
        <f>'3.6.A廠總計產能'!D17</f>
        <v>3761</v>
      </c>
      <c r="E19" s="298">
        <f>'3.6.A廠總計產能'!E17</f>
        <v>3799</v>
      </c>
      <c r="F19" s="298">
        <f>'3.6.A廠總計產能'!F17</f>
        <v>3790</v>
      </c>
      <c r="G19" s="298">
        <f>'3.6.A廠總計產能'!G17</f>
        <v>3784</v>
      </c>
      <c r="H19" s="298">
        <f>'3.6.A廠總計產能'!H17</f>
        <v>3744</v>
      </c>
      <c r="I19" s="298">
        <f>'3.6.A廠總計產能'!I17</f>
        <v>0</v>
      </c>
      <c r="J19" s="298">
        <f>'3.6.A廠總計產能'!J17</f>
        <v>3644</v>
      </c>
      <c r="K19" s="298">
        <f>'3.6.A廠總計產能'!K17</f>
        <v>3715</v>
      </c>
      <c r="L19" s="298">
        <f>'3.6.A廠總計產能'!L17</f>
        <v>3745</v>
      </c>
      <c r="M19" s="298">
        <f>'3.6.A廠總計產能'!M17</f>
        <v>3741</v>
      </c>
      <c r="N19" s="298">
        <f>'3.6.A廠總計產能'!N17</f>
        <v>3740</v>
      </c>
      <c r="O19" s="298">
        <f>'3.6.A廠總計產能'!O17</f>
        <v>3695</v>
      </c>
      <c r="P19" s="298">
        <f>'3.6.A廠總計產能'!P17</f>
        <v>0</v>
      </c>
      <c r="Q19" s="298">
        <f>'3.6.A廠總計產能'!Q17</f>
        <v>3732</v>
      </c>
      <c r="R19" s="298">
        <f>'3.6.A廠總計產能'!R17</f>
        <v>3813</v>
      </c>
      <c r="S19" s="298">
        <f>'3.6.A廠總計產能'!S17</f>
        <v>3825</v>
      </c>
      <c r="T19" s="298">
        <f>'3.6.A廠總計產能'!T17</f>
        <v>3819</v>
      </c>
      <c r="U19" s="298">
        <f>'3.6.A廠總計產能'!U17</f>
        <v>3827</v>
      </c>
      <c r="V19" s="298">
        <f>'3.6.A廠總計產能'!V17</f>
        <v>3772</v>
      </c>
      <c r="W19" s="298">
        <f>'3.6.A廠總計產能'!W17</f>
        <v>0</v>
      </c>
      <c r="X19" s="298">
        <f>'3.6.A廠總計產能'!X17</f>
        <v>3758</v>
      </c>
      <c r="Y19" s="298">
        <f>'3.6.A廠總計產能'!Y17</f>
        <v>3792</v>
      </c>
      <c r="Z19" s="298">
        <f>'3.6.A廠總計產能'!Z17</f>
        <v>3822</v>
      </c>
      <c r="AA19" s="298">
        <f>'3.6.A廠總計產能'!AA17</f>
        <v>3815</v>
      </c>
      <c r="AB19" s="298">
        <f>'3.6.A廠總計產能'!AB17</f>
        <v>3797</v>
      </c>
      <c r="AC19" s="298">
        <f>'3.6.A廠總計產能'!AC17</f>
        <v>0</v>
      </c>
      <c r="AD19" s="298">
        <f>'3.6.A廠總計產能'!AD17</f>
        <v>0</v>
      </c>
      <c r="AE19" s="298">
        <f>'3.6.A廠總計產能'!AE17</f>
        <v>0</v>
      </c>
      <c r="AF19" s="298">
        <f>'3.6.A廠總計產能'!AF17</f>
        <v>0</v>
      </c>
      <c r="AG19" s="298">
        <f>'3.6.A廠總計產能'!AG17</f>
        <v>0</v>
      </c>
      <c r="AH19" s="298">
        <f>'3.6.A廠總計產能'!AH17</f>
        <v>0</v>
      </c>
      <c r="AI19" s="298">
        <f>'3.6.A廠總計產能'!AI17</f>
        <v>0</v>
      </c>
      <c r="AJ19" s="8"/>
    </row>
    <row r="20" spans="1:36">
      <c r="A20" s="371"/>
      <c r="B20" s="175" t="s">
        <v>51</v>
      </c>
      <c r="C20" s="298">
        <f>'3.6.A廠總計產能'!C18</f>
        <v>3678.1071428571427</v>
      </c>
      <c r="D20" s="298">
        <f>'3.6.A廠總計產能'!D18</f>
        <v>3678.1071428571427</v>
      </c>
      <c r="E20" s="298">
        <f>'3.6.A廠總計產能'!E18</f>
        <v>3868.75</v>
      </c>
      <c r="F20" s="298">
        <f>'3.6.A廠總計產能'!F18</f>
        <v>4066.25</v>
      </c>
      <c r="G20" s="298">
        <f>'3.6.A廠總計產能'!G18</f>
        <v>4105.75</v>
      </c>
      <c r="H20" s="298">
        <f>'3.6.A廠總計產能'!H18</f>
        <v>4113.625</v>
      </c>
      <c r="I20" s="298">
        <f>'3.6.A廠總計產能'!I18</f>
        <v>0</v>
      </c>
      <c r="J20" s="298">
        <f>'3.6.A廠總計產能'!J18</f>
        <v>4103</v>
      </c>
      <c r="K20" s="298">
        <f>'3.6.A廠總計產能'!K18</f>
        <v>4048.25</v>
      </c>
      <c r="L20" s="298">
        <f>'3.6.A廠總計產能'!L18</f>
        <v>4048.375</v>
      </c>
      <c r="M20" s="298">
        <f>'3.6.A廠總計產能'!M18</f>
        <v>3908.75</v>
      </c>
      <c r="N20" s="298">
        <f>'3.6.A廠總計產能'!N18</f>
        <v>3982.875</v>
      </c>
      <c r="O20" s="298">
        <f>'3.6.A廠總計產能'!O18</f>
        <v>3948.625</v>
      </c>
      <c r="P20" s="298">
        <f>'3.6.A廠總計產能'!P18</f>
        <v>0</v>
      </c>
      <c r="Q20" s="298">
        <f>'3.6.A廠總計產能'!Q18</f>
        <v>3959.75</v>
      </c>
      <c r="R20" s="298">
        <f>'3.6.A廠總計產能'!R18</f>
        <v>3541.875</v>
      </c>
      <c r="S20" s="298">
        <f>'3.6.A廠總計產能'!S18</f>
        <v>3692.125</v>
      </c>
      <c r="T20" s="298">
        <f>'3.6.A廠總計產能'!T18</f>
        <v>3562.25</v>
      </c>
      <c r="U20" s="298">
        <f>'3.6.A廠總計產能'!U18</f>
        <v>3506.25</v>
      </c>
      <c r="V20" s="298">
        <f>'3.6.A廠總計產能'!V18</f>
        <v>3355</v>
      </c>
      <c r="W20" s="298">
        <f>'3.6.A廠總計產能'!W18</f>
        <v>0</v>
      </c>
      <c r="X20" s="298">
        <f>'3.6.A廠總計產能'!X18</f>
        <v>2937.75</v>
      </c>
      <c r="Y20" s="298">
        <f>'3.6.A廠總計產能'!Y18</f>
        <v>2983</v>
      </c>
      <c r="Z20" s="298">
        <f>'3.6.A廠總計產能'!Z18</f>
        <v>3001.375</v>
      </c>
      <c r="AA20" s="298">
        <f>'3.6.A廠總計產能'!AA18</f>
        <v>3209.75</v>
      </c>
      <c r="AB20" s="298">
        <f>'3.6.A廠總計產能'!AB18</f>
        <v>3296.875</v>
      </c>
      <c r="AC20" s="298">
        <f>'3.6.A廠總計產能'!AC18</f>
        <v>0</v>
      </c>
      <c r="AD20" s="298">
        <f>'3.6.A廠總計產能'!AD18</f>
        <v>0</v>
      </c>
      <c r="AE20" s="298">
        <f>'3.6.A廠總計產能'!AE18</f>
        <v>0</v>
      </c>
      <c r="AF20" s="298">
        <f>'3.6.A廠總計產能'!AF18</f>
        <v>0</v>
      </c>
      <c r="AG20" s="298">
        <f>'3.6.A廠總計產能'!AG18</f>
        <v>0</v>
      </c>
      <c r="AH20" s="298">
        <f>'3.6.A廠總計產能'!AH18</f>
        <v>0</v>
      </c>
      <c r="AI20" s="298">
        <f>'3.6.A廠總計產能'!AI18</f>
        <v>0</v>
      </c>
      <c r="AJ20" s="8"/>
    </row>
    <row r="21" spans="1:36">
      <c r="A21" s="371"/>
      <c r="B21" s="192" t="s">
        <v>220</v>
      </c>
      <c r="C21" s="303">
        <f>SUM(E21:AI21)/COUNTIF(E16:AI16,"&gt;0")</f>
        <v>646.02380952380952</v>
      </c>
      <c r="D21" s="303">
        <f>SUM(E21:AI21)/COUNTIF(E16:AI16,"&gt;0")</f>
        <v>646.02380952380952</v>
      </c>
      <c r="E21" s="303">
        <f>'3-1.人員刷卡出勤'!C48/2+'3-1.人員刷卡出勤'!C51</f>
        <v>657</v>
      </c>
      <c r="F21" s="303">
        <f>'3-1.人員刷卡出勤'!D48/2+'3-1.人員刷卡出勤'!D51</f>
        <v>661</v>
      </c>
      <c r="G21" s="303">
        <f>'3-1.人員刷卡出勤'!E48/2+'3-1.人員刷卡出勤'!E51</f>
        <v>655</v>
      </c>
      <c r="H21" s="303">
        <f>'3-1.人員刷卡出勤'!F48/2+'3-1.人員刷卡出勤'!F51</f>
        <v>643</v>
      </c>
      <c r="I21" s="303">
        <f>'3-1.人員刷卡出勤'!G48/2+'3-1.人員刷卡出勤'!G51</f>
        <v>0</v>
      </c>
      <c r="J21" s="303">
        <f>'3-1.人員刷卡出勤'!H48/2+'3-1.人員刷卡出勤'!H51</f>
        <v>628</v>
      </c>
      <c r="K21" s="303">
        <f>'3-1.人員刷卡出勤'!I48/2+'3-1.人員刷卡出勤'!I51</f>
        <v>655</v>
      </c>
      <c r="L21" s="303">
        <f>'3-1.人員刷卡出勤'!J48/2+'3-1.人員刷卡出勤'!J51</f>
        <v>648.5</v>
      </c>
      <c r="M21" s="303">
        <f>'3-1.人員刷卡出勤'!K48/2+'3-1.人員刷卡出勤'!K51</f>
        <v>654.5</v>
      </c>
      <c r="N21" s="303">
        <f>'3-1.人員刷卡出勤'!L48/2+'3-1.人員刷卡出勤'!L51</f>
        <v>650</v>
      </c>
      <c r="O21" s="303">
        <f>'3-1.人員刷卡出勤'!M48/2+'3-1.人員刷卡出勤'!M51</f>
        <v>638</v>
      </c>
      <c r="P21" s="303">
        <f>'3-1.人員刷卡出勤'!N48/2+'3-1.人員刷卡出勤'!N51</f>
        <v>0</v>
      </c>
      <c r="Q21" s="303">
        <f>'3-1.人員刷卡出勤'!O48/2+'3-1.人員刷卡出勤'!O51</f>
        <v>633</v>
      </c>
      <c r="R21" s="303">
        <f>'3-1.人員刷卡出勤'!P48/2+'3-1.人員刷卡出勤'!P51</f>
        <v>652.5</v>
      </c>
      <c r="S21" s="303">
        <f>'3-1.人員刷卡出勤'!Q48/2+'3-1.人員刷卡出勤'!Q51</f>
        <v>654</v>
      </c>
      <c r="T21" s="303">
        <f>'3-1.人員刷卡出勤'!R48/2+'3-1.人員刷卡出勤'!R51</f>
        <v>646.5</v>
      </c>
      <c r="U21" s="303">
        <f>'3-1.人員刷卡出勤'!S48/2+'3-1.人員刷卡出勤'!S51</f>
        <v>642.5</v>
      </c>
      <c r="V21" s="303">
        <f>'3-1.人員刷卡出勤'!T48/2+'3-1.人員刷卡出勤'!T51</f>
        <v>630.5</v>
      </c>
      <c r="W21" s="303">
        <f>'3-1.人員刷卡出勤'!U48/2+'3-1.人員刷卡出勤'!U51</f>
        <v>0</v>
      </c>
      <c r="X21" s="303">
        <f>'3-1.人員刷卡出勤'!V48/2+'3-1.人員刷卡出勤'!V51</f>
        <v>639</v>
      </c>
      <c r="Y21" s="303">
        <f>'3-1.人員刷卡出勤'!W48/2+'3-1.人員刷卡出勤'!W51</f>
        <v>643.5</v>
      </c>
      <c r="Z21" s="303">
        <f>'3-1.人員刷卡出勤'!X48/2+'3-1.人員刷卡出勤'!X51</f>
        <v>648.5</v>
      </c>
      <c r="AA21" s="303">
        <f>'3-1.人員刷卡出勤'!Y48/2+'3-1.人員刷卡出勤'!Y51</f>
        <v>644</v>
      </c>
      <c r="AB21" s="303">
        <f>'3-1.人員刷卡出勤'!Z48/2+'3-1.人員刷卡出勤'!Z51</f>
        <v>642.5</v>
      </c>
      <c r="AC21" s="303">
        <f>'3-1.人員刷卡出勤'!AA48/2+'3-1.人員刷卡出勤'!AA51</f>
        <v>0</v>
      </c>
      <c r="AD21" s="303">
        <f>'3-1.人員刷卡出勤'!AB48/2+'3-1.人員刷卡出勤'!AB51</f>
        <v>0</v>
      </c>
      <c r="AE21" s="303">
        <f>'3-1.人員刷卡出勤'!AC48/2+'3-1.人員刷卡出勤'!AC51</f>
        <v>0</v>
      </c>
      <c r="AF21" s="303">
        <f>'3-1.人員刷卡出勤'!AD48/2+'3-1.人員刷卡出勤'!AD51</f>
        <v>0</v>
      </c>
      <c r="AG21" s="303">
        <f>'3-1.人員刷卡出勤'!AE48/2+'3-1.人員刷卡出勤'!AE51</f>
        <v>0</v>
      </c>
      <c r="AH21" s="303">
        <f>'3-1.人員刷卡出勤'!AF48/2+'3-1.人員刷卡出勤'!AF51</f>
        <v>0</v>
      </c>
      <c r="AI21" s="303">
        <f>'3-1.人員刷卡出勤'!AG48/2+'3-1.人員刷卡出勤'!AG51</f>
        <v>0</v>
      </c>
      <c r="AJ21" s="8"/>
    </row>
    <row r="22" spans="1:36">
      <c r="A22" s="371"/>
      <c r="B22" s="192" t="s">
        <v>221</v>
      </c>
      <c r="C22" s="303">
        <f>SUM(E22:AI22)/COUNTIF(E16:AI16,"&gt;0")</f>
        <v>203.39285714285714</v>
      </c>
      <c r="D22" s="303">
        <f>SUM(E22:AI22)/COUNTIF(E16:AI16,"&gt;0")</f>
        <v>203.39285714285714</v>
      </c>
      <c r="E22" s="303">
        <f>'3-1.人員刷卡出勤'!C9/4+'3-1.人員刷卡出勤'!C12/2+'3-1.人員刷卡出勤'!C15/2++'3-1.人員刷卡出勤'!C24/2</f>
        <v>202.25</v>
      </c>
      <c r="F22" s="303">
        <f>'3-1.人員刷卡出勤'!D9/4+'3-1.人員刷卡出勤'!D12/2+'3-1.人員刷卡出勤'!D15/2++'3-1.人員刷卡出勤'!D24/2</f>
        <v>204.5</v>
      </c>
      <c r="G22" s="303">
        <f>'3-1.人員刷卡出勤'!E9/4+'3-1.人員刷卡出勤'!E12/2+'3-1.人員刷卡出勤'!E15/2++'3-1.人員刷卡出勤'!E24/2</f>
        <v>205</v>
      </c>
      <c r="H22" s="303">
        <f>'3-1.人員刷卡出勤'!F9/4+'3-1.人員刷卡出勤'!F12/2+'3-1.人員刷卡出勤'!F15/2++'3-1.人員刷卡出勤'!F24/2</f>
        <v>199.75</v>
      </c>
      <c r="I22" s="303">
        <f>'3-1.人員刷卡出勤'!G9/4+'3-1.人員刷卡出勤'!G12/2+'3-1.人員刷卡出勤'!G15/2++'3-1.人員刷卡出勤'!G24/2</f>
        <v>14.5</v>
      </c>
      <c r="J22" s="303">
        <f>'3-1.人員刷卡出勤'!H9/4+'3-1.人員刷卡出勤'!H12/2+'3-1.人員刷卡出勤'!H15/2++'3-1.人員刷卡出勤'!H24/2</f>
        <v>201.75</v>
      </c>
      <c r="K22" s="303">
        <f>'3-1.人員刷卡出勤'!I9/4+'3-1.人員刷卡出勤'!I12/2+'3-1.人員刷卡出勤'!I15/2++'3-1.人員刷卡出勤'!I24/2</f>
        <v>201</v>
      </c>
      <c r="L22" s="303">
        <f>'3-1.人員刷卡出勤'!J9/4+'3-1.人員刷卡出勤'!J12/2+'3-1.人員刷卡出勤'!J15/2++'3-1.人員刷卡出勤'!J24/2</f>
        <v>200.25</v>
      </c>
      <c r="M22" s="303">
        <f>'3-1.人員刷卡出勤'!K9/4+'3-1.人員刷卡出勤'!K12/2+'3-1.人員刷卡出勤'!K15/2++'3-1.人員刷卡出勤'!K24/2</f>
        <v>200.25</v>
      </c>
      <c r="N22" s="303">
        <f>'3-1.人員刷卡出勤'!L9/4+'3-1.人員刷卡出勤'!L12/2+'3-1.人員刷卡出勤'!L15/2++'3-1.人員刷卡出勤'!L24/2</f>
        <v>205.25</v>
      </c>
      <c r="O22" s="303">
        <f>'3-1.人員刷卡出勤'!M9/4+'3-1.人員刷卡出勤'!M12/2+'3-1.人員刷卡出勤'!M15/2++'3-1.人員刷卡出勤'!M24/2</f>
        <v>195.5</v>
      </c>
      <c r="P22" s="303">
        <f>'3-1.人員刷卡出勤'!N9/4+'3-1.人員刷卡出勤'!N12/2+'3-1.人員刷卡出勤'!N15/2++'3-1.人員刷卡出勤'!N24/2</f>
        <v>15.25</v>
      </c>
      <c r="Q22" s="303">
        <f>'3-1.人員刷卡出勤'!O9/4+'3-1.人員刷卡出勤'!O12/2+'3-1.人員刷卡出勤'!O15/2++'3-1.人員刷卡出勤'!O24/2</f>
        <v>200.75</v>
      </c>
      <c r="R22" s="303">
        <f>'3-1.人員刷卡出勤'!P9/4+'3-1.人員刷卡出勤'!P12/2+'3-1.人員刷卡出勤'!P15/2++'3-1.人員刷卡出勤'!P24/2</f>
        <v>207</v>
      </c>
      <c r="S22" s="303">
        <f>'3-1.人員刷卡出勤'!Q9/4+'3-1.人員刷卡出勤'!Q12/2+'3-1.人員刷卡出勤'!Q15/2++'3-1.人員刷卡出勤'!Q24/2</f>
        <v>203.25</v>
      </c>
      <c r="T22" s="303">
        <f>'3-1.人員刷卡出勤'!R9/4+'3-1.人員刷卡出勤'!R12/2+'3-1.人員刷卡出勤'!R15/2++'3-1.人員刷卡出勤'!R24/2</f>
        <v>202.75</v>
      </c>
      <c r="U22" s="303">
        <f>'3-1.人員刷卡出勤'!S9/4+'3-1.人員刷卡出勤'!S12/2+'3-1.人員刷卡出勤'!S15/2++'3-1.人員刷卡出勤'!S24/2</f>
        <v>198.5</v>
      </c>
      <c r="V22" s="303">
        <f>'3-1.人員刷卡出勤'!T9/4+'3-1.人員刷卡出勤'!T12/2+'3-1.人員刷卡出勤'!T15/2++'3-1.人員刷卡出勤'!T24/2</f>
        <v>190.5</v>
      </c>
      <c r="W22" s="303">
        <f>'3-1.人員刷卡出勤'!U9/4+'3-1.人員刷卡出勤'!U12/2+'3-1.人員刷卡出勤'!U15/2++'3-1.人員刷卡出勤'!U24/2</f>
        <v>27.75</v>
      </c>
      <c r="X22" s="303">
        <f>'3-1.人員刷卡出勤'!V9/4+'3-1.人員刷卡出勤'!V12/2+'3-1.人員刷卡出勤'!V15/2++'3-1.人員刷卡出勤'!V24/2</f>
        <v>192.75</v>
      </c>
      <c r="Y22" s="303">
        <f>'3-1.人員刷卡出勤'!W9/4+'3-1.人員刷卡出勤'!W12/2+'3-1.人員刷卡出勤'!W15/2++'3-1.人員刷卡出勤'!W24/2</f>
        <v>191</v>
      </c>
      <c r="Z22" s="303">
        <f>'3-1.人員刷卡出勤'!X9/4+'3-1.人員刷卡出勤'!X12/2+'3-1.人員刷卡出勤'!X15/2++'3-1.人員刷卡出勤'!X24/2</f>
        <v>194</v>
      </c>
      <c r="AA22" s="303">
        <f>'3-1.人員刷卡出勤'!Y9/4+'3-1.人員刷卡出勤'!Y12/2+'3-1.人員刷卡出勤'!Y15/2++'3-1.人員刷卡出勤'!Y24/2</f>
        <v>191.75</v>
      </c>
      <c r="AB22" s="303">
        <f>'3-1.人員刷卡出勤'!Z9/4+'3-1.人員刷卡出勤'!Z12/2+'3-1.人員刷卡出勤'!Z15/2++'3-1.人員刷卡出勤'!Z24/2</f>
        <v>194.5</v>
      </c>
      <c r="AC22" s="303">
        <f>'3-1.人員刷卡出勤'!AA9/4+'3-1.人員刷卡出勤'!AA12/2+'3-1.人員刷卡出勤'!AA15/2++'3-1.人員刷卡出勤'!AA24/2</f>
        <v>31.5</v>
      </c>
      <c r="AD22" s="303">
        <f>'3-1.人員刷卡出勤'!AB9/4+'3-1.人員刷卡出勤'!AB12/2+'3-1.人員刷卡出勤'!AB15/2++'3-1.人員刷卡出勤'!AB24/2</f>
        <v>0</v>
      </c>
      <c r="AE22" s="303">
        <f>'3-1.人員刷卡出勤'!AC9/4+'3-1.人員刷卡出勤'!AC12/2+'3-1.人員刷卡出勤'!AC15/2++'3-1.人員刷卡出勤'!AC24/2</f>
        <v>0</v>
      </c>
      <c r="AF22" s="303">
        <f>'3-1.人員刷卡出勤'!AD9/4+'3-1.人員刷卡出勤'!AD12/2+'3-1.人員刷卡出勤'!AD15/2++'3-1.人員刷卡出勤'!AD24/2</f>
        <v>0</v>
      </c>
      <c r="AG22" s="303">
        <f>'3-1.人員刷卡出勤'!AE9/4+'3-1.人員刷卡出勤'!AE12/2+'3-1.人員刷卡出勤'!AE15/2++'3-1.人員刷卡出勤'!AE24/2</f>
        <v>0</v>
      </c>
      <c r="AH22" s="303">
        <f>'3-1.人員刷卡出勤'!AF9/4+'3-1.人員刷卡出勤'!AF12/2+'3-1.人員刷卡出勤'!AF15/2++'3-1.人員刷卡出勤'!AF24/2</f>
        <v>0</v>
      </c>
      <c r="AI22" s="303">
        <f>'3-1.人員刷卡出勤'!AG9/4+'3-1.人員刷卡出勤'!AG12/2+'3-1.人員刷卡出勤'!AG15/2++'3-1.人員刷卡出勤'!AG24/2</f>
        <v>0</v>
      </c>
      <c r="AJ22" s="8"/>
    </row>
    <row r="23" spans="1:36">
      <c r="A23" s="372"/>
      <c r="B23" s="300" t="s">
        <v>52</v>
      </c>
      <c r="C23" s="301">
        <f>C20/(C19+C21+C22)</f>
        <v>0.79778193789942553</v>
      </c>
      <c r="D23" s="301">
        <f t="shared" ref="D23" si="2">D20/(D19+D21+D22)</f>
        <v>0.79778193789942553</v>
      </c>
      <c r="E23" s="301">
        <f>IF(E20&gt;0,E20/(E19+E21+E22),0)</f>
        <v>0.83051575162346369</v>
      </c>
      <c r="F23" s="301">
        <f t="shared" ref="F23:AI23" si="3">IF(F20&gt;0,F20/(F19+F21+F22),0)</f>
        <v>0.87342927719901187</v>
      </c>
      <c r="G23" s="301">
        <f t="shared" si="3"/>
        <v>0.88409776055124889</v>
      </c>
      <c r="H23" s="301">
        <f t="shared" si="3"/>
        <v>0.89684962119147549</v>
      </c>
      <c r="I23" s="301">
        <f t="shared" si="3"/>
        <v>0</v>
      </c>
      <c r="J23" s="301">
        <f t="shared" si="3"/>
        <v>0.91712768929868682</v>
      </c>
      <c r="K23" s="301">
        <f t="shared" si="3"/>
        <v>0.88563771603587838</v>
      </c>
      <c r="L23" s="301">
        <f t="shared" si="3"/>
        <v>0.8812789115646259</v>
      </c>
      <c r="M23" s="301">
        <f t="shared" si="3"/>
        <v>0.85051406190502099</v>
      </c>
      <c r="N23" s="301">
        <f t="shared" si="3"/>
        <v>0.8667373918720418</v>
      </c>
      <c r="O23" s="301">
        <f t="shared" si="3"/>
        <v>0.87194987302638838</v>
      </c>
      <c r="P23" s="301">
        <f t="shared" si="3"/>
        <v>0</v>
      </c>
      <c r="Q23" s="301">
        <f t="shared" si="3"/>
        <v>0.86727262771724256</v>
      </c>
      <c r="R23" s="301">
        <f t="shared" si="3"/>
        <v>0.75802568218298561</v>
      </c>
      <c r="S23" s="301">
        <f t="shared" si="3"/>
        <v>0.78853649420684502</v>
      </c>
      <c r="T23" s="301">
        <f t="shared" si="3"/>
        <v>0.76308038344133244</v>
      </c>
      <c r="U23" s="301">
        <f t="shared" si="3"/>
        <v>0.75112467866323906</v>
      </c>
      <c r="V23" s="301">
        <f t="shared" si="3"/>
        <v>0.73045939473111254</v>
      </c>
      <c r="W23" s="301">
        <f t="shared" si="3"/>
        <v>0</v>
      </c>
      <c r="X23" s="301">
        <f t="shared" si="3"/>
        <v>0.64006754180510916</v>
      </c>
      <c r="Y23" s="301">
        <f t="shared" si="3"/>
        <v>0.64476386036960986</v>
      </c>
      <c r="Z23" s="301">
        <f t="shared" si="3"/>
        <v>0.64345053060349444</v>
      </c>
      <c r="AA23" s="301">
        <f t="shared" si="3"/>
        <v>0.69015750147825616</v>
      </c>
      <c r="AB23" s="301">
        <f t="shared" si="3"/>
        <v>0.71145338800172642</v>
      </c>
      <c r="AC23" s="301">
        <f t="shared" si="3"/>
        <v>0</v>
      </c>
      <c r="AD23" s="301">
        <f t="shared" si="3"/>
        <v>0</v>
      </c>
      <c r="AE23" s="301">
        <f t="shared" si="3"/>
        <v>0</v>
      </c>
      <c r="AF23" s="301">
        <f t="shared" si="3"/>
        <v>0</v>
      </c>
      <c r="AG23" s="301">
        <f t="shared" si="3"/>
        <v>0</v>
      </c>
      <c r="AH23" s="301">
        <f t="shared" si="3"/>
        <v>0</v>
      </c>
      <c r="AI23" s="301">
        <f t="shared" si="3"/>
        <v>0</v>
      </c>
      <c r="AJ23" s="8"/>
    </row>
    <row r="24" spans="1:36">
      <c r="A24" s="370" t="s">
        <v>99</v>
      </c>
      <c r="B24" s="174" t="s">
        <v>107</v>
      </c>
      <c r="C24" s="297">
        <f>'3.6.A廠總計產能'!C20</f>
        <v>611312</v>
      </c>
      <c r="D24" s="297">
        <f>'3.6.A廠總計產能'!D20</f>
        <v>29110.095238095237</v>
      </c>
      <c r="E24" s="297">
        <f>'3.6.A廠總計產能'!E20</f>
        <v>29712</v>
      </c>
      <c r="F24" s="297">
        <f>'3.6.A廠總計產能'!F20</f>
        <v>29984</v>
      </c>
      <c r="G24" s="297">
        <f>'3.6.A廠總計產能'!G20</f>
        <v>29896</v>
      </c>
      <c r="H24" s="297">
        <f>'3.6.A廠總計產能'!H20</f>
        <v>29776</v>
      </c>
      <c r="I24" s="297">
        <f>'3.6.A廠總計產能'!I20</f>
        <v>0</v>
      </c>
      <c r="J24" s="297">
        <f>'3.6.A廠總計產能'!J20</f>
        <v>30040</v>
      </c>
      <c r="K24" s="297">
        <f>'3.6.A廠總計產能'!K20</f>
        <v>30200</v>
      </c>
      <c r="L24" s="297">
        <f>'3.6.A廠總計產能'!L20</f>
        <v>30000</v>
      </c>
      <c r="M24" s="297">
        <f>'3.6.A廠總計產能'!M20</f>
        <v>29960</v>
      </c>
      <c r="N24" s="297">
        <f>'3.6.A廠總計產能'!N20</f>
        <v>29920</v>
      </c>
      <c r="O24" s="297">
        <f>'3.6.A廠總計產能'!O20</f>
        <v>29920</v>
      </c>
      <c r="P24" s="297">
        <f>'3.6.A廠總計產能'!P20</f>
        <v>0</v>
      </c>
      <c r="Q24" s="297">
        <f>'3.6.A廠總計產能'!Q20</f>
        <v>29576</v>
      </c>
      <c r="R24" s="297">
        <f>'3.6.A廠總計產能'!R20</f>
        <v>29128</v>
      </c>
      <c r="S24" s="297">
        <f>'3.6.A廠總計產能'!S20</f>
        <v>29016</v>
      </c>
      <c r="T24" s="297">
        <f>'3.6.A廠總計產能'!T20</f>
        <v>28320</v>
      </c>
      <c r="U24" s="297">
        <f>'3.6.A廠總計產能'!U20</f>
        <v>28512</v>
      </c>
      <c r="V24" s="297">
        <f>'3.6.A廠總計產能'!V20</f>
        <v>28320</v>
      </c>
      <c r="W24" s="297">
        <f>'3.6.A廠總計產能'!W20</f>
        <v>0</v>
      </c>
      <c r="X24" s="297">
        <f>'3.6.A廠總計產能'!X20</f>
        <v>28160</v>
      </c>
      <c r="Y24" s="297">
        <f>'3.6.A廠總計產能'!Y20</f>
        <v>27960</v>
      </c>
      <c r="Z24" s="297">
        <f>'3.6.A廠總計產能'!Z20</f>
        <v>27632</v>
      </c>
      <c r="AA24" s="297">
        <f>'3.6.A廠總計產能'!AA20</f>
        <v>27664</v>
      </c>
      <c r="AB24" s="297">
        <f>'3.6.A廠總計產能'!AB20</f>
        <v>27616</v>
      </c>
      <c r="AC24" s="297">
        <f>'3.6.A廠總計產能'!AC20</f>
        <v>0</v>
      </c>
      <c r="AD24" s="297">
        <f>'3.6.A廠總計產能'!AD20</f>
        <v>0</v>
      </c>
      <c r="AE24" s="297">
        <f>'3.6.A廠總計產能'!AE20</f>
        <v>0</v>
      </c>
      <c r="AF24" s="297">
        <f>'3.6.A廠總計產能'!AF20</f>
        <v>0</v>
      </c>
      <c r="AG24" s="297">
        <f>'3.6.A廠總計產能'!AG20</f>
        <v>0</v>
      </c>
      <c r="AH24" s="297">
        <f>'3.6.A廠總計產能'!AH20</f>
        <v>0</v>
      </c>
      <c r="AI24" s="297">
        <f>'3.6.A廠總計產能'!AI20</f>
        <v>0</v>
      </c>
      <c r="AJ24" s="8"/>
    </row>
    <row r="25" spans="1:36">
      <c r="A25" s="371"/>
      <c r="B25" s="174" t="s">
        <v>46</v>
      </c>
      <c r="C25" s="297">
        <f>'3.6.A廠總計產能'!C21</f>
        <v>561740</v>
      </c>
      <c r="D25" s="297">
        <f>'3.6.A廠總計產能'!D21</f>
        <v>26749.523809523809</v>
      </c>
      <c r="E25" s="297">
        <f>'3.6.A廠總計產能'!E21</f>
        <v>27860</v>
      </c>
      <c r="F25" s="297">
        <f>'3.6.A廠總計產能'!F21</f>
        <v>26750</v>
      </c>
      <c r="G25" s="297">
        <f>'3.6.A廠總計產能'!G21</f>
        <v>27790</v>
      </c>
      <c r="H25" s="297">
        <f>'3.6.A廠總計產能'!H21</f>
        <v>28520</v>
      </c>
      <c r="I25" s="297">
        <f>'3.6.A廠總計產能'!I21</f>
        <v>0</v>
      </c>
      <c r="J25" s="297">
        <f>'3.6.A廠總計產能'!J21</f>
        <v>28520</v>
      </c>
      <c r="K25" s="297">
        <f>'3.6.A廠總計產能'!K21</f>
        <v>28520</v>
      </c>
      <c r="L25" s="297">
        <f>'3.6.A廠總計產能'!L21</f>
        <v>28520</v>
      </c>
      <c r="M25" s="297">
        <f>'3.6.A廠總計產能'!M21</f>
        <v>28000</v>
      </c>
      <c r="N25" s="297">
        <f>'3.6.A廠總計產能'!N21</f>
        <v>28440</v>
      </c>
      <c r="O25" s="297">
        <f>'3.6.A廠總計產能'!O21</f>
        <v>27200</v>
      </c>
      <c r="P25" s="297">
        <f>'3.6.A廠總計產能'!P21</f>
        <v>0</v>
      </c>
      <c r="Q25" s="297">
        <f>'3.6.A廠總計產能'!Q21</f>
        <v>26300</v>
      </c>
      <c r="R25" s="297">
        <f>'3.6.A廠總計產能'!R21</f>
        <v>27000</v>
      </c>
      <c r="S25" s="297">
        <f>'3.6.A廠總計產能'!S21</f>
        <v>24620</v>
      </c>
      <c r="T25" s="297">
        <f>'3.6.A廠總計產能'!T21</f>
        <v>25380</v>
      </c>
      <c r="U25" s="297">
        <f>'3.6.A廠總計產能'!U21</f>
        <v>26520</v>
      </c>
      <c r="V25" s="297">
        <f>'3.6.A廠總計產能'!V21</f>
        <v>26020</v>
      </c>
      <c r="W25" s="297">
        <f>'3.6.A廠總計產能'!W21</f>
        <v>0</v>
      </c>
      <c r="X25" s="297">
        <f>'3.6.A廠總計產能'!X21</f>
        <v>25360</v>
      </c>
      <c r="Y25" s="297">
        <f>'3.6.A廠總計產能'!Y21</f>
        <v>24340</v>
      </c>
      <c r="Z25" s="297">
        <f>'3.6.A廠總計產能'!Z21</f>
        <v>24870</v>
      </c>
      <c r="AA25" s="297">
        <f>'3.6.A廠總計產能'!AA21</f>
        <v>25210</v>
      </c>
      <c r="AB25" s="297">
        <f>'3.6.A廠總計產能'!AB21</f>
        <v>26000</v>
      </c>
      <c r="AC25" s="297">
        <f>'3.6.A廠總計產能'!AC21</f>
        <v>25440</v>
      </c>
      <c r="AD25" s="297">
        <f>'3.6.A廠總計產能'!AD21</f>
        <v>0</v>
      </c>
      <c r="AE25" s="297">
        <f>'3.6.A廠總計產能'!AE21</f>
        <v>25840</v>
      </c>
      <c r="AF25" s="297">
        <f>'3.6.A廠總計產能'!AF21</f>
        <v>24990</v>
      </c>
      <c r="AG25" s="297">
        <f>'3.6.A廠總計產能'!AG21</f>
        <v>24470</v>
      </c>
      <c r="AH25" s="297">
        <f>'3.6.A廠總計產能'!AH21</f>
        <v>24480</v>
      </c>
      <c r="AI25" s="297">
        <f>'3.6.A廠總計產能'!AI21</f>
        <v>24640</v>
      </c>
      <c r="AJ25" s="8"/>
    </row>
    <row r="26" spans="1:36">
      <c r="A26" s="371"/>
      <c r="B26" s="175" t="s">
        <v>47</v>
      </c>
      <c r="C26" s="298">
        <f>'3.6.A廠總計產能'!C22</f>
        <v>559638</v>
      </c>
      <c r="D26" s="298">
        <f>'3.6.A廠總計產能'!D22</f>
        <v>26649.428571428572</v>
      </c>
      <c r="E26" s="298">
        <f>'3.6.A廠總計產能'!E22</f>
        <v>27860</v>
      </c>
      <c r="F26" s="298">
        <f>'3.6.A廠總計產能'!F22</f>
        <v>26864</v>
      </c>
      <c r="G26" s="298">
        <f>'3.6.A廠總計產能'!G22</f>
        <v>27570</v>
      </c>
      <c r="H26" s="298">
        <f>'3.6.A廠總計產能'!H22</f>
        <v>28474</v>
      </c>
      <c r="I26" s="298">
        <f>'3.6.A廠總計產能'!I22</f>
        <v>0</v>
      </c>
      <c r="J26" s="298">
        <f>'3.6.A廠總計產能'!J22</f>
        <v>28520</v>
      </c>
      <c r="K26" s="298">
        <f>'3.6.A廠總計產能'!K22</f>
        <v>28520</v>
      </c>
      <c r="L26" s="298">
        <f>'3.6.A廠總計產能'!L22</f>
        <v>28522</v>
      </c>
      <c r="M26" s="298">
        <f>'3.6.A廠總計產能'!M22</f>
        <v>26520</v>
      </c>
      <c r="N26" s="298">
        <f>'3.6.A廠總計產能'!N22</f>
        <v>28104</v>
      </c>
      <c r="O26" s="298">
        <f>'3.6.A廠總計產能'!O22</f>
        <v>27031</v>
      </c>
      <c r="P26" s="298">
        <f>'3.6.A廠總計產能'!P22</f>
        <v>0</v>
      </c>
      <c r="Q26" s="298">
        <f>'3.6.A廠總計產能'!Q22</f>
        <v>26680</v>
      </c>
      <c r="R26" s="298">
        <f>'3.6.A廠總計產能'!R22</f>
        <v>26960</v>
      </c>
      <c r="S26" s="298">
        <f>'3.6.A廠總計產能'!S22</f>
        <v>24388</v>
      </c>
      <c r="T26" s="298">
        <f>'3.6.A廠總計產能'!T22</f>
        <v>25136</v>
      </c>
      <c r="U26" s="298">
        <f>'3.6.A廠總計產能'!U22</f>
        <v>26510</v>
      </c>
      <c r="V26" s="298">
        <f>'3.6.A廠總計產能'!V22</f>
        <v>26079</v>
      </c>
      <c r="W26" s="298">
        <f>'3.6.A廠總計產能'!W22</f>
        <v>0</v>
      </c>
      <c r="X26" s="298">
        <f>'3.6.A廠總計產能'!X22</f>
        <v>25430</v>
      </c>
      <c r="Y26" s="298">
        <f>'3.6.A廠總計產能'!Y22</f>
        <v>24519</v>
      </c>
      <c r="Z26" s="298">
        <f>'3.6.A廠總計產能'!Z22</f>
        <v>24875</v>
      </c>
      <c r="AA26" s="298">
        <f>'3.6.A廠總計產能'!AA22</f>
        <v>25534</v>
      </c>
      <c r="AB26" s="298">
        <f>'3.6.A廠總計產能'!AB22</f>
        <v>25542</v>
      </c>
      <c r="AC26" s="298">
        <f>'3.6.A廠總計產能'!AC22</f>
        <v>0</v>
      </c>
      <c r="AD26" s="298">
        <f>'3.6.A廠總計產能'!AD22</f>
        <v>0</v>
      </c>
      <c r="AE26" s="298">
        <f>'3.6.A廠總計產能'!AE22</f>
        <v>0</v>
      </c>
      <c r="AF26" s="298">
        <f>'3.6.A廠總計產能'!AF22</f>
        <v>0</v>
      </c>
      <c r="AG26" s="298">
        <f>'3.6.A廠總計產能'!AG22</f>
        <v>0</v>
      </c>
      <c r="AH26" s="298">
        <f>'3.6.A廠總計產能'!AH22</f>
        <v>0</v>
      </c>
      <c r="AI26" s="298">
        <f>'3.6.A廠總計產能'!AI22</f>
        <v>0</v>
      </c>
      <c r="AJ26" s="8"/>
    </row>
    <row r="27" spans="1:36">
      <c r="A27" s="371"/>
      <c r="B27" s="175" t="s">
        <v>48</v>
      </c>
      <c r="C27" s="298">
        <f>'3.6.A廠總計產能'!C23</f>
        <v>-2102</v>
      </c>
      <c r="D27" s="298">
        <f>'3.6.A廠總計產能'!D23</f>
        <v>-100.0952380952381</v>
      </c>
      <c r="E27" s="298">
        <f>'3.6.A廠總計產能'!E23</f>
        <v>0</v>
      </c>
      <c r="F27" s="298">
        <f>'3.6.A廠總計產能'!F23</f>
        <v>114</v>
      </c>
      <c r="G27" s="298">
        <f>'3.6.A廠總計產能'!G23</f>
        <v>-220</v>
      </c>
      <c r="H27" s="298">
        <f>'3.6.A廠總計產能'!H23</f>
        <v>-46</v>
      </c>
      <c r="I27" s="298">
        <f>'3.6.A廠總計產能'!I23</f>
        <v>0</v>
      </c>
      <c r="J27" s="298">
        <f>'3.6.A廠總計產能'!J23</f>
        <v>0</v>
      </c>
      <c r="K27" s="298">
        <f>'3.6.A廠總計產能'!K23</f>
        <v>0</v>
      </c>
      <c r="L27" s="298">
        <f>'3.6.A廠總計產能'!L23</f>
        <v>2</v>
      </c>
      <c r="M27" s="298">
        <f>'3.6.A廠總計產能'!M23</f>
        <v>-1480</v>
      </c>
      <c r="N27" s="298">
        <f>'3.6.A廠總計產能'!N23</f>
        <v>-336</v>
      </c>
      <c r="O27" s="298">
        <f>'3.6.A廠總計產能'!O23</f>
        <v>-169</v>
      </c>
      <c r="P27" s="298">
        <f>'3.6.A廠總計產能'!P23</f>
        <v>0</v>
      </c>
      <c r="Q27" s="298">
        <f>'3.6.A廠總計產能'!Q23</f>
        <v>380</v>
      </c>
      <c r="R27" s="298">
        <f>'3.6.A廠總計產能'!R23</f>
        <v>-40</v>
      </c>
      <c r="S27" s="298">
        <f>'3.6.A廠總計產能'!S23</f>
        <v>-232</v>
      </c>
      <c r="T27" s="298">
        <f>'3.6.A廠總計產能'!T23</f>
        <v>-244</v>
      </c>
      <c r="U27" s="298">
        <f>'3.6.A廠總計產能'!U23</f>
        <v>-10</v>
      </c>
      <c r="V27" s="298">
        <f>'3.6.A廠總計產能'!V23</f>
        <v>59</v>
      </c>
      <c r="W27" s="298">
        <f>'3.6.A廠總計產能'!W23</f>
        <v>0</v>
      </c>
      <c r="X27" s="298">
        <f>'3.6.A廠總計產能'!X23</f>
        <v>70</v>
      </c>
      <c r="Y27" s="298">
        <f>'3.6.A廠總計產能'!Y23</f>
        <v>179</v>
      </c>
      <c r="Z27" s="298">
        <f>'3.6.A廠總計產能'!Z23</f>
        <v>5</v>
      </c>
      <c r="AA27" s="298">
        <f>'3.6.A廠總計產能'!AA23</f>
        <v>324</v>
      </c>
      <c r="AB27" s="298">
        <f>'3.6.A廠總計產能'!AB23</f>
        <v>-458</v>
      </c>
      <c r="AC27" s="298">
        <f>'3.6.A廠總計產能'!AC23</f>
        <v>0</v>
      </c>
      <c r="AD27" s="298">
        <f>'3.6.A廠總計產能'!AD23</f>
        <v>0</v>
      </c>
      <c r="AE27" s="298">
        <f>'3.6.A廠總計產能'!AE23</f>
        <v>0</v>
      </c>
      <c r="AF27" s="298">
        <f>'3.6.A廠總計產能'!AF23</f>
        <v>0</v>
      </c>
      <c r="AG27" s="298">
        <f>'3.6.A廠總計產能'!AG23</f>
        <v>0</v>
      </c>
      <c r="AH27" s="298">
        <f>'3.6.A廠總計產能'!AH23</f>
        <v>0</v>
      </c>
      <c r="AI27" s="298">
        <f>'3.6.A廠總計產能'!AI23</f>
        <v>0</v>
      </c>
      <c r="AJ27" s="8"/>
    </row>
    <row r="28" spans="1:36">
      <c r="A28" s="371"/>
      <c r="B28" s="175" t="s">
        <v>49</v>
      </c>
      <c r="C28" s="298">
        <f>'3.6.A廠總計產能'!C24</f>
        <v>168</v>
      </c>
      <c r="D28" s="298">
        <f>'3.6.A廠總計產能'!D24</f>
        <v>8</v>
      </c>
      <c r="E28" s="298">
        <f>'3.6.A廠總計產能'!E24</f>
        <v>8</v>
      </c>
      <c r="F28" s="298">
        <f>'3.6.A廠總計產能'!F24</f>
        <v>8</v>
      </c>
      <c r="G28" s="298">
        <f>'3.6.A廠總計產能'!G24</f>
        <v>8</v>
      </c>
      <c r="H28" s="298">
        <f>'3.6.A廠總計產能'!H24</f>
        <v>8</v>
      </c>
      <c r="I28" s="298">
        <f>'3.6.A廠總計產能'!I24</f>
        <v>0</v>
      </c>
      <c r="J28" s="298">
        <f>'3.6.A廠總計產能'!J24</f>
        <v>8</v>
      </c>
      <c r="K28" s="298">
        <f>'3.6.A廠總計產能'!K24</f>
        <v>8</v>
      </c>
      <c r="L28" s="298">
        <f>'3.6.A廠總計產能'!L24</f>
        <v>8</v>
      </c>
      <c r="M28" s="298">
        <f>'3.6.A廠總計產能'!M24</f>
        <v>8</v>
      </c>
      <c r="N28" s="298">
        <f>'3.6.A廠總計產能'!N24</f>
        <v>8</v>
      </c>
      <c r="O28" s="298">
        <f>'3.6.A廠總計產能'!O24</f>
        <v>8</v>
      </c>
      <c r="P28" s="298">
        <f>'3.6.A廠總計產能'!P24</f>
        <v>0</v>
      </c>
      <c r="Q28" s="298">
        <f>'3.6.A廠總計產能'!Q24</f>
        <v>8</v>
      </c>
      <c r="R28" s="298">
        <f>'3.6.A廠總計產能'!R24</f>
        <v>8</v>
      </c>
      <c r="S28" s="298">
        <f>'3.6.A廠總計產能'!S24</f>
        <v>8</v>
      </c>
      <c r="T28" s="298">
        <f>'3.6.A廠總計產能'!T24</f>
        <v>8</v>
      </c>
      <c r="U28" s="298">
        <f>'3.6.A廠總計產能'!U24</f>
        <v>8</v>
      </c>
      <c r="V28" s="298">
        <f>'3.6.A廠總計產能'!V24</f>
        <v>8</v>
      </c>
      <c r="W28" s="298">
        <f>'3.6.A廠總計產能'!W24</f>
        <v>0</v>
      </c>
      <c r="X28" s="298">
        <f>'3.6.A廠總計產能'!X24</f>
        <v>8</v>
      </c>
      <c r="Y28" s="298">
        <f>'3.6.A廠總計產能'!Y24</f>
        <v>8</v>
      </c>
      <c r="Z28" s="298">
        <f>'3.6.A廠總計產能'!Z24</f>
        <v>8</v>
      </c>
      <c r="AA28" s="298">
        <f>'3.6.A廠總計產能'!AA24</f>
        <v>8</v>
      </c>
      <c r="AB28" s="298">
        <f>'3.6.A廠總計產能'!AB24</f>
        <v>8</v>
      </c>
      <c r="AC28" s="298">
        <f>'3.6.A廠總計產能'!AC24</f>
        <v>0</v>
      </c>
      <c r="AD28" s="298">
        <f>'3.6.A廠總計產能'!AD24</f>
        <v>0</v>
      </c>
      <c r="AE28" s="298">
        <f>'3.6.A廠總計產能'!AE24</f>
        <v>0</v>
      </c>
      <c r="AF28" s="298">
        <f>'3.6.A廠總計產能'!AF24</f>
        <v>0</v>
      </c>
      <c r="AG28" s="298">
        <f>'3.6.A廠總計產能'!AG24</f>
        <v>0</v>
      </c>
      <c r="AH28" s="298">
        <f>'3.6.A廠總計產能'!AH24</f>
        <v>0</v>
      </c>
      <c r="AI28" s="298">
        <f>'3.6.A廠總計產能'!AI24</f>
        <v>0</v>
      </c>
      <c r="AJ28" s="8"/>
    </row>
    <row r="29" spans="1:36">
      <c r="A29" s="371"/>
      <c r="B29" s="175" t="s">
        <v>50</v>
      </c>
      <c r="C29" s="298">
        <f>'3.6.A廠總計產能'!C25</f>
        <v>2965</v>
      </c>
      <c r="D29" s="298">
        <f>'3.6.A廠總計產能'!D25</f>
        <v>2965</v>
      </c>
      <c r="E29" s="298">
        <f>'3.6.A廠總計產能'!E25</f>
        <v>2963</v>
      </c>
      <c r="F29" s="298">
        <f>'3.6.A廠總計產能'!F25</f>
        <v>2965</v>
      </c>
      <c r="G29" s="298">
        <f>'3.6.A廠總計產能'!G25</f>
        <v>2949</v>
      </c>
      <c r="H29" s="298">
        <f>'3.6.A廠總計產能'!H25</f>
        <v>2930</v>
      </c>
      <c r="I29" s="298">
        <f>'3.6.A廠總計產能'!I25</f>
        <v>0</v>
      </c>
      <c r="J29" s="298">
        <f>'3.6.A廠總計產能'!J25</f>
        <v>2887</v>
      </c>
      <c r="K29" s="298">
        <f>'3.6.A廠總計產能'!K25</f>
        <v>2928</v>
      </c>
      <c r="L29" s="298">
        <f>'3.6.A廠總計產能'!L25</f>
        <v>2935</v>
      </c>
      <c r="M29" s="298">
        <f>'3.6.A廠總計產能'!M25</f>
        <v>2947</v>
      </c>
      <c r="N29" s="298">
        <f>'3.6.A廠總計產能'!N25</f>
        <v>2964</v>
      </c>
      <c r="O29" s="298">
        <f>'3.6.A廠總計產能'!O25</f>
        <v>2980</v>
      </c>
      <c r="P29" s="298">
        <f>'3.6.A廠總計產能'!P25</f>
        <v>0</v>
      </c>
      <c r="Q29" s="298">
        <f>'3.6.A廠總計產能'!Q25</f>
        <v>2975</v>
      </c>
      <c r="R29" s="298">
        <f>'3.6.A廠總計產能'!R25</f>
        <v>3026</v>
      </c>
      <c r="S29" s="298">
        <f>'3.6.A廠總計產能'!S25</f>
        <v>3019</v>
      </c>
      <c r="T29" s="298">
        <f>'3.6.A廠總計產能'!T25</f>
        <v>2998</v>
      </c>
      <c r="U29" s="298">
        <f>'3.6.A廠總計產能'!U25</f>
        <v>2985</v>
      </c>
      <c r="V29" s="298">
        <f>'3.6.A廠總計產能'!V25</f>
        <v>2968</v>
      </c>
      <c r="W29" s="298">
        <f>'3.6.A廠總計產能'!W25</f>
        <v>0</v>
      </c>
      <c r="X29" s="298">
        <f>'3.6.A廠總計產能'!X25</f>
        <v>2980</v>
      </c>
      <c r="Y29" s="298">
        <f>'3.6.A廠總計產能'!Y25</f>
        <v>2979</v>
      </c>
      <c r="Z29" s="298">
        <f>'3.6.A廠總計產能'!Z25</f>
        <v>3022</v>
      </c>
      <c r="AA29" s="298">
        <f>'3.6.A廠總計產能'!AA25</f>
        <v>3018</v>
      </c>
      <c r="AB29" s="298">
        <f>'3.6.A廠總計產能'!AB25</f>
        <v>3001</v>
      </c>
      <c r="AC29" s="298">
        <f>'3.6.A廠總計產能'!AC25</f>
        <v>0</v>
      </c>
      <c r="AD29" s="298">
        <f>'3.6.A廠總計產能'!AD25</f>
        <v>0</v>
      </c>
      <c r="AE29" s="298">
        <f>'3.6.A廠總計產能'!AE25</f>
        <v>0</v>
      </c>
      <c r="AF29" s="298">
        <f>'3.6.A廠總計產能'!AF25</f>
        <v>0</v>
      </c>
      <c r="AG29" s="298">
        <f>'3.6.A廠總計產能'!AG25</f>
        <v>0</v>
      </c>
      <c r="AH29" s="298">
        <f>'3.6.A廠總計產能'!AH25</f>
        <v>0</v>
      </c>
      <c r="AI29" s="298">
        <f>'3.6.A廠總計產能'!AI25</f>
        <v>0</v>
      </c>
      <c r="AJ29" s="8"/>
    </row>
    <row r="30" spans="1:36">
      <c r="A30" s="371"/>
      <c r="B30" s="275" t="s">
        <v>222</v>
      </c>
      <c r="C30" s="302">
        <f>'3.6.A廠總計產能'!C26</f>
        <v>3331.1785714285716</v>
      </c>
      <c r="D30" s="302">
        <f>'3.6.A廠總計產能'!D26</f>
        <v>3331.1785714285716</v>
      </c>
      <c r="E30" s="302">
        <f>'3.6.A廠總計產能'!E26</f>
        <v>3482.5</v>
      </c>
      <c r="F30" s="302">
        <f>'3.6.A廠總計產能'!F26</f>
        <v>3358</v>
      </c>
      <c r="G30" s="302">
        <f>'3.6.A廠總計產能'!G26</f>
        <v>3446.25</v>
      </c>
      <c r="H30" s="302">
        <f>'3.6.A廠總計產能'!H26</f>
        <v>3559.25</v>
      </c>
      <c r="I30" s="302">
        <f>'3.6.A廠總計產能'!I26</f>
        <v>0</v>
      </c>
      <c r="J30" s="302">
        <f>'3.6.A廠總計產能'!J26</f>
        <v>3565</v>
      </c>
      <c r="K30" s="302">
        <f>'3.6.A廠總計產能'!K26</f>
        <v>3565</v>
      </c>
      <c r="L30" s="302">
        <f>'3.6.A廠總計產能'!L26</f>
        <v>3565.25</v>
      </c>
      <c r="M30" s="302">
        <f>'3.6.A廠總計產能'!M26</f>
        <v>3315</v>
      </c>
      <c r="N30" s="302">
        <f>'3.6.A廠總計產能'!N26</f>
        <v>3513</v>
      </c>
      <c r="O30" s="302">
        <f>'3.6.A廠總計產能'!O26</f>
        <v>3378.875</v>
      </c>
      <c r="P30" s="302">
        <f>'3.6.A廠總計產能'!P26</f>
        <v>0</v>
      </c>
      <c r="Q30" s="302">
        <f>'3.6.A廠總計產能'!Q26</f>
        <v>3335</v>
      </c>
      <c r="R30" s="302">
        <f>'3.6.A廠總計產能'!R26</f>
        <v>3370</v>
      </c>
      <c r="S30" s="302">
        <f>'3.6.A廠總計產能'!S26</f>
        <v>3048.5</v>
      </c>
      <c r="T30" s="302">
        <f>'3.6.A廠總計產能'!T26</f>
        <v>3142</v>
      </c>
      <c r="U30" s="302">
        <f>'3.6.A廠總計產能'!U26</f>
        <v>3313.75</v>
      </c>
      <c r="V30" s="302">
        <f>'3.6.A廠總計產能'!V26</f>
        <v>3259.875</v>
      </c>
      <c r="W30" s="302">
        <f>'3.6.A廠總計產能'!W26</f>
        <v>0</v>
      </c>
      <c r="X30" s="302">
        <f>'3.6.A廠總計產能'!X26</f>
        <v>3178.75</v>
      </c>
      <c r="Y30" s="302">
        <f>'3.6.A廠總計產能'!Y26</f>
        <v>3064.875</v>
      </c>
      <c r="Z30" s="302">
        <f>'3.6.A廠總計產能'!Z26</f>
        <v>3109.375</v>
      </c>
      <c r="AA30" s="302">
        <f>'3.6.A廠總計產能'!AA26</f>
        <v>3191.75</v>
      </c>
      <c r="AB30" s="302">
        <f>'3.6.A廠總計產能'!AB26</f>
        <v>3192.75</v>
      </c>
      <c r="AC30" s="302">
        <f>'3.6.A廠總計產能'!AC26</f>
        <v>0</v>
      </c>
      <c r="AD30" s="302">
        <f>'3.6.A廠總計產能'!AD26</f>
        <v>0</v>
      </c>
      <c r="AE30" s="302">
        <f>'3.6.A廠總計產能'!AE26</f>
        <v>0</v>
      </c>
      <c r="AF30" s="302">
        <f>'3.6.A廠總計產能'!AF26</f>
        <v>0</v>
      </c>
      <c r="AG30" s="302">
        <f>'3.6.A廠總計產能'!AG26</f>
        <v>0</v>
      </c>
      <c r="AH30" s="302">
        <f>'3.6.A廠總計產能'!AH26</f>
        <v>0</v>
      </c>
      <c r="AI30" s="302">
        <f>'3.6.A廠總計產能'!AI26</f>
        <v>0</v>
      </c>
      <c r="AJ30" s="8"/>
    </row>
    <row r="31" spans="1:36">
      <c r="A31" s="371"/>
      <c r="B31" s="192" t="s">
        <v>130</v>
      </c>
      <c r="C31" s="303">
        <f>SUM(E31:AI31)/COUNTIF(E26:AI26,"&gt;0")</f>
        <v>567.30952380952385</v>
      </c>
      <c r="D31" s="303">
        <f>SUM(E31:AI31)/COUNTIF(E26:AI26,"&gt;0")</f>
        <v>567.30952380952385</v>
      </c>
      <c r="E31" s="303">
        <f>'3-1.人員刷卡出勤'!C48/2+'3-1.人員刷卡出勤'!C45</f>
        <v>577</v>
      </c>
      <c r="F31" s="303">
        <f>'3-1.人員刷卡出勤'!D48/2+'3-1.人員刷卡出勤'!D45</f>
        <v>577</v>
      </c>
      <c r="G31" s="303">
        <f>'3-1.人員刷卡出勤'!E48/2+'3-1.人員刷卡出勤'!E45</f>
        <v>580</v>
      </c>
      <c r="H31" s="303">
        <f>'3-1.人員刷卡出勤'!F48/2+'3-1.人員刷卡出勤'!F45</f>
        <v>572</v>
      </c>
      <c r="I31" s="303">
        <f>'3-1.人員刷卡出勤'!G48/2+'3-1.人員刷卡出勤'!G45</f>
        <v>0</v>
      </c>
      <c r="J31" s="303">
        <f>'3-1.人員刷卡出勤'!H48/2+'3-1.人員刷卡出勤'!H45</f>
        <v>565</v>
      </c>
      <c r="K31" s="303">
        <f>'3-1.人員刷卡出勤'!I48/2+'3-1.人員刷卡出勤'!I45</f>
        <v>574</v>
      </c>
      <c r="L31" s="303">
        <f>'3-1.人員刷卡出勤'!J48/2+'3-1.人員刷卡出勤'!J45</f>
        <v>571.5</v>
      </c>
      <c r="M31" s="303">
        <f>'3-1.人員刷卡出勤'!K48/2+'3-1.人員刷卡出勤'!K45</f>
        <v>572.5</v>
      </c>
      <c r="N31" s="303">
        <f>'3-1.人員刷卡出勤'!L48/2+'3-1.人員刷卡出勤'!L45</f>
        <v>566</v>
      </c>
      <c r="O31" s="303">
        <f>'3-1.人員刷卡出勤'!M48/2+'3-1.人員刷卡出勤'!M45</f>
        <v>562</v>
      </c>
      <c r="P31" s="303">
        <f>'3-1.人員刷卡出勤'!N48/2+'3-1.人員刷卡出勤'!N45</f>
        <v>0</v>
      </c>
      <c r="Q31" s="303">
        <f>'3-1.人員刷卡出勤'!O48/2+'3-1.人員刷卡出勤'!O45</f>
        <v>544</v>
      </c>
      <c r="R31" s="303">
        <f>'3-1.人員刷卡出勤'!P48/2+'3-1.人員刷卡出勤'!P45</f>
        <v>567.5</v>
      </c>
      <c r="S31" s="303">
        <f>'3-1.人員刷卡出勤'!Q48/2+'3-1.人員刷卡出勤'!Q45</f>
        <v>571</v>
      </c>
      <c r="T31" s="303">
        <f>'3-1.人員刷卡出勤'!R48/2+'3-1.人員刷卡出勤'!R45</f>
        <v>565.5</v>
      </c>
      <c r="U31" s="303">
        <f>'3-1.人員刷卡出勤'!S48/2+'3-1.人員刷卡出勤'!S45</f>
        <v>568.5</v>
      </c>
      <c r="V31" s="303">
        <f>'3-1.人員刷卡出勤'!T48/2+'3-1.人員刷卡出勤'!T45</f>
        <v>562.5</v>
      </c>
      <c r="W31" s="303">
        <f>'3-1.人員刷卡出勤'!U48/2+'3-1.人員刷卡出勤'!U45</f>
        <v>0</v>
      </c>
      <c r="X31" s="303">
        <f>'3-1.人員刷卡出勤'!V48/2+'3-1.人員刷卡出勤'!V45</f>
        <v>560</v>
      </c>
      <c r="Y31" s="303">
        <f>'3-1.人員刷卡出勤'!W48/2+'3-1.人員刷卡出勤'!W45</f>
        <v>564.5</v>
      </c>
      <c r="Z31" s="303">
        <f>'3-1.人員刷卡出勤'!X48/2+'3-1.人員刷卡出勤'!X45</f>
        <v>568.5</v>
      </c>
      <c r="AA31" s="303">
        <f>'3-1.人員刷卡出勤'!Y48/2+'3-1.人員刷卡出勤'!Y45</f>
        <v>566</v>
      </c>
      <c r="AB31" s="303">
        <f>'3-1.人員刷卡出勤'!Z48/2+'3-1.人員刷卡出勤'!Z45</f>
        <v>558.5</v>
      </c>
      <c r="AC31" s="303">
        <f>'3-1.人員刷卡出勤'!AA48/2+'3-1.人員刷卡出勤'!AA45</f>
        <v>0</v>
      </c>
      <c r="AD31" s="303">
        <f>'3-1.人員刷卡出勤'!AB48/2+'3-1.人員刷卡出勤'!AB45</f>
        <v>0</v>
      </c>
      <c r="AE31" s="303">
        <f>'3-1.人員刷卡出勤'!AC48/2+'3-1.人員刷卡出勤'!AC45</f>
        <v>0</v>
      </c>
      <c r="AF31" s="303">
        <f>'3-1.人員刷卡出勤'!AD48/2+'3-1.人員刷卡出勤'!AD45</f>
        <v>0</v>
      </c>
      <c r="AG31" s="303">
        <f>'3-1.人員刷卡出勤'!AE48/2+'3-1.人員刷卡出勤'!AE45</f>
        <v>0</v>
      </c>
      <c r="AH31" s="303">
        <f>'3-1.人員刷卡出勤'!AF48/2+'3-1.人員刷卡出勤'!AF45</f>
        <v>0</v>
      </c>
      <c r="AI31" s="303">
        <f>'3-1.人員刷卡出勤'!AG48/2+'3-1.人員刷卡出勤'!AG45</f>
        <v>0</v>
      </c>
      <c r="AJ31" s="8"/>
    </row>
    <row r="32" spans="1:36">
      <c r="A32" s="371"/>
      <c r="B32" s="192" t="s">
        <v>131</v>
      </c>
      <c r="C32" s="303">
        <f>SUM(E32:AI32)/COUNTIF(E26:AI26,"&gt;0")</f>
        <v>203.39285714285714</v>
      </c>
      <c r="D32" s="303">
        <f>SUM(E32:AI32)/COUNTIF(E26:AI26,"&gt;0")</f>
        <v>203.39285714285714</v>
      </c>
      <c r="E32" s="303">
        <f>'3-1.人員刷卡出勤'!C9/4+'3-1.人員刷卡出勤'!C12/2+'3-1.人員刷卡出勤'!C15/2++'3-1.人員刷卡出勤'!C24/2</f>
        <v>202.25</v>
      </c>
      <c r="F32" s="303">
        <f>'3-1.人員刷卡出勤'!D9/4+'3-1.人員刷卡出勤'!D12/2+'3-1.人員刷卡出勤'!D15/2++'3-1.人員刷卡出勤'!D24/2</f>
        <v>204.5</v>
      </c>
      <c r="G32" s="303">
        <f>'3-1.人員刷卡出勤'!E9/4+'3-1.人員刷卡出勤'!E12/2+'3-1.人員刷卡出勤'!E15/2++'3-1.人員刷卡出勤'!E24/2</f>
        <v>205</v>
      </c>
      <c r="H32" s="303">
        <f>'3-1.人員刷卡出勤'!F9/4+'3-1.人員刷卡出勤'!F12/2+'3-1.人員刷卡出勤'!F15/2++'3-1.人員刷卡出勤'!F24/2</f>
        <v>199.75</v>
      </c>
      <c r="I32" s="303">
        <f>'3-1.人員刷卡出勤'!G9/4+'3-1.人員刷卡出勤'!G12/2+'3-1.人員刷卡出勤'!G15/2++'3-1.人員刷卡出勤'!G24/2</f>
        <v>14.5</v>
      </c>
      <c r="J32" s="303">
        <f>'3-1.人員刷卡出勤'!H9/4+'3-1.人員刷卡出勤'!H12/2+'3-1.人員刷卡出勤'!H15/2++'3-1.人員刷卡出勤'!H24/2</f>
        <v>201.75</v>
      </c>
      <c r="K32" s="303">
        <f>'3-1.人員刷卡出勤'!I9/4+'3-1.人員刷卡出勤'!I12/2+'3-1.人員刷卡出勤'!I15/2++'3-1.人員刷卡出勤'!I24/2</f>
        <v>201</v>
      </c>
      <c r="L32" s="303">
        <f>'3-1.人員刷卡出勤'!J9/4+'3-1.人員刷卡出勤'!J12/2+'3-1.人員刷卡出勤'!J15/2++'3-1.人員刷卡出勤'!J24/2</f>
        <v>200.25</v>
      </c>
      <c r="M32" s="303">
        <f>'3-1.人員刷卡出勤'!K9/4+'3-1.人員刷卡出勤'!K12/2+'3-1.人員刷卡出勤'!K15/2++'3-1.人員刷卡出勤'!K24/2</f>
        <v>200.25</v>
      </c>
      <c r="N32" s="303">
        <f>'3-1.人員刷卡出勤'!L9/4+'3-1.人員刷卡出勤'!L12/2+'3-1.人員刷卡出勤'!L15/2++'3-1.人員刷卡出勤'!L24/2</f>
        <v>205.25</v>
      </c>
      <c r="O32" s="303">
        <f>'3-1.人員刷卡出勤'!M9/4+'3-1.人員刷卡出勤'!M12/2+'3-1.人員刷卡出勤'!M15/2++'3-1.人員刷卡出勤'!M24/2</f>
        <v>195.5</v>
      </c>
      <c r="P32" s="303">
        <f>'3-1.人員刷卡出勤'!N9/4+'3-1.人員刷卡出勤'!N12/2+'3-1.人員刷卡出勤'!N15/2++'3-1.人員刷卡出勤'!N24/2</f>
        <v>15.25</v>
      </c>
      <c r="Q32" s="303">
        <f>'3-1.人員刷卡出勤'!O9/4+'3-1.人員刷卡出勤'!O12/2+'3-1.人員刷卡出勤'!O15/2++'3-1.人員刷卡出勤'!O24/2</f>
        <v>200.75</v>
      </c>
      <c r="R32" s="303">
        <f>'3-1.人員刷卡出勤'!P9/4+'3-1.人員刷卡出勤'!P12/2+'3-1.人員刷卡出勤'!P15/2++'3-1.人員刷卡出勤'!P24/2</f>
        <v>207</v>
      </c>
      <c r="S32" s="303">
        <f>'3-1.人員刷卡出勤'!Q9/4+'3-1.人員刷卡出勤'!Q12/2+'3-1.人員刷卡出勤'!Q15/2++'3-1.人員刷卡出勤'!Q24/2</f>
        <v>203.25</v>
      </c>
      <c r="T32" s="303">
        <f>'3-1.人員刷卡出勤'!R9/4+'3-1.人員刷卡出勤'!R12/2+'3-1.人員刷卡出勤'!R15/2++'3-1.人員刷卡出勤'!R24/2</f>
        <v>202.75</v>
      </c>
      <c r="U32" s="303">
        <f>'3-1.人員刷卡出勤'!S9/4+'3-1.人員刷卡出勤'!S12/2+'3-1.人員刷卡出勤'!S15/2++'3-1.人員刷卡出勤'!S24/2</f>
        <v>198.5</v>
      </c>
      <c r="V32" s="303">
        <f>'3-1.人員刷卡出勤'!T9/4+'3-1.人員刷卡出勤'!T12/2+'3-1.人員刷卡出勤'!T15/2++'3-1.人員刷卡出勤'!T24/2</f>
        <v>190.5</v>
      </c>
      <c r="W32" s="303">
        <f>'3-1.人員刷卡出勤'!U9/4+'3-1.人員刷卡出勤'!U12/2+'3-1.人員刷卡出勤'!U15/2++'3-1.人員刷卡出勤'!U24/2</f>
        <v>27.75</v>
      </c>
      <c r="X32" s="303">
        <f>'3-1.人員刷卡出勤'!V9/4+'3-1.人員刷卡出勤'!V12/2+'3-1.人員刷卡出勤'!V15/2++'3-1.人員刷卡出勤'!V24/2</f>
        <v>192.75</v>
      </c>
      <c r="Y32" s="303">
        <f>'3-1.人員刷卡出勤'!W9/4+'3-1.人員刷卡出勤'!W12/2+'3-1.人員刷卡出勤'!W15/2++'3-1.人員刷卡出勤'!W24/2</f>
        <v>191</v>
      </c>
      <c r="Z32" s="303">
        <f>'3-1.人員刷卡出勤'!X9/4+'3-1.人員刷卡出勤'!X12/2+'3-1.人員刷卡出勤'!X15/2++'3-1.人員刷卡出勤'!X24/2</f>
        <v>194</v>
      </c>
      <c r="AA32" s="303">
        <f>'3-1.人員刷卡出勤'!Y9/4+'3-1.人員刷卡出勤'!Y12/2+'3-1.人員刷卡出勤'!Y15/2++'3-1.人員刷卡出勤'!Y24/2</f>
        <v>191.75</v>
      </c>
      <c r="AB32" s="303">
        <f>'3-1.人員刷卡出勤'!Z9/4+'3-1.人員刷卡出勤'!Z12/2+'3-1.人員刷卡出勤'!Z15/2++'3-1.人員刷卡出勤'!Z24/2</f>
        <v>194.5</v>
      </c>
      <c r="AC32" s="303">
        <f>'3-1.人員刷卡出勤'!AA9/4+'3-1.人員刷卡出勤'!AA12/2+'3-1.人員刷卡出勤'!AA15/2++'3-1.人員刷卡出勤'!AA24/2</f>
        <v>31.5</v>
      </c>
      <c r="AD32" s="303">
        <f>'3-1.人員刷卡出勤'!AB9/4+'3-1.人員刷卡出勤'!AB12/2+'3-1.人員刷卡出勤'!AB15/2++'3-1.人員刷卡出勤'!AB24/2</f>
        <v>0</v>
      </c>
      <c r="AE32" s="303">
        <f>'3-1.人員刷卡出勤'!AC9/4+'3-1.人員刷卡出勤'!AC12/2+'3-1.人員刷卡出勤'!AC15/2++'3-1.人員刷卡出勤'!AC24/2</f>
        <v>0</v>
      </c>
      <c r="AF32" s="303">
        <f>'3-1.人員刷卡出勤'!AD9/4+'3-1.人員刷卡出勤'!AD12/2+'3-1.人員刷卡出勤'!AD15/2++'3-1.人員刷卡出勤'!AD24/2</f>
        <v>0</v>
      </c>
      <c r="AG32" s="303">
        <f>'3-1.人員刷卡出勤'!AE9/4+'3-1.人員刷卡出勤'!AE12/2+'3-1.人員刷卡出勤'!AE15/2++'3-1.人員刷卡出勤'!AE24/2</f>
        <v>0</v>
      </c>
      <c r="AH32" s="303">
        <f>'3-1.人員刷卡出勤'!AF9/4+'3-1.人員刷卡出勤'!AF12/2+'3-1.人員刷卡出勤'!AF15/2++'3-1.人員刷卡出勤'!AF24/2</f>
        <v>0</v>
      </c>
      <c r="AI32" s="303">
        <f>'3-1.人員刷卡出勤'!AG9/4+'3-1.人員刷卡出勤'!AG12/2+'3-1.人員刷卡出勤'!AG15/2++'3-1.人員刷卡出勤'!AG24/2</f>
        <v>0</v>
      </c>
      <c r="AJ32" s="8"/>
    </row>
    <row r="33" spans="1:36">
      <c r="A33" s="372"/>
      <c r="B33" s="299" t="s">
        <v>52</v>
      </c>
      <c r="C33" s="301">
        <f>C30/(C29+C31+C32)</f>
        <v>0.8917141227346167</v>
      </c>
      <c r="D33" s="301">
        <f t="shared" ref="D33" si="4">D30/(D29+D31+D32)</f>
        <v>0.8917141227346167</v>
      </c>
      <c r="E33" s="301">
        <f>IF(E30&gt;0,E30/(E29+E31+E32),0)</f>
        <v>0.93058988576391211</v>
      </c>
      <c r="F33" s="301">
        <f t="shared" ref="F33:AI33" si="5">IF(F30&gt;0,F30/(F29+F31+F32),0)</f>
        <v>0.89630321633524623</v>
      </c>
      <c r="G33" s="301">
        <f t="shared" si="5"/>
        <v>0.92293786823781465</v>
      </c>
      <c r="H33" s="301">
        <f t="shared" si="5"/>
        <v>0.96150469372594038</v>
      </c>
      <c r="I33" s="301">
        <f t="shared" si="5"/>
        <v>0</v>
      </c>
      <c r="J33" s="301">
        <f t="shared" si="5"/>
        <v>0.97570988710229212</v>
      </c>
      <c r="K33" s="301">
        <f t="shared" si="5"/>
        <v>0.96273291925465843</v>
      </c>
      <c r="L33" s="301">
        <f t="shared" si="5"/>
        <v>0.96182639778781953</v>
      </c>
      <c r="M33" s="301">
        <f t="shared" si="5"/>
        <v>0.89118892398682703</v>
      </c>
      <c r="N33" s="301">
        <f t="shared" si="5"/>
        <v>0.94049929723579417</v>
      </c>
      <c r="O33" s="301">
        <f t="shared" si="5"/>
        <v>0.90404682274247494</v>
      </c>
      <c r="P33" s="301">
        <f t="shared" si="5"/>
        <v>0</v>
      </c>
      <c r="Q33" s="301">
        <f t="shared" si="5"/>
        <v>0.89656562941057871</v>
      </c>
      <c r="R33" s="301">
        <f t="shared" si="5"/>
        <v>0.88672543086435995</v>
      </c>
      <c r="S33" s="301">
        <f t="shared" si="5"/>
        <v>0.8036644038753048</v>
      </c>
      <c r="T33" s="301">
        <f t="shared" si="5"/>
        <v>0.83425157650182546</v>
      </c>
      <c r="U33" s="301">
        <f t="shared" si="5"/>
        <v>0.88319562899786785</v>
      </c>
      <c r="V33" s="301">
        <f t="shared" si="5"/>
        <v>0.87607497984412797</v>
      </c>
      <c r="W33" s="301">
        <f t="shared" si="5"/>
        <v>0</v>
      </c>
      <c r="X33" s="301">
        <f t="shared" si="5"/>
        <v>0.85158395284977562</v>
      </c>
      <c r="Y33" s="301">
        <f t="shared" si="5"/>
        <v>0.82069219440353458</v>
      </c>
      <c r="Z33" s="301">
        <f t="shared" si="5"/>
        <v>0.82160787422380765</v>
      </c>
      <c r="AA33" s="301">
        <f t="shared" si="5"/>
        <v>0.84532874263391378</v>
      </c>
      <c r="AB33" s="301">
        <f t="shared" si="5"/>
        <v>0.85049280767181668</v>
      </c>
      <c r="AC33" s="301">
        <f t="shared" si="5"/>
        <v>0</v>
      </c>
      <c r="AD33" s="301">
        <f t="shared" si="5"/>
        <v>0</v>
      </c>
      <c r="AE33" s="301">
        <f t="shared" si="5"/>
        <v>0</v>
      </c>
      <c r="AF33" s="301">
        <f t="shared" si="5"/>
        <v>0</v>
      </c>
      <c r="AG33" s="301">
        <f t="shared" si="5"/>
        <v>0</v>
      </c>
      <c r="AH33" s="301">
        <f t="shared" si="5"/>
        <v>0</v>
      </c>
      <c r="AI33" s="301">
        <f t="shared" si="5"/>
        <v>0</v>
      </c>
      <c r="AJ33" s="8"/>
    </row>
    <row r="34" spans="1:36">
      <c r="A34" s="370" t="s">
        <v>100</v>
      </c>
      <c r="B34" s="174" t="s">
        <v>108</v>
      </c>
      <c r="C34" s="297">
        <f>'3.6.A廠總計產能'!C28</f>
        <v>48944</v>
      </c>
      <c r="D34" s="297">
        <f>'3.6.A廠總計產能'!D28</f>
        <v>2330.6666666666665</v>
      </c>
      <c r="E34" s="297">
        <f>'3.6.A廠總計產能'!E28</f>
        <v>2480</v>
      </c>
      <c r="F34" s="297">
        <f>'3.6.A廠總計產能'!F28</f>
        <v>2480</v>
      </c>
      <c r="G34" s="297">
        <f>'3.6.A廠總計產能'!G28</f>
        <v>2480</v>
      </c>
      <c r="H34" s="297">
        <f>'3.6.A廠總計產能'!H28</f>
        <v>2480</v>
      </c>
      <c r="I34" s="297">
        <f>'3.6.A廠總計產能'!I28</f>
        <v>0</v>
      </c>
      <c r="J34" s="297">
        <f>'3.6.A廠總計產能'!J28</f>
        <v>2480</v>
      </c>
      <c r="K34" s="297">
        <f>'3.6.A廠總計產能'!K28</f>
        <v>2480</v>
      </c>
      <c r="L34" s="297">
        <f>'3.6.A廠總計產能'!L28</f>
        <v>2480</v>
      </c>
      <c r="M34" s="297">
        <f>'3.6.A廠總計產能'!M28</f>
        <v>2480</v>
      </c>
      <c r="N34" s="297">
        <f>'3.6.A廠總計產能'!N28</f>
        <v>2480</v>
      </c>
      <c r="O34" s="297">
        <f>'3.6.A廠總計產能'!O28</f>
        <v>2480</v>
      </c>
      <c r="P34" s="297">
        <f>'3.6.A廠總計產能'!P28</f>
        <v>0</v>
      </c>
      <c r="Q34" s="297">
        <f>'3.6.A廠總計產能'!Q28</f>
        <v>2480</v>
      </c>
      <c r="R34" s="297">
        <f>'3.6.A廠總計產能'!R28</f>
        <v>2480</v>
      </c>
      <c r="S34" s="297">
        <f>'3.6.A廠總計產能'!S28</f>
        <v>2480</v>
      </c>
      <c r="T34" s="297">
        <f>'3.6.A廠總計產能'!T28</f>
        <v>2480</v>
      </c>
      <c r="U34" s="297">
        <f>'3.6.A廠總計產能'!U28</f>
        <v>2480</v>
      </c>
      <c r="V34" s="297">
        <f>'3.6.A廠總計產能'!V28</f>
        <v>2480</v>
      </c>
      <c r="W34" s="297">
        <f>'3.6.A廠總計產能'!W28</f>
        <v>0</v>
      </c>
      <c r="X34" s="297">
        <f>'3.6.A廠總計產能'!X28</f>
        <v>2272</v>
      </c>
      <c r="Y34" s="297">
        <f>'3.6.A廠總計產能'!Y28</f>
        <v>1856</v>
      </c>
      <c r="Z34" s="297">
        <f>'3.6.A廠總計產能'!Z28</f>
        <v>1920</v>
      </c>
      <c r="AA34" s="297">
        <f>'3.6.A廠總計產能'!AA28</f>
        <v>1568</v>
      </c>
      <c r="AB34" s="297">
        <f>'3.6.A廠總計產能'!AB28</f>
        <v>1648</v>
      </c>
      <c r="AC34" s="297">
        <f>'3.6.A廠總計產能'!AC28</f>
        <v>0</v>
      </c>
      <c r="AD34" s="297">
        <f>'3.6.A廠總計產能'!AD28</f>
        <v>0</v>
      </c>
      <c r="AE34" s="297">
        <f>'3.6.A廠總計產能'!AE28</f>
        <v>0</v>
      </c>
      <c r="AF34" s="297">
        <f>'3.6.A廠總計產能'!AF28</f>
        <v>0</v>
      </c>
      <c r="AG34" s="297">
        <f>'3.6.A廠總計產能'!AG28</f>
        <v>0</v>
      </c>
      <c r="AH34" s="297">
        <f>'3.6.A廠總計產能'!AH28</f>
        <v>0</v>
      </c>
      <c r="AI34" s="297">
        <f>'3.6.A廠總計產能'!AI28</f>
        <v>0</v>
      </c>
      <c r="AJ34" s="8"/>
    </row>
    <row r="35" spans="1:36">
      <c r="A35" s="371"/>
      <c r="B35" s="174" t="s">
        <v>46</v>
      </c>
      <c r="C35" s="297">
        <f>'3.6.A廠總計產能'!C29</f>
        <v>44520</v>
      </c>
      <c r="D35" s="297">
        <f>'3.6.A廠總計產能'!D29</f>
        <v>2120</v>
      </c>
      <c r="E35" s="297">
        <f>'3.6.A廠總計產能'!E29</f>
        <v>2400</v>
      </c>
      <c r="F35" s="297">
        <f>'3.6.A廠總計產能'!F29</f>
        <v>2400</v>
      </c>
      <c r="G35" s="297">
        <f>'3.6.A廠總計產能'!G29</f>
        <v>2400</v>
      </c>
      <c r="H35" s="297">
        <f>'3.6.A廠總計產能'!H29</f>
        <v>2400</v>
      </c>
      <c r="I35" s="297">
        <f>'3.6.A廠總計產能'!I29</f>
        <v>0</v>
      </c>
      <c r="J35" s="297">
        <f>'3.6.A廠總計產能'!J29</f>
        <v>2400</v>
      </c>
      <c r="K35" s="297">
        <f>'3.6.A廠總計產能'!K29</f>
        <v>2400</v>
      </c>
      <c r="L35" s="297">
        <f>'3.6.A廠總計產能'!L29</f>
        <v>2400</v>
      </c>
      <c r="M35" s="297">
        <f>'3.6.A廠總計產能'!M29</f>
        <v>2400</v>
      </c>
      <c r="N35" s="297">
        <f>'3.6.A廠總計產能'!N29</f>
        <v>2400</v>
      </c>
      <c r="O35" s="297">
        <f>'3.6.A廠總計產能'!O29</f>
        <v>2400</v>
      </c>
      <c r="P35" s="297">
        <f>'3.6.A廠總計產能'!P29</f>
        <v>0</v>
      </c>
      <c r="Q35" s="297">
        <f>'3.6.A廠總計產能'!Q29</f>
        <v>2400</v>
      </c>
      <c r="R35" s="297">
        <f>'3.6.A廠總計產能'!R29</f>
        <v>2400</v>
      </c>
      <c r="S35" s="297">
        <f>'3.6.A廠總計產能'!S29</f>
        <v>2400</v>
      </c>
      <c r="T35" s="297">
        <f>'3.6.A廠總計產能'!T29</f>
        <v>2400</v>
      </c>
      <c r="U35" s="297">
        <f>'3.6.A廠總計產能'!U29</f>
        <v>2400</v>
      </c>
      <c r="V35" s="297">
        <f>'3.6.A廠總計產能'!V29</f>
        <v>2400</v>
      </c>
      <c r="W35" s="297">
        <f>'3.6.A廠總計產能'!W29</f>
        <v>0</v>
      </c>
      <c r="X35" s="297">
        <f>'3.6.A廠總計產能'!X29</f>
        <v>1020</v>
      </c>
      <c r="Y35" s="297">
        <f>'3.6.A廠總計產能'!Y29</f>
        <v>1020</v>
      </c>
      <c r="Z35" s="297">
        <f>'3.6.A廠總計產能'!Z29</f>
        <v>1360</v>
      </c>
      <c r="AA35" s="297">
        <f>'3.6.A廠總計產能'!AA29</f>
        <v>1360</v>
      </c>
      <c r="AB35" s="297">
        <f>'3.6.A廠總計產能'!AB29</f>
        <v>1360</v>
      </c>
      <c r="AC35" s="297">
        <f>'3.6.A廠總計產能'!AC29</f>
        <v>1360</v>
      </c>
      <c r="AD35" s="297">
        <f>'3.6.A廠總計產能'!AD29</f>
        <v>0</v>
      </c>
      <c r="AE35" s="297">
        <f>'3.6.A廠總計產能'!AE29</f>
        <v>1360</v>
      </c>
      <c r="AF35" s="297">
        <f>'3.6.A廠總計產能'!AF29</f>
        <v>1360</v>
      </c>
      <c r="AG35" s="297">
        <f>'3.6.A廠總計產能'!AG29</f>
        <v>1360</v>
      </c>
      <c r="AH35" s="297">
        <f>'3.6.A廠總計產能'!AH29</f>
        <v>1360</v>
      </c>
      <c r="AI35" s="297">
        <f>'3.6.A廠總計產能'!AI29</f>
        <v>1360</v>
      </c>
      <c r="AJ35" s="8"/>
    </row>
    <row r="36" spans="1:36">
      <c r="A36" s="371"/>
      <c r="B36" s="175" t="s">
        <v>47</v>
      </c>
      <c r="C36" s="298">
        <f>'3.6.A廠總計產能'!C30</f>
        <v>45120</v>
      </c>
      <c r="D36" s="298">
        <f>'3.6.A廠總計產能'!D30</f>
        <v>2148.5714285714284</v>
      </c>
      <c r="E36" s="298">
        <f>'3.6.A廠總計產能'!E30</f>
        <v>2000</v>
      </c>
      <c r="F36" s="298">
        <f>'3.6.A廠總計產能'!F30</f>
        <v>2500</v>
      </c>
      <c r="G36" s="298">
        <f>'3.6.A廠總計產能'!G30</f>
        <v>2500</v>
      </c>
      <c r="H36" s="298">
        <f>'3.6.A廠總計產能'!H30</f>
        <v>2600</v>
      </c>
      <c r="I36" s="298">
        <f>'3.6.A廠總計產能'!I30</f>
        <v>0</v>
      </c>
      <c r="J36" s="298">
        <f>'3.6.A廠總計產能'!J30</f>
        <v>4000</v>
      </c>
      <c r="K36" s="298">
        <f>'3.6.A廠總計產能'!K30</f>
        <v>3100</v>
      </c>
      <c r="L36" s="298">
        <f>'3.6.A廠總計產能'!L30</f>
        <v>2400</v>
      </c>
      <c r="M36" s="298">
        <f>'3.6.A廠總計產能'!M30</f>
        <v>2400</v>
      </c>
      <c r="N36" s="298">
        <f>'3.6.A廠總計產能'!N30</f>
        <v>2400</v>
      </c>
      <c r="O36" s="298">
        <f>'3.6.A廠總計產能'!O30</f>
        <v>2400</v>
      </c>
      <c r="P36" s="298">
        <f>'3.6.A廠總計產能'!P30</f>
        <v>0</v>
      </c>
      <c r="Q36" s="298">
        <f>'3.6.A廠總計產能'!Q30</f>
        <v>2400</v>
      </c>
      <c r="R36" s="298">
        <f>'3.6.A廠總計產能'!R30</f>
        <v>1700</v>
      </c>
      <c r="S36" s="298">
        <f>'3.6.A廠總計產能'!S30</f>
        <v>2000</v>
      </c>
      <c r="T36" s="298">
        <f>'3.6.A廠總計產能'!T30</f>
        <v>1800</v>
      </c>
      <c r="U36" s="298">
        <f>'3.6.A廠總計產能'!U30</f>
        <v>2400</v>
      </c>
      <c r="V36" s="298">
        <f>'3.6.A廠總計產能'!V30</f>
        <v>2400</v>
      </c>
      <c r="W36" s="298">
        <f>'3.6.A廠總計產能'!W30</f>
        <v>0</v>
      </c>
      <c r="X36" s="298">
        <f>'3.6.A廠總計產能'!X30</f>
        <v>1020</v>
      </c>
      <c r="Y36" s="298">
        <f>'3.6.A廠總計產能'!Y30</f>
        <v>1020</v>
      </c>
      <c r="Z36" s="298">
        <f>'3.6.A廠總計產能'!Z30</f>
        <v>1360</v>
      </c>
      <c r="AA36" s="298">
        <f>'3.6.A廠總計產能'!AA30</f>
        <v>1360</v>
      </c>
      <c r="AB36" s="298">
        <f>'3.6.A廠總計產能'!AB30</f>
        <v>1360</v>
      </c>
      <c r="AC36" s="298">
        <f>'3.6.A廠總計產能'!AC30</f>
        <v>0</v>
      </c>
      <c r="AD36" s="298">
        <f>'3.6.A廠總計產能'!AD30</f>
        <v>0</v>
      </c>
      <c r="AE36" s="298">
        <f>'3.6.A廠總計產能'!AE30</f>
        <v>0</v>
      </c>
      <c r="AF36" s="298">
        <f>'3.6.A廠總計產能'!AF30</f>
        <v>0</v>
      </c>
      <c r="AG36" s="298">
        <f>'3.6.A廠總計產能'!AG30</f>
        <v>0</v>
      </c>
      <c r="AH36" s="298">
        <f>'3.6.A廠總計產能'!AH30</f>
        <v>0</v>
      </c>
      <c r="AI36" s="298">
        <f>'3.6.A廠總計產能'!AI30</f>
        <v>0</v>
      </c>
      <c r="AJ36" s="8"/>
    </row>
    <row r="37" spans="1:36">
      <c r="A37" s="371"/>
      <c r="B37" s="175" t="s">
        <v>48</v>
      </c>
      <c r="C37" s="298">
        <f>'3.6.A廠總計產能'!C31</f>
        <v>600</v>
      </c>
      <c r="D37" s="298">
        <f>'3.6.A廠總計產能'!D31</f>
        <v>28.571428571428573</v>
      </c>
      <c r="E37" s="298">
        <f>'3.6.A廠總計產能'!E31</f>
        <v>-400</v>
      </c>
      <c r="F37" s="298">
        <f>'3.6.A廠總計產能'!F31</f>
        <v>100</v>
      </c>
      <c r="G37" s="298">
        <f>'3.6.A廠總計產能'!G31</f>
        <v>100</v>
      </c>
      <c r="H37" s="298">
        <f>'3.6.A廠總計產能'!H31</f>
        <v>200</v>
      </c>
      <c r="I37" s="298">
        <f>'3.6.A廠總計產能'!I31</f>
        <v>0</v>
      </c>
      <c r="J37" s="298">
        <f>'3.6.A廠總計產能'!J31</f>
        <v>1600</v>
      </c>
      <c r="K37" s="298">
        <f>'3.6.A廠總計產能'!K31</f>
        <v>700</v>
      </c>
      <c r="L37" s="298">
        <f>'3.6.A廠總計產能'!L31</f>
        <v>0</v>
      </c>
      <c r="M37" s="298">
        <f>'3.6.A廠總計產能'!M31</f>
        <v>0</v>
      </c>
      <c r="N37" s="298">
        <f>'3.6.A廠總計產能'!N31</f>
        <v>0</v>
      </c>
      <c r="O37" s="298">
        <f>'3.6.A廠總計產能'!O31</f>
        <v>0</v>
      </c>
      <c r="P37" s="298">
        <f>'3.6.A廠總計產能'!P31</f>
        <v>0</v>
      </c>
      <c r="Q37" s="298">
        <f>'3.6.A廠總計產能'!Q31</f>
        <v>0</v>
      </c>
      <c r="R37" s="298">
        <f>'3.6.A廠總計產能'!R31</f>
        <v>-700</v>
      </c>
      <c r="S37" s="298">
        <f>'3.6.A廠總計產能'!S31</f>
        <v>-400</v>
      </c>
      <c r="T37" s="298">
        <f>'3.6.A廠總計產能'!T31</f>
        <v>-600</v>
      </c>
      <c r="U37" s="298">
        <f>'3.6.A廠總計產能'!U31</f>
        <v>0</v>
      </c>
      <c r="V37" s="298">
        <f>'3.6.A廠總計產能'!V31</f>
        <v>0</v>
      </c>
      <c r="W37" s="298">
        <f>'3.6.A廠總計產能'!W31</f>
        <v>0</v>
      </c>
      <c r="X37" s="298">
        <f>'3.6.A廠總計產能'!X31</f>
        <v>0</v>
      </c>
      <c r="Y37" s="298">
        <f>'3.6.A廠總計產能'!Y31</f>
        <v>0</v>
      </c>
      <c r="Z37" s="298">
        <f>'3.6.A廠總計產能'!Z31</f>
        <v>0</v>
      </c>
      <c r="AA37" s="298">
        <f>'3.6.A廠總計產能'!AA31</f>
        <v>0</v>
      </c>
      <c r="AB37" s="298">
        <f>'3.6.A廠總計產能'!AB31</f>
        <v>0</v>
      </c>
      <c r="AC37" s="298">
        <f>'3.6.A廠總計產能'!AC31</f>
        <v>0</v>
      </c>
      <c r="AD37" s="298">
        <f>'3.6.A廠總計產能'!AD31</f>
        <v>0</v>
      </c>
      <c r="AE37" s="298">
        <f>'3.6.A廠總計產能'!AE31</f>
        <v>0</v>
      </c>
      <c r="AF37" s="298">
        <f>'3.6.A廠總計產能'!AF31</f>
        <v>0</v>
      </c>
      <c r="AG37" s="298">
        <f>'3.6.A廠總計產能'!AG31</f>
        <v>0</v>
      </c>
      <c r="AH37" s="298">
        <f>'3.6.A廠總計產能'!AH31</f>
        <v>0</v>
      </c>
      <c r="AI37" s="298">
        <f>'3.6.A廠總計產能'!AI31</f>
        <v>0</v>
      </c>
      <c r="AJ37" s="8"/>
    </row>
    <row r="38" spans="1:36">
      <c r="A38" s="371"/>
      <c r="B38" s="175" t="s">
        <v>49</v>
      </c>
      <c r="C38" s="298">
        <f>'3.6.A廠總計產能'!C32</f>
        <v>168</v>
      </c>
      <c r="D38" s="298">
        <f>'3.6.A廠總計產能'!D32</f>
        <v>8</v>
      </c>
      <c r="E38" s="298">
        <f>'3.6.A廠總計產能'!E32</f>
        <v>8</v>
      </c>
      <c r="F38" s="298">
        <f>'3.6.A廠總計產能'!F32</f>
        <v>8</v>
      </c>
      <c r="G38" s="298">
        <f>'3.6.A廠總計產能'!G32</f>
        <v>8</v>
      </c>
      <c r="H38" s="298">
        <f>'3.6.A廠總計產能'!H32</f>
        <v>8</v>
      </c>
      <c r="I38" s="298">
        <f>'3.6.A廠總計產能'!I32</f>
        <v>0</v>
      </c>
      <c r="J38" s="298">
        <f>'3.6.A廠總計產能'!J32</f>
        <v>8</v>
      </c>
      <c r="K38" s="298">
        <f>'3.6.A廠總計產能'!K32</f>
        <v>8</v>
      </c>
      <c r="L38" s="298">
        <f>'3.6.A廠總計產能'!L32</f>
        <v>8</v>
      </c>
      <c r="M38" s="298">
        <f>'3.6.A廠總計產能'!M32</f>
        <v>8</v>
      </c>
      <c r="N38" s="298">
        <f>'3.6.A廠總計產能'!N32</f>
        <v>8</v>
      </c>
      <c r="O38" s="298">
        <f>'3.6.A廠總計產能'!O32</f>
        <v>8</v>
      </c>
      <c r="P38" s="298">
        <f>'3.6.A廠總計產能'!P32</f>
        <v>0</v>
      </c>
      <c r="Q38" s="298">
        <f>'3.6.A廠總計產能'!Q32</f>
        <v>8</v>
      </c>
      <c r="R38" s="298">
        <f>'3.6.A廠總計產能'!R32</f>
        <v>8</v>
      </c>
      <c r="S38" s="298">
        <f>'3.6.A廠總計產能'!S32</f>
        <v>8</v>
      </c>
      <c r="T38" s="298">
        <f>'3.6.A廠總計產能'!T32</f>
        <v>8</v>
      </c>
      <c r="U38" s="298">
        <f>'3.6.A廠總計產能'!U32</f>
        <v>8</v>
      </c>
      <c r="V38" s="298">
        <f>'3.6.A廠總計產能'!V32</f>
        <v>8</v>
      </c>
      <c r="W38" s="298">
        <f>'3.6.A廠總計產能'!W32</f>
        <v>0</v>
      </c>
      <c r="X38" s="298">
        <f>'3.6.A廠總計產能'!X32</f>
        <v>8</v>
      </c>
      <c r="Y38" s="298">
        <f>'3.6.A廠總計產能'!Y32</f>
        <v>8</v>
      </c>
      <c r="Z38" s="298">
        <f>'3.6.A廠總計產能'!Z32</f>
        <v>8</v>
      </c>
      <c r="AA38" s="298">
        <f>'3.6.A廠總計產能'!AA32</f>
        <v>8</v>
      </c>
      <c r="AB38" s="298">
        <f>'3.6.A廠總計產能'!AB32</f>
        <v>8</v>
      </c>
      <c r="AC38" s="298">
        <f>'3.6.A廠總計產能'!AC32</f>
        <v>0</v>
      </c>
      <c r="AD38" s="298">
        <f>'3.6.A廠總計產能'!AD32</f>
        <v>0</v>
      </c>
      <c r="AE38" s="298">
        <f>'3.6.A廠總計產能'!AE32</f>
        <v>0</v>
      </c>
      <c r="AF38" s="298">
        <f>'3.6.A廠總計產能'!AF32</f>
        <v>0</v>
      </c>
      <c r="AG38" s="298">
        <f>'3.6.A廠總計產能'!AG32</f>
        <v>0</v>
      </c>
      <c r="AH38" s="298">
        <f>'3.6.A廠總計產能'!AH32</f>
        <v>0</v>
      </c>
      <c r="AI38" s="298">
        <f>'3.6.A廠總計產能'!AI32</f>
        <v>0</v>
      </c>
      <c r="AJ38" s="8"/>
    </row>
    <row r="39" spans="1:36">
      <c r="A39" s="371"/>
      <c r="B39" s="175" t="s">
        <v>50</v>
      </c>
      <c r="C39" s="298">
        <f>'3.6.A廠總計產能'!C33</f>
        <v>279</v>
      </c>
      <c r="D39" s="298">
        <f>'3.6.A廠總計產能'!D33</f>
        <v>279</v>
      </c>
      <c r="E39" s="298">
        <f>'3.6.A廠總計產能'!E33</f>
        <v>286</v>
      </c>
      <c r="F39" s="298">
        <f>'3.6.A廠總計產能'!F33</f>
        <v>284</v>
      </c>
      <c r="G39" s="298">
        <f>'3.6.A廠總計產能'!G33</f>
        <v>283</v>
      </c>
      <c r="H39" s="298">
        <f>'3.6.A廠總計產能'!H33</f>
        <v>288</v>
      </c>
      <c r="I39" s="298">
        <f>'3.6.A廠總計產能'!I33</f>
        <v>0</v>
      </c>
      <c r="J39" s="298">
        <f>'3.6.A廠總計產能'!J33</f>
        <v>278</v>
      </c>
      <c r="K39" s="298">
        <f>'3.6.A廠總計產能'!K33</f>
        <v>282</v>
      </c>
      <c r="L39" s="298">
        <f>'3.6.A廠總計產能'!L33</f>
        <v>281</v>
      </c>
      <c r="M39" s="298">
        <f>'3.6.A廠總計產能'!M33</f>
        <v>282</v>
      </c>
      <c r="N39" s="298">
        <f>'3.6.A廠總計產能'!N33</f>
        <v>282</v>
      </c>
      <c r="O39" s="298">
        <f>'3.6.A廠總計產能'!O33</f>
        <v>277</v>
      </c>
      <c r="P39" s="298">
        <f>'3.6.A廠總計產能'!P33</f>
        <v>0</v>
      </c>
      <c r="Q39" s="298">
        <f>'3.6.A廠總計產能'!Q33</f>
        <v>274</v>
      </c>
      <c r="R39" s="298">
        <f>'3.6.A廠總計產能'!R33</f>
        <v>278</v>
      </c>
      <c r="S39" s="298">
        <f>'3.6.A廠總計產能'!S33</f>
        <v>280</v>
      </c>
      <c r="T39" s="298">
        <f>'3.6.A廠總計產能'!T33</f>
        <v>271</v>
      </c>
      <c r="U39" s="298">
        <f>'3.6.A廠總計產能'!U33</f>
        <v>284</v>
      </c>
      <c r="V39" s="298">
        <f>'3.6.A廠總計產能'!V33</f>
        <v>276</v>
      </c>
      <c r="W39" s="298">
        <f>'3.6.A廠總計產能'!W33</f>
        <v>0</v>
      </c>
      <c r="X39" s="298">
        <f>'3.6.A廠總計產能'!X33</f>
        <v>277</v>
      </c>
      <c r="Y39" s="298">
        <f>'3.6.A廠總計產能'!Y33</f>
        <v>278</v>
      </c>
      <c r="Z39" s="298">
        <f>'3.6.A廠總計產能'!Z33</f>
        <v>278</v>
      </c>
      <c r="AA39" s="298">
        <f>'3.6.A廠總計產能'!AA33</f>
        <v>278</v>
      </c>
      <c r="AB39" s="298">
        <f>'3.6.A廠總計產能'!AB33</f>
        <v>278</v>
      </c>
      <c r="AC39" s="298">
        <f>'3.6.A廠總計產能'!AC33</f>
        <v>0</v>
      </c>
      <c r="AD39" s="298">
        <f>'3.6.A廠總計產能'!AD33</f>
        <v>0</v>
      </c>
      <c r="AE39" s="298">
        <f>'3.6.A廠總計產能'!AE33</f>
        <v>0</v>
      </c>
      <c r="AF39" s="298">
        <f>'3.6.A廠總計產能'!AF33</f>
        <v>0</v>
      </c>
      <c r="AG39" s="298">
        <f>'3.6.A廠總計產能'!AG33</f>
        <v>0</v>
      </c>
      <c r="AH39" s="298">
        <f>'3.6.A廠總計產能'!AH33</f>
        <v>0</v>
      </c>
      <c r="AI39" s="298">
        <f>'3.6.A廠總計產能'!AI33</f>
        <v>0</v>
      </c>
      <c r="AJ39" s="8"/>
    </row>
    <row r="40" spans="1:36">
      <c r="A40" s="371"/>
      <c r="B40" s="175" t="s">
        <v>51</v>
      </c>
      <c r="C40" s="298">
        <f>'3.6.A廠總計產能'!C34</f>
        <v>268.57142857142856</v>
      </c>
      <c r="D40" s="298">
        <f>'3.6.A廠總計產能'!D34</f>
        <v>268.57142857142856</v>
      </c>
      <c r="E40" s="298">
        <f>'3.6.A廠總計產能'!E34</f>
        <v>250</v>
      </c>
      <c r="F40" s="298">
        <f>'3.6.A廠總計產能'!F34</f>
        <v>312.5</v>
      </c>
      <c r="G40" s="298">
        <f>'3.6.A廠總計產能'!G34</f>
        <v>312.5</v>
      </c>
      <c r="H40" s="298">
        <f>'3.6.A廠總計產能'!H34</f>
        <v>325</v>
      </c>
      <c r="I40" s="298">
        <f>'3.6.A廠總計產能'!I34</f>
        <v>0</v>
      </c>
      <c r="J40" s="298">
        <f>'3.6.A廠總計產能'!J34</f>
        <v>500</v>
      </c>
      <c r="K40" s="298">
        <f>'3.6.A廠總計產能'!K34</f>
        <v>387.5</v>
      </c>
      <c r="L40" s="298">
        <f>'3.6.A廠總計產能'!L34</f>
        <v>300</v>
      </c>
      <c r="M40" s="298">
        <f>'3.6.A廠總計產能'!M34</f>
        <v>300</v>
      </c>
      <c r="N40" s="298">
        <f>'3.6.A廠總計產能'!N34</f>
        <v>300</v>
      </c>
      <c r="O40" s="298">
        <f>'3.6.A廠總計產能'!O34</f>
        <v>300</v>
      </c>
      <c r="P40" s="298">
        <f>'3.6.A廠總計產能'!P34</f>
        <v>0</v>
      </c>
      <c r="Q40" s="298">
        <f>'3.6.A廠總計產能'!Q34</f>
        <v>300</v>
      </c>
      <c r="R40" s="298">
        <f>'3.6.A廠總計產能'!R34</f>
        <v>212.5</v>
      </c>
      <c r="S40" s="298">
        <f>'3.6.A廠總計產能'!S34</f>
        <v>250</v>
      </c>
      <c r="T40" s="298">
        <f>'3.6.A廠總計產能'!T34</f>
        <v>225</v>
      </c>
      <c r="U40" s="298">
        <f>'3.6.A廠總計產能'!U34</f>
        <v>300</v>
      </c>
      <c r="V40" s="298">
        <f>'3.6.A廠總計產能'!V34</f>
        <v>300</v>
      </c>
      <c r="W40" s="298">
        <f>'3.6.A廠總計產能'!W34</f>
        <v>0</v>
      </c>
      <c r="X40" s="298">
        <f>'3.6.A廠總計產能'!X34</f>
        <v>127.5</v>
      </c>
      <c r="Y40" s="298">
        <f>'3.6.A廠總計產能'!Y34</f>
        <v>127.5</v>
      </c>
      <c r="Z40" s="298">
        <f>'3.6.A廠總計產能'!Z34</f>
        <v>170</v>
      </c>
      <c r="AA40" s="298">
        <f>'3.6.A廠總計產能'!AA34</f>
        <v>170</v>
      </c>
      <c r="AB40" s="298">
        <f>'3.6.A廠總計產能'!AB34</f>
        <v>170</v>
      </c>
      <c r="AC40" s="298">
        <f>'3.6.A廠總計產能'!AC34</f>
        <v>0</v>
      </c>
      <c r="AD40" s="298">
        <f>'3.6.A廠總計產能'!AD34</f>
        <v>0</v>
      </c>
      <c r="AE40" s="298">
        <f>'3.6.A廠總計產能'!AE34</f>
        <v>0</v>
      </c>
      <c r="AF40" s="298">
        <f>'3.6.A廠總計產能'!AF34</f>
        <v>0</v>
      </c>
      <c r="AG40" s="298">
        <f>'3.6.A廠總計產能'!AG34</f>
        <v>0</v>
      </c>
      <c r="AH40" s="298">
        <f>'3.6.A廠總計產能'!AH34</f>
        <v>0</v>
      </c>
      <c r="AI40" s="298">
        <f>'3.6.A廠總計產能'!AI34</f>
        <v>0</v>
      </c>
      <c r="AJ40" s="8"/>
    </row>
    <row r="41" spans="1:36">
      <c r="A41" s="372"/>
      <c r="B41" s="299" t="s">
        <v>52</v>
      </c>
      <c r="C41" s="305">
        <f>'3.6.A廠總計產能'!C35</f>
        <v>0.96260000000000001</v>
      </c>
      <c r="D41" s="305">
        <f>'3.6.A廠總計產能'!D35</f>
        <v>0.96260000000000001</v>
      </c>
      <c r="E41" s="305">
        <f>'3.6.A廠總計產能'!E35</f>
        <v>0.87409999999999999</v>
      </c>
      <c r="F41" s="305">
        <f>'3.6.A廠總計產能'!F35</f>
        <v>1.1004</v>
      </c>
      <c r="G41" s="305">
        <f>'3.6.A廠總計產能'!G35</f>
        <v>1.1042000000000001</v>
      </c>
      <c r="H41" s="305">
        <f>'3.6.A廠總計產能'!H35</f>
        <v>1.1285000000000001</v>
      </c>
      <c r="I41" s="305">
        <f>'3.6.A廠總計產能'!I35</f>
        <v>0</v>
      </c>
      <c r="J41" s="305">
        <f>'3.6.A廠總計產能'!J35</f>
        <v>1.7986</v>
      </c>
      <c r="K41" s="305">
        <f>'3.6.A廠總計產能'!K35</f>
        <v>1.3740999999999999</v>
      </c>
      <c r="L41" s="305">
        <f>'3.6.A廠總計產能'!L35</f>
        <v>1.0676000000000001</v>
      </c>
      <c r="M41" s="305">
        <f>'3.6.A廠總計產能'!M35</f>
        <v>1.0638000000000001</v>
      </c>
      <c r="N41" s="305">
        <f>'3.6.A廠總計產能'!N35</f>
        <v>1.0638000000000001</v>
      </c>
      <c r="O41" s="305">
        <f>'3.6.A廠總計產能'!O35</f>
        <v>1.083</v>
      </c>
      <c r="P41" s="305">
        <f>'3.6.A廠總計產能'!P35</f>
        <v>0</v>
      </c>
      <c r="Q41" s="305">
        <f>'3.6.A廠總計產能'!Q35</f>
        <v>1.0949</v>
      </c>
      <c r="R41" s="305">
        <f>'3.6.A廠總計產能'!R35</f>
        <v>0.76439999999999997</v>
      </c>
      <c r="S41" s="305">
        <f>'3.6.A廠總計產能'!S35</f>
        <v>0.89290000000000003</v>
      </c>
      <c r="T41" s="305">
        <f>'3.6.A廠總計產能'!T35</f>
        <v>0.83030000000000004</v>
      </c>
      <c r="U41" s="305">
        <f>'3.6.A廠總計產能'!U35</f>
        <v>1.0563</v>
      </c>
      <c r="V41" s="305">
        <f>'3.6.A廠總計產能'!V35</f>
        <v>1.087</v>
      </c>
      <c r="W41" s="305">
        <f>'3.6.A廠總計產能'!W35</f>
        <v>0</v>
      </c>
      <c r="X41" s="305">
        <f>'3.6.A廠總計產能'!X35</f>
        <v>0.46029999999999999</v>
      </c>
      <c r="Y41" s="305">
        <f>'3.6.A廠總計產能'!Y35</f>
        <v>0.45860000000000001</v>
      </c>
      <c r="Z41" s="305">
        <f>'3.6.A廠總計產能'!Z35</f>
        <v>0.61150000000000004</v>
      </c>
      <c r="AA41" s="305">
        <f>'3.6.A廠總計產能'!AA35</f>
        <v>0.61150000000000004</v>
      </c>
      <c r="AB41" s="305">
        <f>'3.6.A廠總計產能'!AB35</f>
        <v>0.61150000000000004</v>
      </c>
      <c r="AC41" s="305">
        <f>'3.6.A廠總計產能'!AC35</f>
        <v>0</v>
      </c>
      <c r="AD41" s="305">
        <f>'3.6.A廠總計產能'!AD35</f>
        <v>0</v>
      </c>
      <c r="AE41" s="305">
        <f>'3.6.A廠總計產能'!AE35</f>
        <v>0</v>
      </c>
      <c r="AF41" s="305">
        <f>'3.6.A廠總計產能'!AF35</f>
        <v>0</v>
      </c>
      <c r="AG41" s="305">
        <f>'3.6.A廠總計產能'!AG35</f>
        <v>0</v>
      </c>
      <c r="AH41" s="305">
        <f>'3.6.A廠總計產能'!AH35</f>
        <v>0</v>
      </c>
      <c r="AI41" s="305">
        <f>'3.6.A廠總計產能'!AI35</f>
        <v>0</v>
      </c>
      <c r="AJ41" s="8"/>
    </row>
  </sheetData>
  <mergeCells count="6">
    <mergeCell ref="A14:A23"/>
    <mergeCell ref="A24:A33"/>
    <mergeCell ref="A34:A41"/>
    <mergeCell ref="A1:B1"/>
    <mergeCell ref="A2:AE2"/>
    <mergeCell ref="A4:A13"/>
  </mergeCells>
  <phoneticPr fontId="37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37"/>
  <sheetViews>
    <sheetView workbookViewId="0">
      <selection sqref="A1:B1"/>
    </sheetView>
  </sheetViews>
  <sheetFormatPr defaultRowHeight="15"/>
  <cols>
    <col min="3" max="3" width="10.140625" customWidth="1"/>
  </cols>
  <sheetData>
    <row r="1" spans="1:35" ht="27.75">
      <c r="A1" s="344" t="s">
        <v>4</v>
      </c>
      <c r="B1" s="345"/>
      <c r="C1" s="110"/>
      <c r="D1" s="111"/>
      <c r="E1" s="111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5" ht="21">
      <c r="A2" s="113" t="s">
        <v>94</v>
      </c>
      <c r="B2" s="113"/>
      <c r="C2" s="114"/>
      <c r="D2" s="113"/>
      <c r="E2" s="113"/>
      <c r="F2" s="113"/>
      <c r="G2" s="114"/>
      <c r="H2" s="114"/>
      <c r="I2" s="114"/>
      <c r="J2" s="113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</row>
    <row r="3" spans="1:35" ht="16.5">
      <c r="A3" s="111"/>
      <c r="B3" s="115"/>
      <c r="C3" s="110"/>
      <c r="D3" s="116" t="s">
        <v>77</v>
      </c>
      <c r="E3" s="111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</row>
    <row r="4" spans="1:35">
      <c r="A4" s="117" t="s">
        <v>78</v>
      </c>
      <c r="B4" s="117" t="s">
        <v>79</v>
      </c>
      <c r="C4" s="117" t="s">
        <v>2</v>
      </c>
      <c r="D4" s="117" t="s">
        <v>80</v>
      </c>
      <c r="E4" s="118">
        <v>1</v>
      </c>
      <c r="F4" s="118">
        <v>2</v>
      </c>
      <c r="G4" s="118">
        <v>3</v>
      </c>
      <c r="H4" s="118">
        <v>4</v>
      </c>
      <c r="I4" s="118">
        <v>5</v>
      </c>
      <c r="J4" s="117">
        <v>6</v>
      </c>
      <c r="K4" s="117">
        <v>7</v>
      </c>
      <c r="L4" s="117">
        <v>8</v>
      </c>
      <c r="M4" s="117">
        <v>9</v>
      </c>
      <c r="N4" s="117">
        <v>10</v>
      </c>
      <c r="O4" s="117">
        <v>11</v>
      </c>
      <c r="P4" s="117">
        <v>12</v>
      </c>
      <c r="Q4" s="117">
        <v>13</v>
      </c>
      <c r="R4" s="117">
        <v>14</v>
      </c>
      <c r="S4" s="117">
        <v>15</v>
      </c>
      <c r="T4" s="117">
        <v>16</v>
      </c>
      <c r="U4" s="117">
        <v>17</v>
      </c>
      <c r="V4" s="117">
        <v>18</v>
      </c>
      <c r="W4" s="117">
        <v>19</v>
      </c>
      <c r="X4" s="117">
        <v>20</v>
      </c>
      <c r="Y4" s="117">
        <v>21</v>
      </c>
      <c r="Z4" s="117">
        <v>22</v>
      </c>
      <c r="AA4" s="117">
        <v>23</v>
      </c>
      <c r="AB4" s="117">
        <v>24</v>
      </c>
      <c r="AC4" s="117">
        <v>25</v>
      </c>
      <c r="AD4" s="117">
        <v>26</v>
      </c>
      <c r="AE4" s="117">
        <v>27</v>
      </c>
      <c r="AF4" s="117">
        <v>28</v>
      </c>
      <c r="AG4" s="117">
        <v>29</v>
      </c>
      <c r="AH4" s="117">
        <v>30</v>
      </c>
      <c r="AI4" s="117">
        <v>31</v>
      </c>
    </row>
    <row r="5" spans="1:35">
      <c r="A5" s="375" t="s">
        <v>81</v>
      </c>
      <c r="B5" s="378">
        <v>20</v>
      </c>
      <c r="C5" s="119" t="s">
        <v>3</v>
      </c>
      <c r="D5" s="121">
        <f t="shared" ref="D5:D11" si="0">SUM(E5:AI5)/COUNTIF(E5:AI5,"&gt;0")</f>
        <v>29424.857142857141</v>
      </c>
      <c r="E5" s="134">
        <f>'3.7.A廠人員分攤POH產能'!E16</f>
        <v>30950</v>
      </c>
      <c r="F5" s="134">
        <f>'3.7.A廠人員分攤POH產能'!F16</f>
        <v>32530</v>
      </c>
      <c r="G5" s="134">
        <f>'3.7.A廠人員分攤POH產能'!G16</f>
        <v>32846</v>
      </c>
      <c r="H5" s="134">
        <f>'3.7.A廠人員分攤POH產能'!H16</f>
        <v>32909</v>
      </c>
      <c r="I5" s="134">
        <f>'3.7.A廠人員分攤POH產能'!I16</f>
        <v>0</v>
      </c>
      <c r="J5" s="134">
        <f>'3.7.A廠人員分攤POH產能'!J16</f>
        <v>32824</v>
      </c>
      <c r="K5" s="134">
        <f>'3.7.A廠人員分攤POH產能'!K16</f>
        <v>32386</v>
      </c>
      <c r="L5" s="134">
        <f>'3.7.A廠人員分攤POH產能'!L16</f>
        <v>32387</v>
      </c>
      <c r="M5" s="134">
        <f>'3.7.A廠人員分攤POH產能'!M16</f>
        <v>31270</v>
      </c>
      <c r="N5" s="134">
        <f>'3.7.A廠人員分攤POH產能'!N16</f>
        <v>31863</v>
      </c>
      <c r="O5" s="134">
        <f>'3.7.A廠人員分攤POH產能'!O16</f>
        <v>31589</v>
      </c>
      <c r="P5" s="134">
        <f>'3.7.A廠人員分攤POH產能'!P16</f>
        <v>0</v>
      </c>
      <c r="Q5" s="134">
        <f>'3.7.A廠人員分攤POH產能'!Q16</f>
        <v>31678</v>
      </c>
      <c r="R5" s="134">
        <f>'3.7.A廠人員分攤POH產能'!R16</f>
        <v>28335</v>
      </c>
      <c r="S5" s="134">
        <f>'3.7.A廠人員分攤POH產能'!S16</f>
        <v>29537</v>
      </c>
      <c r="T5" s="134">
        <f>'3.7.A廠人員分攤POH產能'!T16</f>
        <v>28498</v>
      </c>
      <c r="U5" s="134">
        <f>'3.7.A廠人員分攤POH產能'!U16</f>
        <v>28050</v>
      </c>
      <c r="V5" s="134">
        <f>'3.7.A廠人員分攤POH產能'!V16</f>
        <v>26840</v>
      </c>
      <c r="W5" s="134">
        <f>'3.7.A廠人員分攤POH產能'!W16</f>
        <v>0</v>
      </c>
      <c r="X5" s="134">
        <f>'3.7.A廠人員分攤POH產能'!X16</f>
        <v>23502</v>
      </c>
      <c r="Y5" s="134">
        <f>'3.7.A廠人員分攤POH產能'!Y16</f>
        <v>23864</v>
      </c>
      <c r="Z5" s="134">
        <f>'3.7.A廠人員分攤POH產能'!Z16</f>
        <v>24011</v>
      </c>
      <c r="AA5" s="134">
        <f>'3.7.A廠人員分攤POH產能'!AA16</f>
        <v>25678</v>
      </c>
      <c r="AB5" s="134">
        <f>'3.7.A廠人員分攤POH產能'!AB16</f>
        <v>26375</v>
      </c>
      <c r="AC5" s="134">
        <f>'3.7.A廠人員分攤POH產能'!AC16</f>
        <v>0</v>
      </c>
      <c r="AD5" s="134">
        <f>'3.7.A廠人員分攤POH產能'!AD16</f>
        <v>0</v>
      </c>
      <c r="AE5" s="134">
        <f>'3.7.A廠人員分攤POH產能'!AE16</f>
        <v>0</v>
      </c>
      <c r="AF5" s="134">
        <f>'3.7.A廠人員分攤POH產能'!AF16</f>
        <v>0</v>
      </c>
      <c r="AG5" s="134">
        <f>'3.7.A廠人員分攤POH產能'!AG16</f>
        <v>0</v>
      </c>
      <c r="AH5" s="134">
        <f>'3.7.A廠人員分攤POH產能'!AH16</f>
        <v>0</v>
      </c>
      <c r="AI5" s="134">
        <f>'3.7.A廠人員分攤POH產能'!AI16</f>
        <v>0</v>
      </c>
    </row>
    <row r="6" spans="1:35">
      <c r="A6" s="376"/>
      <c r="B6" s="379"/>
      <c r="C6" s="122" t="s">
        <v>82</v>
      </c>
      <c r="D6" s="166">
        <f t="shared" si="0"/>
        <v>1471.2428571428572</v>
      </c>
      <c r="E6" s="135">
        <f>E5/$B5</f>
        <v>1547.5</v>
      </c>
      <c r="F6" s="135">
        <f>F5/$B5</f>
        <v>1626.5</v>
      </c>
      <c r="G6" s="135">
        <f t="shared" ref="G6:J6" si="1">G5/$B5</f>
        <v>1642.3</v>
      </c>
      <c r="H6" s="135">
        <f t="shared" si="1"/>
        <v>1645.45</v>
      </c>
      <c r="I6" s="135">
        <f t="shared" si="1"/>
        <v>0</v>
      </c>
      <c r="J6" s="135">
        <f t="shared" si="1"/>
        <v>1641.2</v>
      </c>
      <c r="K6" s="135">
        <f t="shared" ref="K6" si="2">K5/$B5</f>
        <v>1619.3</v>
      </c>
      <c r="L6" s="135">
        <f t="shared" ref="L6" si="3">L5/$B5</f>
        <v>1619.35</v>
      </c>
      <c r="M6" s="135">
        <f t="shared" ref="M6" si="4">M5/$B5</f>
        <v>1563.5</v>
      </c>
      <c r="N6" s="135">
        <f t="shared" ref="N6" si="5">N5/$B5</f>
        <v>1593.15</v>
      </c>
      <c r="O6" s="135">
        <f t="shared" ref="O6" si="6">O5/$B5</f>
        <v>1579.45</v>
      </c>
      <c r="P6" s="135">
        <f t="shared" ref="P6" si="7">P5/$B5</f>
        <v>0</v>
      </c>
      <c r="Q6" s="135">
        <f t="shared" ref="Q6" si="8">Q5/$B5</f>
        <v>1583.9</v>
      </c>
      <c r="R6" s="135">
        <f t="shared" ref="R6" si="9">R5/$B5</f>
        <v>1416.75</v>
      </c>
      <c r="S6" s="135">
        <f t="shared" ref="S6" si="10">S5/$B5</f>
        <v>1476.85</v>
      </c>
      <c r="T6" s="135">
        <f t="shared" ref="T6" si="11">T5/$B5</f>
        <v>1424.9</v>
      </c>
      <c r="U6" s="135">
        <f t="shared" ref="U6" si="12">U5/$B5</f>
        <v>1402.5</v>
      </c>
      <c r="V6" s="135">
        <f t="shared" ref="V6" si="13">V5/$B5</f>
        <v>1342</v>
      </c>
      <c r="W6" s="135">
        <f t="shared" ref="W6" si="14">W5/$B5</f>
        <v>0</v>
      </c>
      <c r="X6" s="135">
        <f t="shared" ref="X6" si="15">X5/$B5</f>
        <v>1175.0999999999999</v>
      </c>
      <c r="Y6" s="135">
        <f t="shared" ref="Y6" si="16">Y5/$B5</f>
        <v>1193.2</v>
      </c>
      <c r="Z6" s="135">
        <f t="shared" ref="Z6" si="17">Z5/$B5</f>
        <v>1200.55</v>
      </c>
      <c r="AA6" s="135">
        <f t="shared" ref="AA6" si="18">AA5/$B5</f>
        <v>1283.9000000000001</v>
      </c>
      <c r="AB6" s="135">
        <f t="shared" ref="AB6" si="19">AB5/$B5</f>
        <v>1318.75</v>
      </c>
      <c r="AC6" s="135">
        <f t="shared" ref="AC6" si="20">AC5/$B5</f>
        <v>0</v>
      </c>
      <c r="AD6" s="135">
        <f t="shared" ref="AD6" si="21">AD5/$B5</f>
        <v>0</v>
      </c>
      <c r="AE6" s="135">
        <f t="shared" ref="AE6" si="22">AE5/$B5</f>
        <v>0</v>
      </c>
      <c r="AF6" s="135">
        <f t="shared" ref="AF6" si="23">AF5/$B5</f>
        <v>0</v>
      </c>
      <c r="AG6" s="135">
        <f t="shared" ref="AG6" si="24">AG5/$B5</f>
        <v>0</v>
      </c>
      <c r="AH6" s="135">
        <f t="shared" ref="AH6" si="25">AH5/$B5</f>
        <v>0</v>
      </c>
      <c r="AI6" s="135">
        <f t="shared" ref="AI6" si="26">AI5/$B5</f>
        <v>0</v>
      </c>
    </row>
    <row r="7" spans="1:35">
      <c r="A7" s="376"/>
      <c r="B7" s="379"/>
      <c r="C7" s="125" t="s">
        <v>83</v>
      </c>
      <c r="D7" s="165">
        <f t="shared" si="0"/>
        <v>3678.1071428571427</v>
      </c>
      <c r="E7" s="136">
        <f>'3.7.A廠人員分攤POH產能'!E20</f>
        <v>3868.75</v>
      </c>
      <c r="F7" s="136">
        <f>'3.7.A廠人員分攤POH產能'!F20</f>
        <v>4066.25</v>
      </c>
      <c r="G7" s="136">
        <f>'3.7.A廠人員分攤POH產能'!G20</f>
        <v>4105.75</v>
      </c>
      <c r="H7" s="136">
        <f>'3.7.A廠人員分攤POH產能'!H20</f>
        <v>4113.625</v>
      </c>
      <c r="I7" s="136">
        <f>'3.7.A廠人員分攤POH產能'!I20</f>
        <v>0</v>
      </c>
      <c r="J7" s="136">
        <f>'3.7.A廠人員分攤POH產能'!J20</f>
        <v>4103</v>
      </c>
      <c r="K7" s="136">
        <f>'3.7.A廠人員分攤POH產能'!K20</f>
        <v>4048.25</v>
      </c>
      <c r="L7" s="136">
        <f>'3.7.A廠人員分攤POH產能'!L20</f>
        <v>4048.375</v>
      </c>
      <c r="M7" s="136">
        <f>'3.7.A廠人員分攤POH產能'!M20</f>
        <v>3908.75</v>
      </c>
      <c r="N7" s="136">
        <f>'3.7.A廠人員分攤POH產能'!N20</f>
        <v>3982.875</v>
      </c>
      <c r="O7" s="136">
        <f>'3.7.A廠人員分攤POH產能'!O20</f>
        <v>3948.625</v>
      </c>
      <c r="P7" s="136">
        <f>'3.7.A廠人員分攤POH產能'!P20</f>
        <v>0</v>
      </c>
      <c r="Q7" s="136">
        <f>'3.7.A廠人員分攤POH產能'!Q20</f>
        <v>3959.75</v>
      </c>
      <c r="R7" s="136">
        <f>'3.7.A廠人員分攤POH產能'!R20</f>
        <v>3541.875</v>
      </c>
      <c r="S7" s="136">
        <f>'3.7.A廠人員分攤POH產能'!S20</f>
        <v>3692.125</v>
      </c>
      <c r="T7" s="136">
        <f>'3.7.A廠人員分攤POH產能'!T20</f>
        <v>3562.25</v>
      </c>
      <c r="U7" s="136">
        <f>'3.7.A廠人員分攤POH產能'!U20</f>
        <v>3506.25</v>
      </c>
      <c r="V7" s="136">
        <f>'3.7.A廠人員分攤POH產能'!V20</f>
        <v>3355</v>
      </c>
      <c r="W7" s="136">
        <f>'3.7.A廠人員分攤POH產能'!W20</f>
        <v>0</v>
      </c>
      <c r="X7" s="136">
        <f>'3.7.A廠人員分攤POH產能'!X20</f>
        <v>2937.75</v>
      </c>
      <c r="Y7" s="136">
        <f>'3.7.A廠人員分攤POH產能'!Y20</f>
        <v>2983</v>
      </c>
      <c r="Z7" s="136">
        <f>'3.7.A廠人員分攤POH產能'!Z20</f>
        <v>3001.375</v>
      </c>
      <c r="AA7" s="136">
        <f>'3.7.A廠人員分攤POH產能'!AA20</f>
        <v>3209.75</v>
      </c>
      <c r="AB7" s="136">
        <f>'3.7.A廠人員分攤POH產能'!AB20</f>
        <v>3296.875</v>
      </c>
      <c r="AC7" s="136">
        <f>'3.7.A廠人員分攤POH產能'!AC20</f>
        <v>0</v>
      </c>
      <c r="AD7" s="136">
        <f>'3.7.A廠人員分攤POH產能'!AD20</f>
        <v>0</v>
      </c>
      <c r="AE7" s="136">
        <f>'3.7.A廠人員分攤POH產能'!AE20</f>
        <v>0</v>
      </c>
      <c r="AF7" s="136">
        <f>'3.7.A廠人員分攤POH產能'!AF20</f>
        <v>0</v>
      </c>
      <c r="AG7" s="136">
        <f>'3.7.A廠人員分攤POH產能'!AG20</f>
        <v>0</v>
      </c>
      <c r="AH7" s="136">
        <f>'3.7.A廠人員分攤POH產能'!AH20</f>
        <v>0</v>
      </c>
      <c r="AI7" s="136">
        <f>'3.7.A廠人員分攤POH產能'!AI20</f>
        <v>0</v>
      </c>
    </row>
    <row r="8" spans="1:35">
      <c r="A8" s="377"/>
      <c r="B8" s="380"/>
      <c r="C8" s="129" t="s">
        <v>84</v>
      </c>
      <c r="D8" s="164">
        <f t="shared" si="0"/>
        <v>0.79745381606994259</v>
      </c>
      <c r="E8" s="163">
        <f>'3.7.A廠人員分攤POH產能'!E23</f>
        <v>0.83051575162346369</v>
      </c>
      <c r="F8" s="163">
        <f>'3.7.A廠人員分攤POH產能'!F23</f>
        <v>0.87342927719901187</v>
      </c>
      <c r="G8" s="163">
        <f>'3.7.A廠人員分攤POH產能'!G23</f>
        <v>0.88409776055124889</v>
      </c>
      <c r="H8" s="163">
        <f>'3.7.A廠人員分攤POH產能'!H23</f>
        <v>0.89684962119147549</v>
      </c>
      <c r="I8" s="163">
        <f>'3.7.A廠人員分攤POH產能'!I23</f>
        <v>0</v>
      </c>
      <c r="J8" s="163">
        <f>'3.7.A廠人員分攤POH產能'!J23</f>
        <v>0.91712768929868682</v>
      </c>
      <c r="K8" s="163">
        <f>'3.7.A廠人員分攤POH產能'!K23</f>
        <v>0.88563771603587838</v>
      </c>
      <c r="L8" s="163">
        <f>'3.7.A廠人員分攤POH產能'!L23</f>
        <v>0.8812789115646259</v>
      </c>
      <c r="M8" s="163">
        <f>'3.7.A廠人員分攤POH產能'!M23</f>
        <v>0.85051406190502099</v>
      </c>
      <c r="N8" s="163">
        <f>'3.7.A廠人員分攤POH產能'!N23</f>
        <v>0.8667373918720418</v>
      </c>
      <c r="O8" s="163">
        <f>'3.7.A廠人員分攤POH產能'!O23</f>
        <v>0.87194987302638838</v>
      </c>
      <c r="P8" s="163">
        <f>'3.7.A廠人員分攤POH產能'!P23</f>
        <v>0</v>
      </c>
      <c r="Q8" s="163">
        <f>'3.7.A廠人員分攤POH產能'!Q23</f>
        <v>0.86727262771724256</v>
      </c>
      <c r="R8" s="163">
        <f>'3.7.A廠人員分攤POH產能'!R23</f>
        <v>0.75802568218298561</v>
      </c>
      <c r="S8" s="163">
        <f>'3.7.A廠人員分攤POH產能'!S23</f>
        <v>0.78853649420684502</v>
      </c>
      <c r="T8" s="163">
        <f>'3.7.A廠人員分攤POH產能'!T23</f>
        <v>0.76308038344133244</v>
      </c>
      <c r="U8" s="163">
        <f>'3.7.A廠人員分攤POH產能'!U23</f>
        <v>0.75112467866323906</v>
      </c>
      <c r="V8" s="163">
        <f>'3.7.A廠人員分攤POH產能'!V23</f>
        <v>0.73045939473111254</v>
      </c>
      <c r="W8" s="163">
        <f>'3.7.A廠人員分攤POH產能'!W23</f>
        <v>0</v>
      </c>
      <c r="X8" s="163">
        <f>'3.7.A廠人員分攤POH產能'!X23</f>
        <v>0.64006754180510916</v>
      </c>
      <c r="Y8" s="163">
        <f>'3.7.A廠人員分攤POH產能'!Y23</f>
        <v>0.64476386036960986</v>
      </c>
      <c r="Z8" s="163">
        <f>'3.7.A廠人員分攤POH產能'!Z23</f>
        <v>0.64345053060349444</v>
      </c>
      <c r="AA8" s="163">
        <f>'3.7.A廠人員分攤POH產能'!AA23</f>
        <v>0.69015750147825616</v>
      </c>
      <c r="AB8" s="163">
        <f>'3.7.A廠人員分攤POH產能'!AB23</f>
        <v>0.71145338800172642</v>
      </c>
      <c r="AC8" s="163">
        <f>'3.7.A廠人員分攤POH產能'!AC23</f>
        <v>0</v>
      </c>
      <c r="AD8" s="163">
        <f>'3.7.A廠人員分攤POH產能'!AD23</f>
        <v>0</v>
      </c>
      <c r="AE8" s="163">
        <f>'3.7.A廠人員分攤POH產能'!AE23</f>
        <v>0</v>
      </c>
      <c r="AF8" s="163">
        <f>'3.7.A廠人員分攤POH產能'!AF23</f>
        <v>0</v>
      </c>
      <c r="AG8" s="163">
        <f>'3.7.A廠人員分攤POH產能'!AG23</f>
        <v>0</v>
      </c>
      <c r="AH8" s="163">
        <f>'3.7.A廠人員分攤POH產能'!AH23</f>
        <v>0</v>
      </c>
      <c r="AI8" s="163">
        <f>'3.7.A廠人員分攤POH產能'!AI23</f>
        <v>0</v>
      </c>
    </row>
    <row r="9" spans="1:35">
      <c r="A9" s="375" t="s">
        <v>85</v>
      </c>
      <c r="B9" s="375">
        <v>17</v>
      </c>
      <c r="C9" s="119" t="s">
        <v>3</v>
      </c>
      <c r="D9" s="121">
        <f t="shared" si="0"/>
        <v>26649.428571428572</v>
      </c>
      <c r="E9" s="134">
        <f>'3.7.A廠人員分攤POH產能'!E26</f>
        <v>27860</v>
      </c>
      <c r="F9" s="134">
        <f>'3.7.A廠人員分攤POH產能'!F26</f>
        <v>26864</v>
      </c>
      <c r="G9" s="134">
        <f>'3.7.A廠人員分攤POH產能'!G26</f>
        <v>27570</v>
      </c>
      <c r="H9" s="134">
        <f>'3.7.A廠人員分攤POH產能'!H26</f>
        <v>28474</v>
      </c>
      <c r="I9" s="134">
        <f>'3.7.A廠人員分攤POH產能'!I26</f>
        <v>0</v>
      </c>
      <c r="J9" s="134">
        <f>'3.7.A廠人員分攤POH產能'!J26</f>
        <v>28520</v>
      </c>
      <c r="K9" s="134">
        <f>'3.7.A廠人員分攤POH產能'!K26</f>
        <v>28520</v>
      </c>
      <c r="L9" s="134">
        <f>'3.7.A廠人員分攤POH產能'!L26</f>
        <v>28522</v>
      </c>
      <c r="M9" s="134">
        <f>'3.7.A廠人員分攤POH產能'!M26</f>
        <v>26520</v>
      </c>
      <c r="N9" s="134">
        <f>'3.7.A廠人員分攤POH產能'!N26</f>
        <v>28104</v>
      </c>
      <c r="O9" s="134">
        <f>'3.7.A廠人員分攤POH產能'!O26</f>
        <v>27031</v>
      </c>
      <c r="P9" s="134">
        <f>'3.7.A廠人員分攤POH產能'!P26</f>
        <v>0</v>
      </c>
      <c r="Q9" s="134">
        <f>'3.7.A廠人員分攤POH產能'!Q26</f>
        <v>26680</v>
      </c>
      <c r="R9" s="134">
        <f>'3.7.A廠人員分攤POH產能'!R26</f>
        <v>26960</v>
      </c>
      <c r="S9" s="134">
        <f>'3.7.A廠人員分攤POH產能'!S26</f>
        <v>24388</v>
      </c>
      <c r="T9" s="134">
        <f>'3.7.A廠人員分攤POH產能'!T26</f>
        <v>25136</v>
      </c>
      <c r="U9" s="134">
        <f>'3.7.A廠人員分攤POH產能'!U26</f>
        <v>26510</v>
      </c>
      <c r="V9" s="134">
        <f>'3.7.A廠人員分攤POH產能'!V26</f>
        <v>26079</v>
      </c>
      <c r="W9" s="134">
        <f>'3.7.A廠人員分攤POH產能'!W26</f>
        <v>0</v>
      </c>
      <c r="X9" s="134">
        <f>'3.7.A廠人員分攤POH產能'!X26</f>
        <v>25430</v>
      </c>
      <c r="Y9" s="134">
        <f>'3.7.A廠人員分攤POH產能'!Y26</f>
        <v>24519</v>
      </c>
      <c r="Z9" s="134">
        <f>'3.7.A廠人員分攤POH產能'!Z26</f>
        <v>24875</v>
      </c>
      <c r="AA9" s="134">
        <f>'3.7.A廠人員分攤POH產能'!AA26</f>
        <v>25534</v>
      </c>
      <c r="AB9" s="134">
        <f>'3.7.A廠人員分攤POH產能'!AB26</f>
        <v>25542</v>
      </c>
      <c r="AC9" s="134">
        <f>'3.7.A廠人員分攤POH產能'!AC26</f>
        <v>0</v>
      </c>
      <c r="AD9" s="134">
        <f>'3.7.A廠人員分攤POH產能'!AD26</f>
        <v>0</v>
      </c>
      <c r="AE9" s="134">
        <f>'3.7.A廠人員分攤POH產能'!AE26</f>
        <v>0</v>
      </c>
      <c r="AF9" s="134">
        <f>'3.7.A廠人員分攤POH產能'!AF26</f>
        <v>0</v>
      </c>
      <c r="AG9" s="134">
        <f>'3.7.A廠人員分攤POH產能'!AG26</f>
        <v>0</v>
      </c>
      <c r="AH9" s="134">
        <f>'3.7.A廠人員分攤POH產能'!AH26</f>
        <v>0</v>
      </c>
      <c r="AI9" s="134">
        <f>'3.7.A廠人員分攤POH產能'!AI26</f>
        <v>0</v>
      </c>
    </row>
    <row r="10" spans="1:35">
      <c r="A10" s="376"/>
      <c r="B10" s="376"/>
      <c r="C10" s="122" t="s">
        <v>82</v>
      </c>
      <c r="D10" s="166">
        <f t="shared" si="0"/>
        <v>1567.6134453781513</v>
      </c>
      <c r="E10" s="135">
        <f>E9/$B9</f>
        <v>1638.8235294117646</v>
      </c>
      <c r="F10" s="135">
        <f t="shared" ref="F10:H10" si="27">F9/$B9</f>
        <v>1580.2352941176471</v>
      </c>
      <c r="G10" s="135">
        <f t="shared" si="27"/>
        <v>1621.7647058823529</v>
      </c>
      <c r="H10" s="135">
        <f t="shared" si="27"/>
        <v>1674.9411764705883</v>
      </c>
      <c r="I10" s="135">
        <f t="shared" ref="I10" si="28">I9/$B9</f>
        <v>0</v>
      </c>
      <c r="J10" s="135">
        <f t="shared" ref="J10" si="29">J9/$B9</f>
        <v>1677.6470588235295</v>
      </c>
      <c r="K10" s="135">
        <f t="shared" ref="K10" si="30">K9/$B9</f>
        <v>1677.6470588235295</v>
      </c>
      <c r="L10" s="135">
        <f t="shared" ref="L10" si="31">L9/$B9</f>
        <v>1677.7647058823529</v>
      </c>
      <c r="M10" s="135">
        <f t="shared" ref="M10" si="32">M9/$B9</f>
        <v>1560</v>
      </c>
      <c r="N10" s="135">
        <f t="shared" ref="N10" si="33">N9/$B9</f>
        <v>1653.1764705882354</v>
      </c>
      <c r="O10" s="135">
        <f t="shared" ref="O10" si="34">O9/$B9</f>
        <v>1590.0588235294117</v>
      </c>
      <c r="P10" s="135">
        <f t="shared" ref="P10" si="35">P9/$B9</f>
        <v>0</v>
      </c>
      <c r="Q10" s="135">
        <f t="shared" ref="Q10" si="36">Q9/$B9</f>
        <v>1569.4117647058824</v>
      </c>
      <c r="R10" s="135">
        <f t="shared" ref="R10" si="37">R9/$B9</f>
        <v>1585.8823529411766</v>
      </c>
      <c r="S10" s="135">
        <f t="shared" ref="S10" si="38">S9/$B9</f>
        <v>1434.5882352941176</v>
      </c>
      <c r="T10" s="135">
        <f t="shared" ref="T10" si="39">T9/$B9</f>
        <v>1478.5882352941176</v>
      </c>
      <c r="U10" s="135">
        <f t="shared" ref="U10" si="40">U9/$B9</f>
        <v>1559.4117647058824</v>
      </c>
      <c r="V10" s="135">
        <f t="shared" ref="V10" si="41">V9/$B9</f>
        <v>1534.0588235294117</v>
      </c>
      <c r="W10" s="135">
        <f t="shared" ref="W10" si="42">W9/$B9</f>
        <v>0</v>
      </c>
      <c r="X10" s="135">
        <f t="shared" ref="X10" si="43">X9/$B9</f>
        <v>1495.8823529411766</v>
      </c>
      <c r="Y10" s="135">
        <f t="shared" ref="Y10" si="44">Y9/$B9</f>
        <v>1442.2941176470588</v>
      </c>
      <c r="Z10" s="135">
        <f t="shared" ref="Z10" si="45">Z9/$B9</f>
        <v>1463.2352941176471</v>
      </c>
      <c r="AA10" s="135">
        <f t="shared" ref="AA10" si="46">AA9/$B9</f>
        <v>1502</v>
      </c>
      <c r="AB10" s="135">
        <f t="shared" ref="AB10" si="47">AB9/$B9</f>
        <v>1502.4705882352941</v>
      </c>
      <c r="AC10" s="135">
        <f t="shared" ref="AC10" si="48">AC9/$B9</f>
        <v>0</v>
      </c>
      <c r="AD10" s="135">
        <f t="shared" ref="AD10" si="49">AD9/$B9</f>
        <v>0</v>
      </c>
      <c r="AE10" s="135">
        <f t="shared" ref="AE10" si="50">AE9/$B9</f>
        <v>0</v>
      </c>
      <c r="AF10" s="135">
        <f t="shared" ref="AF10" si="51">AF9/$B9</f>
        <v>0</v>
      </c>
      <c r="AG10" s="135">
        <f t="shared" ref="AG10" si="52">AG9/$B9</f>
        <v>0</v>
      </c>
      <c r="AH10" s="135">
        <f t="shared" ref="AH10" si="53">AH9/$B9</f>
        <v>0</v>
      </c>
      <c r="AI10" s="135">
        <f t="shared" ref="AI10" si="54">AI9/$B9</f>
        <v>0</v>
      </c>
    </row>
    <row r="11" spans="1:35">
      <c r="A11" s="376"/>
      <c r="B11" s="376"/>
      <c r="C11" s="125" t="s">
        <v>83</v>
      </c>
      <c r="D11" s="165">
        <f t="shared" si="0"/>
        <v>3331.1785714285716</v>
      </c>
      <c r="E11" s="136">
        <f>'3.7.A廠人員分攤POH產能'!E30</f>
        <v>3482.5</v>
      </c>
      <c r="F11" s="136">
        <f>'3.7.A廠人員分攤POH產能'!F30</f>
        <v>3358</v>
      </c>
      <c r="G11" s="136">
        <f>'3.7.A廠人員分攤POH產能'!G30</f>
        <v>3446.25</v>
      </c>
      <c r="H11" s="136">
        <f>'3.7.A廠人員分攤POH產能'!H30</f>
        <v>3559.25</v>
      </c>
      <c r="I11" s="136">
        <f>'3.7.A廠人員分攤POH產能'!I30</f>
        <v>0</v>
      </c>
      <c r="J11" s="136">
        <f>'3.7.A廠人員分攤POH產能'!J30</f>
        <v>3565</v>
      </c>
      <c r="K11" s="136">
        <f>'3.7.A廠人員分攤POH產能'!K30</f>
        <v>3565</v>
      </c>
      <c r="L11" s="136">
        <f>'3.7.A廠人員分攤POH產能'!L30</f>
        <v>3565.25</v>
      </c>
      <c r="M11" s="136">
        <f>'3.7.A廠人員分攤POH產能'!M30</f>
        <v>3315</v>
      </c>
      <c r="N11" s="136">
        <f>'3.7.A廠人員分攤POH產能'!N30</f>
        <v>3513</v>
      </c>
      <c r="O11" s="136">
        <f>'3.7.A廠人員分攤POH產能'!O30</f>
        <v>3378.875</v>
      </c>
      <c r="P11" s="136">
        <f>'3.7.A廠人員分攤POH產能'!P30</f>
        <v>0</v>
      </c>
      <c r="Q11" s="136">
        <f>'3.7.A廠人員分攤POH產能'!Q30</f>
        <v>3335</v>
      </c>
      <c r="R11" s="136">
        <f>'3.7.A廠人員分攤POH產能'!R30</f>
        <v>3370</v>
      </c>
      <c r="S11" s="136">
        <f>'3.7.A廠人員分攤POH產能'!S30</f>
        <v>3048.5</v>
      </c>
      <c r="T11" s="136">
        <f>'3.7.A廠人員分攤POH產能'!T30</f>
        <v>3142</v>
      </c>
      <c r="U11" s="136">
        <f>'3.7.A廠人員分攤POH產能'!U30</f>
        <v>3313.75</v>
      </c>
      <c r="V11" s="136">
        <f>'3.7.A廠人員分攤POH產能'!V30</f>
        <v>3259.875</v>
      </c>
      <c r="W11" s="136">
        <f>'3.7.A廠人員分攤POH產能'!W30</f>
        <v>0</v>
      </c>
      <c r="X11" s="136">
        <f>'3.7.A廠人員分攤POH產能'!X30</f>
        <v>3178.75</v>
      </c>
      <c r="Y11" s="136">
        <f>'3.7.A廠人員分攤POH產能'!Y30</f>
        <v>3064.875</v>
      </c>
      <c r="Z11" s="136">
        <f>'3.7.A廠人員分攤POH產能'!Z30</f>
        <v>3109.375</v>
      </c>
      <c r="AA11" s="136">
        <f>'3.7.A廠人員分攤POH產能'!AA30</f>
        <v>3191.75</v>
      </c>
      <c r="AB11" s="136">
        <f>'3.7.A廠人員分攤POH產能'!AB30</f>
        <v>3192.75</v>
      </c>
      <c r="AC11" s="136">
        <f>'3.7.A廠人員分攤POH產能'!AC30</f>
        <v>0</v>
      </c>
      <c r="AD11" s="136">
        <f>'3.7.A廠人員分攤POH產能'!AD30</f>
        <v>0</v>
      </c>
      <c r="AE11" s="136">
        <f>'3.7.A廠人員分攤POH產能'!AE30</f>
        <v>0</v>
      </c>
      <c r="AF11" s="136">
        <f>'3.7.A廠人員分攤POH產能'!AF30</f>
        <v>0</v>
      </c>
      <c r="AG11" s="136">
        <f>'3.7.A廠人員分攤POH產能'!AG30</f>
        <v>0</v>
      </c>
      <c r="AH11" s="136">
        <f>'3.7.A廠人員分攤POH產能'!AH30</f>
        <v>0</v>
      </c>
      <c r="AI11" s="136">
        <f>'3.7.A廠人員分攤POH產能'!AI30</f>
        <v>0</v>
      </c>
    </row>
    <row r="12" spans="1:35">
      <c r="A12" s="377"/>
      <c r="B12" s="377"/>
      <c r="C12" s="129" t="s">
        <v>84</v>
      </c>
      <c r="D12" s="164">
        <f>SUM(E12:EI12)/COUNTIF(E12:EI12,"&gt;0")</f>
        <v>0.8913106254023665</v>
      </c>
      <c r="E12" s="163">
        <f>'3.7.A廠人員分攤POH產能'!E33</f>
        <v>0.93058988576391211</v>
      </c>
      <c r="F12" s="163">
        <f>'3.7.A廠人員分攤POH產能'!F33</f>
        <v>0.89630321633524623</v>
      </c>
      <c r="G12" s="163">
        <f>'3.7.A廠人員分攤POH產能'!G33</f>
        <v>0.92293786823781465</v>
      </c>
      <c r="H12" s="163">
        <f>'3.7.A廠人員分攤POH產能'!H33</f>
        <v>0.96150469372594038</v>
      </c>
      <c r="I12" s="163">
        <f>'3.7.A廠人員分攤POH產能'!I33</f>
        <v>0</v>
      </c>
      <c r="J12" s="163">
        <f>'3.7.A廠人員分攤POH產能'!J33</f>
        <v>0.97570988710229212</v>
      </c>
      <c r="K12" s="163">
        <f>'3.7.A廠人員分攤POH產能'!K33</f>
        <v>0.96273291925465843</v>
      </c>
      <c r="L12" s="163">
        <f>'3.7.A廠人員分攤POH產能'!L33</f>
        <v>0.96182639778781953</v>
      </c>
      <c r="M12" s="163">
        <f>'3.7.A廠人員分攤POH產能'!M33</f>
        <v>0.89118892398682703</v>
      </c>
      <c r="N12" s="163">
        <f>'3.7.A廠人員分攤POH產能'!N33</f>
        <v>0.94049929723579417</v>
      </c>
      <c r="O12" s="163">
        <f>'3.7.A廠人員分攤POH產能'!O33</f>
        <v>0.90404682274247494</v>
      </c>
      <c r="P12" s="163">
        <f>'3.7.A廠人員分攤POH產能'!P33</f>
        <v>0</v>
      </c>
      <c r="Q12" s="163">
        <f>'3.7.A廠人員分攤POH產能'!Q33</f>
        <v>0.89656562941057871</v>
      </c>
      <c r="R12" s="163">
        <f>'3.7.A廠人員分攤POH產能'!R33</f>
        <v>0.88672543086435995</v>
      </c>
      <c r="S12" s="163">
        <f>'3.7.A廠人員分攤POH產能'!S33</f>
        <v>0.8036644038753048</v>
      </c>
      <c r="T12" s="163">
        <f>'3.7.A廠人員分攤POH產能'!T33</f>
        <v>0.83425157650182546</v>
      </c>
      <c r="U12" s="163">
        <f>'3.7.A廠人員分攤POH產能'!U33</f>
        <v>0.88319562899786785</v>
      </c>
      <c r="V12" s="163">
        <f>'3.7.A廠人員分攤POH產能'!V33</f>
        <v>0.87607497984412797</v>
      </c>
      <c r="W12" s="163">
        <f>'3.7.A廠人員分攤POH產能'!W33</f>
        <v>0</v>
      </c>
      <c r="X12" s="163">
        <f>'3.7.A廠人員分攤POH產能'!X33</f>
        <v>0.85158395284977562</v>
      </c>
      <c r="Y12" s="163">
        <f>'3.7.A廠人員分攤POH產能'!Y33</f>
        <v>0.82069219440353458</v>
      </c>
      <c r="Z12" s="163">
        <f>'3.7.A廠人員分攤POH產能'!Z33</f>
        <v>0.82160787422380765</v>
      </c>
      <c r="AA12" s="163">
        <f>'3.7.A廠人員分攤POH產能'!AA33</f>
        <v>0.84532874263391378</v>
      </c>
      <c r="AB12" s="163">
        <f>'3.7.A廠人員分攤POH產能'!AB33</f>
        <v>0.85049280767181668</v>
      </c>
      <c r="AC12" s="163">
        <f>'3.7.A廠人員分攤POH產能'!AC33</f>
        <v>0</v>
      </c>
      <c r="AD12" s="163">
        <f>'3.7.A廠人員分攤POH產能'!AD33</f>
        <v>0</v>
      </c>
      <c r="AE12" s="163">
        <f>'3.7.A廠人員分攤POH產能'!AE33</f>
        <v>0</v>
      </c>
      <c r="AF12" s="163">
        <f>'3.7.A廠人員分攤POH產能'!AF33</f>
        <v>0</v>
      </c>
      <c r="AG12" s="163">
        <f>'3.7.A廠人員分攤POH產能'!AG33</f>
        <v>0</v>
      </c>
      <c r="AH12" s="163">
        <f>'3.7.A廠人員分攤POH產能'!AH33</f>
        <v>0</v>
      </c>
      <c r="AI12" s="163">
        <f>'3.7.A廠人員分攤POH產能'!AI33</f>
        <v>0</v>
      </c>
    </row>
    <row r="13" spans="1:35">
      <c r="A13" s="375" t="s">
        <v>86</v>
      </c>
      <c r="B13" s="375">
        <v>1</v>
      </c>
      <c r="C13" s="119" t="s">
        <v>3</v>
      </c>
      <c r="D13" s="121">
        <f>AVERAGE(E13:AI13)</f>
        <v>1455.483870967742</v>
      </c>
      <c r="E13" s="134">
        <f>'3.7.A廠人員分攤POH產能'!E36</f>
        <v>2000</v>
      </c>
      <c r="F13" s="134">
        <f>'3.7.A廠人員分攤POH產能'!F36</f>
        <v>2500</v>
      </c>
      <c r="G13" s="134">
        <f>'3.7.A廠人員分攤POH產能'!G36</f>
        <v>2500</v>
      </c>
      <c r="H13" s="134">
        <f>'3.7.A廠人員分攤POH產能'!H36</f>
        <v>2600</v>
      </c>
      <c r="I13" s="134">
        <f>'3.7.A廠人員分攤POH產能'!I36</f>
        <v>0</v>
      </c>
      <c r="J13" s="134">
        <f>'3.7.A廠人員分攤POH產能'!J36</f>
        <v>4000</v>
      </c>
      <c r="K13" s="134">
        <f>'3.7.A廠人員分攤POH產能'!K36</f>
        <v>3100</v>
      </c>
      <c r="L13" s="134">
        <f>'3.7.A廠人員分攤POH產能'!L36</f>
        <v>2400</v>
      </c>
      <c r="M13" s="134">
        <f>'3.7.A廠人員分攤POH產能'!M36</f>
        <v>2400</v>
      </c>
      <c r="N13" s="134">
        <f>'3.7.A廠人員分攤POH產能'!N36</f>
        <v>2400</v>
      </c>
      <c r="O13" s="134">
        <f>'3.7.A廠人員分攤POH產能'!O36</f>
        <v>2400</v>
      </c>
      <c r="P13" s="134">
        <f>'3.7.A廠人員分攤POH產能'!P36</f>
        <v>0</v>
      </c>
      <c r="Q13" s="134">
        <f>'3.7.A廠人員分攤POH產能'!Q36</f>
        <v>2400</v>
      </c>
      <c r="R13" s="134">
        <f>'3.7.A廠人員分攤POH產能'!R36</f>
        <v>1700</v>
      </c>
      <c r="S13" s="134">
        <f>'3.7.A廠人員分攤POH產能'!S36</f>
        <v>2000</v>
      </c>
      <c r="T13" s="134">
        <f>'3.7.A廠人員分攤POH產能'!T36</f>
        <v>1800</v>
      </c>
      <c r="U13" s="134">
        <f>'3.7.A廠人員分攤POH產能'!U36</f>
        <v>2400</v>
      </c>
      <c r="V13" s="134">
        <f>'3.7.A廠人員分攤POH產能'!V36</f>
        <v>2400</v>
      </c>
      <c r="W13" s="134">
        <f>'3.7.A廠人員分攤POH產能'!W36</f>
        <v>0</v>
      </c>
      <c r="X13" s="134">
        <f>'3.7.A廠人員分攤POH產能'!X36</f>
        <v>1020</v>
      </c>
      <c r="Y13" s="134">
        <f>'3.7.A廠人員分攤POH產能'!Y36</f>
        <v>1020</v>
      </c>
      <c r="Z13" s="134">
        <f>'3.7.A廠人員分攤POH產能'!Z36</f>
        <v>1360</v>
      </c>
      <c r="AA13" s="134">
        <f>'3.7.A廠人員分攤POH產能'!AA36</f>
        <v>1360</v>
      </c>
      <c r="AB13" s="134">
        <f>'3.7.A廠人員分攤POH產能'!AB36</f>
        <v>1360</v>
      </c>
      <c r="AC13" s="134">
        <f>'3.7.A廠人員分攤POH產能'!AC36</f>
        <v>0</v>
      </c>
      <c r="AD13" s="134">
        <f>'3.7.A廠人員分攤POH產能'!AD36</f>
        <v>0</v>
      </c>
      <c r="AE13" s="134">
        <f>'3.7.A廠人員分攤POH產能'!AE36</f>
        <v>0</v>
      </c>
      <c r="AF13" s="134">
        <f>'3.7.A廠人員分攤POH產能'!AF36</f>
        <v>0</v>
      </c>
      <c r="AG13" s="134">
        <f>'3.7.A廠人員分攤POH產能'!AG36</f>
        <v>0</v>
      </c>
      <c r="AH13" s="134">
        <f>'3.7.A廠人員分攤POH產能'!AH36</f>
        <v>0</v>
      </c>
      <c r="AI13" s="134">
        <f>'3.7.A廠人員分攤POH產能'!AI36</f>
        <v>0</v>
      </c>
    </row>
    <row r="14" spans="1:35">
      <c r="A14" s="376"/>
      <c r="B14" s="376"/>
      <c r="C14" s="122" t="s">
        <v>82</v>
      </c>
      <c r="D14" s="166">
        <f>SUM(E14:AI14)/COUNTIF(E14:AI14,"&gt;0")</f>
        <v>2148.5714285714284</v>
      </c>
      <c r="E14" s="135">
        <f>E13/$B13</f>
        <v>2000</v>
      </c>
      <c r="F14" s="135">
        <f t="shared" ref="F14:AI14" si="55">F13/$B13</f>
        <v>2500</v>
      </c>
      <c r="G14" s="135">
        <f t="shared" si="55"/>
        <v>2500</v>
      </c>
      <c r="H14" s="135">
        <f t="shared" si="55"/>
        <v>2600</v>
      </c>
      <c r="I14" s="135">
        <f t="shared" si="55"/>
        <v>0</v>
      </c>
      <c r="J14" s="135">
        <f t="shared" si="55"/>
        <v>4000</v>
      </c>
      <c r="K14" s="135">
        <f t="shared" si="55"/>
        <v>3100</v>
      </c>
      <c r="L14" s="135">
        <f t="shared" si="55"/>
        <v>2400</v>
      </c>
      <c r="M14" s="135">
        <f t="shared" si="55"/>
        <v>2400</v>
      </c>
      <c r="N14" s="135">
        <f t="shared" si="55"/>
        <v>2400</v>
      </c>
      <c r="O14" s="135">
        <f t="shared" si="55"/>
        <v>2400</v>
      </c>
      <c r="P14" s="135">
        <f t="shared" si="55"/>
        <v>0</v>
      </c>
      <c r="Q14" s="135">
        <f t="shared" si="55"/>
        <v>2400</v>
      </c>
      <c r="R14" s="135">
        <f t="shared" si="55"/>
        <v>1700</v>
      </c>
      <c r="S14" s="135">
        <f t="shared" si="55"/>
        <v>2000</v>
      </c>
      <c r="T14" s="135">
        <f t="shared" si="55"/>
        <v>1800</v>
      </c>
      <c r="U14" s="135">
        <f t="shared" si="55"/>
        <v>2400</v>
      </c>
      <c r="V14" s="135">
        <f t="shared" si="55"/>
        <v>2400</v>
      </c>
      <c r="W14" s="135">
        <f t="shared" si="55"/>
        <v>0</v>
      </c>
      <c r="X14" s="135">
        <f t="shared" si="55"/>
        <v>1020</v>
      </c>
      <c r="Y14" s="135">
        <f t="shared" si="55"/>
        <v>1020</v>
      </c>
      <c r="Z14" s="135">
        <f t="shared" si="55"/>
        <v>1360</v>
      </c>
      <c r="AA14" s="135">
        <f t="shared" si="55"/>
        <v>1360</v>
      </c>
      <c r="AB14" s="135">
        <f t="shared" si="55"/>
        <v>1360</v>
      </c>
      <c r="AC14" s="135">
        <f t="shared" si="55"/>
        <v>0</v>
      </c>
      <c r="AD14" s="135">
        <f t="shared" si="55"/>
        <v>0</v>
      </c>
      <c r="AE14" s="135">
        <f t="shared" si="55"/>
        <v>0</v>
      </c>
      <c r="AF14" s="135">
        <f t="shared" si="55"/>
        <v>0</v>
      </c>
      <c r="AG14" s="135">
        <f t="shared" si="55"/>
        <v>0</v>
      </c>
      <c r="AH14" s="135">
        <f t="shared" si="55"/>
        <v>0</v>
      </c>
      <c r="AI14" s="135">
        <f t="shared" si="55"/>
        <v>0</v>
      </c>
    </row>
    <row r="15" spans="1:35">
      <c r="A15" s="376"/>
      <c r="B15" s="376"/>
      <c r="C15" s="125" t="s">
        <v>83</v>
      </c>
      <c r="D15" s="165">
        <f>SUM(E15:AI15)/COUNTIF(E15:AI15,"&gt;0")</f>
        <v>268.57142857142856</v>
      </c>
      <c r="E15" s="136">
        <f>'3.7.A廠人員分攤POH產能'!E40</f>
        <v>250</v>
      </c>
      <c r="F15" s="136">
        <f>'3.7.A廠人員分攤POH產能'!F40</f>
        <v>312.5</v>
      </c>
      <c r="G15" s="136">
        <f>'3.7.A廠人員分攤POH產能'!G40</f>
        <v>312.5</v>
      </c>
      <c r="H15" s="136">
        <f>'3.7.A廠人員分攤POH產能'!H40</f>
        <v>325</v>
      </c>
      <c r="I15" s="136">
        <f>'3.7.A廠人員分攤POH產能'!I40</f>
        <v>0</v>
      </c>
      <c r="J15" s="136">
        <f>'3.7.A廠人員分攤POH產能'!J40</f>
        <v>500</v>
      </c>
      <c r="K15" s="136">
        <f>'3.7.A廠人員分攤POH產能'!K40</f>
        <v>387.5</v>
      </c>
      <c r="L15" s="136">
        <f>'3.7.A廠人員分攤POH產能'!L40</f>
        <v>300</v>
      </c>
      <c r="M15" s="136">
        <f>'3.7.A廠人員分攤POH產能'!M40</f>
        <v>300</v>
      </c>
      <c r="N15" s="136">
        <f>'3.7.A廠人員分攤POH產能'!N40</f>
        <v>300</v>
      </c>
      <c r="O15" s="136">
        <f>'3.7.A廠人員分攤POH產能'!O40</f>
        <v>300</v>
      </c>
      <c r="P15" s="136">
        <f>'3.7.A廠人員分攤POH產能'!P40</f>
        <v>0</v>
      </c>
      <c r="Q15" s="136">
        <f>'3.7.A廠人員分攤POH產能'!Q40</f>
        <v>300</v>
      </c>
      <c r="R15" s="136">
        <f>'3.7.A廠人員分攤POH產能'!R40</f>
        <v>212.5</v>
      </c>
      <c r="S15" s="136">
        <f>'3.7.A廠人員分攤POH產能'!S40</f>
        <v>250</v>
      </c>
      <c r="T15" s="136">
        <f>'3.7.A廠人員分攤POH產能'!T40</f>
        <v>225</v>
      </c>
      <c r="U15" s="136">
        <f>'3.7.A廠人員分攤POH產能'!U40</f>
        <v>300</v>
      </c>
      <c r="V15" s="136">
        <f>'3.7.A廠人員分攤POH產能'!V40</f>
        <v>300</v>
      </c>
      <c r="W15" s="136">
        <f>'3.7.A廠人員分攤POH產能'!W40</f>
        <v>0</v>
      </c>
      <c r="X15" s="136">
        <f>'3.7.A廠人員分攤POH產能'!X40</f>
        <v>127.5</v>
      </c>
      <c r="Y15" s="136">
        <f>'3.7.A廠人員分攤POH產能'!Y40</f>
        <v>127.5</v>
      </c>
      <c r="Z15" s="136">
        <f>'3.7.A廠人員分攤POH產能'!Z40</f>
        <v>170</v>
      </c>
      <c r="AA15" s="136">
        <f>'3.7.A廠人員分攤POH產能'!AA40</f>
        <v>170</v>
      </c>
      <c r="AB15" s="136">
        <f>'3.7.A廠人員分攤POH產能'!AB40</f>
        <v>170</v>
      </c>
      <c r="AC15" s="136">
        <f>'3.7.A廠人員分攤POH產能'!AC40</f>
        <v>0</v>
      </c>
      <c r="AD15" s="136">
        <f>'3.7.A廠人員分攤POH產能'!AD40</f>
        <v>0</v>
      </c>
      <c r="AE15" s="136">
        <f>'3.7.A廠人員分攤POH產能'!AE40</f>
        <v>0</v>
      </c>
      <c r="AF15" s="136">
        <f>'3.7.A廠人員分攤POH產能'!AF40</f>
        <v>0</v>
      </c>
      <c r="AG15" s="136">
        <f>'3.7.A廠人員分攤POH產能'!AG40</f>
        <v>0</v>
      </c>
      <c r="AH15" s="136">
        <f>'3.7.A廠人員分攤POH產能'!AH40</f>
        <v>0</v>
      </c>
      <c r="AI15" s="136">
        <f>'3.7.A廠人員分攤POH產能'!AI40</f>
        <v>0</v>
      </c>
    </row>
    <row r="16" spans="1:35">
      <c r="A16" s="376"/>
      <c r="B16" s="376"/>
      <c r="C16" s="125" t="s">
        <v>84</v>
      </c>
      <c r="D16" s="164">
        <f>SUM(E16:EI16)/COUNTIF(E16:EI16,"&gt;0")</f>
        <v>0.95891904761904756</v>
      </c>
      <c r="E16" s="163">
        <f>'3.7.A廠人員分攤POH產能'!E41</f>
        <v>0.87409999999999999</v>
      </c>
      <c r="F16" s="163">
        <f>'3.7.A廠人員分攤POH產能'!F41</f>
        <v>1.1004</v>
      </c>
      <c r="G16" s="163">
        <f>'3.7.A廠人員分攤POH產能'!G41</f>
        <v>1.1042000000000001</v>
      </c>
      <c r="H16" s="163">
        <f>'3.7.A廠人員分攤POH產能'!H41</f>
        <v>1.1285000000000001</v>
      </c>
      <c r="I16" s="163">
        <f>'3.7.A廠人員分攤POH產能'!I41</f>
        <v>0</v>
      </c>
      <c r="J16" s="163">
        <f>'3.7.A廠人員分攤POH產能'!J41</f>
        <v>1.7986</v>
      </c>
      <c r="K16" s="163">
        <f>'3.7.A廠人員分攤POH產能'!K41</f>
        <v>1.3740999999999999</v>
      </c>
      <c r="L16" s="163">
        <f>'3.7.A廠人員分攤POH產能'!L41</f>
        <v>1.0676000000000001</v>
      </c>
      <c r="M16" s="163">
        <f>'3.7.A廠人員分攤POH產能'!M41</f>
        <v>1.0638000000000001</v>
      </c>
      <c r="N16" s="163">
        <f>'3.7.A廠人員分攤POH產能'!N41</f>
        <v>1.0638000000000001</v>
      </c>
      <c r="O16" s="163">
        <f>'3.7.A廠人員分攤POH產能'!O41</f>
        <v>1.083</v>
      </c>
      <c r="P16" s="163">
        <f>'3.7.A廠人員分攤POH產能'!P41</f>
        <v>0</v>
      </c>
      <c r="Q16" s="163">
        <f>'3.7.A廠人員分攤POH產能'!Q41</f>
        <v>1.0949</v>
      </c>
      <c r="R16" s="163">
        <f>'3.7.A廠人員分攤POH產能'!R41</f>
        <v>0.76439999999999997</v>
      </c>
      <c r="S16" s="163">
        <f>'3.7.A廠人員分攤POH產能'!S41</f>
        <v>0.89290000000000003</v>
      </c>
      <c r="T16" s="163">
        <f>'3.7.A廠人員分攤POH產能'!T41</f>
        <v>0.83030000000000004</v>
      </c>
      <c r="U16" s="163">
        <f>'3.7.A廠人員分攤POH產能'!U41</f>
        <v>1.0563</v>
      </c>
      <c r="V16" s="163">
        <f>'3.7.A廠人員分攤POH產能'!V41</f>
        <v>1.087</v>
      </c>
      <c r="W16" s="163">
        <f>'3.7.A廠人員分攤POH產能'!W41</f>
        <v>0</v>
      </c>
      <c r="X16" s="163">
        <f>'3.7.A廠人員分攤POH產能'!X41</f>
        <v>0.46029999999999999</v>
      </c>
      <c r="Y16" s="163">
        <f>'3.7.A廠人員分攤POH產能'!Y41</f>
        <v>0.45860000000000001</v>
      </c>
      <c r="Z16" s="163">
        <f>'3.7.A廠人員分攤POH產能'!Z41</f>
        <v>0.61150000000000004</v>
      </c>
      <c r="AA16" s="163">
        <f>'3.7.A廠人員分攤POH產能'!AA41</f>
        <v>0.61150000000000004</v>
      </c>
      <c r="AB16" s="163">
        <f>'3.7.A廠人員分攤POH產能'!AB41</f>
        <v>0.61150000000000004</v>
      </c>
      <c r="AC16" s="163">
        <f>'3.7.A廠人員分攤POH產能'!AC41</f>
        <v>0</v>
      </c>
      <c r="AD16" s="163">
        <f>'3.7.A廠人員分攤POH產能'!AD41</f>
        <v>0</v>
      </c>
      <c r="AE16" s="163">
        <f>'3.7.A廠人員分攤POH產能'!AE41</f>
        <v>0</v>
      </c>
      <c r="AF16" s="163">
        <f>'3.7.A廠人員分攤POH產能'!AF41</f>
        <v>0</v>
      </c>
      <c r="AG16" s="163">
        <f>'3.7.A廠人員分攤POH產能'!AG41</f>
        <v>0</v>
      </c>
      <c r="AH16" s="163">
        <f>'3.7.A廠人員分攤POH產能'!AH41</f>
        <v>0</v>
      </c>
      <c r="AI16" s="163">
        <f>'3.7.A廠人員分攤POH產能'!AI41</f>
        <v>0</v>
      </c>
    </row>
    <row r="17" spans="1:35">
      <c r="A17" s="373" t="s">
        <v>87</v>
      </c>
      <c r="B17" s="373">
        <f>B5+B9+B13</f>
        <v>38</v>
      </c>
      <c r="C17" s="143" t="s">
        <v>3</v>
      </c>
      <c r="D17" s="144">
        <f>AVERAGE(E17:AI17)</f>
        <v>39441.290322580644</v>
      </c>
      <c r="E17" s="134">
        <f>'3.7.A廠人員分攤POH產能'!E6</f>
        <v>60810</v>
      </c>
      <c r="F17" s="134">
        <f>'3.7.A廠人員分攤POH產能'!F6</f>
        <v>61894</v>
      </c>
      <c r="G17" s="134">
        <f>'3.7.A廠人員分攤POH產能'!G6</f>
        <v>62916</v>
      </c>
      <c r="H17" s="134">
        <f>'3.7.A廠人員分攤POH產能'!H6</f>
        <v>63983</v>
      </c>
      <c r="I17" s="134">
        <f>'3.7.A廠人員分攤POH產能'!I6</f>
        <v>0</v>
      </c>
      <c r="J17" s="134">
        <f>'3.7.A廠人員分攤POH產能'!J6</f>
        <v>65344</v>
      </c>
      <c r="K17" s="134">
        <f>'3.7.A廠人員分攤POH產能'!K6</f>
        <v>64006</v>
      </c>
      <c r="L17" s="134">
        <f>'3.7.A廠人員分攤POH產能'!L6</f>
        <v>63309</v>
      </c>
      <c r="M17" s="134">
        <f>'3.7.A廠人員分攤POH產能'!M6</f>
        <v>60190</v>
      </c>
      <c r="N17" s="134">
        <f>'3.7.A廠人員分攤POH產能'!N6</f>
        <v>62367</v>
      </c>
      <c r="O17" s="134">
        <f>'3.7.A廠人員分攤POH產能'!O6</f>
        <v>61020</v>
      </c>
      <c r="P17" s="134">
        <f>'3.7.A廠人員分攤POH產能'!P6</f>
        <v>0</v>
      </c>
      <c r="Q17" s="134">
        <f>'3.7.A廠人員分攤POH產能'!Q6</f>
        <v>60758</v>
      </c>
      <c r="R17" s="134">
        <f>'3.7.A廠人員分攤POH產能'!R6</f>
        <v>56995</v>
      </c>
      <c r="S17" s="134">
        <f>'3.7.A廠人員分攤POH產能'!S6</f>
        <v>55925</v>
      </c>
      <c r="T17" s="134">
        <f>'3.7.A廠人員分攤POH產能'!T6</f>
        <v>55434</v>
      </c>
      <c r="U17" s="134">
        <f>'3.7.A廠人員分攤POH產能'!U6</f>
        <v>56960</v>
      </c>
      <c r="V17" s="134">
        <f>'3.7.A廠人員分攤POH產能'!V6</f>
        <v>55319</v>
      </c>
      <c r="W17" s="134">
        <f>'3.7.A廠人員分攤POH產能'!W6</f>
        <v>0</v>
      </c>
      <c r="X17" s="134">
        <f>'3.7.A廠人員分攤POH產能'!X6</f>
        <v>49952</v>
      </c>
      <c r="Y17" s="134">
        <f>'3.7.A廠人員分攤POH產能'!Y6</f>
        <v>49403</v>
      </c>
      <c r="Z17" s="134">
        <f>'3.7.A廠人員分攤POH產能'!Z6</f>
        <v>50246</v>
      </c>
      <c r="AA17" s="134">
        <f>'3.7.A廠人員分攤POH產能'!AA6</f>
        <v>52572</v>
      </c>
      <c r="AB17" s="134">
        <f>'3.7.A廠人員分攤POH產能'!AB6</f>
        <v>53277</v>
      </c>
      <c r="AC17" s="134">
        <f>'3.7.A廠人員分攤POH產能'!AC6</f>
        <v>0</v>
      </c>
      <c r="AD17" s="134">
        <f>'3.7.A廠人員分攤POH產能'!AD6</f>
        <v>0</v>
      </c>
      <c r="AE17" s="134">
        <f>'3.7.A廠人員分攤POH產能'!AE6</f>
        <v>0</v>
      </c>
      <c r="AF17" s="134">
        <f>'3.7.A廠人員分攤POH產能'!AF6</f>
        <v>0</v>
      </c>
      <c r="AG17" s="134">
        <f>'3.7.A廠人員分攤POH產能'!AG6</f>
        <v>0</v>
      </c>
      <c r="AH17" s="134">
        <f>'3.7.A廠人員分攤POH產能'!AH6</f>
        <v>0</v>
      </c>
      <c r="AI17" s="134">
        <f>'3.7.A廠人員分攤POH產能'!AI6</f>
        <v>0</v>
      </c>
    </row>
    <row r="18" spans="1:35">
      <c r="A18" s="373"/>
      <c r="B18" s="373"/>
      <c r="C18" s="147" t="s">
        <v>82</v>
      </c>
      <c r="D18" s="166">
        <f>SUM(E18:AI18)/COUNTIF(E18:AI18,"&gt;0")</f>
        <v>1532.1804511278197</v>
      </c>
      <c r="E18" s="135">
        <f>E17/$B17</f>
        <v>1600.2631578947369</v>
      </c>
      <c r="F18" s="135">
        <f t="shared" ref="F18:AI18" si="56">F17/$B17</f>
        <v>1628.7894736842106</v>
      </c>
      <c r="G18" s="135">
        <f t="shared" si="56"/>
        <v>1655.6842105263158</v>
      </c>
      <c r="H18" s="135">
        <f t="shared" si="56"/>
        <v>1683.7631578947369</v>
      </c>
      <c r="I18" s="135">
        <f t="shared" si="56"/>
        <v>0</v>
      </c>
      <c r="J18" s="135">
        <f t="shared" si="56"/>
        <v>1719.578947368421</v>
      </c>
      <c r="K18" s="135">
        <f t="shared" si="56"/>
        <v>1684.3684210526317</v>
      </c>
      <c r="L18" s="135">
        <f t="shared" si="56"/>
        <v>1666.0263157894738</v>
      </c>
      <c r="M18" s="135">
        <f t="shared" si="56"/>
        <v>1583.9473684210527</v>
      </c>
      <c r="N18" s="135">
        <f t="shared" si="56"/>
        <v>1641.2368421052631</v>
      </c>
      <c r="O18" s="135">
        <f t="shared" si="56"/>
        <v>1605.7894736842106</v>
      </c>
      <c r="P18" s="135">
        <f t="shared" si="56"/>
        <v>0</v>
      </c>
      <c r="Q18" s="135">
        <f t="shared" si="56"/>
        <v>1598.8947368421052</v>
      </c>
      <c r="R18" s="135">
        <f t="shared" si="56"/>
        <v>1499.8684210526317</v>
      </c>
      <c r="S18" s="135">
        <f t="shared" si="56"/>
        <v>1471.7105263157894</v>
      </c>
      <c r="T18" s="135">
        <f t="shared" si="56"/>
        <v>1458.7894736842106</v>
      </c>
      <c r="U18" s="135">
        <f t="shared" si="56"/>
        <v>1498.9473684210527</v>
      </c>
      <c r="V18" s="135">
        <f t="shared" si="56"/>
        <v>1455.7631578947369</v>
      </c>
      <c r="W18" s="135">
        <f t="shared" si="56"/>
        <v>0</v>
      </c>
      <c r="X18" s="135">
        <f t="shared" si="56"/>
        <v>1314.5263157894738</v>
      </c>
      <c r="Y18" s="135">
        <f t="shared" si="56"/>
        <v>1300.078947368421</v>
      </c>
      <c r="Z18" s="135">
        <f t="shared" si="56"/>
        <v>1322.2631578947369</v>
      </c>
      <c r="AA18" s="135">
        <f t="shared" si="56"/>
        <v>1383.4736842105262</v>
      </c>
      <c r="AB18" s="135">
        <f t="shared" si="56"/>
        <v>1402.0263157894738</v>
      </c>
      <c r="AC18" s="135">
        <f t="shared" si="56"/>
        <v>0</v>
      </c>
      <c r="AD18" s="135">
        <f t="shared" si="56"/>
        <v>0</v>
      </c>
      <c r="AE18" s="135">
        <f t="shared" si="56"/>
        <v>0</v>
      </c>
      <c r="AF18" s="135">
        <f t="shared" si="56"/>
        <v>0</v>
      </c>
      <c r="AG18" s="135">
        <f t="shared" si="56"/>
        <v>0</v>
      </c>
      <c r="AH18" s="135">
        <f t="shared" si="56"/>
        <v>0</v>
      </c>
      <c r="AI18" s="135">
        <f t="shared" si="56"/>
        <v>0</v>
      </c>
    </row>
    <row r="19" spans="1:35">
      <c r="A19" s="373"/>
      <c r="B19" s="373"/>
      <c r="C19" s="150" t="s">
        <v>83</v>
      </c>
      <c r="D19" s="165">
        <f>SUM(E19:AI19)/COUNTIF(E19:AI19,"&gt;0")</f>
        <v>7277.8571428571431</v>
      </c>
      <c r="E19" s="136">
        <f>'3.7.A廠人員分攤POH產能'!E10</f>
        <v>7601.25</v>
      </c>
      <c r="F19" s="136">
        <f>'3.7.A廠人員分攤POH產能'!F10</f>
        <v>7736.75</v>
      </c>
      <c r="G19" s="136">
        <f>'3.7.A廠人員分攤POH產能'!G10</f>
        <v>7864.5</v>
      </c>
      <c r="H19" s="136">
        <f>'3.7.A廠人員分攤POH產能'!H10</f>
        <v>7997.875</v>
      </c>
      <c r="I19" s="136">
        <f>'3.7.A廠人員分攤POH產能'!I10</f>
        <v>0</v>
      </c>
      <c r="J19" s="136">
        <f>'3.7.A廠人員分攤POH產能'!J10</f>
        <v>8168</v>
      </c>
      <c r="K19" s="136">
        <f>'3.7.A廠人員分攤POH產能'!K10</f>
        <v>8000.75</v>
      </c>
      <c r="L19" s="136">
        <f>'3.7.A廠人員分攤POH產能'!L10</f>
        <v>7913.625</v>
      </c>
      <c r="M19" s="136">
        <f>'3.7.A廠人員分攤POH產能'!M10</f>
        <v>7523.75</v>
      </c>
      <c r="N19" s="136">
        <f>'3.7.A廠人員分攤POH產能'!N10</f>
        <v>7795.875</v>
      </c>
      <c r="O19" s="136">
        <f>'3.7.A廠人員分攤POH產能'!O10</f>
        <v>7627.5</v>
      </c>
      <c r="P19" s="136">
        <f>'3.7.A廠人員分攤POH產能'!P10</f>
        <v>0</v>
      </c>
      <c r="Q19" s="136">
        <f>'3.7.A廠人員分攤POH產能'!Q10</f>
        <v>7594.75</v>
      </c>
      <c r="R19" s="136">
        <f>'3.7.A廠人員分攤POH產能'!R10</f>
        <v>7124.375</v>
      </c>
      <c r="S19" s="136">
        <f>'3.7.A廠人員分攤POH產能'!S10</f>
        <v>6990.625</v>
      </c>
      <c r="T19" s="136">
        <f>'3.7.A廠人員分攤POH產能'!T10</f>
        <v>6929.25</v>
      </c>
      <c r="U19" s="136">
        <f>'3.7.A廠人員分攤POH產能'!U10</f>
        <v>7120</v>
      </c>
      <c r="V19" s="136">
        <f>'3.7.A廠人員分攤POH產能'!V10</f>
        <v>6914.875</v>
      </c>
      <c r="W19" s="136">
        <f>'3.7.A廠人員分攤POH產能'!W10</f>
        <v>0</v>
      </c>
      <c r="X19" s="136">
        <f>'3.7.A廠人員分攤POH產能'!X10</f>
        <v>6244</v>
      </c>
      <c r="Y19" s="136">
        <f>'3.7.A廠人員分攤POH產能'!Y10</f>
        <v>6175.375</v>
      </c>
      <c r="Z19" s="136">
        <f>'3.7.A廠人員分攤POH產能'!Z10</f>
        <v>6280.75</v>
      </c>
      <c r="AA19" s="136">
        <f>'3.7.A廠人員分攤POH產能'!AA10</f>
        <v>6571.5</v>
      </c>
      <c r="AB19" s="136">
        <f>'3.7.A廠人員分攤POH產能'!AB10</f>
        <v>6659.625</v>
      </c>
      <c r="AC19" s="136">
        <f>'3.7.A廠人員分攤POH產能'!AC10</f>
        <v>0</v>
      </c>
      <c r="AD19" s="136">
        <f>'3.7.A廠人員分攤POH產能'!AD10</f>
        <v>0</v>
      </c>
      <c r="AE19" s="136">
        <f>'3.7.A廠人員分攤POH產能'!AE10</f>
        <v>0</v>
      </c>
      <c r="AF19" s="136">
        <f>'3.7.A廠人員分攤POH產能'!AF10</f>
        <v>0</v>
      </c>
      <c r="AG19" s="136">
        <f>'3.7.A廠人員分攤POH產能'!AG10</f>
        <v>0</v>
      </c>
      <c r="AH19" s="136">
        <f>'3.7.A廠人員分攤POH產能'!AH10</f>
        <v>0</v>
      </c>
      <c r="AI19" s="136">
        <f>'3.7.A廠人員分攤POH產能'!AI10</f>
        <v>0</v>
      </c>
    </row>
    <row r="20" spans="1:35">
      <c r="A20" s="373"/>
      <c r="B20" s="373"/>
      <c r="C20" s="150" t="s">
        <v>84</v>
      </c>
      <c r="D20" s="164">
        <f>SUM(E20:EI20)/COUNTIF(E20:EI20,"&gt;0")</f>
        <v>0.84339714959004353</v>
      </c>
      <c r="E20" s="163">
        <f>'3.7.A廠人員分攤POH產能'!E13</f>
        <v>0.87506475565532726</v>
      </c>
      <c r="F20" s="163">
        <f>'3.7.A廠人員分攤POH產能'!F13</f>
        <v>0.89071494358738201</v>
      </c>
      <c r="G20" s="163">
        <f>'3.7.A廠人員分攤POH產能'!G13</f>
        <v>0.90803602355386215</v>
      </c>
      <c r="H20" s="163">
        <f>'3.7.A廠人員分攤POH產能'!H13</f>
        <v>0.93253366758001521</v>
      </c>
      <c r="I20" s="163">
        <f>'3.7.A廠人員分攤POH產能'!I13</f>
        <v>0</v>
      </c>
      <c r="J20" s="163">
        <f>'3.7.A廠人員分攤POH產能'!J13</f>
        <v>0.97174469097614657</v>
      </c>
      <c r="K20" s="163">
        <f>'3.7.A廠人員分攤POH產能'!K13</f>
        <v>0.93510402057036002</v>
      </c>
      <c r="L20" s="163">
        <f>'3.7.A廠人員分攤POH產能'!L13</f>
        <v>0.92217269708092986</v>
      </c>
      <c r="M20" s="163">
        <f>'3.7.A廠人員分攤POH產能'!M13</f>
        <v>0.87510904332654837</v>
      </c>
      <c r="N20" s="163">
        <f>'3.7.A廠人員分攤POH產能'!N13</f>
        <v>0.90518142235123367</v>
      </c>
      <c r="O20" s="163">
        <f>'3.7.A廠人員分攤POH產能'!O13</f>
        <v>0.8928362401966522</v>
      </c>
      <c r="P20" s="163">
        <f>'3.7.A廠人員分攤POH產能'!P13</f>
        <v>0</v>
      </c>
      <c r="Q20" s="163">
        <f>'3.7.A廠人員分攤POH產能'!Q13</f>
        <v>0.88728897715988087</v>
      </c>
      <c r="R20" s="163">
        <f>'3.7.A廠人員分攤POH產能'!R13</f>
        <v>0.8141212432864815</v>
      </c>
      <c r="S20" s="163">
        <f>'3.7.A廠人員分攤POH產能'!S13</f>
        <v>0.79842670321512188</v>
      </c>
      <c r="T20" s="163">
        <f>'3.7.A廠人員分攤POH產能'!T13</f>
        <v>0.79596232266957667</v>
      </c>
      <c r="U20" s="163">
        <f>'3.7.A廠人員分攤POH產能'!U13</f>
        <v>0.81801470588235292</v>
      </c>
      <c r="V20" s="163">
        <f>'3.7.A廠人員分攤POH產能'!V13</f>
        <v>0.80499126891734574</v>
      </c>
      <c r="W20" s="163">
        <f>'3.7.A廠人員分攤POH產能'!W13</f>
        <v>0</v>
      </c>
      <c r="X20" s="163">
        <f>'3.7.A廠人員分攤POH產能'!X13</f>
        <v>0.7260887260887261</v>
      </c>
      <c r="Y20" s="163">
        <f>'3.7.A廠人員分攤POH產能'!Y13</f>
        <v>0.71482521125130227</v>
      </c>
      <c r="Z20" s="163">
        <f>'3.7.A廠人員分攤POH產能'!Z13</f>
        <v>0.71969176120087086</v>
      </c>
      <c r="AA20" s="163">
        <f>'3.7.A廠人員分攤POH產能'!AA13</f>
        <v>0.75495433396519041</v>
      </c>
      <c r="AB20" s="163">
        <f>'3.7.A廠人員分攤POH產能'!AB13</f>
        <v>0.76847738287560585</v>
      </c>
      <c r="AC20" s="163">
        <f>'3.7.A廠人員分攤POH產能'!AC13</f>
        <v>0</v>
      </c>
      <c r="AD20" s="163">
        <f>'3.7.A廠人員分攤POH產能'!AD13</f>
        <v>0</v>
      </c>
      <c r="AE20" s="163">
        <f>'3.7.A廠人員分攤POH產能'!AE13</f>
        <v>0</v>
      </c>
      <c r="AF20" s="163">
        <f>'3.7.A廠人員分攤POH產能'!AF13</f>
        <v>0</v>
      </c>
      <c r="AG20" s="163">
        <f>'3.7.A廠人員分攤POH產能'!AG13</f>
        <v>0</v>
      </c>
      <c r="AH20" s="163">
        <f>'3.7.A廠人員分攤POH產能'!AH13</f>
        <v>0</v>
      </c>
      <c r="AI20" s="163">
        <f>'3.7.A廠人員分攤POH產能'!AI13</f>
        <v>0</v>
      </c>
    </row>
    <row r="21" spans="1:35">
      <c r="A21" s="140"/>
      <c r="B21" s="140"/>
      <c r="C21" s="141"/>
      <c r="D21" s="142"/>
      <c r="E21" s="160"/>
      <c r="F21" s="160"/>
      <c r="G21" s="160"/>
      <c r="H21" s="160"/>
      <c r="I21" s="160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</row>
    <row r="22" spans="1:35">
      <c r="A22" s="374" t="s">
        <v>88</v>
      </c>
      <c r="B22" s="374">
        <v>17</v>
      </c>
      <c r="C22" s="143" t="s">
        <v>3</v>
      </c>
      <c r="D22" s="144" t="e">
        <f>AVERAGE(E22:AI22)</f>
        <v>#DIV/0!</v>
      </c>
      <c r="E22" s="161"/>
      <c r="F22" s="161"/>
      <c r="G22" s="161"/>
      <c r="H22" s="161"/>
      <c r="I22" s="161"/>
      <c r="J22" s="156"/>
      <c r="K22" s="156"/>
      <c r="L22" s="156"/>
      <c r="M22" s="156"/>
      <c r="N22" s="156"/>
      <c r="O22" s="156"/>
      <c r="P22" s="145"/>
      <c r="Q22" s="156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</row>
    <row r="23" spans="1:35">
      <c r="A23" s="374"/>
      <c r="B23" s="374"/>
      <c r="C23" s="147" t="s">
        <v>82</v>
      </c>
      <c r="D23" s="148" t="e">
        <f>AVERAGE(E23:AI23)</f>
        <v>#DIV/0!</v>
      </c>
      <c r="E23" s="157"/>
      <c r="F23" s="157"/>
      <c r="G23" s="157"/>
      <c r="H23" s="157"/>
      <c r="I23" s="157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</row>
    <row r="24" spans="1:35">
      <c r="A24" s="374"/>
      <c r="B24" s="374"/>
      <c r="C24" s="150" t="s">
        <v>83</v>
      </c>
      <c r="D24" s="151" t="e">
        <f>AVERAGE(E24:AI24)</f>
        <v>#DIV/0!</v>
      </c>
      <c r="E24" s="158"/>
      <c r="F24" s="158"/>
      <c r="G24" s="158"/>
      <c r="H24" s="158"/>
      <c r="I24" s="158"/>
      <c r="J24" s="152"/>
      <c r="K24" s="152"/>
      <c r="L24" s="152"/>
      <c r="M24" s="152"/>
      <c r="N24" s="152"/>
      <c r="O24" s="152"/>
      <c r="P24" s="146"/>
      <c r="Q24" s="152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</row>
    <row r="25" spans="1:35">
      <c r="A25" s="374"/>
      <c r="B25" s="374"/>
      <c r="C25" s="150" t="s">
        <v>84</v>
      </c>
      <c r="D25" s="153">
        <f>'[1]3-4.B1廠人均時產'!AI323</f>
        <v>0.41638229435391699</v>
      </c>
      <c r="E25" s="159"/>
      <c r="F25" s="159"/>
      <c r="G25" s="159"/>
      <c r="H25" s="159"/>
      <c r="I25" s="159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 spans="1:35">
      <c r="A26" s="374" t="s">
        <v>89</v>
      </c>
      <c r="B26" s="374">
        <v>18</v>
      </c>
      <c r="C26" s="143" t="s">
        <v>3</v>
      </c>
      <c r="D26" s="144" t="e">
        <f>AVERAGE(E26:AI26)</f>
        <v>#DIV/0!</v>
      </c>
      <c r="E26" s="161"/>
      <c r="F26" s="161"/>
      <c r="G26" s="161"/>
      <c r="H26" s="161"/>
      <c r="I26" s="161"/>
      <c r="J26" s="156"/>
      <c r="K26" s="156"/>
      <c r="L26" s="156"/>
      <c r="M26" s="156"/>
      <c r="N26" s="156"/>
      <c r="O26" s="156"/>
      <c r="P26" s="145"/>
      <c r="Q26" s="156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</row>
    <row r="27" spans="1:35">
      <c r="A27" s="374"/>
      <c r="B27" s="374"/>
      <c r="C27" s="147" t="s">
        <v>82</v>
      </c>
      <c r="D27" s="148" t="e">
        <f>AVERAGE(E27:AI27)</f>
        <v>#DIV/0!</v>
      </c>
      <c r="E27" s="157"/>
      <c r="F27" s="157"/>
      <c r="G27" s="157"/>
      <c r="H27" s="157"/>
      <c r="I27" s="157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</row>
    <row r="28" spans="1:35">
      <c r="A28" s="374"/>
      <c r="B28" s="374"/>
      <c r="C28" s="150" t="s">
        <v>83</v>
      </c>
      <c r="D28" s="151" t="e">
        <f>AVERAGE(E28:AI28)</f>
        <v>#DIV/0!</v>
      </c>
      <c r="E28" s="158"/>
      <c r="F28" s="158"/>
      <c r="G28" s="158"/>
      <c r="H28" s="158"/>
      <c r="I28" s="158"/>
      <c r="J28" s="152"/>
      <c r="K28" s="152"/>
      <c r="L28" s="152"/>
      <c r="M28" s="152"/>
      <c r="N28" s="152"/>
      <c r="O28" s="152"/>
      <c r="P28" s="146"/>
      <c r="Q28" s="152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</row>
    <row r="29" spans="1:35">
      <c r="A29" s="374"/>
      <c r="B29" s="374"/>
      <c r="C29" s="150" t="s">
        <v>84</v>
      </c>
      <c r="D29" s="153">
        <f>'[1]3-5.B7廠人均時產'!AI334</f>
        <v>1.1685485768054575</v>
      </c>
      <c r="E29" s="159"/>
      <c r="F29" s="159"/>
      <c r="G29" s="159"/>
      <c r="H29" s="159"/>
      <c r="I29" s="159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 spans="1:35">
      <c r="A30" s="381" t="s">
        <v>90</v>
      </c>
      <c r="B30" s="381">
        <f>B22+B26</f>
        <v>35</v>
      </c>
      <c r="C30" s="154" t="s">
        <v>3</v>
      </c>
      <c r="D30" s="138" t="e">
        <f>AVERAGE(E30:AI30)</f>
        <v>#DIV/0!</v>
      </c>
      <c r="E30" s="162"/>
      <c r="F30" s="162"/>
      <c r="G30" s="162"/>
      <c r="H30" s="162"/>
      <c r="I30" s="162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39"/>
      <c r="AE30" s="139"/>
      <c r="AF30" s="139"/>
      <c r="AG30" s="131"/>
      <c r="AH30" s="131"/>
      <c r="AI30" s="131"/>
    </row>
    <row r="31" spans="1:35">
      <c r="A31" s="381"/>
      <c r="B31" s="381"/>
      <c r="C31" s="122" t="s">
        <v>82</v>
      </c>
      <c r="D31" s="124" t="e">
        <f>AVERAGE(E31:AI31)</f>
        <v>#DIV/0!</v>
      </c>
      <c r="E31" s="135"/>
      <c r="F31" s="135"/>
      <c r="G31" s="135"/>
      <c r="H31" s="135"/>
      <c r="I31" s="135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31"/>
      <c r="AH31" s="131"/>
      <c r="AI31" s="131"/>
    </row>
    <row r="32" spans="1:35">
      <c r="A32" s="381"/>
      <c r="B32" s="381"/>
      <c r="C32" s="125" t="s">
        <v>83</v>
      </c>
      <c r="D32" s="128" t="e">
        <f>AVERAGE(E32:AI32)</f>
        <v>#DIV/0!</v>
      </c>
      <c r="E32" s="136"/>
      <c r="F32" s="136"/>
      <c r="G32" s="136"/>
      <c r="H32" s="136"/>
      <c r="I32" s="13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31"/>
      <c r="AE32" s="131"/>
      <c r="AF32" s="131"/>
      <c r="AG32" s="131"/>
      <c r="AH32" s="131"/>
      <c r="AI32" s="131"/>
    </row>
    <row r="33" spans="1:35">
      <c r="A33" s="382"/>
      <c r="B33" s="382"/>
      <c r="C33" s="129" t="s">
        <v>84</v>
      </c>
      <c r="D33" s="130">
        <f>'[1]3-6.總計產能  '!AI74</f>
        <v>0.46327545191067326</v>
      </c>
      <c r="E33" s="137"/>
      <c r="F33" s="137"/>
      <c r="G33" s="137"/>
      <c r="H33" s="137"/>
      <c r="I33" s="137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</row>
    <row r="34" spans="1:35">
      <c r="A34" s="375" t="s">
        <v>91</v>
      </c>
      <c r="B34" s="383">
        <f>B17+B30</f>
        <v>73</v>
      </c>
      <c r="C34" s="119" t="s">
        <v>3</v>
      </c>
      <c r="D34" s="121" t="e">
        <f>AVERAGE(E34:AI34)</f>
        <v>#DIV/0!</v>
      </c>
      <c r="E34" s="134"/>
      <c r="F34" s="134"/>
      <c r="G34" s="134"/>
      <c r="H34" s="134"/>
      <c r="I34" s="134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</row>
    <row r="35" spans="1:35">
      <c r="A35" s="376"/>
      <c r="B35" s="384"/>
      <c r="C35" s="122" t="s">
        <v>82</v>
      </c>
      <c r="D35" s="124" t="e">
        <f>AVERAGE(E35:AI35)</f>
        <v>#DIV/0!</v>
      </c>
      <c r="E35" s="135"/>
      <c r="F35" s="135"/>
      <c r="G35" s="135"/>
      <c r="H35" s="135"/>
      <c r="I35" s="135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</row>
    <row r="36" spans="1:35">
      <c r="A36" s="376"/>
      <c r="B36" s="384"/>
      <c r="C36" s="125" t="s">
        <v>92</v>
      </c>
      <c r="D36" s="132" t="e">
        <f>AVERAGE(E36:AI36)</f>
        <v>#DIV/0!</v>
      </c>
      <c r="E36" s="136"/>
      <c r="F36" s="136"/>
      <c r="G36" s="136"/>
      <c r="H36" s="136"/>
      <c r="I36" s="136"/>
      <c r="J36" s="126"/>
      <c r="K36" s="126"/>
      <c r="L36" s="126"/>
      <c r="M36" s="126"/>
      <c r="N36" s="126"/>
      <c r="O36" s="126"/>
      <c r="P36" s="127"/>
      <c r="Q36" s="126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</row>
    <row r="37" spans="1:35">
      <c r="A37" s="377"/>
      <c r="B37" s="385"/>
      <c r="C37" s="129" t="s">
        <v>84</v>
      </c>
      <c r="D37" s="130">
        <f>'[1]3-6.總計產能  '!AI77</f>
        <v>0.5866614180263775</v>
      </c>
      <c r="E37" s="137"/>
      <c r="F37" s="137"/>
      <c r="G37" s="137"/>
      <c r="H37" s="137"/>
      <c r="I37" s="137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</row>
  </sheetData>
  <mergeCells count="17">
    <mergeCell ref="A30:A33"/>
    <mergeCell ref="B30:B33"/>
    <mergeCell ref="A34:A37"/>
    <mergeCell ref="B34:B37"/>
    <mergeCell ref="A26:A29"/>
    <mergeCell ref="B26:B29"/>
    <mergeCell ref="A1:B1"/>
    <mergeCell ref="A17:A20"/>
    <mergeCell ref="B17:B20"/>
    <mergeCell ref="A22:A25"/>
    <mergeCell ref="B22:B25"/>
    <mergeCell ref="A5:A8"/>
    <mergeCell ref="B5:B8"/>
    <mergeCell ref="A9:A12"/>
    <mergeCell ref="B9:B12"/>
    <mergeCell ref="A13:A16"/>
    <mergeCell ref="B13:B16"/>
  </mergeCells>
  <phoneticPr fontId="37" type="noConversion"/>
  <hyperlinks>
    <hyperlink ref="A1" location="'目   錄'!A1" display="回到首頁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目   錄</vt:lpstr>
      <vt:lpstr>1.月份產能總表</vt:lpstr>
      <vt:lpstr>2.1年度品牌報表</vt:lpstr>
      <vt:lpstr>2.2月份預計出貨數量</vt:lpstr>
      <vt:lpstr>3-1.人員刷卡出勤</vt:lpstr>
      <vt:lpstr>3.2.A1廠人均時產能-針車</vt:lpstr>
      <vt:lpstr>3.3.A2廠人均時產能-針車</vt:lpstr>
      <vt:lpstr>3.4 A1廠人均時產能-成型</vt:lpstr>
      <vt:lpstr>3.5.A2廠人均時產能-成型</vt:lpstr>
      <vt:lpstr>3.6.A廠總計產能</vt:lpstr>
      <vt:lpstr>3.7.A廠人員分攤POH產能</vt:lpstr>
      <vt:lpstr>5.1 全廠線均產能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2016-07-20T01:34:33Z</cp:lastPrinted>
  <dcterms:created xsi:type="dcterms:W3CDTF">2006-09-16T00:00:00Z</dcterms:created>
  <dcterms:modified xsi:type="dcterms:W3CDTF">2017-03-27T01:11:46Z</dcterms:modified>
</cp:coreProperties>
</file>